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570" yWindow="75" windowWidth="26370" windowHeight="12240" tabRatio="904" firstSheet="2" activeTab="6"/>
  </bookViews>
  <sheets>
    <sheet name="__FDSCACHE__" sheetId="7" state="veryHidden" r:id="rId1"/>
    <sheet name="MW-Cache" sheetId="9" state="veryHidden" r:id="rId2"/>
    <sheet name="ImportantDisclosures" sheetId="95" r:id="rId3"/>
    <sheet name="IS" sheetId="1" r:id="rId4"/>
    <sheet name="BS" sheetId="2" r:id="rId5"/>
    <sheet name="CFS" sheetId="3" r:id="rId6"/>
    <sheet name="Segment model" sheetId="80" r:id="rId7"/>
    <sheet name="COGS model" sheetId="79" r:id="rId8"/>
    <sheet name="IndexInformation" sheetId="96" r:id="rId9"/>
    <sheet name="ModPubIndex" sheetId="97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Viewer?action=AUDIT_VALUE&amp;DB=129&amp;ID1=03265410&amp;VALUEID=02001&amp;SDATE=201103&amp;PERIODTYPE=QTR_STD&amp;SCFT=3&amp;window=popup_no_bar&amp;width=385&amp;height=120&amp;START_MAXIMIZED=FALSE&amp;creator=factset&amp;display_string=Audit"}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Viewer?action=AUDIT_VALUE&amp;DB=129&amp;ID1=74752510&amp;VALUEID=05194&amp;SDATE=201103&amp;PERIODTYPE=QTR_STD&amp;SCFT=3&amp;window=popup_no_bar&amp;width=385&amp;height=120&amp;START_MAXIMIZED=FALSE&amp;creator=factset&amp;display_string=Audit"}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123Graph_XLIQUIDS" hidden="1">[1]P!$R$29:$AK$29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Viewer?action=AUDIT_VALUE&amp;DB=129&amp;ID1=89674K10&amp;VALUEID=02001&amp;SDATE=201101&amp;PERIODTYPE=QTR_STD&amp;SCFT=3&amp;window=popup_no_bar&amp;width=385&amp;height=120&amp;START_MAXIMIZED=FALSE&amp;creator=factset&amp;display_string=Audit"}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Viewer?action=AUDIT_VALUE&amp;DB=129&amp;ID1=03265410&amp;VALUEID=05194&amp;SDATE=201103&amp;PERIODTYPE=QTR_STD&amp;SCFT=3&amp;window=popup_no_bar&amp;width=385&amp;height=120&amp;START_MAXIMIZED=FALSE&amp;creator=factset&amp;display_string=Audit"}</definedName>
    <definedName name="_20__123Graph_XR_M_MARG" hidden="1">[1]P!$R$29:$AK$29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Viewer?action=AUDIT_VALUE&amp;DB=129&amp;ID1=67066G10&amp;VALUEID=02001&amp;SDATE=201102&amp;PERIODTYPE=QTR_STD&amp;SCFT=3&amp;window=popup_no_bar&amp;width=385&amp;height=120&amp;START_MAXIMIZED=FALSE&amp;creator=factset&amp;display_string=Audit"}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Viewer?action=AUDIT_VALUE&amp;DB=129&amp;ID1=67066G10&amp;VALUEID=05194&amp;SDATE=201102&amp;PERIODTYPE=QTR_STD&amp;SCFT=3&amp;window=popup_no_bar&amp;width=385&amp;height=120&amp;START_MAXIMIZED=FALSE&amp;creator=factset&amp;display_string=Audit"}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Viewer?action=AUDIT_VALUE&amp;DB=129&amp;ID1=637248&amp;VALUEID=02001&amp;SDATE=201102&amp;PERIODTYPE=QTR_STD&amp;SCFT=3&amp;window=popup_no_bar&amp;width=385&amp;height=120&amp;START_MAXIMIZED=FALSE&amp;creator=factset&amp;display_string=Audit"}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Viewer?action=AUDIT_VALUE&amp;DB=129&amp;ID1=637248&amp;VALUEID=05194&amp;SDATE=201102&amp;PERIODTYPE=QTR_STD&amp;SCFT=3&amp;window=popup_no_bar&amp;width=385&amp;height=120&amp;START_MAXIMIZED=FALSE&amp;creator=factset&amp;display_string=Audit"}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Viewer?action=AUDIT_VALUE&amp;DB=129&amp;ID1=74752510&amp;VALUEID=02001&amp;SDATE=201103&amp;PERIODTYPE=QTR_STD&amp;SCFT=3&amp;window=popup_no_bar&amp;width=385&amp;height=120&amp;START_MAXIMIZED=FALSE&amp;creator=factset&amp;display_string=Audit"}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[2]Sheet1!$A:$IV</definedName>
    <definedName name="_Order1" hidden="1">0</definedName>
    <definedName name="_Regression_Int" hidden="1">1</definedName>
    <definedName name="AccsDataItem">OFFSET(LinkShtTL,0,1,1000,1)</definedName>
    <definedName name="AdditionalInstructions">IndexInformation!$B$42</definedName>
    <definedName name="Address" localSheetId="2">ImportantDisclosures!$A$2:$A$2</definedName>
    <definedName name="ANA" localSheetId="9">ModPubIndex!$A$7</definedName>
    <definedName name="anscount" hidden="1">1</definedName>
    <definedName name="Authors" localSheetId="2">ImportantDisclosures!$A$7</definedName>
    <definedName name="Authors" localSheetId="8">IndexInformation!$B$18</definedName>
    <definedName name="BRO" localSheetId="9">ModPubIndex!$A$1</definedName>
    <definedName name="BS">BS!$AR$45:$EX$45</definedName>
    <definedName name="CF_OP_GR">"'=BackSheet!$D$239:$AG$239"</definedName>
    <definedName name="CF_PR_DV">"'=BackSheet!$D$241:$AG$241"</definedName>
    <definedName name="CopyrightStamp">ImportantDisclosures!$A$27</definedName>
    <definedName name="COU" localSheetId="9">ModPubIndex!$A$5</definedName>
    <definedName name="CQEnd" localSheetId="8">IndexInformation!$B$31</definedName>
    <definedName name="Currency" localSheetId="8">IndexInformation!$B$24</definedName>
    <definedName name="CurrentStockPrice" localSheetId="8">IndexInformation!$B$23</definedName>
    <definedName name="CurrQtrEPS" localSheetId="8">IndexInformation!$B$29</definedName>
    <definedName name="CurrYearEPS" localSheetId="8">IndexInformation!$B$11</definedName>
    <definedName name="CurrYearTotalRevenue" localSheetId="8">IndexInformation!$B$10</definedName>
    <definedName name="CurrYearTotalRevenueActual" localSheetId="8">IndexInformation!$B$32</definedName>
    <definedName name="CUSIP" localSheetId="8">IndexInformation!$B$20</definedName>
    <definedName name="CYEnd" localSheetId="8">IndexInformation!$B$30</definedName>
    <definedName name="dataseries4">OFFSET([3]c1!$G$12,0,0,COUNTA([3]c1!$G$12:$G$31),1)</definedName>
    <definedName name="Date" localSheetId="2">ImportantDisclosures!$A$8</definedName>
    <definedName name="Deleted" localSheetId="8">IndexInformation!$B$27</definedName>
    <definedName name="Description" localSheetId="8">IndexInformation!$B$7</definedName>
    <definedName name="Discipline" localSheetId="8">IndexInformation!$B$3</definedName>
    <definedName name="DISCIPLINE" localSheetId="9">ModPubIndex!$A$12</definedName>
    <definedName name="DisclosuresText">ImportantDisclosures!$A$22</definedName>
    <definedName name="Distribution" localSheetId="8">IndexInformation!$B$26</definedName>
    <definedName name="DistTable" localSheetId="2">ImportantDisclosures!#REF!</definedName>
    <definedName name="DistTablePreamble" localSheetId="2">ImportantDisclosures!#REF!</definedName>
    <definedName name="DOCDAT" localSheetId="9">ModPubIndex!$A$2</definedName>
    <definedName name="DOCTIME" localSheetId="9">ModPubIndex!$A$3</definedName>
    <definedName name="DocType" localSheetId="8">IndexInformation!$B$5</definedName>
    <definedName name="EMAIL_ALERT" localSheetId="9">ModPubIndex!$A$10</definedName>
    <definedName name="EmailAlert" localSheetId="8">IndexInformation!$B$28</definedName>
    <definedName name="fff">OFFSET(LinkShtTL,0,1,1000,1)</definedName>
    <definedName name="FiveYearGrowthRate" localSheetId="8">IndexInformation!$B$16</definedName>
    <definedName name="FollowingYearEPS" localSheetId="8">IndexInformation!$B$15</definedName>
    <definedName name="FollowingYearTotalRevenue" localSheetId="8">IndexInformation!$B$14</definedName>
    <definedName name="FollowingYearTotalRevenueActual" localSheetId="8">IndexInformation!$B$34</definedName>
    <definedName name="FSTicker">'[4]MW Valuation'!$AD$33</definedName>
    <definedName name="HL" localSheetId="9">ModPubIndex!$A$8</definedName>
    <definedName name="HTML_CodePage" hidden="1">1252</definedName>
    <definedName name="HTML_Description" hidden="1">"(U.S. Dollars per Gallon)"</definedName>
    <definedName name="HTML_Email" hidden="1">"joel.lou@eia.doe.gov"</definedName>
    <definedName name="HTML_Header" hidden="1">"Weekly Retail Diesel (Road) Prices (Including Taxes)"</definedName>
    <definedName name="HTML_LastUpdate" hidden="1">"4/10/2006"</definedName>
    <definedName name="HTML_LineAfter" hidden="1">FALSE</definedName>
    <definedName name="HTML_LineBefore" hidden="1">FALSE</definedName>
    <definedName name="HTML_Name" hidden="1">"Joel Lou"</definedName>
    <definedName name="HTML_OBDlg2" hidden="1">TRUE</definedName>
    <definedName name="HTML_OBDlg4" hidden="1">TRUE</definedName>
    <definedName name="HTML_OS" hidden="1">0</definedName>
    <definedName name="HTML_PathFile" hidden="1">"v:\PRJ\IEA\Intlwbpg\Pricexls\diesel1.html"</definedName>
    <definedName name="HTML_Title" hidden="1">"Diesel1"</definedName>
    <definedName name="IND" localSheetId="9">ModPubIndex!$A$9</definedName>
    <definedName name="Industry" localSheetId="2">ImportantDisclosures!$A$12</definedName>
    <definedName name="IndustryId">IndexInformation!$B$40</definedName>
    <definedName name="IndustryRating" localSheetId="2">ImportantDisclosures!$A$13</definedName>
    <definedName name="KeepVersions" localSheetId="8">IndexInformation!$B$8</definedName>
    <definedName name="LanguageCode">IndexInformation!$B$38</definedName>
    <definedName name="LastCell" localSheetId="2">ImportantDisclosures!$A$22</definedName>
    <definedName name="Linking_1">BS!$A$4:$CM$43</definedName>
    <definedName name="Linking_10">BS!$B$4:$EA$43</definedName>
    <definedName name="Linking_11">CFS!$B$4:$EA$58</definedName>
    <definedName name="Linking_15">IS!$B$4:$EB$106</definedName>
    <definedName name="Linking_16">BS!$B$4:$EB$43</definedName>
    <definedName name="Linking_17">CFS!$B$4:$EB$58</definedName>
    <definedName name="Linking_2">BS!$B$4:$CM$43</definedName>
    <definedName name="Linking_20">BS!$B$4:$CU$43</definedName>
    <definedName name="Linking_21">CFS!$B$3:$EB$58</definedName>
    <definedName name="Linking_22">BS!$B$4:$CU$70</definedName>
    <definedName name="Linking_23">IS!$B$4:$EC$106</definedName>
    <definedName name="Linking_24">BS!$B$4:$CY$43</definedName>
    <definedName name="Linking_25">CFS!$B$4:$EC$58</definedName>
    <definedName name="Linking_3">CFS!$B$4:$DZ$60</definedName>
    <definedName name="Linking_5">IS!$B$4:$EY$106</definedName>
    <definedName name="Linking_6">BS!$B$4:$EY$43</definedName>
    <definedName name="Linking_7">CFS!$B$4:$EY$58</definedName>
    <definedName name="Linking_9">IS!$B$4:$EA$106</definedName>
    <definedName name="Linking_Range_1">IS!$B$4:$DY$106</definedName>
    <definedName name="Linking_Range_12">CFS!$B$4:$DY$58</definedName>
    <definedName name="Linking_Range_16">IS!$B$2:$DX$106</definedName>
    <definedName name="Linking_Range_17">BS!$B$2:$DX$70</definedName>
    <definedName name="Linking_Range_18">BS!$B$2:$DY$43</definedName>
    <definedName name="Linking_Range_19">CFS!$B$2:$DX$58</definedName>
    <definedName name="Linking_Range_2">BS!$B$4:$DY$43</definedName>
    <definedName name="Linking_Range_21">IS!$B$4:$DX$106</definedName>
    <definedName name="Linking_Range_22">BS!$B$4:$DX$43</definedName>
    <definedName name="Linking_Range_28">IS!$B$4:$DY$74</definedName>
    <definedName name="Linking_Range_29">BS!$B$4:$DY$45</definedName>
    <definedName name="Linking_Range_3">CFS!$B$4:$DX$58</definedName>
    <definedName name="Linking_Range_42">IS!$B$4:$DZ$106</definedName>
    <definedName name="Linking_Range_43">BS!$B$4:$DZ$43</definedName>
    <definedName name="Linking_Range_44">CFS!$B$4:$DZ$58</definedName>
    <definedName name="Linking_Range_48">IS!$B$4:$CJ$61</definedName>
    <definedName name="Linking_Range_49">CFS!$B$4:$DZ$61</definedName>
    <definedName name="MacroVersion" localSheetId="8">IndexInformation!$B$1</definedName>
    <definedName name="ModelPrice" localSheetId="2">ImportantDisclosures!$A$14</definedName>
    <definedName name="Multiplier" localSheetId="8">IndexInformation!$B$35</definedName>
    <definedName name="NextYearEPS" localSheetId="8">IndexInformation!$B$13</definedName>
    <definedName name="NextYearTotalRevenue" localSheetId="8">IndexInformation!$B$12</definedName>
    <definedName name="NextYearTotalRevenueActual" localSheetId="8">IndexInformation!$B$33</definedName>
    <definedName name="ObjectType">IndexInformation!$B$37</definedName>
    <definedName name="PANA" localSheetId="9">ModPubIndex!$A$11</definedName>
    <definedName name="PathName" localSheetId="8">IndexInformation!$B$25</definedName>
    <definedName name="_xlnm.Print_Area" localSheetId="4">BS!$B$2:$DX$43</definedName>
    <definedName name="_xlnm.Print_Area" localSheetId="5">CFS!$B$2:$DY$58</definedName>
    <definedName name="_xlnm.Print_Area" localSheetId="3">IS!$B$2:$DX$106</definedName>
    <definedName name="_xlnm.Print_Area">#REF!</definedName>
    <definedName name="_xlnm.Print_Titles">#REF!</definedName>
    <definedName name="PrintAll">[5]!PrintAll</definedName>
    <definedName name="PRODUCT" localSheetId="9">ModPubIndex!$A$6</definedName>
    <definedName name="ProjectName">{"Client Name or Project Name"}</definedName>
    <definedName name="PSYM" localSheetId="9">ModPubIndex!$A$4</definedName>
    <definedName name="PublishDate" localSheetId="8">IndexInformation!$B$2</definedName>
    <definedName name="Rating" localSheetId="8">IndexInformation!$B$9</definedName>
    <definedName name="RatingsDefined" localSheetId="2">ImportantDisclosures!$A$21</definedName>
    <definedName name="RatingsDefs" localSheetId="2">ImportantDisclosures!#REF!</definedName>
    <definedName name="RegACDisclosure" localSheetId="2">ImportantDisclosures!#REF!</definedName>
    <definedName name="ResearchTopic" localSheetId="8">IndexInformation!$B$4</definedName>
    <definedName name="RIC" localSheetId="8">IndexInformation!$B$21</definedName>
    <definedName name="SECSettlement" localSheetId="2">ImportantDisclosures!#REF!</definedName>
    <definedName name="SEDOL" localSheetId="8">IndexInformation!$B$22</definedName>
    <definedName name="sencount" hidden="1">1</definedName>
    <definedName name="solver_adj" localSheetId="5" hidden="1">CFS!$BT$67:$BT$68,CFS!$BT$89</definedName>
    <definedName name="solver_cvg" localSheetId="5" hidden="1">0.0001</definedName>
    <definedName name="solver_drv" localSheetId="5" hidden="1">1</definedName>
    <definedName name="solver_est" localSheetId="5" hidden="1">1</definedName>
    <definedName name="solver_itr" localSheetId="5" hidden="1">100</definedName>
    <definedName name="solver_lhs1" localSheetId="5" hidden="1">CFS!$BW$70</definedName>
    <definedName name="solver_lhs2" localSheetId="5" hidden="1">CFS!$BW$72</definedName>
    <definedName name="solver_lin" localSheetId="5" hidden="1">2</definedName>
    <definedName name="solver_neg" localSheetId="5" hidden="1">2</definedName>
    <definedName name="solver_num" localSheetId="5" hidden="1">2</definedName>
    <definedName name="solver_nwt" localSheetId="5" hidden="1">1</definedName>
    <definedName name="solver_opt" localSheetId="5" hidden="1">CFS!$BW$73</definedName>
    <definedName name="solver_pre" localSheetId="5" hidden="1">0.000001</definedName>
    <definedName name="solver_rel1" localSheetId="5" hidden="1">2</definedName>
    <definedName name="solver_rel2" localSheetId="5" hidden="1">2</definedName>
    <definedName name="solver_rhs1" localSheetId="5" hidden="1">46.942</definedName>
    <definedName name="solver_rhs2" localSheetId="5" hidden="1">23</definedName>
    <definedName name="solver_scl" localSheetId="5" hidden="1">2</definedName>
    <definedName name="solver_sho" localSheetId="5" hidden="1">2</definedName>
    <definedName name="solver_tim" localSheetId="5" hidden="1">100</definedName>
    <definedName name="solver_tol" localSheetId="5" hidden="1">0.05</definedName>
    <definedName name="solver_typ" localSheetId="5" hidden="1">3</definedName>
    <definedName name="solver_val" localSheetId="5" hidden="1">23</definedName>
    <definedName name="SourceDefined" localSheetId="2">ImportantDisclosures!$A$19</definedName>
    <definedName name="StockRating" localSheetId="2">ImportantDisclosures!$A$11</definedName>
    <definedName name="SubjectCode" localSheetId="8">IndexInformation!$B$6</definedName>
    <definedName name="SubmitterUserId">IndexInformation!$B$39</definedName>
    <definedName name="SUPPRESSED" localSheetId="9">ModPubIndex!$A$13</definedName>
    <definedName name="TargetPrice" localSheetId="2">ImportantDisclosures!$A$15</definedName>
    <definedName name="TemplateRegion">IndexInformation!$B$36</definedName>
    <definedName name="Ticker" localSheetId="2">ImportantDisclosures!$A$10</definedName>
    <definedName name="TickerRegion">IndexInformation!$B$41</definedName>
    <definedName name="Tickers" localSheetId="8">IndexInformation!$B$19</definedName>
    <definedName name="UpdateReason" localSheetId="8">IndexInformation!$B$17</definedName>
    <definedName name="USRegDisclosures" localSheetId="2">ImportantDisclosures!#REF!</definedName>
    <definedName name="Version">"June 29, 2004"</definedName>
    <definedName name="wvu.cash.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profits.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turnover.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</definedNames>
  <calcPr calcId="145621" iterate="1"/>
</workbook>
</file>

<file path=xl/calcChain.xml><?xml version="1.0" encoding="utf-8"?>
<calcChain xmlns="http://schemas.openxmlformats.org/spreadsheetml/2006/main">
  <c r="V19" i="79" l="1"/>
  <c r="DC10" i="3" l="1"/>
  <c r="DB10" i="3"/>
  <c r="DA10" i="3"/>
  <c r="CZ10" i="3"/>
  <c r="CY10" i="3"/>
  <c r="CX10" i="3"/>
  <c r="CW10" i="3"/>
  <c r="CV10" i="3"/>
  <c r="CU10" i="3"/>
  <c r="CT10" i="3"/>
  <c r="DA81" i="3"/>
  <c r="DB81" i="3"/>
  <c r="DC81" i="3"/>
  <c r="CZ81" i="3"/>
  <c r="CW81" i="3"/>
  <c r="CX81" i="3"/>
  <c r="CY81" i="3"/>
  <c r="CV81" i="3"/>
  <c r="CX66" i="3" l="1"/>
  <c r="CY66" i="3" s="1"/>
  <c r="DA66" i="3" s="1"/>
  <c r="DB66" i="3" s="1"/>
  <c r="DC66" i="3" s="1"/>
  <c r="FF31" i="3"/>
  <c r="DC43" i="1"/>
  <c r="DB43" i="1"/>
  <c r="DA43" i="1"/>
  <c r="CZ43" i="1"/>
  <c r="CY43" i="1"/>
  <c r="CX43" i="1"/>
  <c r="CW43" i="1"/>
  <c r="CV43" i="1"/>
  <c r="CU43" i="1"/>
  <c r="CT43" i="1"/>
  <c r="CT78" i="1"/>
  <c r="U19" i="79"/>
  <c r="V74" i="80" l="1"/>
  <c r="V70" i="80" s="1"/>
  <c r="V44" i="80" l="1"/>
  <c r="DC176" i="1" l="1"/>
  <c r="DB176" i="1"/>
  <c r="DA176" i="1"/>
  <c r="CZ176" i="1"/>
  <c r="CY176" i="1"/>
  <c r="CX176" i="1"/>
  <c r="CW176" i="1"/>
  <c r="CV176" i="1"/>
  <c r="CU176" i="1"/>
  <c r="CT176" i="1"/>
  <c r="CS176" i="1"/>
  <c r="CR176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E176" i="1"/>
  <c r="CD176" i="1"/>
  <c r="CC176" i="1"/>
  <c r="CB176" i="1"/>
  <c r="CA176" i="1"/>
  <c r="BZ176" i="1"/>
  <c r="BY176" i="1"/>
  <c r="BX176" i="1"/>
  <c r="BW176" i="1"/>
  <c r="BV176" i="1"/>
  <c r="BU176" i="1"/>
  <c r="BT176" i="1"/>
  <c r="BS176" i="1"/>
  <c r="BR176" i="1"/>
  <c r="BQ176" i="1"/>
  <c r="BP176" i="1"/>
  <c r="BO176" i="1"/>
  <c r="BN176" i="1"/>
  <c r="BM176" i="1"/>
  <c r="BL176" i="1"/>
  <c r="BK176" i="1"/>
  <c r="BJ176" i="1"/>
  <c r="BI176" i="1"/>
  <c r="BH176" i="1"/>
  <c r="BG176" i="1"/>
  <c r="BF176" i="1"/>
  <c r="BE176" i="1"/>
  <c r="BD176" i="1"/>
  <c r="BC176" i="1"/>
  <c r="BB176" i="1"/>
  <c r="BA176" i="1"/>
  <c r="AZ176" i="1"/>
  <c r="AY176" i="1"/>
  <c r="AX176" i="1"/>
  <c r="AW176" i="1"/>
  <c r="AV176" i="1"/>
  <c r="AU176" i="1"/>
  <c r="AT176" i="1"/>
  <c r="AS176" i="1"/>
  <c r="L176" i="1"/>
  <c r="BW175" i="1"/>
  <c r="BV175" i="1"/>
  <c r="BU175" i="1"/>
  <c r="BT175" i="1"/>
  <c r="BS175" i="1"/>
  <c r="BR175" i="1"/>
  <c r="BQ175" i="1"/>
  <c r="BP175" i="1"/>
  <c r="BO175" i="1"/>
  <c r="BN175" i="1"/>
  <c r="BM175" i="1"/>
  <c r="BL175" i="1"/>
  <c r="BK175" i="1"/>
  <c r="BJ175" i="1"/>
  <c r="BI175" i="1"/>
  <c r="BH175" i="1"/>
  <c r="BG175" i="1"/>
  <c r="BF175" i="1"/>
  <c r="BE175" i="1"/>
  <c r="BD175" i="1"/>
  <c r="BC175" i="1"/>
  <c r="BB175" i="1"/>
  <c r="BA175" i="1"/>
  <c r="AZ175" i="1"/>
  <c r="AY175" i="1"/>
  <c r="AX175" i="1"/>
  <c r="AW175" i="1"/>
  <c r="AV175" i="1"/>
  <c r="AU175" i="1"/>
  <c r="AT175" i="1"/>
  <c r="AS175" i="1"/>
  <c r="L175" i="1"/>
  <c r="AQ174" i="1"/>
  <c r="AQ176" i="1" s="1"/>
  <c r="AP174" i="1"/>
  <c r="AP176" i="1" s="1"/>
  <c r="AO174" i="1"/>
  <c r="AO176" i="1" s="1"/>
  <c r="AN174" i="1"/>
  <c r="AM174" i="1"/>
  <c r="AM176" i="1" s="1"/>
  <c r="AL174" i="1"/>
  <c r="AL176" i="1" s="1"/>
  <c r="AK174" i="1"/>
  <c r="AK176" i="1" s="1"/>
  <c r="AJ174" i="1"/>
  <c r="AI174" i="1"/>
  <c r="AI176" i="1" s="1"/>
  <c r="AH174" i="1"/>
  <c r="AH176" i="1" s="1"/>
  <c r="AG174" i="1"/>
  <c r="AG176" i="1" s="1"/>
  <c r="AF174" i="1"/>
  <c r="AE174" i="1"/>
  <c r="AE176" i="1" s="1"/>
  <c r="AD174" i="1"/>
  <c r="AD176" i="1" s="1"/>
  <c r="AC174" i="1"/>
  <c r="AC176" i="1" s="1"/>
  <c r="AB174" i="1"/>
  <c r="AA174" i="1"/>
  <c r="Z174" i="1"/>
  <c r="Y174" i="1"/>
  <c r="X174" i="1"/>
  <c r="W174" i="1"/>
  <c r="W176" i="1" s="1"/>
  <c r="V174" i="1"/>
  <c r="AA176" i="1" s="1"/>
  <c r="U174" i="1"/>
  <c r="U176" i="1" s="1"/>
  <c r="T174" i="1"/>
  <c r="Y176" i="1" s="1"/>
  <c r="S174" i="1"/>
  <c r="S176" i="1" s="1"/>
  <c r="R174" i="1"/>
  <c r="R176" i="1" s="1"/>
  <c r="Q174" i="1"/>
  <c r="Q176" i="1" s="1"/>
  <c r="P174" i="1"/>
  <c r="O174" i="1"/>
  <c r="O176" i="1" s="1"/>
  <c r="N174" i="1"/>
  <c r="N176" i="1" s="1"/>
  <c r="M174" i="1"/>
  <c r="M176" i="1" s="1"/>
  <c r="L174" i="1"/>
  <c r="AQ173" i="1"/>
  <c r="AR175" i="1" s="1"/>
  <c r="AP173" i="1"/>
  <c r="AQ175" i="1" s="1"/>
  <c r="AO173" i="1"/>
  <c r="AP175" i="1" s="1"/>
  <c r="AN173" i="1"/>
  <c r="AO175" i="1" s="1"/>
  <c r="AM173" i="1"/>
  <c r="AN175" i="1" s="1"/>
  <c r="AL173" i="1"/>
  <c r="AM175" i="1" s="1"/>
  <c r="AK173" i="1"/>
  <c r="AL175" i="1" s="1"/>
  <c r="AJ173" i="1"/>
  <c r="AK175" i="1" s="1"/>
  <c r="AI173" i="1"/>
  <c r="AJ175" i="1" s="1"/>
  <c r="AH173" i="1"/>
  <c r="AI175" i="1" s="1"/>
  <c r="AG173" i="1"/>
  <c r="AH175" i="1" s="1"/>
  <c r="AF173" i="1"/>
  <c r="AG175" i="1" s="1"/>
  <c r="AE173" i="1"/>
  <c r="AF175" i="1" s="1"/>
  <c r="AD173" i="1"/>
  <c r="AE175" i="1" s="1"/>
  <c r="AC173" i="1"/>
  <c r="AD175" i="1" s="1"/>
  <c r="AB173" i="1"/>
  <c r="AC175" i="1" s="1"/>
  <c r="AA173" i="1"/>
  <c r="Z173" i="1"/>
  <c r="Y173" i="1"/>
  <c r="X173" i="1"/>
  <c r="W173" i="1"/>
  <c r="AB175" i="1" s="1"/>
  <c r="V173" i="1"/>
  <c r="AA175" i="1" s="1"/>
  <c r="U173" i="1"/>
  <c r="Z175" i="1" s="1"/>
  <c r="T173" i="1"/>
  <c r="Y175" i="1" s="1"/>
  <c r="S173" i="1"/>
  <c r="X175" i="1" s="1"/>
  <c r="R173" i="1"/>
  <c r="S175" i="1" s="1"/>
  <c r="Q173" i="1"/>
  <c r="R175" i="1" s="1"/>
  <c r="P173" i="1"/>
  <c r="Q175" i="1" s="1"/>
  <c r="O173" i="1"/>
  <c r="P175" i="1" s="1"/>
  <c r="N173" i="1"/>
  <c r="O175" i="1" s="1"/>
  <c r="M173" i="1"/>
  <c r="N175" i="1" s="1"/>
  <c r="L173" i="1"/>
  <c r="M175" i="1" s="1"/>
  <c r="EF172" i="1"/>
  <c r="ED172" i="1"/>
  <c r="FD172" i="1" s="1"/>
  <c r="EC172" i="1"/>
  <c r="FC172" i="1" s="1"/>
  <c r="EB172" i="1"/>
  <c r="FB172" i="1" s="1"/>
  <c r="EA172" i="1"/>
  <c r="FA172" i="1" s="1"/>
  <c r="DZ172" i="1"/>
  <c r="DY172" i="1"/>
  <c r="EY172" i="1" s="1"/>
  <c r="DX172" i="1"/>
  <c r="EX172" i="1" s="1"/>
  <c r="DW172" i="1"/>
  <c r="EW172" i="1" s="1"/>
  <c r="DV172" i="1"/>
  <c r="DU172" i="1"/>
  <c r="EU172" i="1" s="1"/>
  <c r="DT172" i="1"/>
  <c r="ET172" i="1" s="1"/>
  <c r="DS172" i="1"/>
  <c r="ES172" i="1" s="1"/>
  <c r="DR172" i="1"/>
  <c r="ER172" i="1" s="1"/>
  <c r="DQ172" i="1"/>
  <c r="EQ172" i="1" s="1"/>
  <c r="DP172" i="1"/>
  <c r="EP172" i="1" s="1"/>
  <c r="DO172" i="1"/>
  <c r="EO172" i="1" s="1"/>
  <c r="DN172" i="1"/>
  <c r="EN172" i="1" s="1"/>
  <c r="DM172" i="1"/>
  <c r="EM172" i="1" s="1"/>
  <c r="DL172" i="1"/>
  <c r="EL172" i="1" s="1"/>
  <c r="DK172" i="1"/>
  <c r="EK172" i="1" s="1"/>
  <c r="DJ172" i="1"/>
  <c r="EJ172" i="1" s="1"/>
  <c r="DI172" i="1"/>
  <c r="EI172" i="1" s="1"/>
  <c r="DH172" i="1"/>
  <c r="EH172" i="1" s="1"/>
  <c r="DG172" i="1"/>
  <c r="EG172" i="1" s="1"/>
  <c r="DC172" i="1"/>
  <c r="DB172" i="1"/>
  <c r="DA172" i="1"/>
  <c r="CZ172" i="1"/>
  <c r="CY172" i="1"/>
  <c r="CX172" i="1"/>
  <c r="CW172" i="1"/>
  <c r="CV172" i="1"/>
  <c r="CU172" i="1"/>
  <c r="CT172" i="1"/>
  <c r="CS172" i="1"/>
  <c r="CR172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E172" i="1"/>
  <c r="CD172" i="1"/>
  <c r="CC172" i="1"/>
  <c r="CA172" i="1"/>
  <c r="BZ172" i="1"/>
  <c r="BY172" i="1"/>
  <c r="BX172" i="1"/>
  <c r="BW172" i="1"/>
  <c r="BV172" i="1"/>
  <c r="BU172" i="1"/>
  <c r="BT172" i="1"/>
  <c r="BS172" i="1"/>
  <c r="BR172" i="1"/>
  <c r="BQ172" i="1"/>
  <c r="BP172" i="1"/>
  <c r="BO172" i="1"/>
  <c r="BN172" i="1"/>
  <c r="BM172" i="1"/>
  <c r="BL172" i="1"/>
  <c r="BK172" i="1"/>
  <c r="BJ172" i="1"/>
  <c r="BI172" i="1"/>
  <c r="BH172" i="1"/>
  <c r="BG172" i="1"/>
  <c r="BF172" i="1"/>
  <c r="BE172" i="1"/>
  <c r="BD172" i="1"/>
  <c r="BC172" i="1"/>
  <c r="BB172" i="1"/>
  <c r="BA172" i="1"/>
  <c r="AZ172" i="1"/>
  <c r="AY172" i="1"/>
  <c r="AX172" i="1"/>
  <c r="AW172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CS157" i="1"/>
  <c r="CR157" i="1"/>
  <c r="CQ157" i="1"/>
  <c r="CP157" i="1"/>
  <c r="CS156" i="1"/>
  <c r="CR156" i="1"/>
  <c r="CI152" i="1"/>
  <c r="CI149" i="1" s="1"/>
  <c r="CH151" i="1"/>
  <c r="CL150" i="1"/>
  <c r="CL149" i="1" s="1"/>
  <c r="CS149" i="1"/>
  <c r="CR149" i="1"/>
  <c r="CQ149" i="1"/>
  <c r="CP149" i="1"/>
  <c r="CO149" i="1"/>
  <c r="CN149" i="1"/>
  <c r="CM149" i="1"/>
  <c r="CK149" i="1"/>
  <c r="CJ149" i="1"/>
  <c r="CH149" i="1"/>
  <c r="CG149" i="1"/>
  <c r="CF149" i="1"/>
  <c r="CE149" i="1"/>
  <c r="CD149" i="1"/>
  <c r="CC149" i="1"/>
  <c r="CB149" i="1"/>
  <c r="CU148" i="1"/>
  <c r="CV148" i="1" s="1"/>
  <c r="CW148" i="1" s="1"/>
  <c r="CX148" i="1" s="1"/>
  <c r="CY148" i="1" s="1"/>
  <c r="CZ148" i="1" s="1"/>
  <c r="DA148" i="1" s="1"/>
  <c r="DB148" i="1" s="1"/>
  <c r="DC148" i="1" s="1"/>
  <c r="CO147" i="1"/>
  <c r="CC146" i="1"/>
  <c r="CC138" i="1" s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D138" i="1"/>
  <c r="CB138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D134" i="1"/>
  <c r="CC134" i="1"/>
  <c r="CB134" i="1"/>
  <c r="B132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D131" i="1"/>
  <c r="CC131" i="1"/>
  <c r="CB131" i="1"/>
  <c r="CA131" i="1"/>
  <c r="BZ131" i="1"/>
  <c r="BY131" i="1"/>
  <c r="BX131" i="1"/>
  <c r="CE154" i="1" l="1"/>
  <c r="CC154" i="1"/>
  <c r="CB154" i="1"/>
  <c r="CF154" i="1"/>
  <c r="CJ154" i="1"/>
  <c r="CN154" i="1"/>
  <c r="CN156" i="1" s="1"/>
  <c r="CR154" i="1"/>
  <c r="CI154" i="1"/>
  <c r="CP154" i="1"/>
  <c r="CP156" i="1" s="1"/>
  <c r="CG154" i="1"/>
  <c r="CK154" i="1"/>
  <c r="CO154" i="1"/>
  <c r="CO156" i="1" s="1"/>
  <c r="CS154" i="1"/>
  <c r="CD154" i="1"/>
  <c r="CH154" i="1"/>
  <c r="CM154" i="1"/>
  <c r="CQ154" i="1"/>
  <c r="CL154" i="1"/>
  <c r="T175" i="1"/>
  <c r="V175" i="1"/>
  <c r="P176" i="1"/>
  <c r="T176" i="1"/>
  <c r="V176" i="1"/>
  <c r="X176" i="1"/>
  <c r="Z176" i="1"/>
  <c r="AB176" i="1"/>
  <c r="AF176" i="1"/>
  <c r="AJ176" i="1"/>
  <c r="AN176" i="1"/>
  <c r="AR176" i="1"/>
  <c r="U175" i="1"/>
  <c r="W175" i="1"/>
  <c r="EV119" i="1"/>
  <c r="EU119" i="1"/>
  <c r="ET119" i="1"/>
  <c r="ES119" i="1"/>
  <c r="ER119" i="1"/>
  <c r="EQ119" i="1"/>
  <c r="EP119" i="1"/>
  <c r="EO119" i="1"/>
  <c r="EN119" i="1"/>
  <c r="EM119" i="1"/>
  <c r="EL119" i="1"/>
  <c r="EK119" i="1"/>
  <c r="EJ119" i="1"/>
  <c r="EI119" i="1"/>
  <c r="EH119" i="1"/>
  <c r="EG119" i="1"/>
  <c r="EF119" i="1"/>
  <c r="DL119" i="1"/>
  <c r="DK119" i="1"/>
  <c r="DJ119" i="1"/>
  <c r="DI119" i="1"/>
  <c r="DH119" i="1"/>
  <c r="DG119" i="1"/>
  <c r="DF119" i="1"/>
  <c r="DE119" i="1"/>
  <c r="CS119" i="1"/>
  <c r="CR119" i="1"/>
  <c r="FB119" i="1" s="1"/>
  <c r="CQ119" i="1"/>
  <c r="EA119" i="1" s="1"/>
  <c r="CP119" i="1"/>
  <c r="CO119" i="1"/>
  <c r="CN119" i="1"/>
  <c r="FA119" i="1" s="1"/>
  <c r="CM119" i="1"/>
  <c r="DZ119" i="1" s="1"/>
  <c r="CL119" i="1"/>
  <c r="CK119" i="1"/>
  <c r="CJ119" i="1"/>
  <c r="EZ119" i="1" s="1"/>
  <c r="CI119" i="1"/>
  <c r="DY119" i="1" s="1"/>
  <c r="CH119" i="1"/>
  <c r="DX119" i="1" s="1"/>
  <c r="CG119" i="1"/>
  <c r="DW119" i="1" s="1"/>
  <c r="CF119" i="1"/>
  <c r="EY119" i="1" s="1"/>
  <c r="CE119" i="1"/>
  <c r="DU119" i="1" s="1"/>
  <c r="CD119" i="1"/>
  <c r="DT119" i="1" s="1"/>
  <c r="CC119" i="1"/>
  <c r="DS119" i="1" s="1"/>
  <c r="CB119" i="1"/>
  <c r="EX119" i="1" s="1"/>
  <c r="CA119" i="1"/>
  <c r="DQ119" i="1" s="1"/>
  <c r="BZ119" i="1"/>
  <c r="DP119" i="1" s="1"/>
  <c r="BY119" i="1"/>
  <c r="DO119" i="1" s="1"/>
  <c r="BX119" i="1"/>
  <c r="DN119" i="1" s="1"/>
  <c r="BW119" i="1"/>
  <c r="DM119" i="1" s="1"/>
  <c r="BV119" i="1"/>
  <c r="BY114" i="1"/>
  <c r="BY113" i="1"/>
  <c r="BY112" i="1"/>
  <c r="BW114" i="1"/>
  <c r="BV114" i="1"/>
  <c r="BU114" i="1"/>
  <c r="BT114" i="1"/>
  <c r="BS114" i="1"/>
  <c r="BR114" i="1"/>
  <c r="BQ114" i="1"/>
  <c r="BP114" i="1"/>
  <c r="BO114" i="1"/>
  <c r="BN114" i="1"/>
  <c r="BM114" i="1"/>
  <c r="BL114" i="1"/>
  <c r="BK114" i="1"/>
  <c r="BJ114" i="1"/>
  <c r="BI114" i="1"/>
  <c r="BH114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CD112" i="1"/>
  <c r="CC112" i="1"/>
  <c r="DX112" i="1" s="1"/>
  <c r="CB112" i="1"/>
  <c r="CA112" i="1"/>
  <c r="DW112" i="1" s="1"/>
  <c r="BZ112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BX112" i="1"/>
  <c r="BW112" i="1"/>
  <c r="BV112" i="1"/>
  <c r="BU112" i="1"/>
  <c r="BT112" i="1"/>
  <c r="BS112" i="1"/>
  <c r="BR112" i="1"/>
  <c r="BQ112" i="1"/>
  <c r="BP112" i="1"/>
  <c r="BO112" i="1"/>
  <c r="BN112" i="1"/>
  <c r="BM112" i="1"/>
  <c r="BL112" i="1"/>
  <c r="BK112" i="1"/>
  <c r="BJ112" i="1"/>
  <c r="BI112" i="1"/>
  <c r="BH112" i="1"/>
  <c r="BG112" i="1"/>
  <c r="BF112" i="1"/>
  <c r="BE112" i="1"/>
  <c r="BD112" i="1"/>
  <c r="BC112" i="1"/>
  <c r="BB112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FB112" i="1"/>
  <c r="FA112" i="1"/>
  <c r="EZ112" i="1"/>
  <c r="ER112" i="1"/>
  <c r="FB111" i="1"/>
  <c r="FA111" i="1"/>
  <c r="EZ111" i="1"/>
  <c r="EY111" i="1"/>
  <c r="EY112" i="1" s="1"/>
  <c r="EX111" i="1"/>
  <c r="EX112" i="1" s="1"/>
  <c r="EW111" i="1"/>
  <c r="EW112" i="1" s="1"/>
  <c r="EV111" i="1"/>
  <c r="EV112" i="1" s="1"/>
  <c r="EU111" i="1"/>
  <c r="EU112" i="1" s="1"/>
  <c r="ET111" i="1"/>
  <c r="ES111" i="1"/>
  <c r="ES112" i="1" s="1"/>
  <c r="ER111" i="1"/>
  <c r="EQ111" i="1"/>
  <c r="EQ112" i="1" s="1"/>
  <c r="EP111" i="1"/>
  <c r="EP112" i="1" s="1"/>
  <c r="EO111" i="1"/>
  <c r="EO112" i="1" s="1"/>
  <c r="EN111" i="1"/>
  <c r="EN112" i="1" s="1"/>
  <c r="EM111" i="1"/>
  <c r="EM112" i="1" s="1"/>
  <c r="EL111" i="1"/>
  <c r="EK111" i="1"/>
  <c r="EK112" i="1" s="1"/>
  <c r="EJ111" i="1"/>
  <c r="EJ112" i="1" s="1"/>
  <c r="EI111" i="1"/>
  <c r="EI112" i="1" s="1"/>
  <c r="EH111" i="1"/>
  <c r="EH112" i="1" s="1"/>
  <c r="EG111" i="1"/>
  <c r="EG112" i="1" s="1"/>
  <c r="EF111" i="1"/>
  <c r="EF112" i="1" s="1"/>
  <c r="FB110" i="1"/>
  <c r="FA110" i="1"/>
  <c r="EZ110" i="1"/>
  <c r="EY110" i="1"/>
  <c r="EX110" i="1"/>
  <c r="EW110" i="1"/>
  <c r="EV110" i="1"/>
  <c r="EU110" i="1"/>
  <c r="ET110" i="1"/>
  <c r="ES110" i="1"/>
  <c r="ER110" i="1"/>
  <c r="EQ110" i="1"/>
  <c r="EP110" i="1"/>
  <c r="EO110" i="1"/>
  <c r="EN110" i="1"/>
  <c r="EM110" i="1"/>
  <c r="EL110" i="1"/>
  <c r="EK110" i="1"/>
  <c r="EJ110" i="1"/>
  <c r="EI110" i="1"/>
  <c r="EH110" i="1"/>
  <c r="EG110" i="1"/>
  <c r="EF110" i="1"/>
  <c r="EA112" i="1"/>
  <c r="DZ112" i="1"/>
  <c r="DY112" i="1"/>
  <c r="EA111" i="1"/>
  <c r="DZ111" i="1"/>
  <c r="DY111" i="1"/>
  <c r="DX111" i="1"/>
  <c r="DX113" i="1" s="1"/>
  <c r="DW111" i="1"/>
  <c r="EA110" i="1"/>
  <c r="DZ110" i="1"/>
  <c r="DY110" i="1"/>
  <c r="DX110" i="1"/>
  <c r="DW110" i="1"/>
  <c r="ED109" i="1"/>
  <c r="EC109" i="1"/>
  <c r="EB109" i="1"/>
  <c r="EA109" i="1"/>
  <c r="DZ109" i="1"/>
  <c r="DY109" i="1"/>
  <c r="DX109" i="1"/>
  <c r="DW109" i="1"/>
  <c r="DV111" i="1"/>
  <c r="DV113" i="1" s="1"/>
  <c r="DU111" i="1"/>
  <c r="DT111" i="1"/>
  <c r="DS111" i="1"/>
  <c r="DR111" i="1"/>
  <c r="DR113" i="1" s="1"/>
  <c r="DQ111" i="1"/>
  <c r="DP111" i="1"/>
  <c r="DO111" i="1"/>
  <c r="DN111" i="1"/>
  <c r="DN113" i="1" s="1"/>
  <c r="DM111" i="1"/>
  <c r="DL111" i="1"/>
  <c r="DK111" i="1"/>
  <c r="DJ111" i="1"/>
  <c r="DJ113" i="1" s="1"/>
  <c r="DI111" i="1"/>
  <c r="DH111" i="1"/>
  <c r="DG111" i="1"/>
  <c r="DF111" i="1"/>
  <c r="DF113" i="1" s="1"/>
  <c r="DE111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CT111" i="1"/>
  <c r="CT110" i="1" s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D109" i="1"/>
  <c r="CC109" i="1"/>
  <c r="CB109" i="1"/>
  <c r="CA109" i="1"/>
  <c r="BZ109" i="1"/>
  <c r="BY109" i="1"/>
  <c r="BX109" i="1"/>
  <c r="BW109" i="1"/>
  <c r="BV109" i="1"/>
  <c r="BU109" i="1"/>
  <c r="BT109" i="1"/>
  <c r="BS109" i="1"/>
  <c r="BR109" i="1"/>
  <c r="BQ109" i="1"/>
  <c r="BP109" i="1"/>
  <c r="BO109" i="1"/>
  <c r="BN109" i="1"/>
  <c r="BM109" i="1"/>
  <c r="BL109" i="1"/>
  <c r="BK109" i="1"/>
  <c r="BJ109" i="1"/>
  <c r="BI109" i="1"/>
  <c r="BH109" i="1"/>
  <c r="BG109" i="1"/>
  <c r="BF109" i="1"/>
  <c r="BE109" i="1"/>
  <c r="BD109" i="1"/>
  <c r="BC109" i="1"/>
  <c r="BB109" i="1"/>
  <c r="BA109" i="1"/>
  <c r="AZ109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ED105" i="1"/>
  <c r="EZ105" i="1"/>
  <c r="FA105" i="1"/>
  <c r="FD105" i="1"/>
  <c r="DU105" i="1"/>
  <c r="DW105" i="1"/>
  <c r="EC105" i="1"/>
  <c r="DX105" i="1"/>
  <c r="DY105" i="1"/>
  <c r="EX105" i="1"/>
  <c r="EW105" i="1"/>
  <c r="DZ105" i="1"/>
  <c r="EV105" i="1"/>
  <c r="FC105" i="1"/>
  <c r="EA105" i="1"/>
  <c r="DV105" i="1"/>
  <c r="EB105" i="1"/>
  <c r="EY105" i="1"/>
  <c r="FB105" i="1"/>
  <c r="EU105" i="1"/>
  <c r="DE113" i="1" l="1"/>
  <c r="DM113" i="1"/>
  <c r="DU113" i="1"/>
  <c r="DY113" i="1"/>
  <c r="FA113" i="1"/>
  <c r="DW113" i="1"/>
  <c r="EA113" i="1"/>
  <c r="EW119" i="1"/>
  <c r="DI113" i="1"/>
  <c r="DQ113" i="1"/>
  <c r="DG113" i="1"/>
  <c r="DK113" i="1"/>
  <c r="DO113" i="1"/>
  <c r="DS113" i="1"/>
  <c r="DZ113" i="1"/>
  <c r="EH113" i="1"/>
  <c r="EL113" i="1"/>
  <c r="EP113" i="1"/>
  <c r="ET113" i="1"/>
  <c r="EX113" i="1"/>
  <c r="FB113" i="1"/>
  <c r="EL112" i="1"/>
  <c r="ET112" i="1"/>
  <c r="DV119" i="1"/>
  <c r="DH113" i="1"/>
  <c r="DL113" i="1"/>
  <c r="DP113" i="1"/>
  <c r="DT113" i="1"/>
  <c r="EF113" i="1"/>
  <c r="EJ113" i="1"/>
  <c r="EN113" i="1"/>
  <c r="ER113" i="1"/>
  <c r="EV113" i="1"/>
  <c r="EZ113" i="1"/>
  <c r="DR119" i="1"/>
  <c r="CT113" i="1"/>
  <c r="CT119" i="1"/>
  <c r="EG113" i="1"/>
  <c r="EI113" i="1"/>
  <c r="EK113" i="1"/>
  <c r="EM113" i="1"/>
  <c r="EO113" i="1"/>
  <c r="EQ113" i="1"/>
  <c r="ES113" i="1"/>
  <c r="EU113" i="1"/>
  <c r="EW113" i="1"/>
  <c r="EY113" i="1"/>
  <c r="CU112" i="1"/>
  <c r="CV112" i="1" s="1"/>
  <c r="EB112" i="1"/>
  <c r="CQ105" i="1"/>
  <c r="BY105" i="1"/>
  <c r="CG105" i="1"/>
  <c r="BW105" i="1"/>
  <c r="DB105" i="1"/>
  <c r="CV105" i="1"/>
  <c r="CR105" i="1"/>
  <c r="CD105" i="1"/>
  <c r="CJ105" i="1"/>
  <c r="DC105" i="1"/>
  <c r="BZ105" i="1"/>
  <c r="CY105" i="1"/>
  <c r="BX105" i="1"/>
  <c r="CN105" i="1"/>
  <c r="CO105" i="1"/>
  <c r="CP105" i="1"/>
  <c r="CU105" i="1"/>
  <c r="CK105" i="1"/>
  <c r="CW105" i="1"/>
  <c r="CE105" i="1"/>
  <c r="CT105" i="1"/>
  <c r="DA105" i="1"/>
  <c r="CZ105" i="1"/>
  <c r="CI105" i="1"/>
  <c r="CL105" i="1"/>
  <c r="CF105" i="1"/>
  <c r="CH105" i="1"/>
  <c r="CB105" i="1"/>
  <c r="CX105" i="1"/>
  <c r="CM105" i="1"/>
  <c r="CS105" i="1"/>
  <c r="CA105" i="1"/>
  <c r="CC105" i="1"/>
  <c r="FC112" i="1" l="1"/>
  <c r="CW112" i="1"/>
  <c r="CU111" i="1"/>
  <c r="FD96" i="1"/>
  <c r="FC96" i="1"/>
  <c r="FB96" i="1"/>
  <c r="FA96" i="1"/>
  <c r="EZ96" i="1"/>
  <c r="EY96" i="1"/>
  <c r="EX96" i="1"/>
  <c r="EW96" i="1"/>
  <c r="ET96" i="1"/>
  <c r="ES96" i="1"/>
  <c r="ER96" i="1"/>
  <c r="EQ96" i="1"/>
  <c r="EP96" i="1"/>
  <c r="EO96" i="1"/>
  <c r="EN96" i="1"/>
  <c r="EM96" i="1"/>
  <c r="EL96" i="1"/>
  <c r="EK96" i="1"/>
  <c r="EJ96" i="1"/>
  <c r="EI96" i="1"/>
  <c r="EH96" i="1"/>
  <c r="EG96" i="1"/>
  <c r="EF96" i="1"/>
  <c r="ED96" i="1"/>
  <c r="EC96" i="1"/>
  <c r="EB96" i="1"/>
  <c r="EA96" i="1"/>
  <c r="DZ96" i="1"/>
  <c r="DY96" i="1"/>
  <c r="DX96" i="1"/>
  <c r="DW96" i="1"/>
  <c r="DV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BS96" i="1"/>
  <c r="EV96" i="1" s="1"/>
  <c r="BO96" i="1"/>
  <c r="EU96" i="1" s="1"/>
  <c r="FD89" i="1"/>
  <c r="FC89" i="1"/>
  <c r="FB89" i="1"/>
  <c r="FA89" i="1"/>
  <c r="FD88" i="1"/>
  <c r="FC88" i="1"/>
  <c r="FB88" i="1"/>
  <c r="FA88" i="1"/>
  <c r="EZ88" i="1"/>
  <c r="EY88" i="1"/>
  <c r="EX88" i="1"/>
  <c r="EX94" i="1" s="1"/>
  <c r="EX106" i="1" s="1"/>
  <c r="EW88" i="1"/>
  <c r="EW94" i="1" s="1"/>
  <c r="EW106" i="1" s="1"/>
  <c r="ET88" i="1"/>
  <c r="ES88" i="1"/>
  <c r="ER88" i="1"/>
  <c r="EQ88" i="1"/>
  <c r="EP88" i="1"/>
  <c r="EO88" i="1"/>
  <c r="EN88" i="1"/>
  <c r="EM88" i="1"/>
  <c r="EL88" i="1"/>
  <c r="EK88" i="1"/>
  <c r="EJ88" i="1"/>
  <c r="EI88" i="1"/>
  <c r="EH88" i="1"/>
  <c r="EG88" i="1"/>
  <c r="EF88" i="1"/>
  <c r="ED89" i="1"/>
  <c r="EC89" i="1"/>
  <c r="EB89" i="1"/>
  <c r="EA89" i="1"/>
  <c r="ED88" i="1"/>
  <c r="EC88" i="1"/>
  <c r="EB88" i="1"/>
  <c r="EA88" i="1"/>
  <c r="DZ88" i="1"/>
  <c r="DY88" i="1"/>
  <c r="DX88" i="1"/>
  <c r="DW88" i="1"/>
  <c r="DV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BS88" i="1"/>
  <c r="EV88" i="1" s="1"/>
  <c r="EV94" i="1" s="1"/>
  <c r="EV106" i="1" s="1"/>
  <c r="BO88" i="1"/>
  <c r="EU88" i="1" s="1"/>
  <c r="CA81" i="1"/>
  <c r="BZ81" i="1"/>
  <c r="BY81" i="1"/>
  <c r="DW81" i="1" s="1"/>
  <c r="BX81" i="1"/>
  <c r="BW81" i="1"/>
  <c r="BV81" i="1"/>
  <c r="BU81" i="1"/>
  <c r="EW81" i="1" s="1"/>
  <c r="BT81" i="1"/>
  <c r="DV81" i="1" s="1"/>
  <c r="BR81" i="1"/>
  <c r="BN81" i="1"/>
  <c r="BM81" i="1"/>
  <c r="BL81" i="1"/>
  <c r="BK81" i="1"/>
  <c r="BJ81" i="1"/>
  <c r="BI81" i="1"/>
  <c r="ET81" i="1" s="1"/>
  <c r="BH81" i="1"/>
  <c r="BG81" i="1"/>
  <c r="BF81" i="1"/>
  <c r="BE81" i="1"/>
  <c r="BD81" i="1"/>
  <c r="BC81" i="1"/>
  <c r="BB81" i="1"/>
  <c r="BA81" i="1"/>
  <c r="AZ81" i="1"/>
  <c r="AY81" i="1"/>
  <c r="AX81" i="1"/>
  <c r="AW81" i="1"/>
  <c r="DP81" i="1" s="1"/>
  <c r="AV81" i="1"/>
  <c r="AU81" i="1"/>
  <c r="AT81" i="1"/>
  <c r="AS81" i="1"/>
  <c r="EP81" i="1" s="1"/>
  <c r="AR81" i="1"/>
  <c r="AQ81" i="1"/>
  <c r="AP81" i="1"/>
  <c r="AO81" i="1"/>
  <c r="AN81" i="1"/>
  <c r="AM81" i="1"/>
  <c r="AL81" i="1"/>
  <c r="AK81" i="1"/>
  <c r="DM81" i="1" s="1"/>
  <c r="AJ81" i="1"/>
  <c r="AI81" i="1"/>
  <c r="AH81" i="1"/>
  <c r="AG81" i="1"/>
  <c r="EM81" i="1" s="1"/>
  <c r="AF81" i="1"/>
  <c r="DL81" i="1" s="1"/>
  <c r="AE81" i="1"/>
  <c r="AD81" i="1"/>
  <c r="AC81" i="1"/>
  <c r="EL81" i="1" s="1"/>
  <c r="AB81" i="1"/>
  <c r="AA81" i="1"/>
  <c r="Z81" i="1"/>
  <c r="Y81" i="1"/>
  <c r="X81" i="1"/>
  <c r="W81" i="1"/>
  <c r="V81" i="1"/>
  <c r="U81" i="1"/>
  <c r="T81" i="1"/>
  <c r="S81" i="1"/>
  <c r="R81" i="1"/>
  <c r="Q81" i="1"/>
  <c r="DH81" i="1" s="1"/>
  <c r="P81" i="1"/>
  <c r="O81" i="1"/>
  <c r="N81" i="1"/>
  <c r="M81" i="1"/>
  <c r="EH81" i="1" s="1"/>
  <c r="L81" i="1"/>
  <c r="K81" i="1"/>
  <c r="J81" i="1"/>
  <c r="I81" i="1"/>
  <c r="H81" i="1"/>
  <c r="G81" i="1"/>
  <c r="F81" i="1"/>
  <c r="E81" i="1"/>
  <c r="DE81" i="1" s="1"/>
  <c r="D81" i="1"/>
  <c r="CA80" i="1"/>
  <c r="BZ80" i="1"/>
  <c r="BY80" i="1"/>
  <c r="BX80" i="1"/>
  <c r="DW80" i="1" s="1"/>
  <c r="BW80" i="1"/>
  <c r="BV80" i="1"/>
  <c r="BU80" i="1"/>
  <c r="EW80" i="1" s="1"/>
  <c r="BT80" i="1"/>
  <c r="BR80" i="1"/>
  <c r="BN80" i="1"/>
  <c r="BM80" i="1"/>
  <c r="BL80" i="1"/>
  <c r="BK80" i="1"/>
  <c r="BJ80" i="1"/>
  <c r="BI80" i="1"/>
  <c r="ET80" i="1" s="1"/>
  <c r="BH80" i="1"/>
  <c r="BG80" i="1"/>
  <c r="BF80" i="1"/>
  <c r="BE80" i="1"/>
  <c r="BD80" i="1"/>
  <c r="BC80" i="1"/>
  <c r="BB80" i="1"/>
  <c r="BA80" i="1"/>
  <c r="DQ80" i="1" s="1"/>
  <c r="AZ80" i="1"/>
  <c r="AY80" i="1"/>
  <c r="AX80" i="1"/>
  <c r="AW80" i="1"/>
  <c r="AV80" i="1"/>
  <c r="AU80" i="1"/>
  <c r="AT80" i="1"/>
  <c r="AS80" i="1"/>
  <c r="EP80" i="1" s="1"/>
  <c r="AR80" i="1"/>
  <c r="AQ80" i="1"/>
  <c r="AP80" i="1"/>
  <c r="AO80" i="1"/>
  <c r="DN80" i="1" s="1"/>
  <c r="AN80" i="1"/>
  <c r="AM80" i="1"/>
  <c r="AL80" i="1"/>
  <c r="AK80" i="1"/>
  <c r="AJ80" i="1"/>
  <c r="DM80" i="1" s="1"/>
  <c r="AI80" i="1"/>
  <c r="AH80" i="1"/>
  <c r="AG80" i="1"/>
  <c r="EM80" i="1" s="1"/>
  <c r="AF80" i="1"/>
  <c r="AE80" i="1"/>
  <c r="AD80" i="1"/>
  <c r="AC80" i="1"/>
  <c r="EL80" i="1" s="1"/>
  <c r="AB80" i="1"/>
  <c r="AA80" i="1"/>
  <c r="Z80" i="1"/>
  <c r="Y80" i="1"/>
  <c r="X80" i="1"/>
  <c r="W80" i="1"/>
  <c r="V80" i="1"/>
  <c r="U80" i="1"/>
  <c r="DI80" i="1" s="1"/>
  <c r="T80" i="1"/>
  <c r="S80" i="1"/>
  <c r="R80" i="1"/>
  <c r="Q80" i="1"/>
  <c r="P80" i="1"/>
  <c r="O80" i="1"/>
  <c r="N80" i="1"/>
  <c r="M80" i="1"/>
  <c r="EH80" i="1" s="1"/>
  <c r="L80" i="1"/>
  <c r="K80" i="1"/>
  <c r="J80" i="1"/>
  <c r="I80" i="1"/>
  <c r="DF80" i="1" s="1"/>
  <c r="H80" i="1"/>
  <c r="G80" i="1"/>
  <c r="F80" i="1"/>
  <c r="E80" i="1"/>
  <c r="D80" i="1"/>
  <c r="DE80" i="1" s="1"/>
  <c r="DQ81" i="1"/>
  <c r="DI81" i="1"/>
  <c r="DR80" i="1"/>
  <c r="DJ80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EQ81" i="1"/>
  <c r="EI81" i="1"/>
  <c r="EQ80" i="1"/>
  <c r="EI80" i="1"/>
  <c r="FD79" i="1"/>
  <c r="FC79" i="1"/>
  <c r="FB79" i="1"/>
  <c r="FA79" i="1"/>
  <c r="EZ79" i="1"/>
  <c r="EY79" i="1"/>
  <c r="EX79" i="1"/>
  <c r="EW79" i="1"/>
  <c r="EV79" i="1"/>
  <c r="EU79" i="1"/>
  <c r="ET79" i="1"/>
  <c r="ES79" i="1"/>
  <c r="ER79" i="1"/>
  <c r="EQ79" i="1"/>
  <c r="EP79" i="1"/>
  <c r="EO79" i="1"/>
  <c r="EN79" i="1"/>
  <c r="EM79" i="1"/>
  <c r="EL79" i="1"/>
  <c r="EK79" i="1"/>
  <c r="EJ79" i="1"/>
  <c r="EI79" i="1"/>
  <c r="EH79" i="1"/>
  <c r="EG79" i="1"/>
  <c r="EF79" i="1"/>
  <c r="EW78" i="1"/>
  <c r="EV78" i="1"/>
  <c r="EU78" i="1"/>
  <c r="ET78" i="1"/>
  <c r="ES78" i="1"/>
  <c r="ER78" i="1"/>
  <c r="EQ78" i="1"/>
  <c r="EP78" i="1"/>
  <c r="EO78" i="1"/>
  <c r="EN78" i="1"/>
  <c r="EM78" i="1"/>
  <c r="EL78" i="1"/>
  <c r="EK78" i="1"/>
  <c r="EJ78" i="1"/>
  <c r="EI78" i="1"/>
  <c r="EH78" i="1"/>
  <c r="EG78" i="1"/>
  <c r="EF78" i="1"/>
  <c r="DW78" i="1"/>
  <c r="DV78" i="1"/>
  <c r="CQ78" i="1"/>
  <c r="CQ77" i="1"/>
  <c r="CQ76" i="1"/>
  <c r="CK78" i="1"/>
  <c r="CJ78" i="1"/>
  <c r="CI78" i="1"/>
  <c r="CH78" i="1"/>
  <c r="CG78" i="1"/>
  <c r="CF78" i="1"/>
  <c r="CE78" i="1"/>
  <c r="CD78" i="1"/>
  <c r="CC78" i="1"/>
  <c r="CB78" i="1"/>
  <c r="EX78" i="1" s="1"/>
  <c r="CR77" i="1"/>
  <c r="CR76" i="1"/>
  <c r="CP77" i="1"/>
  <c r="CP76" i="1"/>
  <c r="CN78" i="1"/>
  <c r="CM78" i="1"/>
  <c r="CN77" i="1"/>
  <c r="CM77" i="1"/>
  <c r="CL77" i="1"/>
  <c r="DZ77" i="1" s="1"/>
  <c r="CK77" i="1"/>
  <c r="CJ77" i="1"/>
  <c r="CI77" i="1"/>
  <c r="CH77" i="1"/>
  <c r="CG77" i="1"/>
  <c r="DV76" i="1"/>
  <c r="DV74" i="1"/>
  <c r="DC76" i="1"/>
  <c r="DB76" i="1"/>
  <c r="DA76" i="1"/>
  <c r="CZ76" i="1"/>
  <c r="CY76" i="1"/>
  <c r="CX76" i="1"/>
  <c r="CW76" i="1"/>
  <c r="CV76" i="1"/>
  <c r="CU76" i="1"/>
  <c r="CT76" i="1"/>
  <c r="CS76" i="1"/>
  <c r="CS80" i="1" s="1"/>
  <c r="CO76" i="1"/>
  <c r="CO80" i="1" s="1"/>
  <c r="CN76" i="1"/>
  <c r="CM76" i="1"/>
  <c r="CL76" i="1"/>
  <c r="CK76" i="1"/>
  <c r="CJ76" i="1"/>
  <c r="CI76" i="1"/>
  <c r="CH76" i="1"/>
  <c r="CG76" i="1"/>
  <c r="CF76" i="1"/>
  <c r="DY76" i="1" s="1"/>
  <c r="CE76" i="1"/>
  <c r="CD76" i="1"/>
  <c r="CC76" i="1"/>
  <c r="CB76" i="1"/>
  <c r="FB74" i="1"/>
  <c r="FA74" i="1"/>
  <c r="EZ74" i="1"/>
  <c r="EY74" i="1"/>
  <c r="EX74" i="1"/>
  <c r="EW74" i="1"/>
  <c r="ET74" i="1"/>
  <c r="ES74" i="1"/>
  <c r="ER74" i="1"/>
  <c r="EQ74" i="1"/>
  <c r="EP74" i="1"/>
  <c r="EO74" i="1"/>
  <c r="EN74" i="1"/>
  <c r="EM74" i="1"/>
  <c r="EL74" i="1"/>
  <c r="EK74" i="1"/>
  <c r="EJ74" i="1"/>
  <c r="EI74" i="1"/>
  <c r="EH74" i="1"/>
  <c r="EG74" i="1"/>
  <c r="EF74" i="1"/>
  <c r="ED77" i="1"/>
  <c r="EC77" i="1"/>
  <c r="EB77" i="1"/>
  <c r="DX77" i="1"/>
  <c r="DW77" i="1"/>
  <c r="DW76" i="1"/>
  <c r="EA74" i="1"/>
  <c r="DZ74" i="1"/>
  <c r="DY74" i="1"/>
  <c r="DX74" i="1"/>
  <c r="DW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CW75" i="1"/>
  <c r="CX75" i="1" s="1"/>
  <c r="CY75" i="1" s="1"/>
  <c r="CZ75" i="1" s="1"/>
  <c r="DA75" i="1" s="1"/>
  <c r="DB75" i="1" s="1"/>
  <c r="DC75" i="1" s="1"/>
  <c r="BQ74" i="1"/>
  <c r="BQ81" i="1" s="1"/>
  <c r="BP74" i="1"/>
  <c r="BO74" i="1"/>
  <c r="BO81" i="1" s="1"/>
  <c r="CR68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J67" i="1"/>
  <c r="DI67" i="1"/>
  <c r="DH67" i="1"/>
  <c r="DG67" i="1"/>
  <c r="DF67" i="1"/>
  <c r="DE67" i="1"/>
  <c r="DC67" i="1"/>
  <c r="DB67" i="1"/>
  <c r="DA67" i="1"/>
  <c r="CZ67" i="1"/>
  <c r="CY67" i="1"/>
  <c r="CX67" i="1"/>
  <c r="CW67" i="1"/>
  <c r="CV67" i="1"/>
  <c r="CU67" i="1"/>
  <c r="CT67" i="1"/>
  <c r="CS67" i="1"/>
  <c r="CS68" i="1" s="1"/>
  <c r="CQ67" i="1"/>
  <c r="CP67" i="1"/>
  <c r="CO67" i="1"/>
  <c r="CO68" i="1" s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AE67" i="1"/>
  <c r="AD67" i="1"/>
  <c r="AC67" i="1"/>
  <c r="AB67" i="1"/>
  <c r="DK67" i="1" s="1"/>
  <c r="EX67" i="1"/>
  <c r="EW67" i="1"/>
  <c r="EV67" i="1"/>
  <c r="EU67" i="1"/>
  <c r="ET67" i="1"/>
  <c r="ES67" i="1"/>
  <c r="ER67" i="1"/>
  <c r="EQ67" i="1"/>
  <c r="EP67" i="1"/>
  <c r="EO67" i="1"/>
  <c r="EN67" i="1"/>
  <c r="EM67" i="1"/>
  <c r="EL67" i="1"/>
  <c r="EK67" i="1"/>
  <c r="EJ67" i="1"/>
  <c r="EI67" i="1"/>
  <c r="EH67" i="1"/>
  <c r="EG67" i="1"/>
  <c r="EF67" i="1"/>
  <c r="EW66" i="1"/>
  <c r="EV66" i="1"/>
  <c r="EU66" i="1"/>
  <c r="ET66" i="1"/>
  <c r="ES66" i="1"/>
  <c r="ER66" i="1"/>
  <c r="EQ66" i="1"/>
  <c r="EP66" i="1"/>
  <c r="EO66" i="1"/>
  <c r="EN66" i="1"/>
  <c r="EM66" i="1"/>
  <c r="EL66" i="1"/>
  <c r="EK66" i="1"/>
  <c r="EJ66" i="1"/>
  <c r="EI66" i="1"/>
  <c r="EH66" i="1"/>
  <c r="EG66" i="1"/>
  <c r="EF66" i="1"/>
  <c r="DW66" i="1"/>
  <c r="DV66" i="1"/>
  <c r="DC78" i="1"/>
  <c r="DC150" i="1" s="1"/>
  <c r="DC149" i="1" s="1"/>
  <c r="DC154" i="1" s="1"/>
  <c r="DB78" i="1"/>
  <c r="DB150" i="1" s="1"/>
  <c r="DB149" i="1" s="1"/>
  <c r="DB154" i="1" s="1"/>
  <c r="DA78" i="1"/>
  <c r="DA150" i="1" s="1"/>
  <c r="DA149" i="1" s="1"/>
  <c r="DA154" i="1" s="1"/>
  <c r="ED66" i="1"/>
  <c r="CY78" i="1"/>
  <c r="CY150" i="1" s="1"/>
  <c r="CY149" i="1" s="1"/>
  <c r="CY154" i="1" s="1"/>
  <c r="CX78" i="1"/>
  <c r="CX150" i="1" s="1"/>
  <c r="CX149" i="1" s="1"/>
  <c r="CX154" i="1" s="1"/>
  <c r="CW78" i="1"/>
  <c r="CV78" i="1"/>
  <c r="CU78" i="1"/>
  <c r="CU150" i="1" s="1"/>
  <c r="CU149" i="1" s="1"/>
  <c r="CU154" i="1" s="1"/>
  <c r="FC66" i="1"/>
  <c r="CQ66" i="1"/>
  <c r="CP66" i="1"/>
  <c r="CN66" i="1"/>
  <c r="CN68" i="1" s="1"/>
  <c r="CM66" i="1"/>
  <c r="CM68" i="1" s="1"/>
  <c r="CL66" i="1"/>
  <c r="CK66" i="1"/>
  <c r="CJ66" i="1"/>
  <c r="CJ68" i="1" s="1"/>
  <c r="CI66" i="1"/>
  <c r="CI68" i="1" s="1"/>
  <c r="CH66" i="1"/>
  <c r="CG66" i="1"/>
  <c r="CF66" i="1"/>
  <c r="CF68" i="1" s="1"/>
  <c r="CE66" i="1"/>
  <c r="CE68" i="1" s="1"/>
  <c r="CD66" i="1"/>
  <c r="CC66" i="1"/>
  <c r="CB66" i="1"/>
  <c r="CB68" i="1" s="1"/>
  <c r="CA64" i="1"/>
  <c r="BS64" i="1"/>
  <c r="EV64" i="1" s="1"/>
  <c r="BS63" i="1"/>
  <c r="EV63" i="1" s="1"/>
  <c r="BS62" i="1"/>
  <c r="EV62" i="1" s="1"/>
  <c r="BN64" i="1"/>
  <c r="BO64" i="1" s="1"/>
  <c r="BK64" i="1"/>
  <c r="BJ64" i="1"/>
  <c r="BE64" i="1"/>
  <c r="BD64" i="1"/>
  <c r="AS64" i="1"/>
  <c r="AR64" i="1"/>
  <c r="AQ64" i="1"/>
  <c r="AP64" i="1"/>
  <c r="AN64" i="1"/>
  <c r="AM64" i="1"/>
  <c r="AL64" i="1"/>
  <c r="AK64" i="1"/>
  <c r="AJ64" i="1"/>
  <c r="AI64" i="1"/>
  <c r="AH64" i="1"/>
  <c r="AE64" i="1"/>
  <c r="AD64" i="1"/>
  <c r="AC64" i="1"/>
  <c r="AB64" i="1"/>
  <c r="AA64" i="1"/>
  <c r="Z64" i="1"/>
  <c r="Y64" i="1"/>
  <c r="X64" i="1"/>
  <c r="W64" i="1"/>
  <c r="U64" i="1"/>
  <c r="T64" i="1"/>
  <c r="S64" i="1"/>
  <c r="R64" i="1"/>
  <c r="Q64" i="1"/>
  <c r="P64" i="1"/>
  <c r="O64" i="1"/>
  <c r="K64" i="1"/>
  <c r="J64" i="1"/>
  <c r="I64" i="1"/>
  <c r="CU63" i="1"/>
  <c r="BO63" i="1"/>
  <c r="DT63" i="1" s="1"/>
  <c r="BO62" i="1"/>
  <c r="FD64" i="1"/>
  <c r="FC64" i="1"/>
  <c r="FB64" i="1"/>
  <c r="FA64" i="1"/>
  <c r="EZ64" i="1"/>
  <c r="EY64" i="1"/>
  <c r="EX64" i="1"/>
  <c r="EW64" i="1"/>
  <c r="ET64" i="1"/>
  <c r="ES64" i="1"/>
  <c r="ER64" i="1"/>
  <c r="EQ64" i="1"/>
  <c r="EP64" i="1"/>
  <c r="EO64" i="1"/>
  <c r="EN64" i="1"/>
  <c r="EM64" i="1"/>
  <c r="EL64" i="1"/>
  <c r="EK64" i="1"/>
  <c r="EJ64" i="1"/>
  <c r="EI64" i="1"/>
  <c r="EH64" i="1"/>
  <c r="EG64" i="1"/>
  <c r="EF64" i="1"/>
  <c r="FB63" i="1"/>
  <c r="FA63" i="1"/>
  <c r="EZ63" i="1"/>
  <c r="EY63" i="1"/>
  <c r="EX63" i="1"/>
  <c r="EW63" i="1"/>
  <c r="ET63" i="1"/>
  <c r="ES63" i="1"/>
  <c r="ER63" i="1"/>
  <c r="EQ63" i="1"/>
  <c r="EQ61" i="1" s="1"/>
  <c r="EQ68" i="1" s="1"/>
  <c r="EP63" i="1"/>
  <c r="EO63" i="1"/>
  <c r="EN63" i="1"/>
  <c r="EM63" i="1"/>
  <c r="EL63" i="1"/>
  <c r="EK63" i="1"/>
  <c r="EJ63" i="1"/>
  <c r="EI63" i="1"/>
  <c r="EI61" i="1" s="1"/>
  <c r="EI68" i="1" s="1"/>
  <c r="EH63" i="1"/>
  <c r="EG63" i="1"/>
  <c r="EF63" i="1"/>
  <c r="FB62" i="1"/>
  <c r="FA62" i="1"/>
  <c r="EZ62" i="1"/>
  <c r="EY62" i="1"/>
  <c r="EX62" i="1"/>
  <c r="EW62" i="1"/>
  <c r="EU62" i="1"/>
  <c r="ET62" i="1"/>
  <c r="ES62" i="1"/>
  <c r="ER62" i="1"/>
  <c r="EQ62" i="1"/>
  <c r="EP62" i="1"/>
  <c r="EO62" i="1"/>
  <c r="EN62" i="1"/>
  <c r="EM62" i="1"/>
  <c r="EL62" i="1"/>
  <c r="EK62" i="1"/>
  <c r="EJ62" i="1"/>
  <c r="EI62" i="1"/>
  <c r="EH62" i="1"/>
  <c r="EG62" i="1"/>
  <c r="EF62" i="1"/>
  <c r="ED64" i="1"/>
  <c r="EC64" i="1"/>
  <c r="EB64" i="1"/>
  <c r="EA64" i="1"/>
  <c r="DZ64" i="1"/>
  <c r="DY64" i="1"/>
  <c r="DX64" i="1"/>
  <c r="DW64" i="1"/>
  <c r="DV64" i="1"/>
  <c r="DU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EA63" i="1"/>
  <c r="DZ63" i="1"/>
  <c r="DY63" i="1"/>
  <c r="DX63" i="1"/>
  <c r="DW63" i="1"/>
  <c r="DV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I61" i="1" s="1"/>
  <c r="DI68" i="1" s="1"/>
  <c r="DH62" i="1"/>
  <c r="DG62" i="1"/>
  <c r="DF62" i="1"/>
  <c r="DE62" i="1"/>
  <c r="DW61" i="1"/>
  <c r="CW63" i="1"/>
  <c r="EB62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CA68" i="1" s="1"/>
  <c r="BZ61" i="1"/>
  <c r="BZ68" i="1" s="1"/>
  <c r="BY61" i="1"/>
  <c r="BY68" i="1" s="1"/>
  <c r="BX61" i="1"/>
  <c r="BX68" i="1" s="1"/>
  <c r="BW61" i="1"/>
  <c r="BW68" i="1" s="1"/>
  <c r="BV61" i="1"/>
  <c r="BV68" i="1" s="1"/>
  <c r="BU61" i="1"/>
  <c r="BU68" i="1" s="1"/>
  <c r="BT61" i="1"/>
  <c r="BT68" i="1" s="1"/>
  <c r="BR61" i="1"/>
  <c r="BR68" i="1" s="1"/>
  <c r="BQ61" i="1"/>
  <c r="BQ68" i="1" s="1"/>
  <c r="BP61" i="1"/>
  <c r="BP68" i="1" s="1"/>
  <c r="BN61" i="1"/>
  <c r="BN68" i="1" s="1"/>
  <c r="BM61" i="1"/>
  <c r="BM68" i="1" s="1"/>
  <c r="BL61" i="1"/>
  <c r="BL68" i="1" s="1"/>
  <c r="BK61" i="1"/>
  <c r="BK68" i="1" s="1"/>
  <c r="BJ61" i="1"/>
  <c r="BJ68" i="1" s="1"/>
  <c r="BI61" i="1"/>
  <c r="BI68" i="1" s="1"/>
  <c r="BH61" i="1"/>
  <c r="BH68" i="1" s="1"/>
  <c r="BG61" i="1"/>
  <c r="BG68" i="1" s="1"/>
  <c r="BF61" i="1"/>
  <c r="BF68" i="1" s="1"/>
  <c r="BE61" i="1"/>
  <c r="BE68" i="1" s="1"/>
  <c r="BD61" i="1"/>
  <c r="BD68" i="1" s="1"/>
  <c r="BC61" i="1"/>
  <c r="BC68" i="1" s="1"/>
  <c r="BB61" i="1"/>
  <c r="BB68" i="1" s="1"/>
  <c r="BA61" i="1"/>
  <c r="BA68" i="1" s="1"/>
  <c r="AZ61" i="1"/>
  <c r="AZ68" i="1" s="1"/>
  <c r="AY61" i="1"/>
  <c r="AY68" i="1" s="1"/>
  <c r="AX61" i="1"/>
  <c r="AX68" i="1" s="1"/>
  <c r="AW61" i="1"/>
  <c r="AW68" i="1" s="1"/>
  <c r="AV61" i="1"/>
  <c r="AV68" i="1" s="1"/>
  <c r="AU61" i="1"/>
  <c r="AU68" i="1" s="1"/>
  <c r="AT61" i="1"/>
  <c r="AT68" i="1" s="1"/>
  <c r="AS61" i="1"/>
  <c r="AS68" i="1" s="1"/>
  <c r="AR61" i="1"/>
  <c r="AR68" i="1" s="1"/>
  <c r="AQ61" i="1"/>
  <c r="AQ68" i="1" s="1"/>
  <c r="AP61" i="1"/>
  <c r="AP68" i="1" s="1"/>
  <c r="AO61" i="1"/>
  <c r="AO68" i="1" s="1"/>
  <c r="AN61" i="1"/>
  <c r="AN68" i="1" s="1"/>
  <c r="AM61" i="1"/>
  <c r="AM68" i="1" s="1"/>
  <c r="AL61" i="1"/>
  <c r="AL68" i="1" s="1"/>
  <c r="AK61" i="1"/>
  <c r="AK68" i="1" s="1"/>
  <c r="AJ61" i="1"/>
  <c r="AJ68" i="1" s="1"/>
  <c r="AI61" i="1"/>
  <c r="AI68" i="1" s="1"/>
  <c r="AH61" i="1"/>
  <c r="AH68" i="1" s="1"/>
  <c r="AG61" i="1"/>
  <c r="AG68" i="1" s="1"/>
  <c r="AF61" i="1"/>
  <c r="AF68" i="1" s="1"/>
  <c r="AE61" i="1"/>
  <c r="AE68" i="1" s="1"/>
  <c r="AD61" i="1"/>
  <c r="AD68" i="1" s="1"/>
  <c r="AC61" i="1"/>
  <c r="AC68" i="1" s="1"/>
  <c r="AB61" i="1"/>
  <c r="AB68" i="1" s="1"/>
  <c r="AA61" i="1"/>
  <c r="AA68" i="1" s="1"/>
  <c r="Z61" i="1"/>
  <c r="Z68" i="1" s="1"/>
  <c r="Y61" i="1"/>
  <c r="Y68" i="1" s="1"/>
  <c r="X61" i="1"/>
  <c r="X68" i="1" s="1"/>
  <c r="W61" i="1"/>
  <c r="W68" i="1" s="1"/>
  <c r="V61" i="1"/>
  <c r="V68" i="1" s="1"/>
  <c r="U61" i="1"/>
  <c r="U68" i="1" s="1"/>
  <c r="T61" i="1"/>
  <c r="T68" i="1" s="1"/>
  <c r="S61" i="1"/>
  <c r="S68" i="1" s="1"/>
  <c r="R61" i="1"/>
  <c r="R68" i="1" s="1"/>
  <c r="Q61" i="1"/>
  <c r="Q68" i="1" s="1"/>
  <c r="P61" i="1"/>
  <c r="P68" i="1" s="1"/>
  <c r="O61" i="1"/>
  <c r="O68" i="1" s="1"/>
  <c r="N61" i="1"/>
  <c r="N68" i="1" s="1"/>
  <c r="M61" i="1"/>
  <c r="M68" i="1" s="1"/>
  <c r="L61" i="1"/>
  <c r="L68" i="1" s="1"/>
  <c r="K61" i="1"/>
  <c r="K68" i="1" s="1"/>
  <c r="J61" i="1"/>
  <c r="J68" i="1" s="1"/>
  <c r="I61" i="1"/>
  <c r="I68" i="1" s="1"/>
  <c r="H61" i="1"/>
  <c r="H68" i="1" s="1"/>
  <c r="G61" i="1"/>
  <c r="G68" i="1" s="1"/>
  <c r="F61" i="1"/>
  <c r="F68" i="1" s="1"/>
  <c r="E61" i="1"/>
  <c r="E68" i="1" s="1"/>
  <c r="D61" i="1"/>
  <c r="D68" i="1" s="1"/>
  <c r="FE51" i="1"/>
  <c r="BY48" i="1"/>
  <c r="BX48" i="1"/>
  <c r="BW48" i="1"/>
  <c r="BV48" i="1"/>
  <c r="BU48" i="1"/>
  <c r="BT48" i="1"/>
  <c r="BR48" i="1"/>
  <c r="BQ48" i="1"/>
  <c r="BP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EW46" i="1"/>
  <c r="EV46" i="1"/>
  <c r="EU46" i="1"/>
  <c r="ET46" i="1"/>
  <c r="ES46" i="1"/>
  <c r="ER46" i="1"/>
  <c r="EQ46" i="1"/>
  <c r="EP46" i="1"/>
  <c r="EO46" i="1"/>
  <c r="EN46" i="1"/>
  <c r="EM46" i="1"/>
  <c r="EL46" i="1"/>
  <c r="EK46" i="1"/>
  <c r="EJ46" i="1"/>
  <c r="EI46" i="1"/>
  <c r="EH46" i="1"/>
  <c r="EG46" i="1"/>
  <c r="EF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CR46" i="1"/>
  <c r="CS45" i="1"/>
  <c r="CS46" i="1" s="1"/>
  <c r="CO45" i="1"/>
  <c r="CO44" i="1"/>
  <c r="CO46" i="1" s="1"/>
  <c r="CM45" i="1"/>
  <c r="CL45" i="1"/>
  <c r="FA45" i="1" s="1"/>
  <c r="CK45" i="1"/>
  <c r="CJ45" i="1"/>
  <c r="CI45" i="1"/>
  <c r="CH45" i="1"/>
  <c r="CG45" i="1"/>
  <c r="CF45" i="1"/>
  <c r="CE45" i="1"/>
  <c r="CD45" i="1"/>
  <c r="EY45" i="1" s="1"/>
  <c r="CC45" i="1"/>
  <c r="CB45" i="1"/>
  <c r="DC44" i="1"/>
  <c r="DB44" i="1"/>
  <c r="DA44" i="1"/>
  <c r="CZ44" i="1"/>
  <c r="CY44" i="1"/>
  <c r="CX44" i="1"/>
  <c r="CW44" i="1"/>
  <c r="EC44" i="1" s="1"/>
  <c r="CV44" i="1"/>
  <c r="CU44" i="1"/>
  <c r="CT44" i="1"/>
  <c r="CQ44" i="1"/>
  <c r="FB44" i="1" s="1"/>
  <c r="CP44" i="1"/>
  <c r="CP46" i="1" s="1"/>
  <c r="CN44" i="1"/>
  <c r="CN46" i="1" s="1"/>
  <c r="CM44" i="1"/>
  <c r="CM46" i="1" s="1"/>
  <c r="CL44" i="1"/>
  <c r="CL46" i="1" s="1"/>
  <c r="CK44" i="1"/>
  <c r="CK46" i="1" s="1"/>
  <c r="CJ44" i="1"/>
  <c r="CJ46" i="1" s="1"/>
  <c r="CI44" i="1"/>
  <c r="CI46" i="1" s="1"/>
  <c r="CH44" i="1"/>
  <c r="CH46" i="1" s="1"/>
  <c r="CG44" i="1"/>
  <c r="CG46" i="1" s="1"/>
  <c r="CF44" i="1"/>
  <c r="CF46" i="1" s="1"/>
  <c r="CE44" i="1"/>
  <c r="CE46" i="1" s="1"/>
  <c r="CD44" i="1"/>
  <c r="CD46" i="1" s="1"/>
  <c r="CC44" i="1"/>
  <c r="CC46" i="1" s="1"/>
  <c r="CB44" i="1"/>
  <c r="CB46" i="1" s="1"/>
  <c r="DC42" i="1"/>
  <c r="DB42" i="1"/>
  <c r="DA42" i="1"/>
  <c r="CZ42" i="1"/>
  <c r="CY42" i="1"/>
  <c r="CX42" i="1"/>
  <c r="CW42" i="1"/>
  <c r="CV42" i="1"/>
  <c r="CU42" i="1"/>
  <c r="CT42" i="1"/>
  <c r="CR42" i="1"/>
  <c r="CQ42" i="1"/>
  <c r="CQ40" i="1" s="1"/>
  <c r="CQ48" i="1" s="1"/>
  <c r="CP42" i="1"/>
  <c r="CN42" i="1"/>
  <c r="CN40" i="1" s="1"/>
  <c r="CN48" i="1" s="1"/>
  <c r="CM42" i="1"/>
  <c r="CL42" i="1"/>
  <c r="CK42" i="1"/>
  <c r="CJ42" i="1"/>
  <c r="CI42" i="1"/>
  <c r="CH42" i="1"/>
  <c r="CG42" i="1"/>
  <c r="CG40" i="1" s="1"/>
  <c r="CF42" i="1"/>
  <c r="CF40" i="1" s="1"/>
  <c r="CF48" i="1" s="1"/>
  <c r="CE42" i="1"/>
  <c r="CD42" i="1"/>
  <c r="CC42" i="1"/>
  <c r="CB42" i="1"/>
  <c r="CS41" i="1"/>
  <c r="CS40" i="1" s="1"/>
  <c r="CO41" i="1"/>
  <c r="CO40" i="1" s="1"/>
  <c r="CM41" i="1"/>
  <c r="CM40" i="1" s="1"/>
  <c r="CM48" i="1" s="1"/>
  <c r="CL41" i="1"/>
  <c r="CK41" i="1"/>
  <c r="CJ41" i="1"/>
  <c r="CI41" i="1"/>
  <c r="CH41" i="1"/>
  <c r="CH40" i="1" s="1"/>
  <c r="CH48" i="1" s="1"/>
  <c r="CB41" i="1"/>
  <c r="FB45" i="1"/>
  <c r="EZ45" i="1"/>
  <c r="FD43" i="1"/>
  <c r="FC43" i="1"/>
  <c r="FB43" i="1"/>
  <c r="FA43" i="1"/>
  <c r="EZ43" i="1"/>
  <c r="EY43" i="1"/>
  <c r="FD41" i="1"/>
  <c r="EY41" i="1"/>
  <c r="EW40" i="1"/>
  <c r="EV40" i="1"/>
  <c r="EU40" i="1"/>
  <c r="ET40" i="1"/>
  <c r="ES40" i="1"/>
  <c r="ER40" i="1"/>
  <c r="EQ40" i="1"/>
  <c r="EP40" i="1"/>
  <c r="EO40" i="1"/>
  <c r="EN40" i="1"/>
  <c r="EM40" i="1"/>
  <c r="EL40" i="1"/>
  <c r="EK40" i="1"/>
  <c r="EJ40" i="1"/>
  <c r="EI40" i="1"/>
  <c r="EH40" i="1"/>
  <c r="EG40" i="1"/>
  <c r="EF40" i="1"/>
  <c r="EA45" i="1"/>
  <c r="DZ45" i="1"/>
  <c r="DY45" i="1"/>
  <c r="DX45" i="1"/>
  <c r="ED43" i="1"/>
  <c r="EC43" i="1"/>
  <c r="EB43" i="1"/>
  <c r="EA43" i="1"/>
  <c r="DZ43" i="1"/>
  <c r="DY43" i="1"/>
  <c r="DX43" i="1"/>
  <c r="ED41" i="1"/>
  <c r="EC41" i="1"/>
  <c r="EB41" i="1"/>
  <c r="DX41" i="1"/>
  <c r="DW43" i="1"/>
  <c r="DV43" i="1"/>
  <c r="DW42" i="1"/>
  <c r="DV42" i="1"/>
  <c r="DW41" i="1"/>
  <c r="DV41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CR40" i="1"/>
  <c r="CR48" i="1" s="1"/>
  <c r="CL40" i="1"/>
  <c r="CL48" i="1" s="1"/>
  <c r="CE40" i="1"/>
  <c r="CE48" i="1" s="1"/>
  <c r="CD40" i="1"/>
  <c r="CD48" i="1" s="1"/>
  <c r="CA40" i="1"/>
  <c r="CA48" i="1" s="1"/>
  <c r="BZ40" i="1"/>
  <c r="BZ48" i="1" s="1"/>
  <c r="DC37" i="1"/>
  <c r="DB37" i="1"/>
  <c r="DA37" i="1"/>
  <c r="CZ37" i="1"/>
  <c r="CY37" i="1"/>
  <c r="CX37" i="1"/>
  <c r="CW37" i="1"/>
  <c r="CV37" i="1"/>
  <c r="CU37" i="1"/>
  <c r="CT37" i="1"/>
  <c r="CS37" i="1"/>
  <c r="CS38" i="1" s="1"/>
  <c r="CR37" i="1"/>
  <c r="CR38" i="1" s="1"/>
  <c r="CQ37" i="1"/>
  <c r="CQ38" i="1" s="1"/>
  <c r="CP37" i="1"/>
  <c r="CP38" i="1" s="1"/>
  <c r="CO37" i="1"/>
  <c r="CO38" i="1" s="1"/>
  <c r="CN37" i="1"/>
  <c r="CN38" i="1" s="1"/>
  <c r="CM37" i="1"/>
  <c r="CM38" i="1" s="1"/>
  <c r="CL37" i="1"/>
  <c r="CL38" i="1" s="1"/>
  <c r="CK37" i="1"/>
  <c r="CK38" i="1" s="1"/>
  <c r="CJ37" i="1"/>
  <c r="CJ38" i="1" s="1"/>
  <c r="CI37" i="1"/>
  <c r="CI38" i="1" s="1"/>
  <c r="CH37" i="1"/>
  <c r="CH38" i="1" s="1"/>
  <c r="CG37" i="1"/>
  <c r="CG38" i="1" s="1"/>
  <c r="CF37" i="1"/>
  <c r="CF38" i="1" s="1"/>
  <c r="CE37" i="1"/>
  <c r="CE38" i="1" s="1"/>
  <c r="CD37" i="1"/>
  <c r="CD38" i="1" s="1"/>
  <c r="CC37" i="1"/>
  <c r="CC38" i="1" s="1"/>
  <c r="CB37" i="1"/>
  <c r="CB38" i="1" s="1"/>
  <c r="CA37" i="1"/>
  <c r="CA38" i="1" s="1"/>
  <c r="BZ37" i="1"/>
  <c r="BZ38" i="1" s="1"/>
  <c r="BY37" i="1"/>
  <c r="BY38" i="1" s="1"/>
  <c r="BX37" i="1"/>
  <c r="BX38" i="1" s="1"/>
  <c r="BW37" i="1"/>
  <c r="BW38" i="1" s="1"/>
  <c r="BV37" i="1"/>
  <c r="BV38" i="1" s="1"/>
  <c r="BU37" i="1"/>
  <c r="BU38" i="1" s="1"/>
  <c r="BT37" i="1"/>
  <c r="BT38" i="1" s="1"/>
  <c r="BR37" i="1"/>
  <c r="BR38" i="1" s="1"/>
  <c r="BQ37" i="1"/>
  <c r="BQ38" i="1" s="1"/>
  <c r="BP37" i="1"/>
  <c r="BP38" i="1" s="1"/>
  <c r="BN37" i="1"/>
  <c r="BN38" i="1" s="1"/>
  <c r="BM37" i="1"/>
  <c r="BM38" i="1" s="1"/>
  <c r="BL37" i="1"/>
  <c r="BL38" i="1" s="1"/>
  <c r="BK37" i="1"/>
  <c r="BK38" i="1" s="1"/>
  <c r="BJ37" i="1"/>
  <c r="BJ38" i="1" s="1"/>
  <c r="BI37" i="1"/>
  <c r="BI38" i="1" s="1"/>
  <c r="BH37" i="1"/>
  <c r="BH38" i="1" s="1"/>
  <c r="BG37" i="1"/>
  <c r="BG38" i="1" s="1"/>
  <c r="BF37" i="1"/>
  <c r="BF38" i="1" s="1"/>
  <c r="BE37" i="1"/>
  <c r="BE38" i="1" s="1"/>
  <c r="BD37" i="1"/>
  <c r="BD38" i="1" s="1"/>
  <c r="BC37" i="1"/>
  <c r="BC38" i="1" s="1"/>
  <c r="BB37" i="1"/>
  <c r="BB38" i="1" s="1"/>
  <c r="BA37" i="1"/>
  <c r="BA38" i="1" s="1"/>
  <c r="AZ37" i="1"/>
  <c r="AZ38" i="1" s="1"/>
  <c r="AY37" i="1"/>
  <c r="AY38" i="1" s="1"/>
  <c r="AX37" i="1"/>
  <c r="AX38" i="1" s="1"/>
  <c r="AW37" i="1"/>
  <c r="AW38" i="1" s="1"/>
  <c r="AV37" i="1"/>
  <c r="AV38" i="1" s="1"/>
  <c r="AU37" i="1"/>
  <c r="AU38" i="1" s="1"/>
  <c r="AT37" i="1"/>
  <c r="AT38" i="1" s="1"/>
  <c r="AS37" i="1"/>
  <c r="AS38" i="1" s="1"/>
  <c r="AR37" i="1"/>
  <c r="AR38" i="1" s="1"/>
  <c r="AQ37" i="1"/>
  <c r="AQ38" i="1" s="1"/>
  <c r="AP37" i="1"/>
  <c r="AP38" i="1" s="1"/>
  <c r="AO37" i="1"/>
  <c r="AO38" i="1" s="1"/>
  <c r="AN37" i="1"/>
  <c r="AN38" i="1" s="1"/>
  <c r="AM37" i="1"/>
  <c r="AM38" i="1" s="1"/>
  <c r="AL37" i="1"/>
  <c r="AL38" i="1" s="1"/>
  <c r="AK37" i="1"/>
  <c r="AK38" i="1" s="1"/>
  <c r="AJ37" i="1"/>
  <c r="AJ38" i="1" s="1"/>
  <c r="AI37" i="1"/>
  <c r="AI38" i="1" s="1"/>
  <c r="AH37" i="1"/>
  <c r="AH38" i="1" s="1"/>
  <c r="AG37" i="1"/>
  <c r="AG38" i="1" s="1"/>
  <c r="AF37" i="1"/>
  <c r="AF38" i="1" s="1"/>
  <c r="AE37" i="1"/>
  <c r="AE38" i="1" s="1"/>
  <c r="AD37" i="1"/>
  <c r="AD38" i="1" s="1"/>
  <c r="AC37" i="1"/>
  <c r="AC38" i="1" s="1"/>
  <c r="AB37" i="1"/>
  <c r="AB38" i="1" s="1"/>
  <c r="AA37" i="1"/>
  <c r="AA38" i="1" s="1"/>
  <c r="Z37" i="1"/>
  <c r="Z38" i="1" s="1"/>
  <c r="Y37" i="1"/>
  <c r="Y38" i="1" s="1"/>
  <c r="X37" i="1"/>
  <c r="X38" i="1" s="1"/>
  <c r="W37" i="1"/>
  <c r="W38" i="1" s="1"/>
  <c r="V37" i="1"/>
  <c r="V38" i="1" s="1"/>
  <c r="U37" i="1"/>
  <c r="U38" i="1" s="1"/>
  <c r="T37" i="1"/>
  <c r="T38" i="1" s="1"/>
  <c r="S37" i="1"/>
  <c r="S38" i="1" s="1"/>
  <c r="R37" i="1"/>
  <c r="R38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K37" i="1"/>
  <c r="K38" i="1" s="1"/>
  <c r="J37" i="1"/>
  <c r="J38" i="1" s="1"/>
  <c r="I37" i="1"/>
  <c r="I38" i="1" s="1"/>
  <c r="H37" i="1"/>
  <c r="H38" i="1" s="1"/>
  <c r="G37" i="1"/>
  <c r="G38" i="1" s="1"/>
  <c r="F37" i="1"/>
  <c r="F38" i="1" s="1"/>
  <c r="E37" i="1"/>
  <c r="E38" i="1" s="1"/>
  <c r="D37" i="1"/>
  <c r="D38" i="1" s="1"/>
  <c r="FD36" i="1"/>
  <c r="FC36" i="1"/>
  <c r="FB36" i="1"/>
  <c r="FA36" i="1"/>
  <c r="EZ36" i="1"/>
  <c r="EY36" i="1"/>
  <c r="EX36" i="1"/>
  <c r="EW36" i="1"/>
  <c r="EV36" i="1"/>
  <c r="EU36" i="1"/>
  <c r="ET36" i="1"/>
  <c r="ES36" i="1"/>
  <c r="ER36" i="1"/>
  <c r="EQ36" i="1"/>
  <c r="EP36" i="1"/>
  <c r="EO36" i="1"/>
  <c r="EN36" i="1"/>
  <c r="EM36" i="1"/>
  <c r="EL36" i="1"/>
  <c r="EK36" i="1"/>
  <c r="EJ36" i="1"/>
  <c r="EI36" i="1"/>
  <c r="EH36" i="1"/>
  <c r="EG36" i="1"/>
  <c r="EF36" i="1"/>
  <c r="FD35" i="1"/>
  <c r="FC35" i="1"/>
  <c r="FB35" i="1"/>
  <c r="FA35" i="1"/>
  <c r="EZ35" i="1"/>
  <c r="EY35" i="1"/>
  <c r="EX35" i="1"/>
  <c r="EW35" i="1"/>
  <c r="EV35" i="1"/>
  <c r="EU35" i="1"/>
  <c r="ET35" i="1"/>
  <c r="ES35" i="1"/>
  <c r="ER35" i="1"/>
  <c r="EQ35" i="1"/>
  <c r="EP35" i="1"/>
  <c r="EO35" i="1"/>
  <c r="EN35" i="1"/>
  <c r="EM35" i="1"/>
  <c r="EL35" i="1"/>
  <c r="EK35" i="1"/>
  <c r="EJ35" i="1"/>
  <c r="EI35" i="1"/>
  <c r="EH35" i="1"/>
  <c r="EG35" i="1"/>
  <c r="EF35" i="1"/>
  <c r="ED36" i="1"/>
  <c r="EC36" i="1"/>
  <c r="EB36" i="1"/>
  <c r="EA36" i="1"/>
  <c r="DZ36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ED35" i="1"/>
  <c r="EC35" i="1"/>
  <c r="EB35" i="1"/>
  <c r="EA35" i="1"/>
  <c r="DZ35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R33" i="1"/>
  <c r="BQ33" i="1"/>
  <c r="BP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FD32" i="1"/>
  <c r="FC32" i="1"/>
  <c r="FC37" i="1" s="1"/>
  <c r="FB32" i="1"/>
  <c r="FA32" i="1"/>
  <c r="EZ32" i="1"/>
  <c r="EY32" i="1"/>
  <c r="EY37" i="1" s="1"/>
  <c r="EX32" i="1"/>
  <c r="EW32" i="1"/>
  <c r="ET32" i="1"/>
  <c r="ES32" i="1"/>
  <c r="ES37" i="1" s="1"/>
  <c r="ER32" i="1"/>
  <c r="EQ32" i="1"/>
  <c r="EQ37" i="1" s="1"/>
  <c r="EP32" i="1"/>
  <c r="EO32" i="1"/>
  <c r="EO37" i="1" s="1"/>
  <c r="EN32" i="1"/>
  <c r="EM32" i="1"/>
  <c r="EM37" i="1" s="1"/>
  <c r="EL32" i="1"/>
  <c r="EK32" i="1"/>
  <c r="EK37" i="1" s="1"/>
  <c r="EJ32" i="1"/>
  <c r="EI32" i="1"/>
  <c r="EI37" i="1" s="1"/>
  <c r="EH32" i="1"/>
  <c r="EG32" i="1"/>
  <c r="EG37" i="1" s="1"/>
  <c r="EF32" i="1"/>
  <c r="ED32" i="1"/>
  <c r="ED37" i="1" s="1"/>
  <c r="EC32" i="1"/>
  <c r="EB32" i="1"/>
  <c r="EB37" i="1" s="1"/>
  <c r="EA32" i="1"/>
  <c r="DZ32" i="1"/>
  <c r="DZ37" i="1" s="1"/>
  <c r="DY32" i="1"/>
  <c r="DX32" i="1"/>
  <c r="DX37" i="1" s="1"/>
  <c r="DW32" i="1"/>
  <c r="DV32" i="1"/>
  <c r="DV37" i="1" s="1"/>
  <c r="DS32" i="1"/>
  <c r="DS37" i="1" s="1"/>
  <c r="DR32" i="1"/>
  <c r="DQ32" i="1"/>
  <c r="DP32" i="1"/>
  <c r="DP37" i="1" s="1"/>
  <c r="DO32" i="1"/>
  <c r="DO37" i="1" s="1"/>
  <c r="DN32" i="1"/>
  <c r="DM32" i="1"/>
  <c r="DL32" i="1"/>
  <c r="DL37" i="1" s="1"/>
  <c r="DK32" i="1"/>
  <c r="DK37" i="1" s="1"/>
  <c r="DJ32" i="1"/>
  <c r="DI32" i="1"/>
  <c r="DH32" i="1"/>
  <c r="DH37" i="1" s="1"/>
  <c r="DG32" i="1"/>
  <c r="DG37" i="1" s="1"/>
  <c r="DF32" i="1"/>
  <c r="DE32" i="1"/>
  <c r="BS32" i="1"/>
  <c r="BS37" i="1" s="1"/>
  <c r="BO32" i="1"/>
  <c r="BO37" i="1" s="1"/>
  <c r="DC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CA50" i="1" s="1"/>
  <c r="CA49" i="1" s="1"/>
  <c r="BZ29" i="1"/>
  <c r="BY29" i="1"/>
  <c r="BY50" i="1" s="1"/>
  <c r="BY49" i="1" s="1"/>
  <c r="BX29" i="1"/>
  <c r="BX50" i="1" s="1"/>
  <c r="BX49" i="1" s="1"/>
  <c r="BW29" i="1"/>
  <c r="BW50" i="1" s="1"/>
  <c r="BW49" i="1" s="1"/>
  <c r="BV29" i="1"/>
  <c r="BU29" i="1"/>
  <c r="BU50" i="1" s="1"/>
  <c r="BU49" i="1" s="1"/>
  <c r="BT29" i="1"/>
  <c r="BT50" i="1" s="1"/>
  <c r="BT49" i="1" s="1"/>
  <c r="BR29" i="1"/>
  <c r="BR50" i="1" s="1"/>
  <c r="BR49" i="1" s="1"/>
  <c r="BQ29" i="1"/>
  <c r="BP29" i="1"/>
  <c r="BP50" i="1" s="1"/>
  <c r="BP49" i="1" s="1"/>
  <c r="BN29" i="1"/>
  <c r="BN50" i="1" s="1"/>
  <c r="BN49" i="1" s="1"/>
  <c r="BM29" i="1"/>
  <c r="BM50" i="1" s="1"/>
  <c r="BM49" i="1" s="1"/>
  <c r="BL29" i="1"/>
  <c r="BK29" i="1"/>
  <c r="BK50" i="1" s="1"/>
  <c r="BK49" i="1" s="1"/>
  <c r="BJ29" i="1"/>
  <c r="BJ50" i="1" s="1"/>
  <c r="BJ49" i="1" s="1"/>
  <c r="BI29" i="1"/>
  <c r="BI50" i="1" s="1"/>
  <c r="BI49" i="1" s="1"/>
  <c r="BH29" i="1"/>
  <c r="BG29" i="1"/>
  <c r="BG50" i="1" s="1"/>
  <c r="BG49" i="1" s="1"/>
  <c r="BF29" i="1"/>
  <c r="BF50" i="1" s="1"/>
  <c r="BF49" i="1" s="1"/>
  <c r="BE29" i="1"/>
  <c r="BE50" i="1" s="1"/>
  <c r="BE49" i="1" s="1"/>
  <c r="BD29" i="1"/>
  <c r="BC29" i="1"/>
  <c r="BC50" i="1" s="1"/>
  <c r="BC49" i="1" s="1"/>
  <c r="BB29" i="1"/>
  <c r="BB50" i="1" s="1"/>
  <c r="BB49" i="1" s="1"/>
  <c r="BA29" i="1"/>
  <c r="BA50" i="1" s="1"/>
  <c r="BA49" i="1" s="1"/>
  <c r="AZ29" i="1"/>
  <c r="AY29" i="1"/>
  <c r="AY50" i="1" s="1"/>
  <c r="AY49" i="1" s="1"/>
  <c r="AX29" i="1"/>
  <c r="AX50" i="1" s="1"/>
  <c r="AX49" i="1" s="1"/>
  <c r="AW29" i="1"/>
  <c r="AW50" i="1" s="1"/>
  <c r="AW49" i="1" s="1"/>
  <c r="AV29" i="1"/>
  <c r="AU29" i="1"/>
  <c r="AU50" i="1" s="1"/>
  <c r="AU49" i="1" s="1"/>
  <c r="AT29" i="1"/>
  <c r="AT50" i="1" s="1"/>
  <c r="AT49" i="1" s="1"/>
  <c r="AS29" i="1"/>
  <c r="AS50" i="1" s="1"/>
  <c r="AS49" i="1" s="1"/>
  <c r="AR29" i="1"/>
  <c r="AQ29" i="1"/>
  <c r="AQ50" i="1" s="1"/>
  <c r="AQ49" i="1" s="1"/>
  <c r="AP29" i="1"/>
  <c r="AP50" i="1" s="1"/>
  <c r="AP49" i="1" s="1"/>
  <c r="AO29" i="1"/>
  <c r="AO50" i="1" s="1"/>
  <c r="AO49" i="1" s="1"/>
  <c r="AN29" i="1"/>
  <c r="AM29" i="1"/>
  <c r="AM50" i="1" s="1"/>
  <c r="AM49" i="1" s="1"/>
  <c r="AL29" i="1"/>
  <c r="AL50" i="1" s="1"/>
  <c r="AL49" i="1" s="1"/>
  <c r="AK29" i="1"/>
  <c r="AK50" i="1" s="1"/>
  <c r="AK49" i="1" s="1"/>
  <c r="AJ29" i="1"/>
  <c r="AI29" i="1"/>
  <c r="AI50" i="1" s="1"/>
  <c r="AI49" i="1" s="1"/>
  <c r="AH29" i="1"/>
  <c r="AH50" i="1" s="1"/>
  <c r="AH49" i="1" s="1"/>
  <c r="AG29" i="1"/>
  <c r="AG50" i="1" s="1"/>
  <c r="AG49" i="1" s="1"/>
  <c r="AF29" i="1"/>
  <c r="AE29" i="1"/>
  <c r="AE50" i="1" s="1"/>
  <c r="AE49" i="1" s="1"/>
  <c r="AD29" i="1"/>
  <c r="AD50" i="1" s="1"/>
  <c r="AD49" i="1" s="1"/>
  <c r="AC29" i="1"/>
  <c r="AC50" i="1" s="1"/>
  <c r="AC49" i="1" s="1"/>
  <c r="AB29" i="1"/>
  <c r="AA29" i="1"/>
  <c r="AA50" i="1" s="1"/>
  <c r="AA49" i="1" s="1"/>
  <c r="Z29" i="1"/>
  <c r="Z50" i="1" s="1"/>
  <c r="Z49" i="1" s="1"/>
  <c r="Y29" i="1"/>
  <c r="Y50" i="1" s="1"/>
  <c r="Y49" i="1" s="1"/>
  <c r="X29" i="1"/>
  <c r="W29" i="1"/>
  <c r="W50" i="1" s="1"/>
  <c r="W49" i="1" s="1"/>
  <c r="V29" i="1"/>
  <c r="V50" i="1" s="1"/>
  <c r="V49" i="1" s="1"/>
  <c r="U29" i="1"/>
  <c r="U50" i="1" s="1"/>
  <c r="U49" i="1" s="1"/>
  <c r="T29" i="1"/>
  <c r="S29" i="1"/>
  <c r="S50" i="1" s="1"/>
  <c r="S49" i="1" s="1"/>
  <c r="R29" i="1"/>
  <c r="R50" i="1" s="1"/>
  <c r="R49" i="1" s="1"/>
  <c r="Q29" i="1"/>
  <c r="Q50" i="1" s="1"/>
  <c r="Q49" i="1" s="1"/>
  <c r="P29" i="1"/>
  <c r="O29" i="1"/>
  <c r="O50" i="1" s="1"/>
  <c r="O49" i="1" s="1"/>
  <c r="N29" i="1"/>
  <c r="N50" i="1" s="1"/>
  <c r="N49" i="1" s="1"/>
  <c r="M29" i="1"/>
  <c r="M50" i="1" s="1"/>
  <c r="M49" i="1" s="1"/>
  <c r="L29" i="1"/>
  <c r="K29" i="1"/>
  <c r="K50" i="1" s="1"/>
  <c r="K49" i="1" s="1"/>
  <c r="J29" i="1"/>
  <c r="J50" i="1" s="1"/>
  <c r="J49" i="1" s="1"/>
  <c r="I29" i="1"/>
  <c r="I50" i="1" s="1"/>
  <c r="I49" i="1" s="1"/>
  <c r="H29" i="1"/>
  <c r="G29" i="1"/>
  <c r="G50" i="1" s="1"/>
  <c r="G49" i="1" s="1"/>
  <c r="F29" i="1"/>
  <c r="F50" i="1" s="1"/>
  <c r="F49" i="1" s="1"/>
  <c r="E29" i="1"/>
  <c r="E50" i="1" s="1"/>
  <c r="E49" i="1" s="1"/>
  <c r="D29" i="1"/>
  <c r="FD28" i="1"/>
  <c r="FC28" i="1"/>
  <c r="FB28" i="1"/>
  <c r="FA28" i="1"/>
  <c r="EZ28" i="1"/>
  <c r="EY28" i="1"/>
  <c r="EX28" i="1"/>
  <c r="EW28" i="1"/>
  <c r="EV28" i="1"/>
  <c r="EU28" i="1"/>
  <c r="ET28" i="1"/>
  <c r="ES28" i="1"/>
  <c r="ER28" i="1"/>
  <c r="EQ28" i="1"/>
  <c r="EP28" i="1"/>
  <c r="EO28" i="1"/>
  <c r="EN28" i="1"/>
  <c r="EM28" i="1"/>
  <c r="EL28" i="1"/>
  <c r="EK28" i="1"/>
  <c r="EJ28" i="1"/>
  <c r="EI28" i="1"/>
  <c r="EH28" i="1"/>
  <c r="EG28" i="1"/>
  <c r="EF28" i="1"/>
  <c r="FD27" i="1"/>
  <c r="FC27" i="1"/>
  <c r="FB27" i="1"/>
  <c r="FA27" i="1"/>
  <c r="EZ27" i="1"/>
  <c r="EY27" i="1"/>
  <c r="EX27" i="1"/>
  <c r="EW27" i="1"/>
  <c r="EV27" i="1"/>
  <c r="EU27" i="1"/>
  <c r="ET27" i="1"/>
  <c r="ES27" i="1"/>
  <c r="ER27" i="1"/>
  <c r="EQ27" i="1"/>
  <c r="EP27" i="1"/>
  <c r="EO27" i="1"/>
  <c r="EN27" i="1"/>
  <c r="EM27" i="1"/>
  <c r="EL27" i="1"/>
  <c r="EK27" i="1"/>
  <c r="EJ27" i="1"/>
  <c r="EI27" i="1"/>
  <c r="EH27" i="1"/>
  <c r="EG27" i="1"/>
  <c r="EF27" i="1"/>
  <c r="ED28" i="1"/>
  <c r="EC28" i="1"/>
  <c r="EB28" i="1"/>
  <c r="EA28" i="1"/>
  <c r="DZ28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ED27" i="1"/>
  <c r="EC27" i="1"/>
  <c r="EB27" i="1"/>
  <c r="EA27" i="1"/>
  <c r="DZ27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R25" i="1"/>
  <c r="BQ25" i="1"/>
  <c r="BP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FD24" i="1"/>
  <c r="FC24" i="1"/>
  <c r="FB24" i="1"/>
  <c r="FA24" i="1"/>
  <c r="EZ24" i="1"/>
  <c r="EY24" i="1"/>
  <c r="EX24" i="1"/>
  <c r="EW24" i="1"/>
  <c r="EW48" i="1" s="1"/>
  <c r="ET24" i="1"/>
  <c r="ET48" i="1" s="1"/>
  <c r="ES24" i="1"/>
  <c r="ER24" i="1"/>
  <c r="ER48" i="1" s="1"/>
  <c r="EQ24" i="1"/>
  <c r="EQ48" i="1" s="1"/>
  <c r="EP24" i="1"/>
  <c r="EP48" i="1" s="1"/>
  <c r="EO24" i="1"/>
  <c r="EN24" i="1"/>
  <c r="EN48" i="1" s="1"/>
  <c r="EM24" i="1"/>
  <c r="EM48" i="1" s="1"/>
  <c r="EL24" i="1"/>
  <c r="EL48" i="1" s="1"/>
  <c r="EK24" i="1"/>
  <c r="EJ24" i="1"/>
  <c r="EJ48" i="1" s="1"/>
  <c r="EI24" i="1"/>
  <c r="EI48" i="1" s="1"/>
  <c r="EH24" i="1"/>
  <c r="EH48" i="1" s="1"/>
  <c r="EG24" i="1"/>
  <c r="EF24" i="1"/>
  <c r="EF48" i="1" s="1"/>
  <c r="ED24" i="1"/>
  <c r="EC24" i="1"/>
  <c r="EB24" i="1"/>
  <c r="EA24" i="1"/>
  <c r="DZ24" i="1"/>
  <c r="DY24" i="1"/>
  <c r="DX24" i="1"/>
  <c r="DW24" i="1"/>
  <c r="DV24" i="1"/>
  <c r="DV48" i="1" s="1"/>
  <c r="DS24" i="1"/>
  <c r="DR24" i="1"/>
  <c r="DR48" i="1" s="1"/>
  <c r="DQ24" i="1"/>
  <c r="DP24" i="1"/>
  <c r="DP48" i="1" s="1"/>
  <c r="DO24" i="1"/>
  <c r="DN24" i="1"/>
  <c r="DN48" i="1" s="1"/>
  <c r="DM24" i="1"/>
  <c r="DL24" i="1"/>
  <c r="DL48" i="1" s="1"/>
  <c r="DK24" i="1"/>
  <c r="DJ24" i="1"/>
  <c r="DJ48" i="1" s="1"/>
  <c r="DI24" i="1"/>
  <c r="DH24" i="1"/>
  <c r="DH48" i="1" s="1"/>
  <c r="DG24" i="1"/>
  <c r="DF24" i="1"/>
  <c r="DF48" i="1" s="1"/>
  <c r="DE24" i="1"/>
  <c r="BS24" i="1"/>
  <c r="BS48" i="1" s="1"/>
  <c r="BO24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E52" i="1" s="1"/>
  <c r="CD17" i="1"/>
  <c r="CC17" i="1"/>
  <c r="CB17" i="1"/>
  <c r="CA17" i="1"/>
  <c r="CA52" i="1" s="1"/>
  <c r="BZ17" i="1"/>
  <c r="BZ52" i="1" s="1"/>
  <c r="BY17" i="1"/>
  <c r="BX17" i="1"/>
  <c r="BX52" i="1" s="1"/>
  <c r="BW17" i="1"/>
  <c r="BW52" i="1" s="1"/>
  <c r="BV17" i="1"/>
  <c r="BV52" i="1" s="1"/>
  <c r="BU17" i="1"/>
  <c r="BT17" i="1"/>
  <c r="BT52" i="1" s="1"/>
  <c r="BR17" i="1"/>
  <c r="BR52" i="1" s="1"/>
  <c r="BQ17" i="1"/>
  <c r="BQ52" i="1" s="1"/>
  <c r="BP17" i="1"/>
  <c r="BN17" i="1"/>
  <c r="BN52" i="1" s="1"/>
  <c r="BM17" i="1"/>
  <c r="BM52" i="1" s="1"/>
  <c r="BL17" i="1"/>
  <c r="BL52" i="1" s="1"/>
  <c r="BK17" i="1"/>
  <c r="BJ17" i="1"/>
  <c r="BJ52" i="1" s="1"/>
  <c r="BI17" i="1"/>
  <c r="BI52" i="1" s="1"/>
  <c r="BH17" i="1"/>
  <c r="BH52" i="1" s="1"/>
  <c r="BG17" i="1"/>
  <c r="BF17" i="1"/>
  <c r="BF52" i="1" s="1"/>
  <c r="BE17" i="1"/>
  <c r="BE52" i="1" s="1"/>
  <c r="BD17" i="1"/>
  <c r="BD52" i="1" s="1"/>
  <c r="BC17" i="1"/>
  <c r="BB17" i="1"/>
  <c r="BB52" i="1" s="1"/>
  <c r="BA17" i="1"/>
  <c r="BA52" i="1" s="1"/>
  <c r="AZ17" i="1"/>
  <c r="AZ52" i="1" s="1"/>
  <c r="AY17" i="1"/>
  <c r="AX17" i="1"/>
  <c r="AX52" i="1" s="1"/>
  <c r="AW17" i="1"/>
  <c r="AW52" i="1" s="1"/>
  <c r="AV17" i="1"/>
  <c r="AV52" i="1" s="1"/>
  <c r="AU17" i="1"/>
  <c r="AT17" i="1"/>
  <c r="AT52" i="1" s="1"/>
  <c r="AS17" i="1"/>
  <c r="AS52" i="1" s="1"/>
  <c r="AR17" i="1"/>
  <c r="AR52" i="1" s="1"/>
  <c r="AQ17" i="1"/>
  <c r="AP17" i="1"/>
  <c r="AP52" i="1" s="1"/>
  <c r="AO17" i="1"/>
  <c r="AO52" i="1" s="1"/>
  <c r="AN17" i="1"/>
  <c r="AN52" i="1" s="1"/>
  <c r="AM17" i="1"/>
  <c r="AL17" i="1"/>
  <c r="AL52" i="1" s="1"/>
  <c r="AK17" i="1"/>
  <c r="AK52" i="1" s="1"/>
  <c r="AJ17" i="1"/>
  <c r="AJ52" i="1" s="1"/>
  <c r="AI17" i="1"/>
  <c r="AH17" i="1"/>
  <c r="AH52" i="1" s="1"/>
  <c r="AG17" i="1"/>
  <c r="AG52" i="1" s="1"/>
  <c r="AF17" i="1"/>
  <c r="AF52" i="1" s="1"/>
  <c r="AE17" i="1"/>
  <c r="AD17" i="1"/>
  <c r="AD52" i="1" s="1"/>
  <c r="AC17" i="1"/>
  <c r="AC52" i="1" s="1"/>
  <c r="AB17" i="1"/>
  <c r="AB52" i="1" s="1"/>
  <c r="AA17" i="1"/>
  <c r="Z17" i="1"/>
  <c r="Z52" i="1" s="1"/>
  <c r="Y17" i="1"/>
  <c r="Y52" i="1" s="1"/>
  <c r="X17" i="1"/>
  <c r="X52" i="1" s="1"/>
  <c r="W17" i="1"/>
  <c r="V17" i="1"/>
  <c r="V52" i="1" s="1"/>
  <c r="U17" i="1"/>
  <c r="U52" i="1" s="1"/>
  <c r="T17" i="1"/>
  <c r="T52" i="1" s="1"/>
  <c r="S17" i="1"/>
  <c r="R17" i="1"/>
  <c r="R52" i="1" s="1"/>
  <c r="Q17" i="1"/>
  <c r="Q52" i="1" s="1"/>
  <c r="P17" i="1"/>
  <c r="P52" i="1" s="1"/>
  <c r="O17" i="1"/>
  <c r="N17" i="1"/>
  <c r="N52" i="1" s="1"/>
  <c r="M17" i="1"/>
  <c r="M52" i="1" s="1"/>
  <c r="L17" i="1"/>
  <c r="L52" i="1" s="1"/>
  <c r="K17" i="1"/>
  <c r="J17" i="1"/>
  <c r="J52" i="1" s="1"/>
  <c r="I17" i="1"/>
  <c r="I52" i="1" s="1"/>
  <c r="H17" i="1"/>
  <c r="H52" i="1" s="1"/>
  <c r="G17" i="1"/>
  <c r="F17" i="1"/>
  <c r="F52" i="1" s="1"/>
  <c r="E17" i="1"/>
  <c r="E52" i="1" s="1"/>
  <c r="D17" i="1"/>
  <c r="D52" i="1" s="1"/>
  <c r="CS15" i="1"/>
  <c r="CS21" i="1" s="1"/>
  <c r="CR15" i="1"/>
  <c r="CR21" i="1" s="1"/>
  <c r="CQ15" i="1"/>
  <c r="CQ21" i="1" s="1"/>
  <c r="CP15" i="1"/>
  <c r="CP21" i="1" s="1"/>
  <c r="CO15" i="1"/>
  <c r="CO21" i="1" s="1"/>
  <c r="CN15" i="1"/>
  <c r="CN21" i="1" s="1"/>
  <c r="CG15" i="1"/>
  <c r="CG21" i="1" s="1"/>
  <c r="CE15" i="1"/>
  <c r="CE21" i="1" s="1"/>
  <c r="CA15" i="1"/>
  <c r="CA21" i="1" s="1"/>
  <c r="BZ15" i="1"/>
  <c r="BZ21" i="1" s="1"/>
  <c r="BY15" i="1"/>
  <c r="BY21" i="1" s="1"/>
  <c r="BX15" i="1"/>
  <c r="BX21" i="1" s="1"/>
  <c r="BW15" i="1"/>
  <c r="BW21" i="1" s="1"/>
  <c r="BV15" i="1"/>
  <c r="BV21" i="1" s="1"/>
  <c r="BU15" i="1"/>
  <c r="BU21" i="1" s="1"/>
  <c r="BT15" i="1"/>
  <c r="BT21" i="1" s="1"/>
  <c r="BR15" i="1"/>
  <c r="BR21" i="1" s="1"/>
  <c r="BQ15" i="1"/>
  <c r="BQ21" i="1" s="1"/>
  <c r="BP15" i="1"/>
  <c r="BP21" i="1" s="1"/>
  <c r="BN15" i="1"/>
  <c r="BN21" i="1" s="1"/>
  <c r="BM15" i="1"/>
  <c r="BM21" i="1" s="1"/>
  <c r="BL15" i="1"/>
  <c r="BL21" i="1" s="1"/>
  <c r="BK15" i="1"/>
  <c r="BK21" i="1" s="1"/>
  <c r="BJ15" i="1"/>
  <c r="BJ21" i="1" s="1"/>
  <c r="BI15" i="1"/>
  <c r="BI21" i="1" s="1"/>
  <c r="BH15" i="1"/>
  <c r="BH21" i="1" s="1"/>
  <c r="BG15" i="1"/>
  <c r="BG21" i="1" s="1"/>
  <c r="BF15" i="1"/>
  <c r="BF21" i="1" s="1"/>
  <c r="BE15" i="1"/>
  <c r="BE21" i="1" s="1"/>
  <c r="BD15" i="1"/>
  <c r="BD21" i="1" s="1"/>
  <c r="BC15" i="1"/>
  <c r="BC21" i="1" s="1"/>
  <c r="BB15" i="1"/>
  <c r="BB21" i="1" s="1"/>
  <c r="BA15" i="1"/>
  <c r="BA21" i="1" s="1"/>
  <c r="AZ15" i="1"/>
  <c r="AZ21" i="1" s="1"/>
  <c r="AY15" i="1"/>
  <c r="AY21" i="1" s="1"/>
  <c r="AX15" i="1"/>
  <c r="AX21" i="1" s="1"/>
  <c r="AW15" i="1"/>
  <c r="AW21" i="1" s="1"/>
  <c r="AV15" i="1"/>
  <c r="AV21" i="1" s="1"/>
  <c r="AU15" i="1"/>
  <c r="AU21" i="1" s="1"/>
  <c r="AT15" i="1"/>
  <c r="AT21" i="1" s="1"/>
  <c r="AS15" i="1"/>
  <c r="AS21" i="1" s="1"/>
  <c r="AR15" i="1"/>
  <c r="AR21" i="1" s="1"/>
  <c r="AQ15" i="1"/>
  <c r="AQ21" i="1" s="1"/>
  <c r="AP15" i="1"/>
  <c r="AP21" i="1" s="1"/>
  <c r="AO15" i="1"/>
  <c r="AO21" i="1" s="1"/>
  <c r="AN15" i="1"/>
  <c r="AN21" i="1" s="1"/>
  <c r="AM15" i="1"/>
  <c r="AM21" i="1" s="1"/>
  <c r="AL15" i="1"/>
  <c r="AL21" i="1" s="1"/>
  <c r="AK15" i="1"/>
  <c r="AK21" i="1" s="1"/>
  <c r="AJ15" i="1"/>
  <c r="AJ21" i="1" s="1"/>
  <c r="AI15" i="1"/>
  <c r="AI21" i="1" s="1"/>
  <c r="AH15" i="1"/>
  <c r="AH21" i="1" s="1"/>
  <c r="AG15" i="1"/>
  <c r="AG21" i="1" s="1"/>
  <c r="AF15" i="1"/>
  <c r="AF21" i="1" s="1"/>
  <c r="AE15" i="1"/>
  <c r="AE21" i="1" s="1"/>
  <c r="AD15" i="1"/>
  <c r="AD21" i="1" s="1"/>
  <c r="AC15" i="1"/>
  <c r="AC21" i="1" s="1"/>
  <c r="AB15" i="1"/>
  <c r="AB21" i="1" s="1"/>
  <c r="AA15" i="1"/>
  <c r="AA21" i="1" s="1"/>
  <c r="Z15" i="1"/>
  <c r="Z21" i="1" s="1"/>
  <c r="Y15" i="1"/>
  <c r="Y21" i="1" s="1"/>
  <c r="X15" i="1"/>
  <c r="X21" i="1" s="1"/>
  <c r="W15" i="1"/>
  <c r="W21" i="1" s="1"/>
  <c r="V15" i="1"/>
  <c r="V21" i="1" s="1"/>
  <c r="U15" i="1"/>
  <c r="U21" i="1" s="1"/>
  <c r="T15" i="1"/>
  <c r="T21" i="1" s="1"/>
  <c r="S15" i="1"/>
  <c r="S21" i="1" s="1"/>
  <c r="R15" i="1"/>
  <c r="R21" i="1" s="1"/>
  <c r="Q15" i="1"/>
  <c r="Q21" i="1" s="1"/>
  <c r="P15" i="1"/>
  <c r="P21" i="1" s="1"/>
  <c r="O15" i="1"/>
  <c r="O21" i="1" s="1"/>
  <c r="N15" i="1"/>
  <c r="N21" i="1" s="1"/>
  <c r="M15" i="1"/>
  <c r="M21" i="1" s="1"/>
  <c r="L15" i="1"/>
  <c r="L21" i="1" s="1"/>
  <c r="K15" i="1"/>
  <c r="K21" i="1" s="1"/>
  <c r="J15" i="1"/>
  <c r="J21" i="1" s="1"/>
  <c r="I15" i="1"/>
  <c r="I21" i="1" s="1"/>
  <c r="H15" i="1"/>
  <c r="H21" i="1" s="1"/>
  <c r="G15" i="1"/>
  <c r="G21" i="1" s="1"/>
  <c r="F15" i="1"/>
  <c r="F21" i="1" s="1"/>
  <c r="E15" i="1"/>
  <c r="E21" i="1" s="1"/>
  <c r="D15" i="1"/>
  <c r="D21" i="1" s="1"/>
  <c r="CM13" i="1"/>
  <c r="CM15" i="1" s="1"/>
  <c r="CL13" i="1"/>
  <c r="CL15" i="1" s="1"/>
  <c r="CK13" i="1"/>
  <c r="CK15" i="1" s="1"/>
  <c r="CJ13" i="1"/>
  <c r="CJ15" i="1" s="1"/>
  <c r="CI13" i="1"/>
  <c r="CI15" i="1" s="1"/>
  <c r="CH13" i="1"/>
  <c r="CH15" i="1" s="1"/>
  <c r="CF13" i="1"/>
  <c r="CF15" i="1" s="1"/>
  <c r="CD13" i="1"/>
  <c r="CD15" i="1" s="1"/>
  <c r="CC13" i="1"/>
  <c r="CC15" i="1" s="1"/>
  <c r="CB13" i="1"/>
  <c r="CB15" i="1" s="1"/>
  <c r="FD14" i="1"/>
  <c r="FC14" i="1"/>
  <c r="FB14" i="1"/>
  <c r="FA14" i="1"/>
  <c r="EZ14" i="1"/>
  <c r="EY14" i="1"/>
  <c r="EX14" i="1"/>
  <c r="EW14" i="1"/>
  <c r="EV14" i="1"/>
  <c r="EU14" i="1"/>
  <c r="ET14" i="1"/>
  <c r="ES14" i="1"/>
  <c r="ER14" i="1"/>
  <c r="EQ14" i="1"/>
  <c r="EP14" i="1"/>
  <c r="EO14" i="1"/>
  <c r="EN14" i="1"/>
  <c r="EM14" i="1"/>
  <c r="EL14" i="1"/>
  <c r="EK14" i="1"/>
  <c r="EJ14" i="1"/>
  <c r="EI14" i="1"/>
  <c r="EH14" i="1"/>
  <c r="EG14" i="1"/>
  <c r="EF14" i="1"/>
  <c r="FB13" i="1"/>
  <c r="EW13" i="1"/>
  <c r="EV13" i="1"/>
  <c r="EU13" i="1"/>
  <c r="ET13" i="1"/>
  <c r="ES13" i="1"/>
  <c r="ER13" i="1"/>
  <c r="EQ13" i="1"/>
  <c r="EP13" i="1"/>
  <c r="EO13" i="1"/>
  <c r="EN13" i="1"/>
  <c r="EM13" i="1"/>
  <c r="EL13" i="1"/>
  <c r="EK13" i="1"/>
  <c r="EJ13" i="1"/>
  <c r="EI13" i="1"/>
  <c r="EH13" i="1"/>
  <c r="EG13" i="1"/>
  <c r="EF13" i="1"/>
  <c r="FB12" i="1"/>
  <c r="FA12" i="1"/>
  <c r="EZ12" i="1"/>
  <c r="EY12" i="1"/>
  <c r="EX12" i="1"/>
  <c r="EW12" i="1"/>
  <c r="ET12" i="1"/>
  <c r="ES12" i="1"/>
  <c r="ER12" i="1"/>
  <c r="EQ12" i="1"/>
  <c r="EP12" i="1"/>
  <c r="EO12" i="1"/>
  <c r="EN12" i="1"/>
  <c r="EM12" i="1"/>
  <c r="EL12" i="1"/>
  <c r="EK12" i="1"/>
  <c r="EJ12" i="1"/>
  <c r="EI12" i="1"/>
  <c r="EH12" i="1"/>
  <c r="EG12" i="1"/>
  <c r="EF12" i="1"/>
  <c r="ED14" i="1"/>
  <c r="EC14" i="1"/>
  <c r="EB14" i="1"/>
  <c r="EA14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EA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EA12" i="1"/>
  <c r="DZ12" i="1"/>
  <c r="DY12" i="1"/>
  <c r="DX12" i="1"/>
  <c r="DW12" i="1"/>
  <c r="DV12" i="1"/>
  <c r="DS12" i="1"/>
  <c r="DS15" i="1" s="1"/>
  <c r="DR12" i="1"/>
  <c r="DQ12" i="1"/>
  <c r="DP12" i="1"/>
  <c r="DO12" i="1"/>
  <c r="DO15" i="1" s="1"/>
  <c r="DN12" i="1"/>
  <c r="DM12" i="1"/>
  <c r="DL12" i="1"/>
  <c r="DK12" i="1"/>
  <c r="DK15" i="1" s="1"/>
  <c r="DJ12" i="1"/>
  <c r="DI12" i="1"/>
  <c r="DH12" i="1"/>
  <c r="DG12" i="1"/>
  <c r="DG15" i="1" s="1"/>
  <c r="DF12" i="1"/>
  <c r="DE12" i="1"/>
  <c r="DC13" i="1"/>
  <c r="DB13" i="1"/>
  <c r="DA13" i="1"/>
  <c r="CZ13" i="1"/>
  <c r="CY13" i="1"/>
  <c r="CX13" i="1"/>
  <c r="CW13" i="1"/>
  <c r="CV13" i="1"/>
  <c r="CU13" i="1"/>
  <c r="CT13" i="1"/>
  <c r="BS12" i="1"/>
  <c r="BS15" i="1" s="1"/>
  <c r="BO12" i="1"/>
  <c r="BO15" i="1" s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V10" i="1"/>
  <c r="BU10" i="1"/>
  <c r="BT10" i="1"/>
  <c r="BR10" i="1"/>
  <c r="BQ10" i="1"/>
  <c r="BP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R9" i="1"/>
  <c r="BQ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CG8" i="1"/>
  <c r="CE8" i="1"/>
  <c r="CT8" i="1"/>
  <c r="CK8" i="1"/>
  <c r="CX8" i="1"/>
  <c r="CI8" i="1"/>
  <c r="CL8" i="1"/>
  <c r="DC8" i="1"/>
  <c r="DB8" i="1"/>
  <c r="CU8" i="1"/>
  <c r="CW8" i="1"/>
  <c r="CF8" i="1"/>
  <c r="BX8" i="1"/>
  <c r="CC8" i="1"/>
  <c r="CV8" i="1"/>
  <c r="CP8" i="1"/>
  <c r="CJ8" i="1"/>
  <c r="CM8" i="1"/>
  <c r="CH8" i="1"/>
  <c r="BY8" i="1"/>
  <c r="CR8" i="1"/>
  <c r="CD8" i="1"/>
  <c r="CN8" i="1"/>
  <c r="CO8" i="1"/>
  <c r="DA8" i="1"/>
  <c r="CQ8" i="1"/>
  <c r="CB8" i="1"/>
  <c r="CY8" i="1"/>
  <c r="CZ8" i="1"/>
  <c r="CS8" i="1"/>
  <c r="DH15" i="1" l="1"/>
  <c r="DL15" i="1"/>
  <c r="DP15" i="1"/>
  <c r="DT12" i="1"/>
  <c r="DT15" i="1" s="1"/>
  <c r="EW15" i="1"/>
  <c r="EH15" i="1"/>
  <c r="EL15" i="1"/>
  <c r="EP15" i="1"/>
  <c r="ET15" i="1"/>
  <c r="DE48" i="1"/>
  <c r="DI48" i="1"/>
  <c r="DM48" i="1"/>
  <c r="DQ48" i="1"/>
  <c r="DT32" i="1"/>
  <c r="DT37" i="1" s="1"/>
  <c r="DY37" i="1"/>
  <c r="EC37" i="1"/>
  <c r="EH37" i="1"/>
  <c r="EL37" i="1"/>
  <c r="EP37" i="1"/>
  <c r="ET37" i="1"/>
  <c r="EZ37" i="1"/>
  <c r="FD37" i="1"/>
  <c r="DY44" i="1"/>
  <c r="EZ41" i="1"/>
  <c r="EY42" i="1"/>
  <c r="FA42" i="1"/>
  <c r="FB42" i="1"/>
  <c r="FC42" i="1"/>
  <c r="ED42" i="1"/>
  <c r="EB44" i="1"/>
  <c r="FD44" i="1"/>
  <c r="ED44" i="1"/>
  <c r="DU63" i="1"/>
  <c r="EZ67" i="1"/>
  <c r="EC76" i="1"/>
  <c r="ED76" i="1"/>
  <c r="CP80" i="1"/>
  <c r="CP81" i="1" s="1"/>
  <c r="EF80" i="1"/>
  <c r="EG80" i="1"/>
  <c r="DG80" i="1"/>
  <c r="EJ80" i="1"/>
  <c r="EK80" i="1"/>
  <c r="DK80" i="1"/>
  <c r="EN80" i="1"/>
  <c r="EO80" i="1"/>
  <c r="DO80" i="1"/>
  <c r="ER80" i="1"/>
  <c r="ES80" i="1"/>
  <c r="DS80" i="1"/>
  <c r="EF81" i="1"/>
  <c r="DF81" i="1"/>
  <c r="EJ81" i="1"/>
  <c r="DJ81" i="1"/>
  <c r="EN81" i="1"/>
  <c r="DN81" i="1"/>
  <c r="ER81" i="1"/>
  <c r="DR81" i="1"/>
  <c r="K52" i="1"/>
  <c r="S52" i="1"/>
  <c r="AE52" i="1"/>
  <c r="AM52" i="1"/>
  <c r="AY52" i="1"/>
  <c r="BG52" i="1"/>
  <c r="BU52" i="1"/>
  <c r="EO48" i="1"/>
  <c r="D50" i="1"/>
  <c r="D49" i="1" s="1"/>
  <c r="H50" i="1"/>
  <c r="H49" i="1" s="1"/>
  <c r="P50" i="1"/>
  <c r="P49" i="1" s="1"/>
  <c r="T50" i="1"/>
  <c r="T49" i="1" s="1"/>
  <c r="X50" i="1"/>
  <c r="X49" i="1" s="1"/>
  <c r="AB50" i="1"/>
  <c r="AB49" i="1" s="1"/>
  <c r="AF50" i="1"/>
  <c r="AF49" i="1" s="1"/>
  <c r="AJ50" i="1"/>
  <c r="AJ49" i="1" s="1"/>
  <c r="AN50" i="1"/>
  <c r="AN49" i="1" s="1"/>
  <c r="AR50" i="1"/>
  <c r="AR49" i="1" s="1"/>
  <c r="AV50" i="1"/>
  <c r="AV49" i="1" s="1"/>
  <c r="AZ50" i="1"/>
  <c r="AZ49" i="1" s="1"/>
  <c r="BD50" i="1"/>
  <c r="BD49" i="1" s="1"/>
  <c r="BH50" i="1"/>
  <c r="BH49" i="1" s="1"/>
  <c r="BL50" i="1"/>
  <c r="BL49" i="1" s="1"/>
  <c r="BQ50" i="1"/>
  <c r="BQ49" i="1" s="1"/>
  <c r="BV50" i="1"/>
  <c r="BV49" i="1" s="1"/>
  <c r="BZ50" i="1"/>
  <c r="BZ49" i="1" s="1"/>
  <c r="DE37" i="1"/>
  <c r="DI37" i="1"/>
  <c r="DM37" i="1"/>
  <c r="DQ37" i="1"/>
  <c r="EW37" i="1"/>
  <c r="FA37" i="1"/>
  <c r="CJ40" i="1"/>
  <c r="CJ48" i="1" s="1"/>
  <c r="CQ46" i="1"/>
  <c r="DX61" i="1"/>
  <c r="DE61" i="1"/>
  <c r="DE68" i="1" s="1"/>
  <c r="DM61" i="1"/>
  <c r="DM68" i="1" s="1"/>
  <c r="DV61" i="1"/>
  <c r="DG61" i="1"/>
  <c r="DG68" i="1" s="1"/>
  <c r="DK61" i="1"/>
  <c r="DK68" i="1" s="1"/>
  <c r="DO61" i="1"/>
  <c r="DO68" i="1" s="1"/>
  <c r="DS61" i="1"/>
  <c r="DS68" i="1" s="1"/>
  <c r="FA61" i="1"/>
  <c r="G52" i="1"/>
  <c r="O52" i="1"/>
  <c r="W52" i="1"/>
  <c r="AA52" i="1"/>
  <c r="AI52" i="1"/>
  <c r="AQ52" i="1"/>
  <c r="AU52" i="1"/>
  <c r="BC52" i="1"/>
  <c r="BK52" i="1"/>
  <c r="BP52" i="1"/>
  <c r="BY52" i="1"/>
  <c r="EG48" i="1"/>
  <c r="EK48" i="1"/>
  <c r="ES48" i="1"/>
  <c r="L50" i="1"/>
  <c r="L49" i="1" s="1"/>
  <c r="CD52" i="1"/>
  <c r="CH52" i="1"/>
  <c r="CL52" i="1"/>
  <c r="BO48" i="1"/>
  <c r="DG48" i="1"/>
  <c r="DK48" i="1"/>
  <c r="DO48" i="1"/>
  <c r="DS48" i="1"/>
  <c r="DQ61" i="1"/>
  <c r="DQ68" i="1" s="1"/>
  <c r="EG61" i="1"/>
  <c r="EG68" i="1" s="1"/>
  <c r="EK61" i="1"/>
  <c r="EK68" i="1" s="1"/>
  <c r="EO61" i="1"/>
  <c r="EO68" i="1" s="1"/>
  <c r="ES61" i="1"/>
  <c r="ES68" i="1" s="1"/>
  <c r="DY77" i="1"/>
  <c r="DH80" i="1"/>
  <c r="DL80" i="1"/>
  <c r="DP80" i="1"/>
  <c r="DV80" i="1"/>
  <c r="DG81" i="1"/>
  <c r="DK81" i="1"/>
  <c r="DO81" i="1"/>
  <c r="DS81" i="1"/>
  <c r="DU61" i="1"/>
  <c r="DU68" i="1" s="1"/>
  <c r="DY61" i="1"/>
  <c r="DF61" i="1"/>
  <c r="DF68" i="1" s="1"/>
  <c r="DJ61" i="1"/>
  <c r="DJ68" i="1" s="1"/>
  <c r="DN61" i="1"/>
  <c r="DN68" i="1" s="1"/>
  <c r="DR61" i="1"/>
  <c r="DR68" i="1" s="1"/>
  <c r="DH61" i="1"/>
  <c r="DH68" i="1" s="1"/>
  <c r="DL61" i="1"/>
  <c r="DL68" i="1" s="1"/>
  <c r="DP61" i="1"/>
  <c r="DP68" i="1" s="1"/>
  <c r="EM61" i="1"/>
  <c r="EM68" i="1" s="1"/>
  <c r="EY61" i="1"/>
  <c r="EW61" i="1"/>
  <c r="EW68" i="1" s="1"/>
  <c r="EX13" i="1"/>
  <c r="EX15" i="1" s="1"/>
  <c r="EZ42" i="1"/>
  <c r="EC42" i="1"/>
  <c r="DX76" i="1"/>
  <c r="CF80" i="1"/>
  <c r="CJ80" i="1"/>
  <c r="CQ80" i="1"/>
  <c r="CQ81" i="1" s="1"/>
  <c r="DZ13" i="1"/>
  <c r="CF52" i="1"/>
  <c r="CN52" i="1"/>
  <c r="CR52" i="1"/>
  <c r="CR53" i="1" s="1"/>
  <c r="DZ41" i="1"/>
  <c r="CC68" i="1"/>
  <c r="CG68" i="1"/>
  <c r="CK68" i="1"/>
  <c r="CP68" i="1"/>
  <c r="CL80" i="1"/>
  <c r="CL81" i="1" s="1"/>
  <c r="EA77" i="1"/>
  <c r="CQ52" i="1"/>
  <c r="CQ70" i="1" s="1"/>
  <c r="CQ84" i="1" s="1"/>
  <c r="DZ76" i="1"/>
  <c r="FC13" i="1"/>
  <c r="EA41" i="1"/>
  <c r="EA42" i="1"/>
  <c r="DY42" i="1"/>
  <c r="FD42" i="1"/>
  <c r="CQ68" i="1"/>
  <c r="EA68" i="1" s="1"/>
  <c r="FD67" i="1"/>
  <c r="CR80" i="1"/>
  <c r="EB13" i="1"/>
  <c r="EK15" i="1"/>
  <c r="FD13" i="1"/>
  <c r="ED13" i="1"/>
  <c r="DF15" i="1"/>
  <c r="DJ15" i="1"/>
  <c r="DN15" i="1"/>
  <c r="DR15" i="1"/>
  <c r="DW15" i="1"/>
  <c r="EA15" i="1"/>
  <c r="DX13" i="1"/>
  <c r="DX15" i="1" s="1"/>
  <c r="EI15" i="1"/>
  <c r="EM15" i="1"/>
  <c r="EQ15" i="1"/>
  <c r="EU12" i="1"/>
  <c r="EU15" i="1" s="1"/>
  <c r="CC40" i="1"/>
  <c r="CC48" i="1" s="1"/>
  <c r="CC52" i="1" s="1"/>
  <c r="CK40" i="1"/>
  <c r="DZ40" i="1" s="1"/>
  <c r="CP40" i="1"/>
  <c r="CP48" i="1" s="1"/>
  <c r="CP52" i="1" s="1"/>
  <c r="DY41" i="1"/>
  <c r="DZ42" i="1"/>
  <c r="DX44" i="1"/>
  <c r="DZ61" i="1"/>
  <c r="EA61" i="1"/>
  <c r="EH61" i="1"/>
  <c r="EH68" i="1" s="1"/>
  <c r="EL61" i="1"/>
  <c r="EL68" i="1" s="1"/>
  <c r="EP61" i="1"/>
  <c r="EP68" i="1" s="1"/>
  <c r="ET61" i="1"/>
  <c r="ET68" i="1" s="1"/>
  <c r="EX61" i="1"/>
  <c r="EX68" i="1" s="1"/>
  <c r="FB61" i="1"/>
  <c r="EU63" i="1"/>
  <c r="BO61" i="1"/>
  <c r="BO68" i="1" s="1"/>
  <c r="DX67" i="1"/>
  <c r="DY67" i="1"/>
  <c r="DZ67" i="1"/>
  <c r="EA67" i="1"/>
  <c r="EB76" i="1"/>
  <c r="EA78" i="1"/>
  <c r="CE80" i="1"/>
  <c r="CE81" i="1" s="1"/>
  <c r="CI80" i="1"/>
  <c r="CI81" i="1" s="1"/>
  <c r="EG81" i="1"/>
  <c r="EK81" i="1"/>
  <c r="EO81" i="1"/>
  <c r="ES81" i="1"/>
  <c r="EO15" i="1"/>
  <c r="EZ13" i="1"/>
  <c r="EZ15" i="1" s="1"/>
  <c r="CM52" i="1"/>
  <c r="CM70" i="1" s="1"/>
  <c r="CM84" i="1" s="1"/>
  <c r="DT24" i="1"/>
  <c r="DT48" i="1" s="1"/>
  <c r="CI40" i="1"/>
  <c r="CI48" i="1" s="1"/>
  <c r="CI52" i="1" s="1"/>
  <c r="DX42" i="1"/>
  <c r="EB42" i="1"/>
  <c r="DZ44" i="1"/>
  <c r="EZ44" i="1"/>
  <c r="DV68" i="1"/>
  <c r="EF61" i="1"/>
  <c r="EF68" i="1" s="1"/>
  <c r="EJ61" i="1"/>
  <c r="EJ68" i="1" s="1"/>
  <c r="EN61" i="1"/>
  <c r="EN68" i="1" s="1"/>
  <c r="ER61" i="1"/>
  <c r="ER68" i="1" s="1"/>
  <c r="EV61" i="1"/>
  <c r="EV68" i="1" s="1"/>
  <c r="EZ61" i="1"/>
  <c r="EZ68" i="1" s="1"/>
  <c r="BS61" i="1"/>
  <c r="BS68" i="1" s="1"/>
  <c r="FB67" i="1"/>
  <c r="EY67" i="1"/>
  <c r="EY68" i="1" s="1"/>
  <c r="FA67" i="1"/>
  <c r="FA68" i="1" s="1"/>
  <c r="CC80" i="1"/>
  <c r="CG80" i="1"/>
  <c r="CK80" i="1"/>
  <c r="EG15" i="1"/>
  <c r="ES15" i="1"/>
  <c r="EC13" i="1"/>
  <c r="DE15" i="1"/>
  <c r="DI15" i="1"/>
  <c r="DM15" i="1"/>
  <c r="DQ15" i="1"/>
  <c r="DV15" i="1"/>
  <c r="DZ15" i="1"/>
  <c r="EF15" i="1"/>
  <c r="EJ15" i="1"/>
  <c r="EN15" i="1"/>
  <c r="ER15" i="1"/>
  <c r="FB15" i="1"/>
  <c r="CJ52" i="1"/>
  <c r="CJ70" i="1" s="1"/>
  <c r="CJ84" i="1" s="1"/>
  <c r="DZ48" i="1"/>
  <c r="EU24" i="1"/>
  <c r="DF37" i="1"/>
  <c r="DJ37" i="1"/>
  <c r="DN37" i="1"/>
  <c r="DR37" i="1"/>
  <c r="DW37" i="1"/>
  <c r="EA37" i="1"/>
  <c r="EF37" i="1"/>
  <c r="EJ37" i="1"/>
  <c r="EN37" i="1"/>
  <c r="ER37" i="1"/>
  <c r="EX37" i="1"/>
  <c r="FB37" i="1"/>
  <c r="EA44" i="1"/>
  <c r="FB41" i="1"/>
  <c r="CB40" i="1"/>
  <c r="CB48" i="1" s="1"/>
  <c r="CB52" i="1" s="1"/>
  <c r="FA41" i="1"/>
  <c r="EY46" i="1"/>
  <c r="EZ46" i="1"/>
  <c r="FA46" i="1"/>
  <c r="DW68" i="1"/>
  <c r="CD68" i="1"/>
  <c r="CH68" i="1"/>
  <c r="CL68" i="1"/>
  <c r="EC67" i="1"/>
  <c r="ED67" i="1"/>
  <c r="EA76" i="1"/>
  <c r="CM80" i="1"/>
  <c r="CM81" i="1" s="1"/>
  <c r="CD80" i="1"/>
  <c r="CD81" i="1" s="1"/>
  <c r="CH80" i="1"/>
  <c r="CH81" i="1" s="1"/>
  <c r="CC21" i="1"/>
  <c r="CC19" i="1"/>
  <c r="CF21" i="1"/>
  <c r="CF19" i="1"/>
  <c r="CI21" i="1"/>
  <c r="CI19" i="1"/>
  <c r="CK21" i="1"/>
  <c r="CK19" i="1"/>
  <c r="CM21" i="1"/>
  <c r="CM19" i="1"/>
  <c r="E58" i="1"/>
  <c r="E22" i="1"/>
  <c r="G58" i="1"/>
  <c r="G22" i="1"/>
  <c r="I58" i="1"/>
  <c r="I22" i="1"/>
  <c r="K58" i="1"/>
  <c r="K22" i="1"/>
  <c r="M58" i="1"/>
  <c r="M22" i="1"/>
  <c r="O58" i="1"/>
  <c r="O22" i="1"/>
  <c r="Q58" i="1"/>
  <c r="Q22" i="1"/>
  <c r="S58" i="1"/>
  <c r="S22" i="1"/>
  <c r="U58" i="1"/>
  <c r="U22" i="1"/>
  <c r="W58" i="1"/>
  <c r="W22" i="1"/>
  <c r="Y58" i="1"/>
  <c r="Y22" i="1"/>
  <c r="AA58" i="1"/>
  <c r="AA22" i="1"/>
  <c r="AC58" i="1"/>
  <c r="AC22" i="1"/>
  <c r="AE58" i="1"/>
  <c r="AE22" i="1"/>
  <c r="AG58" i="1"/>
  <c r="AG22" i="1"/>
  <c r="AI58" i="1"/>
  <c r="AI22" i="1"/>
  <c r="AK58" i="1"/>
  <c r="AK22" i="1"/>
  <c r="AM58" i="1"/>
  <c r="AM22" i="1"/>
  <c r="AO58" i="1"/>
  <c r="AO22" i="1"/>
  <c r="AQ58" i="1"/>
  <c r="AQ22" i="1"/>
  <c r="AS58" i="1"/>
  <c r="AS22" i="1"/>
  <c r="AU58" i="1"/>
  <c r="AU22" i="1"/>
  <c r="AW58" i="1"/>
  <c r="AW22" i="1"/>
  <c r="AY58" i="1"/>
  <c r="AY22" i="1"/>
  <c r="BA58" i="1"/>
  <c r="BA22" i="1"/>
  <c r="BC58" i="1"/>
  <c r="BC22" i="1"/>
  <c r="BE58" i="1"/>
  <c r="BE22" i="1"/>
  <c r="BG58" i="1"/>
  <c r="BG22" i="1"/>
  <c r="BI58" i="1"/>
  <c r="BI22" i="1"/>
  <c r="BK58" i="1"/>
  <c r="BK22" i="1"/>
  <c r="BM58" i="1"/>
  <c r="BM22" i="1"/>
  <c r="BP58" i="1"/>
  <c r="BP22" i="1"/>
  <c r="BR58" i="1"/>
  <c r="BR22" i="1"/>
  <c r="BU58" i="1"/>
  <c r="BU22" i="1"/>
  <c r="BW58" i="1"/>
  <c r="BW22" i="1"/>
  <c r="BY58" i="1"/>
  <c r="BY22" i="1"/>
  <c r="CA58" i="1"/>
  <c r="CA22" i="1"/>
  <c r="CG22" i="1"/>
  <c r="CO22" i="1"/>
  <c r="CQ22" i="1"/>
  <c r="CS22" i="1"/>
  <c r="CB21" i="1"/>
  <c r="CB19" i="1"/>
  <c r="CD21" i="1"/>
  <c r="CD19" i="1"/>
  <c r="CH21" i="1"/>
  <c r="CH19" i="1"/>
  <c r="CJ21" i="1"/>
  <c r="CJ19" i="1"/>
  <c r="CL21" i="1"/>
  <c r="CL19" i="1"/>
  <c r="D58" i="1"/>
  <c r="D22" i="1"/>
  <c r="F58" i="1"/>
  <c r="F22" i="1"/>
  <c r="H58" i="1"/>
  <c r="H22" i="1"/>
  <c r="J58" i="1"/>
  <c r="J22" i="1"/>
  <c r="L58" i="1"/>
  <c r="L22" i="1"/>
  <c r="N58" i="1"/>
  <c r="N22" i="1"/>
  <c r="P58" i="1"/>
  <c r="P22" i="1"/>
  <c r="R58" i="1"/>
  <c r="R22" i="1"/>
  <c r="T58" i="1"/>
  <c r="T22" i="1"/>
  <c r="V58" i="1"/>
  <c r="V22" i="1"/>
  <c r="X58" i="1"/>
  <c r="X22" i="1"/>
  <c r="Z58" i="1"/>
  <c r="Z22" i="1"/>
  <c r="AB58" i="1"/>
  <c r="AB22" i="1"/>
  <c r="AD58" i="1"/>
  <c r="AD22" i="1"/>
  <c r="AF58" i="1"/>
  <c r="AF22" i="1"/>
  <c r="AH58" i="1"/>
  <c r="AH22" i="1"/>
  <c r="AJ58" i="1"/>
  <c r="AJ22" i="1"/>
  <c r="AL58" i="1"/>
  <c r="AL22" i="1"/>
  <c r="AN58" i="1"/>
  <c r="AN22" i="1"/>
  <c r="AP58" i="1"/>
  <c r="AP22" i="1"/>
  <c r="AR58" i="1"/>
  <c r="AR22" i="1"/>
  <c r="AT58" i="1"/>
  <c r="AT22" i="1"/>
  <c r="AV58" i="1"/>
  <c r="AV22" i="1"/>
  <c r="AX58" i="1"/>
  <c r="AX22" i="1"/>
  <c r="AZ58" i="1"/>
  <c r="AZ22" i="1"/>
  <c r="BB58" i="1"/>
  <c r="BB22" i="1"/>
  <c r="BD58" i="1"/>
  <c r="BD22" i="1"/>
  <c r="BF58" i="1"/>
  <c r="BF22" i="1"/>
  <c r="BH58" i="1"/>
  <c r="BH22" i="1"/>
  <c r="BJ58" i="1"/>
  <c r="BJ22" i="1"/>
  <c r="BL58" i="1"/>
  <c r="BL22" i="1"/>
  <c r="BN58" i="1"/>
  <c r="BN22" i="1"/>
  <c r="BQ58" i="1"/>
  <c r="BQ22" i="1"/>
  <c r="BT58" i="1"/>
  <c r="BT22" i="1"/>
  <c r="BV58" i="1"/>
  <c r="BV22" i="1"/>
  <c r="BX58" i="1"/>
  <c r="BX22" i="1"/>
  <c r="BZ58" i="1"/>
  <c r="BZ22" i="1"/>
  <c r="CE22" i="1"/>
  <c r="CN22" i="1"/>
  <c r="CP22" i="1"/>
  <c r="CR22" i="1"/>
  <c r="DU12" i="1"/>
  <c r="DU15" i="1" s="1"/>
  <c r="DY13" i="1"/>
  <c r="DY15" i="1" s="1"/>
  <c r="EV12" i="1"/>
  <c r="EV15" i="1" s="1"/>
  <c r="EY13" i="1"/>
  <c r="EY15" i="1" s="1"/>
  <c r="FA13" i="1"/>
  <c r="FA15" i="1" s="1"/>
  <c r="D70" i="1"/>
  <c r="D53" i="1"/>
  <c r="F70" i="1"/>
  <c r="F53" i="1"/>
  <c r="H70" i="1"/>
  <c r="H53" i="1"/>
  <c r="J70" i="1"/>
  <c r="J53" i="1"/>
  <c r="L70" i="1"/>
  <c r="L53" i="1"/>
  <c r="N70" i="1"/>
  <c r="N53" i="1"/>
  <c r="P70" i="1"/>
  <c r="P53" i="1"/>
  <c r="R70" i="1"/>
  <c r="R53" i="1"/>
  <c r="T70" i="1"/>
  <c r="T53" i="1"/>
  <c r="V70" i="1"/>
  <c r="V53" i="1"/>
  <c r="X70" i="1"/>
  <c r="X53" i="1"/>
  <c r="Z70" i="1"/>
  <c r="Z53" i="1"/>
  <c r="AB70" i="1"/>
  <c r="AB53" i="1"/>
  <c r="AD70" i="1"/>
  <c r="AD53" i="1"/>
  <c r="AF70" i="1"/>
  <c r="AF53" i="1"/>
  <c r="AH70" i="1"/>
  <c r="AH53" i="1"/>
  <c r="AJ70" i="1"/>
  <c r="AJ53" i="1"/>
  <c r="AL70" i="1"/>
  <c r="AL53" i="1"/>
  <c r="AN70" i="1"/>
  <c r="AN53" i="1"/>
  <c r="AP70" i="1"/>
  <c r="AP53" i="1"/>
  <c r="AR70" i="1"/>
  <c r="AR53" i="1"/>
  <c r="AT70" i="1"/>
  <c r="AT53" i="1"/>
  <c r="AV70" i="1"/>
  <c r="AV53" i="1"/>
  <c r="AX70" i="1"/>
  <c r="AX53" i="1"/>
  <c r="AZ70" i="1"/>
  <c r="AZ53" i="1"/>
  <c r="BB70" i="1"/>
  <c r="BB53" i="1"/>
  <c r="BD70" i="1"/>
  <c r="BD53" i="1"/>
  <c r="BF70" i="1"/>
  <c r="BF53" i="1"/>
  <c r="BH70" i="1"/>
  <c r="BH53" i="1"/>
  <c r="BJ70" i="1"/>
  <c r="BJ53" i="1"/>
  <c r="BL70" i="1"/>
  <c r="BL53" i="1"/>
  <c r="BN70" i="1"/>
  <c r="BN53" i="1"/>
  <c r="BP70" i="1"/>
  <c r="BP53" i="1"/>
  <c r="BR70" i="1"/>
  <c r="BR53" i="1"/>
  <c r="BT70" i="1"/>
  <c r="BT53" i="1"/>
  <c r="BV70" i="1"/>
  <c r="BV53" i="1"/>
  <c r="BX70" i="1"/>
  <c r="BX53" i="1"/>
  <c r="BZ70" i="1"/>
  <c r="BZ53" i="1"/>
  <c r="CD70" i="1"/>
  <c r="CD53" i="1"/>
  <c r="CF70" i="1"/>
  <c r="CF84" i="1" s="1"/>
  <c r="CF53" i="1"/>
  <c r="CH70" i="1"/>
  <c r="CH84" i="1" s="1"/>
  <c r="CH53" i="1"/>
  <c r="CJ53" i="1"/>
  <c r="CL70" i="1"/>
  <c r="CL84" i="1" s="1"/>
  <c r="CL53" i="1"/>
  <c r="CN70" i="1"/>
  <c r="CN84" i="1" s="1"/>
  <c r="CN53" i="1"/>
  <c r="CR70" i="1"/>
  <c r="CR84" i="1" s="1"/>
  <c r="D18" i="1"/>
  <c r="F18" i="1"/>
  <c r="H18" i="1"/>
  <c r="J18" i="1"/>
  <c r="L18" i="1"/>
  <c r="N18" i="1"/>
  <c r="P18" i="1"/>
  <c r="R18" i="1"/>
  <c r="T18" i="1"/>
  <c r="V18" i="1"/>
  <c r="X18" i="1"/>
  <c r="Z18" i="1"/>
  <c r="AB18" i="1"/>
  <c r="AD18" i="1"/>
  <c r="AF18" i="1"/>
  <c r="AH18" i="1"/>
  <c r="AJ18" i="1"/>
  <c r="AL18" i="1"/>
  <c r="AN18" i="1"/>
  <c r="AP18" i="1"/>
  <c r="AR18" i="1"/>
  <c r="AT18" i="1"/>
  <c r="AV18" i="1"/>
  <c r="AX18" i="1"/>
  <c r="AZ18" i="1"/>
  <c r="BB18" i="1"/>
  <c r="BD18" i="1"/>
  <c r="BF18" i="1"/>
  <c r="BH18" i="1"/>
  <c r="BJ18" i="1"/>
  <c r="BL18" i="1"/>
  <c r="BN18" i="1"/>
  <c r="BP18" i="1"/>
  <c r="BR18" i="1"/>
  <c r="BT18" i="1"/>
  <c r="BV18" i="1"/>
  <c r="BX18" i="1"/>
  <c r="BZ18" i="1"/>
  <c r="CB18" i="1"/>
  <c r="CD18" i="1"/>
  <c r="CF18" i="1"/>
  <c r="CH18" i="1"/>
  <c r="CJ18" i="1"/>
  <c r="CL18" i="1"/>
  <c r="CN18" i="1"/>
  <c r="CP18" i="1"/>
  <c r="CR18" i="1"/>
  <c r="D19" i="1"/>
  <c r="F19" i="1"/>
  <c r="H19" i="1"/>
  <c r="J19" i="1"/>
  <c r="L19" i="1"/>
  <c r="N19" i="1"/>
  <c r="P19" i="1"/>
  <c r="R19" i="1"/>
  <c r="T19" i="1"/>
  <c r="V19" i="1"/>
  <c r="X19" i="1"/>
  <c r="Z19" i="1"/>
  <c r="AB19" i="1"/>
  <c r="AD19" i="1"/>
  <c r="AF19" i="1"/>
  <c r="AH19" i="1"/>
  <c r="AJ19" i="1"/>
  <c r="AL19" i="1"/>
  <c r="AN19" i="1"/>
  <c r="AP19" i="1"/>
  <c r="AR19" i="1"/>
  <c r="AT19" i="1"/>
  <c r="AV19" i="1"/>
  <c r="AX19" i="1"/>
  <c r="AZ19" i="1"/>
  <c r="BB19" i="1"/>
  <c r="BD19" i="1"/>
  <c r="BF19" i="1"/>
  <c r="BH19" i="1"/>
  <c r="BJ19" i="1"/>
  <c r="BL19" i="1"/>
  <c r="BN19" i="1"/>
  <c r="BP19" i="1"/>
  <c r="BR19" i="1"/>
  <c r="BT19" i="1"/>
  <c r="BV19" i="1"/>
  <c r="BX19" i="1"/>
  <c r="BZ19" i="1"/>
  <c r="CN19" i="1"/>
  <c r="CP19" i="1"/>
  <c r="CR19" i="1"/>
  <c r="DU24" i="1"/>
  <c r="EV24" i="1"/>
  <c r="DE29" i="1"/>
  <c r="DG29" i="1"/>
  <c r="DI29" i="1"/>
  <c r="DK29" i="1"/>
  <c r="DM29" i="1"/>
  <c r="DO29" i="1"/>
  <c r="DQ29" i="1"/>
  <c r="DS29" i="1"/>
  <c r="DW29" i="1"/>
  <c r="DY29" i="1"/>
  <c r="EA29" i="1"/>
  <c r="EC29" i="1"/>
  <c r="EF29" i="1"/>
  <c r="EH29" i="1"/>
  <c r="EJ29" i="1"/>
  <c r="EL29" i="1"/>
  <c r="EN29" i="1"/>
  <c r="EP29" i="1"/>
  <c r="ER29" i="1"/>
  <c r="ET29" i="1"/>
  <c r="EX29" i="1"/>
  <c r="EZ29" i="1"/>
  <c r="FB29" i="1"/>
  <c r="FD29" i="1"/>
  <c r="CB50" i="1"/>
  <c r="CB49" i="1"/>
  <c r="CD50" i="1"/>
  <c r="CD49" i="1"/>
  <c r="CF50" i="1"/>
  <c r="CF49" i="1"/>
  <c r="CH50" i="1"/>
  <c r="CH49" i="1"/>
  <c r="CJ50" i="1"/>
  <c r="CJ49" i="1"/>
  <c r="CL50" i="1"/>
  <c r="CL49" i="1"/>
  <c r="CN50" i="1"/>
  <c r="CN58" i="1" s="1"/>
  <c r="CN49" i="1"/>
  <c r="CP50" i="1"/>
  <c r="CP58" i="1" s="1"/>
  <c r="CP49" i="1"/>
  <c r="CR50" i="1"/>
  <c r="CR58" i="1" s="1"/>
  <c r="CR49" i="1"/>
  <c r="CT49" i="1"/>
  <c r="CV49" i="1"/>
  <c r="CX49" i="1"/>
  <c r="CZ49" i="1"/>
  <c r="DB49" i="1"/>
  <c r="D30" i="1"/>
  <c r="F30" i="1"/>
  <c r="H30" i="1"/>
  <c r="J30" i="1"/>
  <c r="L30" i="1"/>
  <c r="N30" i="1"/>
  <c r="P30" i="1"/>
  <c r="R30" i="1"/>
  <c r="T30" i="1"/>
  <c r="V30" i="1"/>
  <c r="X30" i="1"/>
  <c r="Z30" i="1"/>
  <c r="AB30" i="1"/>
  <c r="AD30" i="1"/>
  <c r="AF30" i="1"/>
  <c r="AH30" i="1"/>
  <c r="AJ30" i="1"/>
  <c r="AL30" i="1"/>
  <c r="AN30" i="1"/>
  <c r="AP30" i="1"/>
  <c r="AR30" i="1"/>
  <c r="AT30" i="1"/>
  <c r="AV30" i="1"/>
  <c r="AX30" i="1"/>
  <c r="AZ30" i="1"/>
  <c r="BB30" i="1"/>
  <c r="BD30" i="1"/>
  <c r="BF30" i="1"/>
  <c r="BH30" i="1"/>
  <c r="BJ30" i="1"/>
  <c r="BL30" i="1"/>
  <c r="BN30" i="1"/>
  <c r="BP30" i="1"/>
  <c r="BR30" i="1"/>
  <c r="BT30" i="1"/>
  <c r="BV30" i="1"/>
  <c r="BX30" i="1"/>
  <c r="BZ30" i="1"/>
  <c r="CB30" i="1"/>
  <c r="CD30" i="1"/>
  <c r="CF30" i="1"/>
  <c r="CH30" i="1"/>
  <c r="CJ30" i="1"/>
  <c r="CL30" i="1"/>
  <c r="CN30" i="1"/>
  <c r="CP30" i="1"/>
  <c r="CR30" i="1"/>
  <c r="DU32" i="1"/>
  <c r="EV32" i="1"/>
  <c r="FB40" i="1"/>
  <c r="FB48" i="1" s="1"/>
  <c r="CO48" i="1"/>
  <c r="DX46" i="1"/>
  <c r="EX46" i="1"/>
  <c r="DY46" i="1"/>
  <c r="DZ46" i="1"/>
  <c r="EA46" i="1"/>
  <c r="E70" i="1"/>
  <c r="E53" i="1"/>
  <c r="G70" i="1"/>
  <c r="G53" i="1"/>
  <c r="I70" i="1"/>
  <c r="I53" i="1"/>
  <c r="K70" i="1"/>
  <c r="K53" i="1"/>
  <c r="M70" i="1"/>
  <c r="M53" i="1"/>
  <c r="O70" i="1"/>
  <c r="O53" i="1"/>
  <c r="Q70" i="1"/>
  <c r="Q53" i="1"/>
  <c r="S70" i="1"/>
  <c r="S53" i="1"/>
  <c r="U70" i="1"/>
  <c r="U53" i="1"/>
  <c r="W70" i="1"/>
  <c r="W53" i="1"/>
  <c r="Y70" i="1"/>
  <c r="Y53" i="1"/>
  <c r="AA70" i="1"/>
  <c r="AA53" i="1"/>
  <c r="AC70" i="1"/>
  <c r="AC53" i="1"/>
  <c r="AE70" i="1"/>
  <c r="AE53" i="1"/>
  <c r="AG70" i="1"/>
  <c r="AG53" i="1"/>
  <c r="AI70" i="1"/>
  <c r="AI53" i="1"/>
  <c r="AK70" i="1"/>
  <c r="AK53" i="1"/>
  <c r="AM70" i="1"/>
  <c r="AM53" i="1"/>
  <c r="AO70" i="1"/>
  <c r="AO53" i="1"/>
  <c r="AQ70" i="1"/>
  <c r="AQ53" i="1"/>
  <c r="AS70" i="1"/>
  <c r="AS53" i="1"/>
  <c r="AU70" i="1"/>
  <c r="AU53" i="1"/>
  <c r="AW70" i="1"/>
  <c r="AW53" i="1"/>
  <c r="AY70" i="1"/>
  <c r="AY53" i="1"/>
  <c r="BA70" i="1"/>
  <c r="BA53" i="1"/>
  <c r="BC70" i="1"/>
  <c r="BC53" i="1"/>
  <c r="BE70" i="1"/>
  <c r="BE53" i="1"/>
  <c r="BG70" i="1"/>
  <c r="BG53" i="1"/>
  <c r="BI70" i="1"/>
  <c r="BI53" i="1"/>
  <c r="BK70" i="1"/>
  <c r="BK53" i="1"/>
  <c r="BM70" i="1"/>
  <c r="BM53" i="1"/>
  <c r="BQ70" i="1"/>
  <c r="BQ53" i="1"/>
  <c r="BU70" i="1"/>
  <c r="BU53" i="1"/>
  <c r="BW70" i="1"/>
  <c r="BW53" i="1"/>
  <c r="BY70" i="1"/>
  <c r="BY53" i="1"/>
  <c r="CA70" i="1"/>
  <c r="CA53" i="1"/>
  <c r="CE70" i="1"/>
  <c r="CE53" i="1"/>
  <c r="CM53" i="1"/>
  <c r="CO52" i="1"/>
  <c r="E18" i="1"/>
  <c r="G18" i="1"/>
  <c r="I18" i="1"/>
  <c r="K18" i="1"/>
  <c r="M18" i="1"/>
  <c r="O18" i="1"/>
  <c r="Q18" i="1"/>
  <c r="S18" i="1"/>
  <c r="U18" i="1"/>
  <c r="W18" i="1"/>
  <c r="Y18" i="1"/>
  <c r="AA18" i="1"/>
  <c r="AC18" i="1"/>
  <c r="AE18" i="1"/>
  <c r="AG18" i="1"/>
  <c r="AI18" i="1"/>
  <c r="AK18" i="1"/>
  <c r="AM18" i="1"/>
  <c r="AO18" i="1"/>
  <c r="AQ18" i="1"/>
  <c r="AS18" i="1"/>
  <c r="AU18" i="1"/>
  <c r="AW18" i="1"/>
  <c r="AY18" i="1"/>
  <c r="BA18" i="1"/>
  <c r="BC18" i="1"/>
  <c r="BE18" i="1"/>
  <c r="BG18" i="1"/>
  <c r="BI18" i="1"/>
  <c r="BK18" i="1"/>
  <c r="BM18" i="1"/>
  <c r="BQ18" i="1"/>
  <c r="BU18" i="1"/>
  <c r="BW18" i="1"/>
  <c r="BY18" i="1"/>
  <c r="CA18" i="1"/>
  <c r="CC18" i="1"/>
  <c r="CE18" i="1"/>
  <c r="CG18" i="1"/>
  <c r="CI18" i="1"/>
  <c r="CK18" i="1"/>
  <c r="CM18" i="1"/>
  <c r="CO18" i="1"/>
  <c r="CQ18" i="1"/>
  <c r="CS18" i="1"/>
  <c r="E19" i="1"/>
  <c r="G19" i="1"/>
  <c r="I19" i="1"/>
  <c r="K19" i="1"/>
  <c r="M19" i="1"/>
  <c r="O19" i="1"/>
  <c r="Q19" i="1"/>
  <c r="S19" i="1"/>
  <c r="U19" i="1"/>
  <c r="W19" i="1"/>
  <c r="Y19" i="1"/>
  <c r="AA19" i="1"/>
  <c r="AC19" i="1"/>
  <c r="AE19" i="1"/>
  <c r="AG19" i="1"/>
  <c r="AI19" i="1"/>
  <c r="AK19" i="1"/>
  <c r="AM19" i="1"/>
  <c r="AO19" i="1"/>
  <c r="AQ19" i="1"/>
  <c r="AS19" i="1"/>
  <c r="AU19" i="1"/>
  <c r="AW19" i="1"/>
  <c r="AY19" i="1"/>
  <c r="BA19" i="1"/>
  <c r="BC19" i="1"/>
  <c r="BE19" i="1"/>
  <c r="BG19" i="1"/>
  <c r="BI19" i="1"/>
  <c r="BK19" i="1"/>
  <c r="BM19" i="1"/>
  <c r="BQ19" i="1"/>
  <c r="BU19" i="1"/>
  <c r="BW19" i="1"/>
  <c r="BY19" i="1"/>
  <c r="CA19" i="1"/>
  <c r="CE19" i="1"/>
  <c r="CG19" i="1"/>
  <c r="CO19" i="1"/>
  <c r="CQ19" i="1"/>
  <c r="CS19" i="1"/>
  <c r="DF29" i="1"/>
  <c r="DH29" i="1"/>
  <c r="DJ29" i="1"/>
  <c r="DL29" i="1"/>
  <c r="DN29" i="1"/>
  <c r="DP29" i="1"/>
  <c r="DR29" i="1"/>
  <c r="DT29" i="1"/>
  <c r="DV29" i="1"/>
  <c r="DX29" i="1"/>
  <c r="DZ29" i="1"/>
  <c r="EB29" i="1"/>
  <c r="ED29" i="1"/>
  <c r="EG29" i="1"/>
  <c r="EI29" i="1"/>
  <c r="EK29" i="1"/>
  <c r="EM29" i="1"/>
  <c r="EO29" i="1"/>
  <c r="EQ29" i="1"/>
  <c r="ES29" i="1"/>
  <c r="EU29" i="1"/>
  <c r="EW29" i="1"/>
  <c r="EY29" i="1"/>
  <c r="FA29" i="1"/>
  <c r="FC29" i="1"/>
  <c r="BO29" i="1"/>
  <c r="BS29" i="1"/>
  <c r="CC50" i="1"/>
  <c r="CC49" i="1"/>
  <c r="CE50" i="1"/>
  <c r="CE58" i="1" s="1"/>
  <c r="CE49" i="1"/>
  <c r="CG50" i="1"/>
  <c r="CG58" i="1" s="1"/>
  <c r="CG49" i="1"/>
  <c r="CI50" i="1"/>
  <c r="CI49" i="1"/>
  <c r="CK50" i="1"/>
  <c r="CK49" i="1"/>
  <c r="CM50" i="1"/>
  <c r="CM49" i="1"/>
  <c r="CO50" i="1"/>
  <c r="CO58" i="1" s="1"/>
  <c r="CO49" i="1"/>
  <c r="CQ50" i="1"/>
  <c r="CQ58" i="1" s="1"/>
  <c r="CQ49" i="1"/>
  <c r="CS50" i="1"/>
  <c r="CS58" i="1" s="1"/>
  <c r="CS49" i="1"/>
  <c r="CU49" i="1"/>
  <c r="CW49" i="1"/>
  <c r="CY49" i="1"/>
  <c r="DA49" i="1"/>
  <c r="DC49" i="1"/>
  <c r="E30" i="1"/>
  <c r="G30" i="1"/>
  <c r="I30" i="1"/>
  <c r="K30" i="1"/>
  <c r="M30" i="1"/>
  <c r="O30" i="1"/>
  <c r="Q30" i="1"/>
  <c r="S30" i="1"/>
  <c r="U30" i="1"/>
  <c r="W30" i="1"/>
  <c r="Y30" i="1"/>
  <c r="AA30" i="1"/>
  <c r="AC30" i="1"/>
  <c r="AE30" i="1"/>
  <c r="AG30" i="1"/>
  <c r="AI30" i="1"/>
  <c r="AK30" i="1"/>
  <c r="AM30" i="1"/>
  <c r="AO30" i="1"/>
  <c r="AQ30" i="1"/>
  <c r="AS30" i="1"/>
  <c r="AU30" i="1"/>
  <c r="AW30" i="1"/>
  <c r="AY30" i="1"/>
  <c r="BA30" i="1"/>
  <c r="BC30" i="1"/>
  <c r="BE30" i="1"/>
  <c r="BG30" i="1"/>
  <c r="BI30" i="1"/>
  <c r="BK30" i="1"/>
  <c r="BM30" i="1"/>
  <c r="BQ30" i="1"/>
  <c r="BU30" i="1"/>
  <c r="BW30" i="1"/>
  <c r="BY30" i="1"/>
  <c r="CA30" i="1"/>
  <c r="CC30" i="1"/>
  <c r="CE30" i="1"/>
  <c r="CG30" i="1"/>
  <c r="CI30" i="1"/>
  <c r="CK30" i="1"/>
  <c r="CM30" i="1"/>
  <c r="CO30" i="1"/>
  <c r="CQ30" i="1"/>
  <c r="CS30" i="1"/>
  <c r="EU32" i="1"/>
  <c r="CS48" i="1"/>
  <c r="CS52" i="1" s="1"/>
  <c r="FB46" i="1"/>
  <c r="DW40" i="1"/>
  <c r="DW48" i="1" s="1"/>
  <c r="DY40" i="1"/>
  <c r="DY48" i="1" s="1"/>
  <c r="EA40" i="1"/>
  <c r="EA48" i="1" s="1"/>
  <c r="FA40" i="1"/>
  <c r="FA48" i="1" s="1"/>
  <c r="FC41" i="1"/>
  <c r="EY44" i="1"/>
  <c r="FA44" i="1"/>
  <c r="FC44" i="1"/>
  <c r="CT45" i="1"/>
  <c r="CG48" i="1"/>
  <c r="CG52" i="1" s="1"/>
  <c r="CU68" i="1"/>
  <c r="DT64" i="1"/>
  <c r="DT61" i="1" s="1"/>
  <c r="DT68" i="1" s="1"/>
  <c r="EU64" i="1"/>
  <c r="CW150" i="1"/>
  <c r="CW149" i="1" s="1"/>
  <c r="CW154" i="1" s="1"/>
  <c r="BP75" i="1"/>
  <c r="BP82" i="1" s="1"/>
  <c r="CO81" i="1"/>
  <c r="CR81" i="1"/>
  <c r="CF81" i="1"/>
  <c r="DY80" i="1"/>
  <c r="CJ81" i="1"/>
  <c r="FC63" i="1"/>
  <c r="EB63" i="1"/>
  <c r="CV150" i="1"/>
  <c r="CV149" i="1" s="1"/>
  <c r="CV154" i="1" s="1"/>
  <c r="EC78" i="1"/>
  <c r="DT81" i="1"/>
  <c r="CS81" i="1"/>
  <c r="CC81" i="1"/>
  <c r="CG81" i="1"/>
  <c r="EZ80" i="1"/>
  <c r="CK81" i="1"/>
  <c r="CU61" i="1"/>
  <c r="EB61" i="1" s="1"/>
  <c r="CX63" i="1"/>
  <c r="CY63" i="1" s="1"/>
  <c r="CZ63" i="1" s="1"/>
  <c r="DY66" i="1"/>
  <c r="EA66" i="1"/>
  <c r="EC66" i="1"/>
  <c r="EX66" i="1"/>
  <c r="EZ66" i="1"/>
  <c r="FB66" i="1"/>
  <c r="FD66" i="1"/>
  <c r="FC67" i="1"/>
  <c r="CT68" i="1"/>
  <c r="DT74" i="1"/>
  <c r="EU74" i="1"/>
  <c r="BQ75" i="1"/>
  <c r="BQ82" i="1" s="1"/>
  <c r="CZ78" i="1"/>
  <c r="DX78" i="1"/>
  <c r="DZ78" i="1"/>
  <c r="EY78" i="1"/>
  <c r="FA78" i="1"/>
  <c r="BP80" i="1"/>
  <c r="CB80" i="1"/>
  <c r="CN80" i="1"/>
  <c r="BP81" i="1"/>
  <c r="DX66" i="1"/>
  <c r="DX68" i="1" s="1"/>
  <c r="DZ66" i="1"/>
  <c r="EB66" i="1"/>
  <c r="EY66" i="1"/>
  <c r="FA66" i="1"/>
  <c r="EB67" i="1"/>
  <c r="BS74" i="1"/>
  <c r="EV74" i="1" s="1"/>
  <c r="DY78" i="1"/>
  <c r="EZ78" i="1"/>
  <c r="FB78" i="1"/>
  <c r="BO80" i="1"/>
  <c r="BQ80" i="1"/>
  <c r="DU88" i="1"/>
  <c r="DT88" i="1"/>
  <c r="DU96" i="1"/>
  <c r="DT96" i="1"/>
  <c r="CU119" i="1"/>
  <c r="CV111" i="1"/>
  <c r="FC111" i="1" s="1"/>
  <c r="CU110" i="1"/>
  <c r="EB111" i="1"/>
  <c r="CX112" i="1"/>
  <c r="FD8" i="1"/>
  <c r="FC8" i="1"/>
  <c r="FB8" i="1"/>
  <c r="FA8" i="1"/>
  <c r="EZ8" i="1"/>
  <c r="EY8" i="1"/>
  <c r="EX8" i="1"/>
  <c r="EW8" i="1"/>
  <c r="EV8" i="1"/>
  <c r="EU8" i="1"/>
  <c r="ET8" i="1"/>
  <c r="ES8" i="1"/>
  <c r="ER8" i="1"/>
  <c r="EQ8" i="1"/>
  <c r="EP8" i="1"/>
  <c r="EO8" i="1"/>
  <c r="EN8" i="1"/>
  <c r="EM8" i="1"/>
  <c r="EL8" i="1"/>
  <c r="EK8" i="1"/>
  <c r="EJ8" i="1"/>
  <c r="EI8" i="1"/>
  <c r="EH8" i="1"/>
  <c r="EG8" i="1"/>
  <c r="EF8" i="1"/>
  <c r="FB7" i="1"/>
  <c r="FB38" i="1" s="1"/>
  <c r="FA7" i="1"/>
  <c r="EZ7" i="1"/>
  <c r="EY7" i="1"/>
  <c r="EX7" i="1"/>
  <c r="EX38" i="1" s="1"/>
  <c r="EW7" i="1"/>
  <c r="ET7" i="1"/>
  <c r="ET38" i="1" s="1"/>
  <c r="ES7" i="1"/>
  <c r="ER7" i="1"/>
  <c r="EQ7" i="1"/>
  <c r="EP7" i="1"/>
  <c r="EP38" i="1" s="1"/>
  <c r="EO7" i="1"/>
  <c r="EN7" i="1"/>
  <c r="EM7" i="1"/>
  <c r="EL7" i="1"/>
  <c r="EL38" i="1" s="1"/>
  <c r="EK7" i="1"/>
  <c r="EJ7" i="1"/>
  <c r="EJ33" i="1" s="1"/>
  <c r="EI7" i="1"/>
  <c r="EH7" i="1"/>
  <c r="EH38" i="1" s="1"/>
  <c r="EG7" i="1"/>
  <c r="EF7" i="1"/>
  <c r="EF33" i="1" s="1"/>
  <c r="ED8" i="1"/>
  <c r="EC8" i="1"/>
  <c r="EB8" i="1"/>
  <c r="EA8" i="1"/>
  <c r="DZ8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EA7" i="1"/>
  <c r="DZ7" i="1"/>
  <c r="DZ25" i="1" s="1"/>
  <c r="DY7" i="1"/>
  <c r="DY38" i="1" s="1"/>
  <c r="DX7" i="1"/>
  <c r="DW7" i="1"/>
  <c r="DV7" i="1"/>
  <c r="DV25" i="1" s="1"/>
  <c r="DS7" i="1"/>
  <c r="DS38" i="1" s="1"/>
  <c r="DR7" i="1"/>
  <c r="DR25" i="1" s="1"/>
  <c r="DQ7" i="1"/>
  <c r="DP7" i="1"/>
  <c r="DO7" i="1"/>
  <c r="DO38" i="1" s="1"/>
  <c r="DN7" i="1"/>
  <c r="DN25" i="1" s="1"/>
  <c r="DM7" i="1"/>
  <c r="DL7" i="1"/>
  <c r="DK7" i="1"/>
  <c r="DK38" i="1" s="1"/>
  <c r="DJ7" i="1"/>
  <c r="DI7" i="1"/>
  <c r="DH7" i="1"/>
  <c r="DG7" i="1"/>
  <c r="DG38" i="1" s="1"/>
  <c r="DF7" i="1"/>
  <c r="DE7" i="1"/>
  <c r="BS7" i="1"/>
  <c r="BO7" i="1"/>
  <c r="BO33" i="1" s="1"/>
  <c r="ER5" i="1"/>
  <c r="ES5" i="1" s="1"/>
  <c r="ET5" i="1" s="1"/>
  <c r="EU5" i="1" s="1"/>
  <c r="EV5" i="1" s="1"/>
  <c r="EW5" i="1" s="1"/>
  <c r="EX5" i="1" s="1"/>
  <c r="EY5" i="1" s="1"/>
  <c r="EZ5" i="1" s="1"/>
  <c r="FA5" i="1" s="1"/>
  <c r="FB5" i="1" s="1"/>
  <c r="FC5" i="1" s="1"/>
  <c r="FD5" i="1" s="1"/>
  <c r="EQ5" i="1"/>
  <c r="EY4" i="1"/>
  <c r="EX4" i="1"/>
  <c r="EW4" i="1"/>
  <c r="EV4" i="1"/>
  <c r="EU4" i="1"/>
  <c r="ET4" i="1"/>
  <c r="ET109" i="1" s="1"/>
  <c r="ES4" i="1"/>
  <c r="ES109" i="1" s="1"/>
  <c r="ER4" i="1"/>
  <c r="ER109" i="1" s="1"/>
  <c r="EQ4" i="1"/>
  <c r="EQ109" i="1" s="1"/>
  <c r="EP4" i="1"/>
  <c r="EP109" i="1" s="1"/>
  <c r="EO4" i="1"/>
  <c r="EO109" i="1" s="1"/>
  <c r="EN4" i="1"/>
  <c r="EN109" i="1" s="1"/>
  <c r="EM4" i="1"/>
  <c r="EM109" i="1" s="1"/>
  <c r="EL4" i="1"/>
  <c r="EL109" i="1" s="1"/>
  <c r="EK4" i="1"/>
  <c r="EK109" i="1" s="1"/>
  <c r="EJ4" i="1"/>
  <c r="EJ109" i="1" s="1"/>
  <c r="EI4" i="1"/>
  <c r="EI109" i="1" s="1"/>
  <c r="EH4" i="1"/>
  <c r="EH109" i="1" s="1"/>
  <c r="EG4" i="1"/>
  <c r="EG109" i="1" s="1"/>
  <c r="EF4" i="1"/>
  <c r="EF109" i="1" s="1"/>
  <c r="CS31" i="3"/>
  <c r="CS10" i="3"/>
  <c r="CR75" i="3"/>
  <c r="CR73" i="3"/>
  <c r="CR69" i="3"/>
  <c r="CR66" i="3"/>
  <c r="CR56" i="3"/>
  <c r="CR60" i="3"/>
  <c r="CR53" i="3"/>
  <c r="CR50" i="3"/>
  <c r="CR49" i="3"/>
  <c r="CR48" i="3"/>
  <c r="CR47" i="3"/>
  <c r="CR46" i="3"/>
  <c r="CR45" i="3"/>
  <c r="CR44" i="3"/>
  <c r="CR43" i="3"/>
  <c r="CR42" i="3"/>
  <c r="CR51" i="3" s="1"/>
  <c r="CR38" i="3"/>
  <c r="CR37" i="3"/>
  <c r="CR36" i="3"/>
  <c r="CR35" i="3"/>
  <c r="CR34" i="3"/>
  <c r="CR33" i="3"/>
  <c r="CR32" i="3"/>
  <c r="CR31" i="3"/>
  <c r="CR39" i="3" s="1"/>
  <c r="CR27" i="3"/>
  <c r="CR26" i="3"/>
  <c r="CR25" i="3"/>
  <c r="CR24" i="3"/>
  <c r="CR23" i="3"/>
  <c r="CR22" i="3"/>
  <c r="CR21" i="3"/>
  <c r="CR20" i="3"/>
  <c r="CR19" i="3"/>
  <c r="CR17" i="3"/>
  <c r="CR16" i="3"/>
  <c r="CR15" i="3"/>
  <c r="CR14" i="3"/>
  <c r="CR13" i="3"/>
  <c r="CR12" i="3"/>
  <c r="CR11" i="3"/>
  <c r="CR10" i="3"/>
  <c r="CR154" i="3"/>
  <c r="CR151" i="3"/>
  <c r="CR142" i="3"/>
  <c r="CR140" i="3"/>
  <c r="CR114" i="3"/>
  <c r="CR164" i="3"/>
  <c r="CR155" i="3"/>
  <c r="CR143" i="3"/>
  <c r="CS29" i="2"/>
  <c r="CS33" i="2" s="1"/>
  <c r="CS43" i="2" s="1"/>
  <c r="CS21" i="2"/>
  <c r="CS20" i="2"/>
  <c r="CS19" i="2"/>
  <c r="CS8" i="2"/>
  <c r="CS14" i="2" s="1"/>
  <c r="CR64" i="2"/>
  <c r="CR38" i="2"/>
  <c r="CS9" i="2"/>
  <c r="EC63" i="1" l="1"/>
  <c r="FA80" i="1"/>
  <c r="DZ80" i="1"/>
  <c r="EY80" i="1"/>
  <c r="DZ68" i="1"/>
  <c r="FD63" i="1"/>
  <c r="EU61" i="1"/>
  <c r="EU68" i="1" s="1"/>
  <c r="CC53" i="1"/>
  <c r="CC70" i="1"/>
  <c r="CC75" i="1" s="1"/>
  <c r="EB68" i="1"/>
  <c r="DY68" i="1"/>
  <c r="FB80" i="1"/>
  <c r="CK48" i="1"/>
  <c r="CK52" i="1" s="1"/>
  <c r="CK53" i="1" s="1"/>
  <c r="EY40" i="1"/>
  <c r="EY48" i="1" s="1"/>
  <c r="EX40" i="1"/>
  <c r="EX48" i="1" s="1"/>
  <c r="DX40" i="1"/>
  <c r="DX48" i="1" s="1"/>
  <c r="CQ53" i="1"/>
  <c r="FB68" i="1"/>
  <c r="CR76" i="3"/>
  <c r="CP70" i="1"/>
  <c r="CP84" i="1" s="1"/>
  <c r="CP92" i="1" s="1"/>
  <c r="CP53" i="1"/>
  <c r="CI70" i="1"/>
  <c r="CI84" i="1" s="1"/>
  <c r="CI92" i="1" s="1"/>
  <c r="CI53" i="1"/>
  <c r="EZ40" i="1"/>
  <c r="EZ48" i="1" s="1"/>
  <c r="DT7" i="1"/>
  <c r="DT38" i="1" s="1"/>
  <c r="EU7" i="1"/>
  <c r="EU17" i="1" s="1"/>
  <c r="CS72" i="1"/>
  <c r="CS59" i="1"/>
  <c r="CQ72" i="1"/>
  <c r="CQ59" i="1"/>
  <c r="CO72" i="1"/>
  <c r="CO82" i="1" s="1"/>
  <c r="CO59" i="1"/>
  <c r="CG72" i="1"/>
  <c r="CG59" i="1"/>
  <c r="CE72" i="1"/>
  <c r="CE59" i="1"/>
  <c r="CG70" i="1"/>
  <c r="CG84" i="1" s="1"/>
  <c r="CG53" i="1"/>
  <c r="CS70" i="1"/>
  <c r="CS84" i="1" s="1"/>
  <c r="CS53" i="1"/>
  <c r="CB70" i="1"/>
  <c r="CB53" i="1"/>
  <c r="CR59" i="1"/>
  <c r="CR72" i="1"/>
  <c r="CR82" i="1" s="1"/>
  <c r="CP59" i="1"/>
  <c r="CP72" i="1"/>
  <c r="CN59" i="1"/>
  <c r="CN72" i="1"/>
  <c r="EW131" i="1"/>
  <c r="EW109" i="1"/>
  <c r="EY131" i="1"/>
  <c r="EY109" i="1"/>
  <c r="BS21" i="1"/>
  <c r="BS19" i="1"/>
  <c r="BS17" i="1"/>
  <c r="BW10" i="1"/>
  <c r="BS10" i="1"/>
  <c r="BS9" i="1"/>
  <c r="BT9" i="1"/>
  <c r="DF21" i="1"/>
  <c r="DF19" i="1"/>
  <c r="DF17" i="1"/>
  <c r="DF10" i="1"/>
  <c r="DH21" i="1"/>
  <c r="DH19" i="1"/>
  <c r="DH17" i="1"/>
  <c r="DH10" i="1"/>
  <c r="DJ21" i="1"/>
  <c r="DJ19" i="1"/>
  <c r="DJ17" i="1"/>
  <c r="DJ10" i="1"/>
  <c r="DL21" i="1"/>
  <c r="DL19" i="1"/>
  <c r="DL17" i="1"/>
  <c r="DL10" i="1"/>
  <c r="DP21" i="1"/>
  <c r="DP19" i="1"/>
  <c r="DP17" i="1"/>
  <c r="DP10" i="1"/>
  <c r="DX21" i="1"/>
  <c r="DX19" i="1"/>
  <c r="DX17" i="1"/>
  <c r="DX10" i="1"/>
  <c r="EG21" i="1"/>
  <c r="EG17" i="1"/>
  <c r="EG10" i="1"/>
  <c r="EI21" i="1"/>
  <c r="EI17" i="1"/>
  <c r="EI10" i="1"/>
  <c r="EK21" i="1"/>
  <c r="EK17" i="1"/>
  <c r="EK10" i="1"/>
  <c r="EM21" i="1"/>
  <c r="EM17" i="1"/>
  <c r="EM10" i="1"/>
  <c r="EO21" i="1"/>
  <c r="EO17" i="1"/>
  <c r="EO10" i="1"/>
  <c r="EQ21" i="1"/>
  <c r="EQ17" i="1"/>
  <c r="EQ10" i="1"/>
  <c r="ES21" i="1"/>
  <c r="ES17" i="1"/>
  <c r="ES10" i="1"/>
  <c r="EU10" i="1"/>
  <c r="EW21" i="1"/>
  <c r="EW17" i="1"/>
  <c r="EY21" i="1"/>
  <c r="EY17" i="1"/>
  <c r="EY10" i="1"/>
  <c r="FA21" i="1"/>
  <c r="FA17" i="1"/>
  <c r="FA10" i="1"/>
  <c r="CW111" i="1"/>
  <c r="CV119" i="1"/>
  <c r="FC119" i="1" s="1"/>
  <c r="DT80" i="1"/>
  <c r="EU80" i="1"/>
  <c r="BS81" i="1"/>
  <c r="EV81" i="1" s="1"/>
  <c r="BS80" i="1"/>
  <c r="DX80" i="1"/>
  <c r="EX80" i="1"/>
  <c r="CB81" i="1"/>
  <c r="CZ150" i="1"/>
  <c r="CZ149" i="1" s="1"/>
  <c r="CZ154" i="1" s="1"/>
  <c r="ED78" i="1"/>
  <c r="CG82" i="1"/>
  <c r="EZ81" i="1"/>
  <c r="DZ81" i="1"/>
  <c r="DY81" i="1"/>
  <c r="FB81" i="1"/>
  <c r="FD78" i="1"/>
  <c r="FA38" i="1"/>
  <c r="EW38" i="1"/>
  <c r="ES38" i="1"/>
  <c r="EO38" i="1"/>
  <c r="EK38" i="1"/>
  <c r="EG38" i="1"/>
  <c r="DX33" i="1"/>
  <c r="DT33" i="1"/>
  <c r="DP33" i="1"/>
  <c r="DL33" i="1"/>
  <c r="DH33" i="1"/>
  <c r="BS38" i="1"/>
  <c r="BO50" i="1"/>
  <c r="BO49" i="1" s="1"/>
  <c r="BO30" i="1"/>
  <c r="FA50" i="1"/>
  <c r="FA30" i="1"/>
  <c r="EW50" i="1"/>
  <c r="EW30" i="1"/>
  <c r="ES50" i="1"/>
  <c r="ES30" i="1"/>
  <c r="EO50" i="1"/>
  <c r="EO30" i="1"/>
  <c r="EK50" i="1"/>
  <c r="EK30" i="1"/>
  <c r="EG50" i="1"/>
  <c r="EG30" i="1"/>
  <c r="EB49" i="1"/>
  <c r="DX49" i="1"/>
  <c r="DX50" i="1"/>
  <c r="DX51" i="1" s="1"/>
  <c r="DX30" i="1"/>
  <c r="DT50" i="1"/>
  <c r="DT49" i="1" s="1"/>
  <c r="DT30" i="1"/>
  <c r="DP50" i="1"/>
  <c r="DP49" i="1" s="1"/>
  <c r="DP30" i="1"/>
  <c r="DL50" i="1"/>
  <c r="DL49" i="1" s="1"/>
  <c r="DL30" i="1"/>
  <c r="DH50" i="1"/>
  <c r="DH49" i="1" s="1"/>
  <c r="DH30" i="1"/>
  <c r="BS25" i="1"/>
  <c r="DJ25" i="1"/>
  <c r="DF25" i="1"/>
  <c r="CS55" i="1"/>
  <c r="CS20" i="1"/>
  <c r="CO55" i="1"/>
  <c r="CO20" i="1"/>
  <c r="CE55" i="1"/>
  <c r="CE20" i="1"/>
  <c r="BY55" i="1"/>
  <c r="BY20" i="1"/>
  <c r="BU55" i="1"/>
  <c r="BU20" i="1"/>
  <c r="BM55" i="1"/>
  <c r="BM20" i="1"/>
  <c r="BI55" i="1"/>
  <c r="BI20" i="1"/>
  <c r="BE55" i="1"/>
  <c r="BE20" i="1"/>
  <c r="BA55" i="1"/>
  <c r="BA20" i="1"/>
  <c r="AW55" i="1"/>
  <c r="AW20" i="1"/>
  <c r="AS55" i="1"/>
  <c r="AS20" i="1"/>
  <c r="AO55" i="1"/>
  <c r="AO20" i="1"/>
  <c r="AK55" i="1"/>
  <c r="AK20" i="1"/>
  <c r="AG55" i="1"/>
  <c r="AG20" i="1"/>
  <c r="AC55" i="1"/>
  <c r="AC20" i="1"/>
  <c r="Y55" i="1"/>
  <c r="Y20" i="1"/>
  <c r="U55" i="1"/>
  <c r="U20" i="1"/>
  <c r="Q55" i="1"/>
  <c r="Q20" i="1"/>
  <c r="M55" i="1"/>
  <c r="M20" i="1"/>
  <c r="I55" i="1"/>
  <c r="I20" i="1"/>
  <c r="E55" i="1"/>
  <c r="E20" i="1"/>
  <c r="CQ92" i="1"/>
  <c r="CQ90" i="1"/>
  <c r="EY33" i="1"/>
  <c r="ES33" i="1"/>
  <c r="EO33" i="1"/>
  <c r="EK33" i="1"/>
  <c r="EG33" i="1"/>
  <c r="DY33" i="1"/>
  <c r="DS33" i="1"/>
  <c r="DO33" i="1"/>
  <c r="DK33" i="1"/>
  <c r="DG33" i="1"/>
  <c r="DU37" i="1"/>
  <c r="EZ50" i="1"/>
  <c r="EZ30" i="1"/>
  <c r="ET50" i="1"/>
  <c r="ET30" i="1"/>
  <c r="EP50" i="1"/>
  <c r="EP30" i="1"/>
  <c r="EL50" i="1"/>
  <c r="EL30" i="1"/>
  <c r="EH50" i="1"/>
  <c r="EH30" i="1"/>
  <c r="EC49" i="1"/>
  <c r="DY50" i="1"/>
  <c r="DY49" i="1"/>
  <c r="DY30" i="1"/>
  <c r="DS50" i="1"/>
  <c r="DS49" i="1" s="1"/>
  <c r="DS30" i="1"/>
  <c r="DO50" i="1"/>
  <c r="DO49" i="1" s="1"/>
  <c r="DO30" i="1"/>
  <c r="DK50" i="1"/>
  <c r="DK49" i="1" s="1"/>
  <c r="DK30" i="1"/>
  <c r="DG50" i="1"/>
  <c r="DG49" i="1" s="1"/>
  <c r="DG30" i="1"/>
  <c r="EW25" i="1"/>
  <c r="EQ25" i="1"/>
  <c r="EM25" i="1"/>
  <c r="EI25" i="1"/>
  <c r="DY25" i="1"/>
  <c r="DS25" i="1"/>
  <c r="DO25" i="1"/>
  <c r="DK25" i="1"/>
  <c r="DG25" i="1"/>
  <c r="DU48" i="1"/>
  <c r="DU29" i="1"/>
  <c r="CP55" i="1"/>
  <c r="CP20" i="1"/>
  <c r="BZ55" i="1"/>
  <c r="BZ20" i="1"/>
  <c r="BV55" i="1"/>
  <c r="BV20" i="1"/>
  <c r="BR55" i="1"/>
  <c r="BR20" i="1"/>
  <c r="BN55" i="1"/>
  <c r="BN20" i="1"/>
  <c r="BJ55" i="1"/>
  <c r="BJ20" i="1"/>
  <c r="BF55" i="1"/>
  <c r="BF20" i="1"/>
  <c r="BB55" i="1"/>
  <c r="BB20" i="1"/>
  <c r="AX55" i="1"/>
  <c r="AX20" i="1"/>
  <c r="AT55" i="1"/>
  <c r="AT20" i="1"/>
  <c r="AP55" i="1"/>
  <c r="AP20" i="1"/>
  <c r="AL55" i="1"/>
  <c r="AL20" i="1"/>
  <c r="AH55" i="1"/>
  <c r="AH20" i="1"/>
  <c r="AD55" i="1"/>
  <c r="AD20" i="1"/>
  <c r="Z55" i="1"/>
  <c r="Z20" i="1"/>
  <c r="V55" i="1"/>
  <c r="V20" i="1"/>
  <c r="R55" i="1"/>
  <c r="R20" i="1"/>
  <c r="N55" i="1"/>
  <c r="N20" i="1"/>
  <c r="J55" i="1"/>
  <c r="J20" i="1"/>
  <c r="F55" i="1"/>
  <c r="F20" i="1"/>
  <c r="CR92" i="1"/>
  <c r="CR90" i="1"/>
  <c r="CN92" i="1"/>
  <c r="CN90" i="1"/>
  <c r="CL92" i="1"/>
  <c r="CL90" i="1"/>
  <c r="CJ92" i="1"/>
  <c r="CJ90" i="1"/>
  <c r="CH92" i="1"/>
  <c r="CH90" i="1"/>
  <c r="CF92" i="1"/>
  <c r="CF90" i="1"/>
  <c r="CD84" i="1"/>
  <c r="CD75" i="1"/>
  <c r="DP38" i="1"/>
  <c r="DL38" i="1"/>
  <c r="DH38" i="1"/>
  <c r="EU25" i="1"/>
  <c r="BZ59" i="1"/>
  <c r="BZ72" i="1"/>
  <c r="BX59" i="1"/>
  <c r="BX72" i="1"/>
  <c r="BV59" i="1"/>
  <c r="BV72" i="1"/>
  <c r="BT59" i="1"/>
  <c r="BT72" i="1"/>
  <c r="BQ72" i="1"/>
  <c r="BQ59" i="1"/>
  <c r="BN59" i="1"/>
  <c r="BN72" i="1"/>
  <c r="BL59" i="1"/>
  <c r="BL72" i="1"/>
  <c r="BJ59" i="1"/>
  <c r="BJ72" i="1"/>
  <c r="BH59" i="1"/>
  <c r="BH72" i="1"/>
  <c r="BF59" i="1"/>
  <c r="BF72" i="1"/>
  <c r="BD59" i="1"/>
  <c r="BD72" i="1"/>
  <c r="BB59" i="1"/>
  <c r="BB72" i="1"/>
  <c r="AZ59" i="1"/>
  <c r="AZ72" i="1"/>
  <c r="AX59" i="1"/>
  <c r="AX72" i="1"/>
  <c r="AV59" i="1"/>
  <c r="AV72" i="1"/>
  <c r="AT59" i="1"/>
  <c r="AT72" i="1"/>
  <c r="AR59" i="1"/>
  <c r="AR72" i="1"/>
  <c r="AP59" i="1"/>
  <c r="AP72" i="1"/>
  <c r="AN59" i="1"/>
  <c r="AN72" i="1"/>
  <c r="AL72" i="1"/>
  <c r="AL59" i="1"/>
  <c r="AJ72" i="1"/>
  <c r="AJ59" i="1"/>
  <c r="AH72" i="1"/>
  <c r="AH59" i="1"/>
  <c r="AF72" i="1"/>
  <c r="AF59" i="1"/>
  <c r="AD72" i="1"/>
  <c r="AD59" i="1"/>
  <c r="AB72" i="1"/>
  <c r="AB59" i="1"/>
  <c r="Z72" i="1"/>
  <c r="Z59" i="1"/>
  <c r="X72" i="1"/>
  <c r="X59" i="1"/>
  <c r="V72" i="1"/>
  <c r="V59" i="1"/>
  <c r="T72" i="1"/>
  <c r="T59" i="1"/>
  <c r="R72" i="1"/>
  <c r="R59" i="1"/>
  <c r="P72" i="1"/>
  <c r="P59" i="1"/>
  <c r="N72" i="1"/>
  <c r="N59" i="1"/>
  <c r="L72" i="1"/>
  <c r="L59" i="1"/>
  <c r="J72" i="1"/>
  <c r="J59" i="1"/>
  <c r="H72" i="1"/>
  <c r="H59" i="1"/>
  <c r="F72" i="1"/>
  <c r="F59" i="1"/>
  <c r="D72" i="1"/>
  <c r="D59" i="1"/>
  <c r="CL58" i="1"/>
  <c r="CL22" i="1"/>
  <c r="CJ58" i="1"/>
  <c r="CJ22" i="1"/>
  <c r="CH58" i="1"/>
  <c r="CH22" i="1"/>
  <c r="CD58" i="1"/>
  <c r="CD22" i="1"/>
  <c r="CB58" i="1"/>
  <c r="CB22" i="1"/>
  <c r="DX38" i="1"/>
  <c r="EY25" i="1"/>
  <c r="CA72" i="1"/>
  <c r="CA59" i="1"/>
  <c r="BY72" i="1"/>
  <c r="BY59" i="1"/>
  <c r="BW72" i="1"/>
  <c r="BW59" i="1"/>
  <c r="BU72" i="1"/>
  <c r="BU59" i="1"/>
  <c r="BR59" i="1"/>
  <c r="BR72" i="1"/>
  <c r="BP59" i="1"/>
  <c r="BP72" i="1"/>
  <c r="BM72" i="1"/>
  <c r="BM59" i="1"/>
  <c r="BK72" i="1"/>
  <c r="BK59" i="1"/>
  <c r="BI72" i="1"/>
  <c r="BI59" i="1"/>
  <c r="BG72" i="1"/>
  <c r="BG59" i="1"/>
  <c r="BE72" i="1"/>
  <c r="BE59" i="1"/>
  <c r="BC72" i="1"/>
  <c r="BC59" i="1"/>
  <c r="BA72" i="1"/>
  <c r="BA59" i="1"/>
  <c r="AY72" i="1"/>
  <c r="AY59" i="1"/>
  <c r="AW72" i="1"/>
  <c r="AW59" i="1"/>
  <c r="AU72" i="1"/>
  <c r="AU59" i="1"/>
  <c r="AS72" i="1"/>
  <c r="AS59" i="1"/>
  <c r="AQ72" i="1"/>
  <c r="AQ59" i="1"/>
  <c r="AO72" i="1"/>
  <c r="AO59" i="1"/>
  <c r="AM72" i="1"/>
  <c r="AM59" i="1"/>
  <c r="AK72" i="1"/>
  <c r="AK59" i="1"/>
  <c r="AI72" i="1"/>
  <c r="AI59" i="1"/>
  <c r="AG72" i="1"/>
  <c r="AG59" i="1"/>
  <c r="AE72" i="1"/>
  <c r="AE59" i="1"/>
  <c r="AC72" i="1"/>
  <c r="AC59" i="1"/>
  <c r="AA72" i="1"/>
  <c r="AA59" i="1"/>
  <c r="Y72" i="1"/>
  <c r="Y59" i="1"/>
  <c r="W72" i="1"/>
  <c r="W59" i="1"/>
  <c r="U72" i="1"/>
  <c r="U59" i="1"/>
  <c r="S72" i="1"/>
  <c r="S59" i="1"/>
  <c r="Q72" i="1"/>
  <c r="Q59" i="1"/>
  <c r="O72" i="1"/>
  <c r="O59" i="1"/>
  <c r="M72" i="1"/>
  <c r="M59" i="1"/>
  <c r="K72" i="1"/>
  <c r="K59" i="1"/>
  <c r="I72" i="1"/>
  <c r="I59" i="1"/>
  <c r="G72" i="1"/>
  <c r="G59" i="1"/>
  <c r="E72" i="1"/>
  <c r="E59" i="1"/>
  <c r="CM58" i="1"/>
  <c r="CM22" i="1"/>
  <c r="CK58" i="1"/>
  <c r="CK22" i="1"/>
  <c r="CI58" i="1"/>
  <c r="CI22" i="1"/>
  <c r="CF58" i="1"/>
  <c r="CF22" i="1"/>
  <c r="CC58" i="1"/>
  <c r="CC22" i="1"/>
  <c r="EU131" i="1"/>
  <c r="EU109" i="1"/>
  <c r="DN21" i="1"/>
  <c r="DN19" i="1"/>
  <c r="DN17" i="1"/>
  <c r="DN10" i="1"/>
  <c r="DR21" i="1"/>
  <c r="DR19" i="1"/>
  <c r="DR17" i="1"/>
  <c r="DR10" i="1"/>
  <c r="DT21" i="1"/>
  <c r="DT19" i="1"/>
  <c r="DT10" i="1"/>
  <c r="DV21" i="1"/>
  <c r="DV19" i="1"/>
  <c r="DV17" i="1"/>
  <c r="DZ21" i="1"/>
  <c r="DZ19" i="1"/>
  <c r="DZ17" i="1"/>
  <c r="DZ10" i="1"/>
  <c r="EV131" i="1"/>
  <c r="EV109" i="1"/>
  <c r="EX131" i="1"/>
  <c r="EX109" i="1"/>
  <c r="BO21" i="1"/>
  <c r="BO19" i="1"/>
  <c r="BO17" i="1"/>
  <c r="BO10" i="1"/>
  <c r="BO9" i="1"/>
  <c r="BP9" i="1"/>
  <c r="DE21" i="1"/>
  <c r="DE19" i="1"/>
  <c r="DE17" i="1"/>
  <c r="DG21" i="1"/>
  <c r="DG19" i="1"/>
  <c r="DG17" i="1"/>
  <c r="DG10" i="1"/>
  <c r="DI21" i="1"/>
  <c r="DI19" i="1"/>
  <c r="DI17" i="1"/>
  <c r="DI10" i="1"/>
  <c r="DK21" i="1"/>
  <c r="DK19" i="1"/>
  <c r="DK17" i="1"/>
  <c r="DK10" i="1"/>
  <c r="DM21" i="1"/>
  <c r="DM19" i="1"/>
  <c r="DM17" i="1"/>
  <c r="DM10" i="1"/>
  <c r="DO21" i="1"/>
  <c r="DO19" i="1"/>
  <c r="DO17" i="1"/>
  <c r="DO10" i="1"/>
  <c r="DQ21" i="1"/>
  <c r="DQ19" i="1"/>
  <c r="DQ17" i="1"/>
  <c r="DQ10" i="1"/>
  <c r="DS21" i="1"/>
  <c r="DS19" i="1"/>
  <c r="DS17" i="1"/>
  <c r="DS10" i="1"/>
  <c r="DU7" i="1"/>
  <c r="DW21" i="1"/>
  <c r="DW19" i="1"/>
  <c r="DW17" i="1"/>
  <c r="DW10" i="1"/>
  <c r="DY21" i="1"/>
  <c r="DY19" i="1"/>
  <c r="DY17" i="1"/>
  <c r="DY10" i="1"/>
  <c r="EA21" i="1"/>
  <c r="EA19" i="1"/>
  <c r="EA17" i="1"/>
  <c r="EA10" i="1"/>
  <c r="EF25" i="1"/>
  <c r="EF21" i="1"/>
  <c r="EF17" i="1"/>
  <c r="EH25" i="1"/>
  <c r="EH21" i="1"/>
  <c r="EH17" i="1"/>
  <c r="EH10" i="1"/>
  <c r="EJ25" i="1"/>
  <c r="EJ21" i="1"/>
  <c r="EJ17" i="1"/>
  <c r="EJ10" i="1"/>
  <c r="EL25" i="1"/>
  <c r="EL21" i="1"/>
  <c r="EL17" i="1"/>
  <c r="EL10" i="1"/>
  <c r="EN33" i="1"/>
  <c r="EN25" i="1"/>
  <c r="EN10" i="1"/>
  <c r="EN21" i="1"/>
  <c r="EN17" i="1"/>
  <c r="EP33" i="1"/>
  <c r="EP25" i="1"/>
  <c r="EP21" i="1"/>
  <c r="EP17" i="1"/>
  <c r="EP10" i="1"/>
  <c r="ER33" i="1"/>
  <c r="ER25" i="1"/>
  <c r="ER21" i="1"/>
  <c r="ER17" i="1"/>
  <c r="ER10" i="1"/>
  <c r="ET33" i="1"/>
  <c r="ET25" i="1"/>
  <c r="ET21" i="1"/>
  <c r="ET17" i="1"/>
  <c r="ET10" i="1"/>
  <c r="EV7" i="1"/>
  <c r="EX33" i="1"/>
  <c r="EX25" i="1"/>
  <c r="EX21" i="1"/>
  <c r="EX17" i="1"/>
  <c r="EX10" i="1"/>
  <c r="EZ33" i="1"/>
  <c r="EZ25" i="1"/>
  <c r="EZ21" i="1"/>
  <c r="EZ17" i="1"/>
  <c r="EZ10" i="1"/>
  <c r="FB33" i="1"/>
  <c r="FB25" i="1"/>
  <c r="FB21" i="1"/>
  <c r="FB17" i="1"/>
  <c r="FB10" i="1"/>
  <c r="CY112" i="1"/>
  <c r="EC112" i="1" s="1"/>
  <c r="EB119" i="1"/>
  <c r="CV110" i="1"/>
  <c r="FC110" i="1" s="1"/>
  <c r="FC113" i="1" s="1"/>
  <c r="EB110" i="1"/>
  <c r="EB113" i="1" s="1"/>
  <c r="CU113" i="1"/>
  <c r="EV80" i="1"/>
  <c r="DU74" i="1"/>
  <c r="CN81" i="1"/>
  <c r="FA81" i="1" s="1"/>
  <c r="EA80" i="1"/>
  <c r="DU80" i="1"/>
  <c r="CT150" i="1"/>
  <c r="CT149" i="1" s="1"/>
  <c r="CT154" i="1" s="1"/>
  <c r="FC78" i="1"/>
  <c r="EB78" i="1"/>
  <c r="DA63" i="1"/>
  <c r="DB63" i="1" s="1"/>
  <c r="DC63" i="1" s="1"/>
  <c r="EY81" i="1"/>
  <c r="CS82" i="1"/>
  <c r="EU81" i="1"/>
  <c r="CU45" i="1"/>
  <c r="EB45" i="1" s="1"/>
  <c r="CT46" i="1"/>
  <c r="BS33" i="1"/>
  <c r="EL33" i="1"/>
  <c r="EH33" i="1"/>
  <c r="EY38" i="1"/>
  <c r="EU37" i="1"/>
  <c r="EU38" i="1" s="1"/>
  <c r="EU33" i="1"/>
  <c r="EQ38" i="1"/>
  <c r="EM38" i="1"/>
  <c r="EI38" i="1"/>
  <c r="DZ33" i="1"/>
  <c r="DV33" i="1"/>
  <c r="DR33" i="1"/>
  <c r="DN33" i="1"/>
  <c r="DJ33" i="1"/>
  <c r="DF33" i="1"/>
  <c r="FD49" i="1"/>
  <c r="FC49" i="1"/>
  <c r="FB49" i="1"/>
  <c r="FA49" i="1"/>
  <c r="EZ49" i="1"/>
  <c r="EY49" i="1"/>
  <c r="BS50" i="1"/>
  <c r="BS49" i="1" s="1"/>
  <c r="BS30" i="1"/>
  <c r="EY50" i="1"/>
  <c r="EY30" i="1"/>
  <c r="EU50" i="1"/>
  <c r="EU30" i="1"/>
  <c r="EQ50" i="1"/>
  <c r="EQ30" i="1"/>
  <c r="EM50" i="1"/>
  <c r="EM30" i="1"/>
  <c r="EI50" i="1"/>
  <c r="EI30" i="1"/>
  <c r="ED49" i="1"/>
  <c r="DZ49" i="1"/>
  <c r="DZ50" i="1"/>
  <c r="DZ30" i="1"/>
  <c r="DV50" i="1"/>
  <c r="DV49" i="1" s="1"/>
  <c r="DV30" i="1"/>
  <c r="DR50" i="1"/>
  <c r="DR49" i="1" s="1"/>
  <c r="DR30" i="1"/>
  <c r="DN50" i="1"/>
  <c r="DN49" i="1" s="1"/>
  <c r="DN30" i="1"/>
  <c r="DJ50" i="1"/>
  <c r="DJ49" i="1" s="1"/>
  <c r="DJ30" i="1"/>
  <c r="DF50" i="1"/>
  <c r="DF49" i="1" s="1"/>
  <c r="DF30" i="1"/>
  <c r="BO25" i="1"/>
  <c r="EU48" i="1"/>
  <c r="DX25" i="1"/>
  <c r="DT25" i="1"/>
  <c r="DP25" i="1"/>
  <c r="DL25" i="1"/>
  <c r="DH25" i="1"/>
  <c r="CQ55" i="1"/>
  <c r="CQ20" i="1"/>
  <c r="CG55" i="1"/>
  <c r="CG20" i="1"/>
  <c r="CA55" i="1"/>
  <c r="CA20" i="1"/>
  <c r="BW55" i="1"/>
  <c r="BW20" i="1"/>
  <c r="BQ55" i="1"/>
  <c r="BQ20" i="1"/>
  <c r="BK55" i="1"/>
  <c r="BK20" i="1"/>
  <c r="BG55" i="1"/>
  <c r="BG20" i="1"/>
  <c r="BC55" i="1"/>
  <c r="BC20" i="1"/>
  <c r="AY55" i="1"/>
  <c r="AY20" i="1"/>
  <c r="AU55" i="1"/>
  <c r="AU20" i="1"/>
  <c r="AQ55" i="1"/>
  <c r="AQ20" i="1"/>
  <c r="AM55" i="1"/>
  <c r="AM20" i="1"/>
  <c r="AI55" i="1"/>
  <c r="AI20" i="1"/>
  <c r="AE55" i="1"/>
  <c r="AE20" i="1"/>
  <c r="AA55" i="1"/>
  <c r="AA20" i="1"/>
  <c r="W55" i="1"/>
  <c r="W20" i="1"/>
  <c r="S55" i="1"/>
  <c r="S20" i="1"/>
  <c r="O55" i="1"/>
  <c r="O20" i="1"/>
  <c r="K55" i="1"/>
  <c r="K20" i="1"/>
  <c r="G55" i="1"/>
  <c r="G20" i="1"/>
  <c r="CO70" i="1"/>
  <c r="CO84" i="1" s="1"/>
  <c r="CO53" i="1"/>
  <c r="CM92" i="1"/>
  <c r="CM90" i="1"/>
  <c r="CE84" i="1"/>
  <c r="CE75" i="1"/>
  <c r="CC84" i="1"/>
  <c r="CA84" i="1"/>
  <c r="CA90" i="1"/>
  <c r="CA75" i="1"/>
  <c r="CA82" i="1" s="1"/>
  <c r="BY84" i="1"/>
  <c r="BY92" i="1" s="1"/>
  <c r="BY103" i="1" s="1"/>
  <c r="BY90" i="1"/>
  <c r="BY97" i="1" s="1"/>
  <c r="BY102" i="1" s="1"/>
  <c r="BY75" i="1"/>
  <c r="BY82" i="1" s="1"/>
  <c r="BW84" i="1"/>
  <c r="BW92" i="1" s="1"/>
  <c r="BW103" i="1" s="1"/>
  <c r="BW90" i="1"/>
  <c r="BW97" i="1" s="1"/>
  <c r="BW102" i="1" s="1"/>
  <c r="BW75" i="1"/>
  <c r="BW82" i="1" s="1"/>
  <c r="BU84" i="1"/>
  <c r="BU92" i="1" s="1"/>
  <c r="BU103" i="1" s="1"/>
  <c r="BU90" i="1"/>
  <c r="BU97" i="1" s="1"/>
  <c r="BU102" i="1" s="1"/>
  <c r="BU75" i="1"/>
  <c r="BU82" i="1" s="1"/>
  <c r="BQ84" i="1"/>
  <c r="BQ92" i="1" s="1"/>
  <c r="BQ103" i="1" s="1"/>
  <c r="BQ90" i="1"/>
  <c r="BQ97" i="1" s="1"/>
  <c r="BQ102" i="1" s="1"/>
  <c r="BM84" i="1"/>
  <c r="BM92" i="1" s="1"/>
  <c r="BM103" i="1" s="1"/>
  <c r="BM90" i="1"/>
  <c r="BM97" i="1" s="1"/>
  <c r="BM102" i="1" s="1"/>
  <c r="BM75" i="1"/>
  <c r="BM82" i="1" s="1"/>
  <c r="BK84" i="1"/>
  <c r="BK92" i="1" s="1"/>
  <c r="BK103" i="1" s="1"/>
  <c r="BK90" i="1"/>
  <c r="BK97" i="1" s="1"/>
  <c r="BK102" i="1" s="1"/>
  <c r="BK75" i="1"/>
  <c r="BK82" i="1" s="1"/>
  <c r="BI84" i="1"/>
  <c r="BI92" i="1" s="1"/>
  <c r="BI103" i="1" s="1"/>
  <c r="BI90" i="1"/>
  <c r="BI97" i="1" s="1"/>
  <c r="BI102" i="1" s="1"/>
  <c r="BI75" i="1"/>
  <c r="BI82" i="1" s="1"/>
  <c r="BG84" i="1"/>
  <c r="BG92" i="1" s="1"/>
  <c r="BG103" i="1" s="1"/>
  <c r="BG90" i="1"/>
  <c r="BG97" i="1" s="1"/>
  <c r="BG102" i="1" s="1"/>
  <c r="BG75" i="1"/>
  <c r="BG82" i="1" s="1"/>
  <c r="BE84" i="1"/>
  <c r="BE92" i="1" s="1"/>
  <c r="BE103" i="1" s="1"/>
  <c r="BE90" i="1"/>
  <c r="BE97" i="1" s="1"/>
  <c r="BE102" i="1" s="1"/>
  <c r="BE75" i="1"/>
  <c r="BE82" i="1" s="1"/>
  <c r="BC84" i="1"/>
  <c r="BC92" i="1" s="1"/>
  <c r="BC103" i="1" s="1"/>
  <c r="BC90" i="1"/>
  <c r="BC97" i="1" s="1"/>
  <c r="BC102" i="1" s="1"/>
  <c r="BC75" i="1"/>
  <c r="BC82" i="1" s="1"/>
  <c r="BA84" i="1"/>
  <c r="BA92" i="1" s="1"/>
  <c r="BA103" i="1" s="1"/>
  <c r="BA90" i="1"/>
  <c r="BA97" i="1" s="1"/>
  <c r="BA102" i="1" s="1"/>
  <c r="BA75" i="1"/>
  <c r="BA82" i="1" s="1"/>
  <c r="AY84" i="1"/>
  <c r="AY92" i="1" s="1"/>
  <c r="AY103" i="1" s="1"/>
  <c r="AY90" i="1"/>
  <c r="AY97" i="1" s="1"/>
  <c r="AY102" i="1" s="1"/>
  <c r="AY75" i="1"/>
  <c r="AY82" i="1" s="1"/>
  <c r="AW84" i="1"/>
  <c r="AW92" i="1" s="1"/>
  <c r="AW103" i="1" s="1"/>
  <c r="AW90" i="1"/>
  <c r="AW97" i="1" s="1"/>
  <c r="AW102" i="1" s="1"/>
  <c r="AW75" i="1"/>
  <c r="AW82" i="1" s="1"/>
  <c r="AU84" i="1"/>
  <c r="AU92" i="1" s="1"/>
  <c r="AU103" i="1" s="1"/>
  <c r="AU90" i="1"/>
  <c r="AU97" i="1" s="1"/>
  <c r="AU102" i="1" s="1"/>
  <c r="AU75" i="1"/>
  <c r="AU82" i="1" s="1"/>
  <c r="AS84" i="1"/>
  <c r="AS92" i="1" s="1"/>
  <c r="AS103" i="1" s="1"/>
  <c r="AS90" i="1"/>
  <c r="AS97" i="1" s="1"/>
  <c r="AS102" i="1" s="1"/>
  <c r="AS75" i="1"/>
  <c r="AS82" i="1" s="1"/>
  <c r="AQ84" i="1"/>
  <c r="AQ92" i="1" s="1"/>
  <c r="AQ103" i="1" s="1"/>
  <c r="AQ90" i="1"/>
  <c r="AQ97" i="1" s="1"/>
  <c r="AQ102" i="1" s="1"/>
  <c r="AQ75" i="1"/>
  <c r="AQ82" i="1" s="1"/>
  <c r="AO84" i="1"/>
  <c r="AO92" i="1" s="1"/>
  <c r="AO103" i="1" s="1"/>
  <c r="AO90" i="1"/>
  <c r="AO97" i="1" s="1"/>
  <c r="AO102" i="1" s="1"/>
  <c r="AO75" i="1"/>
  <c r="AO82" i="1" s="1"/>
  <c r="AM84" i="1"/>
  <c r="AM92" i="1" s="1"/>
  <c r="AM103" i="1" s="1"/>
  <c r="AM90" i="1"/>
  <c r="AM97" i="1" s="1"/>
  <c r="AM102" i="1" s="1"/>
  <c r="AM75" i="1"/>
  <c r="AM82" i="1" s="1"/>
  <c r="AK84" i="1"/>
  <c r="AK92" i="1" s="1"/>
  <c r="AK103" i="1" s="1"/>
  <c r="AK90" i="1"/>
  <c r="AK97" i="1" s="1"/>
  <c r="AK102" i="1" s="1"/>
  <c r="AK75" i="1"/>
  <c r="AK82" i="1" s="1"/>
  <c r="AI84" i="1"/>
  <c r="AI92" i="1" s="1"/>
  <c r="AI103" i="1" s="1"/>
  <c r="AI90" i="1"/>
  <c r="AI97" i="1" s="1"/>
  <c r="AI102" i="1" s="1"/>
  <c r="AI75" i="1"/>
  <c r="AI82" i="1" s="1"/>
  <c r="AG84" i="1"/>
  <c r="AG92" i="1" s="1"/>
  <c r="AG103" i="1" s="1"/>
  <c r="AG90" i="1"/>
  <c r="AG97" i="1" s="1"/>
  <c r="AG102" i="1" s="1"/>
  <c r="AG75" i="1"/>
  <c r="AG82" i="1" s="1"/>
  <c r="AE84" i="1"/>
  <c r="AE92" i="1" s="1"/>
  <c r="AE103" i="1" s="1"/>
  <c r="AE90" i="1"/>
  <c r="AE97" i="1" s="1"/>
  <c r="AE102" i="1" s="1"/>
  <c r="AE75" i="1"/>
  <c r="AE82" i="1" s="1"/>
  <c r="AC84" i="1"/>
  <c r="AC92" i="1" s="1"/>
  <c r="AC103" i="1" s="1"/>
  <c r="AC90" i="1"/>
  <c r="AC97" i="1" s="1"/>
  <c r="AC102" i="1" s="1"/>
  <c r="AC75" i="1"/>
  <c r="AC82" i="1" s="1"/>
  <c r="AA84" i="1"/>
  <c r="AA92" i="1" s="1"/>
  <c r="AA103" i="1" s="1"/>
  <c r="AA90" i="1"/>
  <c r="AA97" i="1" s="1"/>
  <c r="AA102" i="1" s="1"/>
  <c r="AA75" i="1"/>
  <c r="AA82" i="1" s="1"/>
  <c r="Y84" i="1"/>
  <c r="Y92" i="1" s="1"/>
  <c r="Y103" i="1" s="1"/>
  <c r="Y90" i="1"/>
  <c r="Y97" i="1" s="1"/>
  <c r="Y102" i="1" s="1"/>
  <c r="Y75" i="1"/>
  <c r="Y82" i="1" s="1"/>
  <c r="W84" i="1"/>
  <c r="W92" i="1" s="1"/>
  <c r="W103" i="1" s="1"/>
  <c r="W90" i="1"/>
  <c r="W97" i="1" s="1"/>
  <c r="W102" i="1" s="1"/>
  <c r="W75" i="1"/>
  <c r="W82" i="1" s="1"/>
  <c r="U84" i="1"/>
  <c r="U92" i="1" s="1"/>
  <c r="U103" i="1" s="1"/>
  <c r="U90" i="1"/>
  <c r="U97" i="1" s="1"/>
  <c r="U102" i="1" s="1"/>
  <c r="U75" i="1"/>
  <c r="U82" i="1" s="1"/>
  <c r="S84" i="1"/>
  <c r="S92" i="1" s="1"/>
  <c r="S103" i="1" s="1"/>
  <c r="S90" i="1"/>
  <c r="S97" i="1" s="1"/>
  <c r="S102" i="1" s="1"/>
  <c r="S75" i="1"/>
  <c r="S82" i="1" s="1"/>
  <c r="Q84" i="1"/>
  <c r="Q92" i="1" s="1"/>
  <c r="Q103" i="1" s="1"/>
  <c r="Q90" i="1"/>
  <c r="Q97" i="1" s="1"/>
  <c r="Q102" i="1" s="1"/>
  <c r="Q75" i="1"/>
  <c r="Q82" i="1" s="1"/>
  <c r="O84" i="1"/>
  <c r="O92" i="1" s="1"/>
  <c r="O103" i="1" s="1"/>
  <c r="O90" i="1"/>
  <c r="O97" i="1" s="1"/>
  <c r="O102" i="1" s="1"/>
  <c r="O75" i="1"/>
  <c r="O82" i="1" s="1"/>
  <c r="M84" i="1"/>
  <c r="M92" i="1" s="1"/>
  <c r="M103" i="1" s="1"/>
  <c r="M90" i="1"/>
  <c r="M97" i="1" s="1"/>
  <c r="M102" i="1" s="1"/>
  <c r="M75" i="1"/>
  <c r="M82" i="1" s="1"/>
  <c r="K84" i="1"/>
  <c r="K92" i="1" s="1"/>
  <c r="K103" i="1" s="1"/>
  <c r="K90" i="1"/>
  <c r="K97" i="1" s="1"/>
  <c r="K102" i="1" s="1"/>
  <c r="K75" i="1"/>
  <c r="K82" i="1" s="1"/>
  <c r="I84" i="1"/>
  <c r="I92" i="1" s="1"/>
  <c r="I103" i="1" s="1"/>
  <c r="I90" i="1"/>
  <c r="I97" i="1" s="1"/>
  <c r="I102" i="1" s="1"/>
  <c r="I75" i="1"/>
  <c r="I82" i="1" s="1"/>
  <c r="G84" i="1"/>
  <c r="G92" i="1" s="1"/>
  <c r="G103" i="1" s="1"/>
  <c r="G90" i="1"/>
  <c r="G97" i="1" s="1"/>
  <c r="G102" i="1" s="1"/>
  <c r="G75" i="1"/>
  <c r="G82" i="1" s="1"/>
  <c r="E84" i="1"/>
  <c r="E92" i="1" s="1"/>
  <c r="E103" i="1" s="1"/>
  <c r="E90" i="1"/>
  <c r="E97" i="1" s="1"/>
  <c r="E102" i="1" s="1"/>
  <c r="E75" i="1"/>
  <c r="E82" i="1" s="1"/>
  <c r="FA33" i="1"/>
  <c r="EW33" i="1"/>
  <c r="EQ33" i="1"/>
  <c r="EM33" i="1"/>
  <c r="EI33" i="1"/>
  <c r="EZ38" i="1"/>
  <c r="EV37" i="1"/>
  <c r="EV38" i="1" s="1"/>
  <c r="EV33" i="1"/>
  <c r="ER38" i="1"/>
  <c r="EN38" i="1"/>
  <c r="EJ38" i="1"/>
  <c r="EF38" i="1"/>
  <c r="EA33" i="1"/>
  <c r="DW33" i="1"/>
  <c r="DQ33" i="1"/>
  <c r="DM33" i="1"/>
  <c r="DI33" i="1"/>
  <c r="DE33" i="1"/>
  <c r="BO38" i="1"/>
  <c r="FB50" i="1"/>
  <c r="FB51" i="1" s="1"/>
  <c r="FB30" i="1"/>
  <c r="EX50" i="1"/>
  <c r="EX30" i="1"/>
  <c r="ER50" i="1"/>
  <c r="ER30" i="1"/>
  <c r="EN50" i="1"/>
  <c r="EN30" i="1"/>
  <c r="EJ50" i="1"/>
  <c r="EJ30" i="1"/>
  <c r="EF50" i="1"/>
  <c r="EF30" i="1"/>
  <c r="EA50" i="1"/>
  <c r="EA49" i="1"/>
  <c r="EA30" i="1"/>
  <c r="DW50" i="1"/>
  <c r="DW49" i="1" s="1"/>
  <c r="DW30" i="1"/>
  <c r="DQ50" i="1"/>
  <c r="DQ49" i="1" s="1"/>
  <c r="DQ30" i="1"/>
  <c r="DM50" i="1"/>
  <c r="DM49" i="1" s="1"/>
  <c r="DM30" i="1"/>
  <c r="DI50" i="1"/>
  <c r="DI49" i="1" s="1"/>
  <c r="DI30" i="1"/>
  <c r="DE50" i="1"/>
  <c r="DE49" i="1" s="1"/>
  <c r="DE30" i="1"/>
  <c r="ES25" i="1"/>
  <c r="EO25" i="1"/>
  <c r="EK25" i="1"/>
  <c r="EG25" i="1"/>
  <c r="EV48" i="1"/>
  <c r="EV25" i="1"/>
  <c r="EV29" i="1"/>
  <c r="EA25" i="1"/>
  <c r="DW25" i="1"/>
  <c r="DQ25" i="1"/>
  <c r="DM25" i="1"/>
  <c r="DI25" i="1"/>
  <c r="DE25" i="1"/>
  <c r="CR55" i="1"/>
  <c r="CR20" i="1"/>
  <c r="CN55" i="1"/>
  <c r="CN20" i="1"/>
  <c r="BX55" i="1"/>
  <c r="BX20" i="1"/>
  <c r="BT55" i="1"/>
  <c r="BT20" i="1"/>
  <c r="BP55" i="1"/>
  <c r="BP20" i="1"/>
  <c r="BL55" i="1"/>
  <c r="BL20" i="1"/>
  <c r="BH55" i="1"/>
  <c r="BH20" i="1"/>
  <c r="BD55" i="1"/>
  <c r="BD20" i="1"/>
  <c r="AZ55" i="1"/>
  <c r="AZ20" i="1"/>
  <c r="AV55" i="1"/>
  <c r="AV20" i="1"/>
  <c r="AR55" i="1"/>
  <c r="AR20" i="1"/>
  <c r="AN55" i="1"/>
  <c r="AN20" i="1"/>
  <c r="AJ55" i="1"/>
  <c r="AJ20" i="1"/>
  <c r="AF55" i="1"/>
  <c r="AF20" i="1"/>
  <c r="AB55" i="1"/>
  <c r="AB20" i="1"/>
  <c r="X55" i="1"/>
  <c r="X20" i="1"/>
  <c r="T55" i="1"/>
  <c r="T20" i="1"/>
  <c r="P55" i="1"/>
  <c r="P20" i="1"/>
  <c r="L55" i="1"/>
  <c r="L20" i="1"/>
  <c r="H55" i="1"/>
  <c r="H20" i="1"/>
  <c r="D55" i="1"/>
  <c r="D20" i="1"/>
  <c r="BZ90" i="1"/>
  <c r="BZ97" i="1" s="1"/>
  <c r="BZ102" i="1" s="1"/>
  <c r="BZ84" i="1"/>
  <c r="BZ92" i="1" s="1"/>
  <c r="BZ103" i="1" s="1"/>
  <c r="BZ75" i="1"/>
  <c r="BZ82" i="1" s="1"/>
  <c r="BX90" i="1"/>
  <c r="BX97" i="1" s="1"/>
  <c r="BX102" i="1" s="1"/>
  <c r="BX84" i="1"/>
  <c r="BX92" i="1" s="1"/>
  <c r="BX103" i="1" s="1"/>
  <c r="BX75" i="1"/>
  <c r="BX82" i="1" s="1"/>
  <c r="BV90" i="1"/>
  <c r="BV97" i="1" s="1"/>
  <c r="BV102" i="1" s="1"/>
  <c r="BV84" i="1"/>
  <c r="BV92" i="1" s="1"/>
  <c r="BV103" i="1" s="1"/>
  <c r="BV75" i="1"/>
  <c r="BV82" i="1" s="1"/>
  <c r="BT90" i="1"/>
  <c r="BT97" i="1" s="1"/>
  <c r="BT102" i="1" s="1"/>
  <c r="BT84" i="1"/>
  <c r="BT92" i="1" s="1"/>
  <c r="BT103" i="1" s="1"/>
  <c r="BT105" i="1" s="1"/>
  <c r="BT75" i="1"/>
  <c r="BR90" i="1"/>
  <c r="BR97" i="1" s="1"/>
  <c r="BR102" i="1" s="1"/>
  <c r="BR84" i="1"/>
  <c r="BR92" i="1" s="1"/>
  <c r="BR103" i="1" s="1"/>
  <c r="BR75" i="1"/>
  <c r="BR82" i="1" s="1"/>
  <c r="BP90" i="1"/>
  <c r="BP97" i="1" s="1"/>
  <c r="BP102" i="1" s="1"/>
  <c r="BP84" i="1"/>
  <c r="BP92" i="1" s="1"/>
  <c r="BP103" i="1" s="1"/>
  <c r="BN90" i="1"/>
  <c r="BN97" i="1" s="1"/>
  <c r="BN102" i="1" s="1"/>
  <c r="BN84" i="1"/>
  <c r="BN92" i="1" s="1"/>
  <c r="BN103" i="1" s="1"/>
  <c r="BN75" i="1"/>
  <c r="BN82" i="1" s="1"/>
  <c r="BL90" i="1"/>
  <c r="BL97" i="1" s="1"/>
  <c r="BL102" i="1" s="1"/>
  <c r="BL84" i="1"/>
  <c r="BL92" i="1" s="1"/>
  <c r="BL103" i="1" s="1"/>
  <c r="BL75" i="1"/>
  <c r="BL82" i="1" s="1"/>
  <c r="BJ90" i="1"/>
  <c r="BJ97" i="1" s="1"/>
  <c r="BJ102" i="1" s="1"/>
  <c r="BJ84" i="1"/>
  <c r="BJ92" i="1" s="1"/>
  <c r="BJ103" i="1" s="1"/>
  <c r="BJ75" i="1"/>
  <c r="BJ82" i="1" s="1"/>
  <c r="BH90" i="1"/>
  <c r="BH97" i="1" s="1"/>
  <c r="BH102" i="1" s="1"/>
  <c r="BH84" i="1"/>
  <c r="BH92" i="1" s="1"/>
  <c r="BH103" i="1" s="1"/>
  <c r="BH75" i="1"/>
  <c r="BH82" i="1" s="1"/>
  <c r="BF90" i="1"/>
  <c r="BF97" i="1" s="1"/>
  <c r="BF102" i="1" s="1"/>
  <c r="BF84" i="1"/>
  <c r="BF92" i="1" s="1"/>
  <c r="BF103" i="1" s="1"/>
  <c r="BF75" i="1"/>
  <c r="BF82" i="1" s="1"/>
  <c r="BD90" i="1"/>
  <c r="BD97" i="1" s="1"/>
  <c r="BD102" i="1" s="1"/>
  <c r="BD84" i="1"/>
  <c r="BD92" i="1" s="1"/>
  <c r="BD103" i="1" s="1"/>
  <c r="BD75" i="1"/>
  <c r="BD82" i="1" s="1"/>
  <c r="BB90" i="1"/>
  <c r="BB97" i="1" s="1"/>
  <c r="BB102" i="1" s="1"/>
  <c r="BB84" i="1"/>
  <c r="BB92" i="1" s="1"/>
  <c r="BB103" i="1" s="1"/>
  <c r="BB75" i="1"/>
  <c r="BB82" i="1" s="1"/>
  <c r="AZ90" i="1"/>
  <c r="AZ97" i="1" s="1"/>
  <c r="AZ102" i="1" s="1"/>
  <c r="AZ84" i="1"/>
  <c r="AZ92" i="1" s="1"/>
  <c r="AZ103" i="1" s="1"/>
  <c r="AZ75" i="1"/>
  <c r="AZ82" i="1" s="1"/>
  <c r="AX90" i="1"/>
  <c r="AX97" i="1" s="1"/>
  <c r="AX102" i="1" s="1"/>
  <c r="AX84" i="1"/>
  <c r="AX92" i="1" s="1"/>
  <c r="AX103" i="1" s="1"/>
  <c r="AX75" i="1"/>
  <c r="AX82" i="1" s="1"/>
  <c r="AV90" i="1"/>
  <c r="AV97" i="1" s="1"/>
  <c r="AV102" i="1" s="1"/>
  <c r="AV84" i="1"/>
  <c r="AV92" i="1" s="1"/>
  <c r="AV103" i="1" s="1"/>
  <c r="AV75" i="1"/>
  <c r="AV82" i="1" s="1"/>
  <c r="AT90" i="1"/>
  <c r="AT97" i="1" s="1"/>
  <c r="AT102" i="1" s="1"/>
  <c r="AT84" i="1"/>
  <c r="AT92" i="1" s="1"/>
  <c r="AT103" i="1" s="1"/>
  <c r="AT75" i="1"/>
  <c r="AT82" i="1" s="1"/>
  <c r="AR90" i="1"/>
  <c r="AR97" i="1" s="1"/>
  <c r="AR102" i="1" s="1"/>
  <c r="AR84" i="1"/>
  <c r="AR92" i="1" s="1"/>
  <c r="AR103" i="1" s="1"/>
  <c r="AR75" i="1"/>
  <c r="AR82" i="1" s="1"/>
  <c r="AP90" i="1"/>
  <c r="AP97" i="1" s="1"/>
  <c r="AP102" i="1" s="1"/>
  <c r="AP84" i="1"/>
  <c r="AP92" i="1" s="1"/>
  <c r="AP103" i="1" s="1"/>
  <c r="AP75" i="1"/>
  <c r="AP82" i="1" s="1"/>
  <c r="AN90" i="1"/>
  <c r="AN97" i="1" s="1"/>
  <c r="AN102" i="1" s="1"/>
  <c r="AN84" i="1"/>
  <c r="AN92" i="1" s="1"/>
  <c r="AN103" i="1" s="1"/>
  <c r="AN75" i="1"/>
  <c r="AN82" i="1" s="1"/>
  <c r="AL90" i="1"/>
  <c r="AL97" i="1" s="1"/>
  <c r="AL102" i="1" s="1"/>
  <c r="AL84" i="1"/>
  <c r="AL92" i="1" s="1"/>
  <c r="AL103" i="1" s="1"/>
  <c r="AL75" i="1"/>
  <c r="AL82" i="1" s="1"/>
  <c r="AJ90" i="1"/>
  <c r="AJ97" i="1" s="1"/>
  <c r="AJ102" i="1" s="1"/>
  <c r="AJ84" i="1"/>
  <c r="AJ92" i="1" s="1"/>
  <c r="AJ103" i="1" s="1"/>
  <c r="AJ75" i="1"/>
  <c r="AJ82" i="1" s="1"/>
  <c r="AH90" i="1"/>
  <c r="AH97" i="1" s="1"/>
  <c r="AH102" i="1" s="1"/>
  <c r="AH84" i="1"/>
  <c r="AH92" i="1" s="1"/>
  <c r="AH103" i="1" s="1"/>
  <c r="AH75" i="1"/>
  <c r="AH82" i="1" s="1"/>
  <c r="AF90" i="1"/>
  <c r="AF97" i="1" s="1"/>
  <c r="AF102" i="1" s="1"/>
  <c r="AF84" i="1"/>
  <c r="AF92" i="1" s="1"/>
  <c r="AF103" i="1" s="1"/>
  <c r="AF75" i="1"/>
  <c r="AF82" i="1" s="1"/>
  <c r="AD90" i="1"/>
  <c r="AD97" i="1" s="1"/>
  <c r="AD102" i="1" s="1"/>
  <c r="AD84" i="1"/>
  <c r="AD92" i="1" s="1"/>
  <c r="AD103" i="1" s="1"/>
  <c r="AD75" i="1"/>
  <c r="AD82" i="1" s="1"/>
  <c r="AB90" i="1"/>
  <c r="AB97" i="1" s="1"/>
  <c r="AB102" i="1" s="1"/>
  <c r="AB84" i="1"/>
  <c r="AB92" i="1" s="1"/>
  <c r="AB103" i="1" s="1"/>
  <c r="AB75" i="1"/>
  <c r="AB82" i="1" s="1"/>
  <c r="Z90" i="1"/>
  <c r="Z97" i="1" s="1"/>
  <c r="Z102" i="1" s="1"/>
  <c r="Z84" i="1"/>
  <c r="Z92" i="1" s="1"/>
  <c r="Z103" i="1" s="1"/>
  <c r="Z75" i="1"/>
  <c r="Z82" i="1" s="1"/>
  <c r="X90" i="1"/>
  <c r="X97" i="1" s="1"/>
  <c r="X102" i="1" s="1"/>
  <c r="X84" i="1"/>
  <c r="X92" i="1" s="1"/>
  <c r="X103" i="1" s="1"/>
  <c r="X75" i="1"/>
  <c r="X82" i="1" s="1"/>
  <c r="V90" i="1"/>
  <c r="V97" i="1" s="1"/>
  <c r="V102" i="1" s="1"/>
  <c r="V84" i="1"/>
  <c r="V92" i="1" s="1"/>
  <c r="V103" i="1" s="1"/>
  <c r="V75" i="1"/>
  <c r="V82" i="1" s="1"/>
  <c r="T90" i="1"/>
  <c r="T97" i="1" s="1"/>
  <c r="T102" i="1" s="1"/>
  <c r="T84" i="1"/>
  <c r="T92" i="1" s="1"/>
  <c r="T103" i="1" s="1"/>
  <c r="T75" i="1"/>
  <c r="T82" i="1" s="1"/>
  <c r="R90" i="1"/>
  <c r="R97" i="1" s="1"/>
  <c r="R102" i="1" s="1"/>
  <c r="R84" i="1"/>
  <c r="R92" i="1" s="1"/>
  <c r="R103" i="1" s="1"/>
  <c r="R75" i="1"/>
  <c r="R82" i="1" s="1"/>
  <c r="P90" i="1"/>
  <c r="P97" i="1" s="1"/>
  <c r="P102" i="1" s="1"/>
  <c r="P84" i="1"/>
  <c r="P92" i="1" s="1"/>
  <c r="P103" i="1" s="1"/>
  <c r="P75" i="1"/>
  <c r="P82" i="1" s="1"/>
  <c r="N90" i="1"/>
  <c r="N97" i="1" s="1"/>
  <c r="N102" i="1" s="1"/>
  <c r="N84" i="1"/>
  <c r="N92" i="1" s="1"/>
  <c r="N103" i="1" s="1"/>
  <c r="N75" i="1"/>
  <c r="N82" i="1" s="1"/>
  <c r="L90" i="1"/>
  <c r="L97" i="1" s="1"/>
  <c r="L102" i="1" s="1"/>
  <c r="L84" i="1"/>
  <c r="L92" i="1" s="1"/>
  <c r="L103" i="1" s="1"/>
  <c r="L75" i="1"/>
  <c r="L82" i="1" s="1"/>
  <c r="J90" i="1"/>
  <c r="J97" i="1" s="1"/>
  <c r="J102" i="1" s="1"/>
  <c r="J84" i="1"/>
  <c r="J92" i="1" s="1"/>
  <c r="J103" i="1" s="1"/>
  <c r="J75" i="1"/>
  <c r="J82" i="1" s="1"/>
  <c r="H90" i="1"/>
  <c r="H97" i="1" s="1"/>
  <c r="H102" i="1" s="1"/>
  <c r="H84" i="1"/>
  <c r="H92" i="1" s="1"/>
  <c r="H103" i="1" s="1"/>
  <c r="H75" i="1"/>
  <c r="H82" i="1" s="1"/>
  <c r="F90" i="1"/>
  <c r="F97" i="1" s="1"/>
  <c r="F102" i="1" s="1"/>
  <c r="F84" i="1"/>
  <c r="F92" i="1" s="1"/>
  <c r="F103" i="1" s="1"/>
  <c r="F75" i="1"/>
  <c r="F82" i="1" s="1"/>
  <c r="D90" i="1"/>
  <c r="D97" i="1" s="1"/>
  <c r="D102" i="1" s="1"/>
  <c r="D84" i="1"/>
  <c r="D92" i="1" s="1"/>
  <c r="D103" i="1" s="1"/>
  <c r="D75" i="1"/>
  <c r="D82" i="1" s="1"/>
  <c r="EA38" i="1"/>
  <c r="DW38" i="1"/>
  <c r="DR38" i="1"/>
  <c r="DN38" i="1"/>
  <c r="DJ38" i="1"/>
  <c r="DF38" i="1"/>
  <c r="CL55" i="1"/>
  <c r="CL20" i="1"/>
  <c r="CJ55" i="1"/>
  <c r="CJ20" i="1"/>
  <c r="CH55" i="1"/>
  <c r="CH20" i="1"/>
  <c r="CD55" i="1"/>
  <c r="CD20" i="1"/>
  <c r="CB55" i="1"/>
  <c r="CB20" i="1"/>
  <c r="DZ38" i="1"/>
  <c r="DV38" i="1"/>
  <c r="DQ38" i="1"/>
  <c r="DM38" i="1"/>
  <c r="DI38" i="1"/>
  <c r="DE38" i="1"/>
  <c r="FA25" i="1"/>
  <c r="CM55" i="1"/>
  <c r="CM20" i="1"/>
  <c r="CK55" i="1"/>
  <c r="CK20" i="1"/>
  <c r="CI55" i="1"/>
  <c r="CI20" i="1"/>
  <c r="CF55" i="1"/>
  <c r="CF20" i="1"/>
  <c r="CC55" i="1"/>
  <c r="CC20" i="1"/>
  <c r="CS15" i="2"/>
  <c r="CP90" i="1" l="1"/>
  <c r="CI90" i="1"/>
  <c r="CK70" i="1"/>
  <c r="CK84" i="1" s="1"/>
  <c r="CK92" i="1" s="1"/>
  <c r="CS24" i="2"/>
  <c r="CS23" i="2"/>
  <c r="DT17" i="1"/>
  <c r="DT18" i="1" s="1"/>
  <c r="DY51" i="1"/>
  <c r="EU21" i="1"/>
  <c r="DU81" i="1"/>
  <c r="CD71" i="1"/>
  <c r="CD85" i="1" s="1"/>
  <c r="CD93" i="1" s="1"/>
  <c r="CD98" i="1" s="1"/>
  <c r="CD104" i="1" s="1"/>
  <c r="CD56" i="1"/>
  <c r="CH71" i="1"/>
  <c r="CH85" i="1" s="1"/>
  <c r="CH93" i="1" s="1"/>
  <c r="CH98" i="1" s="1"/>
  <c r="CH104" i="1" s="1"/>
  <c r="CH56" i="1"/>
  <c r="CL71" i="1"/>
  <c r="CL85" i="1" s="1"/>
  <c r="CL93" i="1" s="1"/>
  <c r="CL98" i="1" s="1"/>
  <c r="CL104" i="1" s="1"/>
  <c r="CL56" i="1"/>
  <c r="EV50" i="1"/>
  <c r="EV30" i="1"/>
  <c r="CC71" i="1"/>
  <c r="EY55" i="1"/>
  <c r="CC56" i="1"/>
  <c r="CF71" i="1"/>
  <c r="CF85" i="1" s="1"/>
  <c r="CF93" i="1" s="1"/>
  <c r="CF98" i="1" s="1"/>
  <c r="CF104" i="1" s="1"/>
  <c r="CF56" i="1"/>
  <c r="CI71" i="1"/>
  <c r="CI85" i="1" s="1"/>
  <c r="CI93" i="1" s="1"/>
  <c r="CI98" i="1" s="1"/>
  <c r="CI104" i="1" s="1"/>
  <c r="CI56" i="1"/>
  <c r="CK71" i="1"/>
  <c r="FA55" i="1"/>
  <c r="CK56" i="1"/>
  <c r="CM71" i="1"/>
  <c r="CM85" i="1" s="1"/>
  <c r="CM93" i="1" s="1"/>
  <c r="CM98" i="1" s="1"/>
  <c r="CM104" i="1" s="1"/>
  <c r="CM56" i="1"/>
  <c r="D71" i="1"/>
  <c r="D85" i="1" s="1"/>
  <c r="D93" i="1" s="1"/>
  <c r="D98" i="1" s="1"/>
  <c r="D104" i="1" s="1"/>
  <c r="D56" i="1"/>
  <c r="H71" i="1"/>
  <c r="H85" i="1" s="1"/>
  <c r="H93" i="1" s="1"/>
  <c r="H98" i="1" s="1"/>
  <c r="H104" i="1" s="1"/>
  <c r="H56" i="1"/>
  <c r="L71" i="1"/>
  <c r="L85" i="1" s="1"/>
  <c r="L93" i="1" s="1"/>
  <c r="L98" i="1" s="1"/>
  <c r="L104" i="1" s="1"/>
  <c r="L56" i="1"/>
  <c r="P71" i="1"/>
  <c r="P85" i="1" s="1"/>
  <c r="P93" i="1" s="1"/>
  <c r="P98" i="1" s="1"/>
  <c r="P104" i="1" s="1"/>
  <c r="P56" i="1"/>
  <c r="T71" i="1"/>
  <c r="T85" i="1" s="1"/>
  <c r="T93" i="1" s="1"/>
  <c r="T98" i="1" s="1"/>
  <c r="T104" i="1" s="1"/>
  <c r="T56" i="1"/>
  <c r="X71" i="1"/>
  <c r="X85" i="1" s="1"/>
  <c r="X93" i="1" s="1"/>
  <c r="X98" i="1" s="1"/>
  <c r="X104" i="1" s="1"/>
  <c r="X56" i="1"/>
  <c r="AB71" i="1"/>
  <c r="AB85" i="1" s="1"/>
  <c r="AB93" i="1" s="1"/>
  <c r="AB98" i="1" s="1"/>
  <c r="AB104" i="1" s="1"/>
  <c r="AB56" i="1"/>
  <c r="AF71" i="1"/>
  <c r="AF85" i="1" s="1"/>
  <c r="AF93" i="1" s="1"/>
  <c r="AF98" i="1" s="1"/>
  <c r="AF104" i="1" s="1"/>
  <c r="AF56" i="1"/>
  <c r="AJ71" i="1"/>
  <c r="AJ85" i="1" s="1"/>
  <c r="AJ93" i="1" s="1"/>
  <c r="AJ98" i="1" s="1"/>
  <c r="AJ104" i="1" s="1"/>
  <c r="AJ56" i="1"/>
  <c r="AN71" i="1"/>
  <c r="AN85" i="1" s="1"/>
  <c r="AN93" i="1" s="1"/>
  <c r="AN98" i="1" s="1"/>
  <c r="AN104" i="1" s="1"/>
  <c r="AN56" i="1"/>
  <c r="AR71" i="1"/>
  <c r="AR85" i="1" s="1"/>
  <c r="AR93" i="1" s="1"/>
  <c r="AR98" i="1" s="1"/>
  <c r="AR104" i="1" s="1"/>
  <c r="AR56" i="1"/>
  <c r="AV71" i="1"/>
  <c r="AV85" i="1" s="1"/>
  <c r="AV93" i="1" s="1"/>
  <c r="AV98" i="1" s="1"/>
  <c r="AV104" i="1" s="1"/>
  <c r="AV56" i="1"/>
  <c r="AZ71" i="1"/>
  <c r="AZ85" i="1" s="1"/>
  <c r="AZ93" i="1" s="1"/>
  <c r="AZ98" i="1" s="1"/>
  <c r="AZ104" i="1" s="1"/>
  <c r="AZ56" i="1"/>
  <c r="BD71" i="1"/>
  <c r="BD85" i="1" s="1"/>
  <c r="BD93" i="1" s="1"/>
  <c r="BD98" i="1" s="1"/>
  <c r="BD104" i="1" s="1"/>
  <c r="BD56" i="1"/>
  <c r="BH71" i="1"/>
  <c r="BH85" i="1" s="1"/>
  <c r="BH93" i="1" s="1"/>
  <c r="BH98" i="1" s="1"/>
  <c r="BH104" i="1" s="1"/>
  <c r="BH56" i="1"/>
  <c r="BL71" i="1"/>
  <c r="BL85" i="1" s="1"/>
  <c r="BL93" i="1" s="1"/>
  <c r="BL98" i="1" s="1"/>
  <c r="BL104" i="1" s="1"/>
  <c r="BL56" i="1"/>
  <c r="BP71" i="1"/>
  <c r="BP85" i="1" s="1"/>
  <c r="BP93" i="1" s="1"/>
  <c r="BP98" i="1" s="1"/>
  <c r="BP104" i="1" s="1"/>
  <c r="BP56" i="1"/>
  <c r="BT71" i="1"/>
  <c r="BT85" i="1" s="1"/>
  <c r="BT93" i="1" s="1"/>
  <c r="BT98" i="1" s="1"/>
  <c r="BT104" i="1" s="1"/>
  <c r="BT56" i="1"/>
  <c r="BX71" i="1"/>
  <c r="BX85" i="1" s="1"/>
  <c r="BX93" i="1" s="1"/>
  <c r="BX98" i="1" s="1"/>
  <c r="BX104" i="1" s="1"/>
  <c r="BX56" i="1"/>
  <c r="CN71" i="1"/>
  <c r="CN85" i="1" s="1"/>
  <c r="CN93" i="1" s="1"/>
  <c r="CN98" i="1" s="1"/>
  <c r="CN104" i="1" s="1"/>
  <c r="CN56" i="1"/>
  <c r="CR71" i="1"/>
  <c r="CR85" i="1" s="1"/>
  <c r="CR93" i="1" s="1"/>
  <c r="CR98" i="1" s="1"/>
  <c r="CR104" i="1" s="1"/>
  <c r="CR56" i="1"/>
  <c r="EA51" i="1"/>
  <c r="CA97" i="1"/>
  <c r="CA102" i="1" s="1"/>
  <c r="CA92" i="1"/>
  <c r="CA103" i="1" s="1"/>
  <c r="DW103" i="1" s="1"/>
  <c r="DZ51" i="1"/>
  <c r="EY51" i="1"/>
  <c r="ED63" i="1"/>
  <c r="FB52" i="1"/>
  <c r="FB18" i="1"/>
  <c r="EZ58" i="1"/>
  <c r="EZ22" i="1"/>
  <c r="EX52" i="1"/>
  <c r="EX18" i="1"/>
  <c r="EV21" i="1"/>
  <c r="EV17" i="1"/>
  <c r="EV10" i="1"/>
  <c r="ET52" i="1"/>
  <c r="ET18" i="1"/>
  <c r="ER58" i="1"/>
  <c r="ER22" i="1"/>
  <c r="EP52" i="1"/>
  <c r="EP18" i="1"/>
  <c r="EN52" i="1"/>
  <c r="EN18" i="1"/>
  <c r="EL52" i="1"/>
  <c r="EL18" i="1"/>
  <c r="EJ52" i="1"/>
  <c r="EJ18" i="1"/>
  <c r="EH52" i="1"/>
  <c r="EH18" i="1"/>
  <c r="EF58" i="1"/>
  <c r="EF22" i="1"/>
  <c r="EA52" i="1"/>
  <c r="EA18" i="1"/>
  <c r="EA58" i="1"/>
  <c r="EA22" i="1"/>
  <c r="DY52" i="1"/>
  <c r="DY18" i="1"/>
  <c r="DY58" i="1"/>
  <c r="DY22" i="1"/>
  <c r="DW52" i="1"/>
  <c r="DW18" i="1"/>
  <c r="DW58" i="1"/>
  <c r="DW22" i="1"/>
  <c r="DS55" i="1"/>
  <c r="DS20" i="1"/>
  <c r="DQ55" i="1"/>
  <c r="DQ20" i="1"/>
  <c r="DO55" i="1"/>
  <c r="DO20" i="1"/>
  <c r="DM55" i="1"/>
  <c r="DM20" i="1"/>
  <c r="DK55" i="1"/>
  <c r="DK20" i="1"/>
  <c r="DI55" i="1"/>
  <c r="DI20" i="1"/>
  <c r="DG55" i="1"/>
  <c r="DG20" i="1"/>
  <c r="DE52" i="1"/>
  <c r="DE18" i="1"/>
  <c r="DE58" i="1"/>
  <c r="DE22" i="1"/>
  <c r="BO55" i="1"/>
  <c r="BO20" i="1"/>
  <c r="DZ52" i="1"/>
  <c r="DZ18" i="1"/>
  <c r="DZ58" i="1"/>
  <c r="DZ22" i="1"/>
  <c r="DV52" i="1"/>
  <c r="DV18" i="1"/>
  <c r="DV58" i="1"/>
  <c r="DV22" i="1"/>
  <c r="DT52" i="1"/>
  <c r="DT58" i="1"/>
  <c r="DT22" i="1"/>
  <c r="DR52" i="1"/>
  <c r="DR18" i="1"/>
  <c r="DR58" i="1"/>
  <c r="DR22" i="1"/>
  <c r="DN52" i="1"/>
  <c r="DN18" i="1"/>
  <c r="DN58" i="1"/>
  <c r="DN22" i="1"/>
  <c r="CC72" i="1"/>
  <c r="CC59" i="1"/>
  <c r="CF59" i="1"/>
  <c r="CF72" i="1"/>
  <c r="CI72" i="1"/>
  <c r="CI59" i="1"/>
  <c r="CK72" i="1"/>
  <c r="CK59" i="1"/>
  <c r="CM72" i="1"/>
  <c r="CM59" i="1"/>
  <c r="E94" i="1"/>
  <c r="E86" i="1"/>
  <c r="G94" i="1"/>
  <c r="G86" i="1"/>
  <c r="I94" i="1"/>
  <c r="I86" i="1"/>
  <c r="K94" i="1"/>
  <c r="K86" i="1"/>
  <c r="M94" i="1"/>
  <c r="M86" i="1"/>
  <c r="O94" i="1"/>
  <c r="O86" i="1"/>
  <c r="Q94" i="1"/>
  <c r="Q86" i="1"/>
  <c r="S94" i="1"/>
  <c r="S86" i="1"/>
  <c r="U94" i="1"/>
  <c r="U86" i="1"/>
  <c r="W94" i="1"/>
  <c r="W86" i="1"/>
  <c r="Y94" i="1"/>
  <c r="Y86" i="1"/>
  <c r="AA94" i="1"/>
  <c r="AA86" i="1"/>
  <c r="AC94" i="1"/>
  <c r="AC86" i="1"/>
  <c r="AE94" i="1"/>
  <c r="AE86" i="1"/>
  <c r="AG94" i="1"/>
  <c r="AG86" i="1"/>
  <c r="AI94" i="1"/>
  <c r="AI86" i="1"/>
  <c r="AK94" i="1"/>
  <c r="AK86" i="1"/>
  <c r="AM94" i="1"/>
  <c r="AM86" i="1"/>
  <c r="AO94" i="1"/>
  <c r="AO86" i="1"/>
  <c r="AQ94" i="1"/>
  <c r="AQ86" i="1"/>
  <c r="AS94" i="1"/>
  <c r="AS86" i="1"/>
  <c r="AU94" i="1"/>
  <c r="AU86" i="1"/>
  <c r="AW94" i="1"/>
  <c r="AW86" i="1"/>
  <c r="AY94" i="1"/>
  <c r="AY86" i="1"/>
  <c r="BA94" i="1"/>
  <c r="BA86" i="1"/>
  <c r="BC94" i="1"/>
  <c r="BC86" i="1"/>
  <c r="BE94" i="1"/>
  <c r="BE86" i="1"/>
  <c r="BG94" i="1"/>
  <c r="BG86" i="1"/>
  <c r="BI94" i="1"/>
  <c r="BI86" i="1"/>
  <c r="BK94" i="1"/>
  <c r="BK86" i="1"/>
  <c r="BM94" i="1"/>
  <c r="BM86" i="1"/>
  <c r="BU94" i="1"/>
  <c r="BU86" i="1"/>
  <c r="BW94" i="1"/>
  <c r="BW86" i="1"/>
  <c r="BY94" i="1"/>
  <c r="BY86" i="1"/>
  <c r="CA94" i="1"/>
  <c r="CA86" i="1"/>
  <c r="CB59" i="1"/>
  <c r="CB72" i="1"/>
  <c r="CB86" i="1" s="1"/>
  <c r="CB94" i="1" s="1"/>
  <c r="CD59" i="1"/>
  <c r="CD72" i="1"/>
  <c r="CH59" i="1"/>
  <c r="CH72" i="1"/>
  <c r="CJ59" i="1"/>
  <c r="CJ72" i="1"/>
  <c r="CL59" i="1"/>
  <c r="CL72" i="1"/>
  <c r="D94" i="1"/>
  <c r="D86" i="1"/>
  <c r="F94" i="1"/>
  <c r="F86" i="1"/>
  <c r="H94" i="1"/>
  <c r="H86" i="1"/>
  <c r="J94" i="1"/>
  <c r="J86" i="1"/>
  <c r="L94" i="1"/>
  <c r="L86" i="1"/>
  <c r="N94" i="1"/>
  <c r="N86" i="1"/>
  <c r="P94" i="1"/>
  <c r="P86" i="1"/>
  <c r="R94" i="1"/>
  <c r="R86" i="1"/>
  <c r="T94" i="1"/>
  <c r="T86" i="1"/>
  <c r="V94" i="1"/>
  <c r="V86" i="1"/>
  <c r="X94" i="1"/>
  <c r="X86" i="1"/>
  <c r="Z94" i="1"/>
  <c r="Z86" i="1"/>
  <c r="AB94" i="1"/>
  <c r="AB86" i="1"/>
  <c r="AD94" i="1"/>
  <c r="AD86" i="1"/>
  <c r="AF94" i="1"/>
  <c r="AF86" i="1"/>
  <c r="AH94" i="1"/>
  <c r="AH86" i="1"/>
  <c r="AJ94" i="1"/>
  <c r="AJ86" i="1"/>
  <c r="AL94" i="1"/>
  <c r="AL86" i="1"/>
  <c r="BQ94" i="1"/>
  <c r="BQ86" i="1"/>
  <c r="CD92" i="1"/>
  <c r="CD90" i="1"/>
  <c r="CF103" i="1"/>
  <c r="CF97" i="1"/>
  <c r="CH103" i="1"/>
  <c r="CH97" i="1"/>
  <c r="CJ103" i="1"/>
  <c r="CJ97" i="1"/>
  <c r="CL103" i="1"/>
  <c r="CL97" i="1"/>
  <c r="CN103" i="1"/>
  <c r="CN97" i="1"/>
  <c r="CP103" i="1"/>
  <c r="CP97" i="1"/>
  <c r="CR103" i="1"/>
  <c r="CR97" i="1"/>
  <c r="F71" i="1"/>
  <c r="F85" i="1" s="1"/>
  <c r="F93" i="1" s="1"/>
  <c r="F98" i="1" s="1"/>
  <c r="F104" i="1" s="1"/>
  <c r="F56" i="1"/>
  <c r="J71" i="1"/>
  <c r="J85" i="1" s="1"/>
  <c r="J93" i="1" s="1"/>
  <c r="J98" i="1" s="1"/>
  <c r="J104" i="1" s="1"/>
  <c r="J56" i="1"/>
  <c r="N71" i="1"/>
  <c r="N85" i="1" s="1"/>
  <c r="N93" i="1" s="1"/>
  <c r="N98" i="1" s="1"/>
  <c r="N104" i="1" s="1"/>
  <c r="N56" i="1"/>
  <c r="R71" i="1"/>
  <c r="R85" i="1" s="1"/>
  <c r="R93" i="1" s="1"/>
  <c r="R98" i="1" s="1"/>
  <c r="R104" i="1" s="1"/>
  <c r="R56" i="1"/>
  <c r="V71" i="1"/>
  <c r="V85" i="1" s="1"/>
  <c r="V93" i="1" s="1"/>
  <c r="V98" i="1" s="1"/>
  <c r="V104" i="1" s="1"/>
  <c r="V56" i="1"/>
  <c r="Z71" i="1"/>
  <c r="Z85" i="1" s="1"/>
  <c r="Z93" i="1" s="1"/>
  <c r="Z98" i="1" s="1"/>
  <c r="Z104" i="1" s="1"/>
  <c r="Z56" i="1"/>
  <c r="AD71" i="1"/>
  <c r="AD85" i="1" s="1"/>
  <c r="AD93" i="1" s="1"/>
  <c r="AD98" i="1" s="1"/>
  <c r="AD104" i="1" s="1"/>
  <c r="AD56" i="1"/>
  <c r="AH71" i="1"/>
  <c r="AH85" i="1" s="1"/>
  <c r="AH93" i="1" s="1"/>
  <c r="AH98" i="1" s="1"/>
  <c r="AH104" i="1" s="1"/>
  <c r="AH56" i="1"/>
  <c r="AL71" i="1"/>
  <c r="AL85" i="1" s="1"/>
  <c r="AL93" i="1" s="1"/>
  <c r="AL98" i="1" s="1"/>
  <c r="AL104" i="1" s="1"/>
  <c r="AL56" i="1"/>
  <c r="AP71" i="1"/>
  <c r="AP85" i="1" s="1"/>
  <c r="AP93" i="1" s="1"/>
  <c r="AP98" i="1" s="1"/>
  <c r="AP104" i="1" s="1"/>
  <c r="AP56" i="1"/>
  <c r="AT71" i="1"/>
  <c r="AT85" i="1" s="1"/>
  <c r="AT93" i="1" s="1"/>
  <c r="AT98" i="1" s="1"/>
  <c r="AT104" i="1" s="1"/>
  <c r="AT56" i="1"/>
  <c r="AX71" i="1"/>
  <c r="AX85" i="1" s="1"/>
  <c r="AX93" i="1" s="1"/>
  <c r="AX98" i="1" s="1"/>
  <c r="AX104" i="1" s="1"/>
  <c r="AX56" i="1"/>
  <c r="BB71" i="1"/>
  <c r="BB85" i="1" s="1"/>
  <c r="BB93" i="1" s="1"/>
  <c r="BB98" i="1" s="1"/>
  <c r="BB104" i="1" s="1"/>
  <c r="BB56" i="1"/>
  <c r="BF71" i="1"/>
  <c r="BF85" i="1" s="1"/>
  <c r="BF93" i="1" s="1"/>
  <c r="BF98" i="1" s="1"/>
  <c r="BF104" i="1" s="1"/>
  <c r="BF56" i="1"/>
  <c r="BJ71" i="1"/>
  <c r="BJ85" i="1" s="1"/>
  <c r="BJ93" i="1" s="1"/>
  <c r="BJ98" i="1" s="1"/>
  <c r="BJ104" i="1" s="1"/>
  <c r="BJ56" i="1"/>
  <c r="BN71" i="1"/>
  <c r="BN85" i="1" s="1"/>
  <c r="BN93" i="1" s="1"/>
  <c r="BN98" i="1" s="1"/>
  <c r="BN104" i="1" s="1"/>
  <c r="BN56" i="1"/>
  <c r="BR71" i="1"/>
  <c r="BR85" i="1" s="1"/>
  <c r="BR93" i="1" s="1"/>
  <c r="BR98" i="1" s="1"/>
  <c r="BR104" i="1" s="1"/>
  <c r="BR56" i="1"/>
  <c r="BV71" i="1"/>
  <c r="BV85" i="1" s="1"/>
  <c r="BV93" i="1" s="1"/>
  <c r="BV98" i="1" s="1"/>
  <c r="BV104" i="1" s="1"/>
  <c r="BV56" i="1"/>
  <c r="BZ71" i="1"/>
  <c r="BZ85" i="1" s="1"/>
  <c r="BZ93" i="1" s="1"/>
  <c r="BZ98" i="1" s="1"/>
  <c r="BZ104" i="1" s="1"/>
  <c r="BZ56" i="1"/>
  <c r="CP71" i="1"/>
  <c r="CP85" i="1" s="1"/>
  <c r="CP93" i="1" s="1"/>
  <c r="CP98" i="1" s="1"/>
  <c r="CP104" i="1" s="1"/>
  <c r="CP56" i="1"/>
  <c r="DU50" i="1"/>
  <c r="DU49" i="1" s="1"/>
  <c r="DU30" i="1"/>
  <c r="EZ51" i="1"/>
  <c r="DU38" i="1"/>
  <c r="CI103" i="1"/>
  <c r="CI97" i="1"/>
  <c r="CQ103" i="1"/>
  <c r="CQ97" i="1"/>
  <c r="E71" i="1"/>
  <c r="E85" i="1" s="1"/>
  <c r="E93" i="1" s="1"/>
  <c r="E98" i="1" s="1"/>
  <c r="E104" i="1" s="1"/>
  <c r="E56" i="1"/>
  <c r="I71" i="1"/>
  <c r="I85" i="1" s="1"/>
  <c r="I93" i="1" s="1"/>
  <c r="I98" i="1" s="1"/>
  <c r="I104" i="1" s="1"/>
  <c r="I56" i="1"/>
  <c r="M71" i="1"/>
  <c r="M85" i="1" s="1"/>
  <c r="M93" i="1" s="1"/>
  <c r="M98" i="1" s="1"/>
  <c r="M104" i="1" s="1"/>
  <c r="M56" i="1"/>
  <c r="Q71" i="1"/>
  <c r="Q85" i="1" s="1"/>
  <c r="Q93" i="1" s="1"/>
  <c r="Q98" i="1" s="1"/>
  <c r="Q104" i="1" s="1"/>
  <c r="Q56" i="1"/>
  <c r="U71" i="1"/>
  <c r="U85" i="1" s="1"/>
  <c r="U93" i="1" s="1"/>
  <c r="U98" i="1" s="1"/>
  <c r="U104" i="1" s="1"/>
  <c r="U56" i="1"/>
  <c r="Y71" i="1"/>
  <c r="Y85" i="1" s="1"/>
  <c r="Y93" i="1" s="1"/>
  <c r="Y98" i="1" s="1"/>
  <c r="Y104" i="1" s="1"/>
  <c r="Y56" i="1"/>
  <c r="AC71" i="1"/>
  <c r="AC85" i="1" s="1"/>
  <c r="AC93" i="1" s="1"/>
  <c r="AC98" i="1" s="1"/>
  <c r="AC104" i="1" s="1"/>
  <c r="AC56" i="1"/>
  <c r="AG71" i="1"/>
  <c r="AG85" i="1" s="1"/>
  <c r="AG93" i="1" s="1"/>
  <c r="AG98" i="1" s="1"/>
  <c r="AG104" i="1" s="1"/>
  <c r="AG56" i="1"/>
  <c r="AK71" i="1"/>
  <c r="AK85" i="1" s="1"/>
  <c r="AK93" i="1" s="1"/>
  <c r="AK98" i="1" s="1"/>
  <c r="AK104" i="1" s="1"/>
  <c r="AK56" i="1"/>
  <c r="AO71" i="1"/>
  <c r="AO85" i="1" s="1"/>
  <c r="AO93" i="1" s="1"/>
  <c r="AO98" i="1" s="1"/>
  <c r="AO104" i="1" s="1"/>
  <c r="AO56" i="1"/>
  <c r="AS71" i="1"/>
  <c r="AS85" i="1" s="1"/>
  <c r="AS93" i="1" s="1"/>
  <c r="AS98" i="1" s="1"/>
  <c r="AS104" i="1" s="1"/>
  <c r="AS56" i="1"/>
  <c r="AW71" i="1"/>
  <c r="AW85" i="1" s="1"/>
  <c r="AW93" i="1" s="1"/>
  <c r="AW98" i="1" s="1"/>
  <c r="AW104" i="1" s="1"/>
  <c r="AW56" i="1"/>
  <c r="BA71" i="1"/>
  <c r="BA85" i="1" s="1"/>
  <c r="BA93" i="1" s="1"/>
  <c r="BA98" i="1" s="1"/>
  <c r="BA104" i="1" s="1"/>
  <c r="BA56" i="1"/>
  <c r="BE71" i="1"/>
  <c r="BE85" i="1" s="1"/>
  <c r="BE93" i="1" s="1"/>
  <c r="BE98" i="1" s="1"/>
  <c r="BE104" i="1" s="1"/>
  <c r="BE56" i="1"/>
  <c r="BI71" i="1"/>
  <c r="BI85" i="1" s="1"/>
  <c r="BI93" i="1" s="1"/>
  <c r="BI98" i="1" s="1"/>
  <c r="BI104" i="1" s="1"/>
  <c r="BI56" i="1"/>
  <c r="BM71" i="1"/>
  <c r="BM85" i="1" s="1"/>
  <c r="BM93" i="1" s="1"/>
  <c r="BM98" i="1" s="1"/>
  <c r="BM104" i="1" s="1"/>
  <c r="BM56" i="1"/>
  <c r="BU71" i="1"/>
  <c r="BU85" i="1" s="1"/>
  <c r="BU93" i="1" s="1"/>
  <c r="BU98" i="1" s="1"/>
  <c r="BU104" i="1" s="1"/>
  <c r="BU56" i="1"/>
  <c r="BY71" i="1"/>
  <c r="BY85" i="1" s="1"/>
  <c r="BY93" i="1" s="1"/>
  <c r="BY98" i="1" s="1"/>
  <c r="BY104" i="1" s="1"/>
  <c r="BY56" i="1"/>
  <c r="CE71" i="1"/>
  <c r="CE85" i="1" s="1"/>
  <c r="CE93" i="1" s="1"/>
  <c r="CE98" i="1" s="1"/>
  <c r="CE104" i="1" s="1"/>
  <c r="CE56" i="1"/>
  <c r="CO71" i="1"/>
  <c r="FB55" i="1"/>
  <c r="CO56" i="1"/>
  <c r="CS71" i="1"/>
  <c r="CS56" i="1"/>
  <c r="DX81" i="1"/>
  <c r="EX81" i="1"/>
  <c r="CW119" i="1"/>
  <c r="CX111" i="1"/>
  <c r="FA58" i="1"/>
  <c r="FA22" i="1"/>
  <c r="EY52" i="1"/>
  <c r="EY18" i="1"/>
  <c r="EW10" i="1"/>
  <c r="EW58" i="1"/>
  <c r="EW22" i="1"/>
  <c r="EU52" i="1"/>
  <c r="EU18" i="1"/>
  <c r="ES58" i="1"/>
  <c r="ES22" i="1"/>
  <c r="EQ52" i="1"/>
  <c r="EQ18" i="1"/>
  <c r="EO58" i="1"/>
  <c r="EO22" i="1"/>
  <c r="EM52" i="1"/>
  <c r="EM18" i="1"/>
  <c r="EK58" i="1"/>
  <c r="EK22" i="1"/>
  <c r="EI52" i="1"/>
  <c r="EI18" i="1"/>
  <c r="EG58" i="1"/>
  <c r="EG22" i="1"/>
  <c r="DX55" i="1"/>
  <c r="DX20" i="1"/>
  <c r="DP55" i="1"/>
  <c r="DP20" i="1"/>
  <c r="DL55" i="1"/>
  <c r="DL20" i="1"/>
  <c r="DJ55" i="1"/>
  <c r="DJ20" i="1"/>
  <c r="DH55" i="1"/>
  <c r="DH20" i="1"/>
  <c r="DF55" i="1"/>
  <c r="DF20" i="1"/>
  <c r="BS55" i="1"/>
  <c r="BS20" i="1"/>
  <c r="CN86" i="1"/>
  <c r="CN94" i="1" s="1"/>
  <c r="CN75" i="1"/>
  <c r="CP86" i="1"/>
  <c r="CP94" i="1" s="1"/>
  <c r="CP75" i="1"/>
  <c r="CP82" i="1"/>
  <c r="CR86" i="1"/>
  <c r="CR94" i="1" s="1"/>
  <c r="CR75" i="1"/>
  <c r="CB71" i="1"/>
  <c r="CB85" i="1" s="1"/>
  <c r="CB93" i="1" s="1"/>
  <c r="CB98" i="1" s="1"/>
  <c r="CB104" i="1" s="1"/>
  <c r="CB56" i="1"/>
  <c r="CJ71" i="1"/>
  <c r="CJ85" i="1" s="1"/>
  <c r="CJ93" i="1" s="1"/>
  <c r="CJ98" i="1" s="1"/>
  <c r="CJ104" i="1" s="1"/>
  <c r="CJ56" i="1"/>
  <c r="CC92" i="1"/>
  <c r="CC90" i="1"/>
  <c r="EY84" i="1"/>
  <c r="CE92" i="1"/>
  <c r="CE103" i="1" s="1"/>
  <c r="CE90" i="1"/>
  <c r="CE97" i="1" s="1"/>
  <c r="CM103" i="1"/>
  <c r="CM97" i="1"/>
  <c r="CO92" i="1"/>
  <c r="FB84" i="1"/>
  <c r="CO90" i="1"/>
  <c r="EA90" i="1" s="1"/>
  <c r="G71" i="1"/>
  <c r="G85" i="1" s="1"/>
  <c r="G93" i="1" s="1"/>
  <c r="G98" i="1" s="1"/>
  <c r="G104" i="1" s="1"/>
  <c r="G56" i="1"/>
  <c r="K71" i="1"/>
  <c r="K85" i="1" s="1"/>
  <c r="K93" i="1" s="1"/>
  <c r="K98" i="1" s="1"/>
  <c r="K104" i="1" s="1"/>
  <c r="K56" i="1"/>
  <c r="O71" i="1"/>
  <c r="O85" i="1" s="1"/>
  <c r="O93" i="1" s="1"/>
  <c r="O98" i="1" s="1"/>
  <c r="O104" i="1" s="1"/>
  <c r="O56" i="1"/>
  <c r="S71" i="1"/>
  <c r="S85" i="1" s="1"/>
  <c r="S93" i="1" s="1"/>
  <c r="S98" i="1" s="1"/>
  <c r="S104" i="1" s="1"/>
  <c r="S56" i="1"/>
  <c r="W71" i="1"/>
  <c r="W85" i="1" s="1"/>
  <c r="W93" i="1" s="1"/>
  <c r="W98" i="1" s="1"/>
  <c r="W104" i="1" s="1"/>
  <c r="W56" i="1"/>
  <c r="AA71" i="1"/>
  <c r="AA85" i="1" s="1"/>
  <c r="AA93" i="1" s="1"/>
  <c r="AA98" i="1" s="1"/>
  <c r="AA104" i="1" s="1"/>
  <c r="AA56" i="1"/>
  <c r="AE71" i="1"/>
  <c r="AE85" i="1" s="1"/>
  <c r="AE93" i="1" s="1"/>
  <c r="AE98" i="1" s="1"/>
  <c r="AE104" i="1" s="1"/>
  <c r="AE56" i="1"/>
  <c r="AI71" i="1"/>
  <c r="AI85" i="1" s="1"/>
  <c r="AI93" i="1" s="1"/>
  <c r="AI98" i="1" s="1"/>
  <c r="AI104" i="1" s="1"/>
  <c r="AI56" i="1"/>
  <c r="AM71" i="1"/>
  <c r="AM85" i="1" s="1"/>
  <c r="AM93" i="1" s="1"/>
  <c r="AM98" i="1" s="1"/>
  <c r="AM104" i="1" s="1"/>
  <c r="AM56" i="1"/>
  <c r="AQ71" i="1"/>
  <c r="AQ85" i="1" s="1"/>
  <c r="AQ93" i="1" s="1"/>
  <c r="AQ98" i="1" s="1"/>
  <c r="AQ104" i="1" s="1"/>
  <c r="AQ56" i="1"/>
  <c r="AU71" i="1"/>
  <c r="AU85" i="1" s="1"/>
  <c r="AU93" i="1" s="1"/>
  <c r="AU98" i="1" s="1"/>
  <c r="AU104" i="1" s="1"/>
  <c r="AU56" i="1"/>
  <c r="AY71" i="1"/>
  <c r="AY85" i="1" s="1"/>
  <c r="AY93" i="1" s="1"/>
  <c r="AY98" i="1" s="1"/>
  <c r="AY104" i="1" s="1"/>
  <c r="AY56" i="1"/>
  <c r="BC71" i="1"/>
  <c r="BC85" i="1" s="1"/>
  <c r="BC93" i="1" s="1"/>
  <c r="BC98" i="1" s="1"/>
  <c r="BC104" i="1" s="1"/>
  <c r="BC56" i="1"/>
  <c r="BG71" i="1"/>
  <c r="BG85" i="1" s="1"/>
  <c r="BG93" i="1" s="1"/>
  <c r="BG98" i="1" s="1"/>
  <c r="BG104" i="1" s="1"/>
  <c r="BG56" i="1"/>
  <c r="BK71" i="1"/>
  <c r="BK85" i="1" s="1"/>
  <c r="BK93" i="1" s="1"/>
  <c r="BK98" i="1" s="1"/>
  <c r="BK104" i="1" s="1"/>
  <c r="BK56" i="1"/>
  <c r="BQ71" i="1"/>
  <c r="BQ85" i="1" s="1"/>
  <c r="BQ93" i="1" s="1"/>
  <c r="BQ98" i="1" s="1"/>
  <c r="BQ104" i="1" s="1"/>
  <c r="BQ56" i="1"/>
  <c r="BW71" i="1"/>
  <c r="BW85" i="1" s="1"/>
  <c r="BW93" i="1" s="1"/>
  <c r="BW98" i="1" s="1"/>
  <c r="BW104" i="1" s="1"/>
  <c r="BW56" i="1"/>
  <c r="CA71" i="1"/>
  <c r="CA85" i="1" s="1"/>
  <c r="CA93" i="1" s="1"/>
  <c r="CA98" i="1" s="1"/>
  <c r="CA104" i="1" s="1"/>
  <c r="CA56" i="1"/>
  <c r="CG71" i="1"/>
  <c r="EZ55" i="1"/>
  <c r="CG56" i="1"/>
  <c r="CQ71" i="1"/>
  <c r="CQ85" i="1" s="1"/>
  <c r="CQ93" i="1" s="1"/>
  <c r="CQ98" i="1" s="1"/>
  <c r="CQ104" i="1" s="1"/>
  <c r="CQ56" i="1"/>
  <c r="CT40" i="1"/>
  <c r="CT50" i="1"/>
  <c r="CU46" i="1"/>
  <c r="EB46" i="1" s="1"/>
  <c r="EB50" i="1" s="1"/>
  <c r="EB51" i="1" s="1"/>
  <c r="CV45" i="1"/>
  <c r="FC45" i="1"/>
  <c r="CN82" i="1"/>
  <c r="EA81" i="1"/>
  <c r="CW110" i="1"/>
  <c r="CZ112" i="1"/>
  <c r="FD112" i="1" s="1"/>
  <c r="FB58" i="1"/>
  <c r="FB22" i="1"/>
  <c r="EZ52" i="1"/>
  <c r="EZ18" i="1"/>
  <c r="EX58" i="1"/>
  <c r="EX22" i="1"/>
  <c r="ET58" i="1"/>
  <c r="ET22" i="1"/>
  <c r="ER52" i="1"/>
  <c r="ER18" i="1"/>
  <c r="EP58" i="1"/>
  <c r="EP22" i="1"/>
  <c r="EN58" i="1"/>
  <c r="EN22" i="1"/>
  <c r="EL58" i="1"/>
  <c r="EL22" i="1"/>
  <c r="EJ58" i="1"/>
  <c r="EJ22" i="1"/>
  <c r="EH58" i="1"/>
  <c r="EH22" i="1"/>
  <c r="EF52" i="1"/>
  <c r="EF18" i="1"/>
  <c r="EA55" i="1"/>
  <c r="EA20" i="1"/>
  <c r="DY55" i="1"/>
  <c r="DY20" i="1"/>
  <c r="DW55" i="1"/>
  <c r="DW20" i="1"/>
  <c r="DU21" i="1"/>
  <c r="DU19" i="1"/>
  <c r="DU17" i="1"/>
  <c r="DU10" i="1"/>
  <c r="DS52" i="1"/>
  <c r="DS18" i="1"/>
  <c r="DS58" i="1"/>
  <c r="DS22" i="1"/>
  <c r="DQ52" i="1"/>
  <c r="DQ18" i="1"/>
  <c r="DQ58" i="1"/>
  <c r="DQ22" i="1"/>
  <c r="DO52" i="1"/>
  <c r="DO18" i="1"/>
  <c r="DO58" i="1"/>
  <c r="DO22" i="1"/>
  <c r="DM52" i="1"/>
  <c r="DM18" i="1"/>
  <c r="DM58" i="1"/>
  <c r="DM22" i="1"/>
  <c r="DK52" i="1"/>
  <c r="DK18" i="1"/>
  <c r="DK58" i="1"/>
  <c r="DK22" i="1"/>
  <c r="DI52" i="1"/>
  <c r="DI18" i="1"/>
  <c r="DI58" i="1"/>
  <c r="DI22" i="1"/>
  <c r="DG52" i="1"/>
  <c r="DG18" i="1"/>
  <c r="DG58" i="1"/>
  <c r="DG22" i="1"/>
  <c r="DE55" i="1"/>
  <c r="DE20" i="1"/>
  <c r="BO52" i="1"/>
  <c r="BO18" i="1"/>
  <c r="BO58" i="1"/>
  <c r="BO22" i="1"/>
  <c r="DZ55" i="1"/>
  <c r="DZ20" i="1"/>
  <c r="DV10" i="1"/>
  <c r="DV55" i="1"/>
  <c r="DV20" i="1"/>
  <c r="DT55" i="1"/>
  <c r="DT20" i="1"/>
  <c r="DR55" i="1"/>
  <c r="DR20" i="1"/>
  <c r="DN55" i="1"/>
  <c r="DN20" i="1"/>
  <c r="BP94" i="1"/>
  <c r="BP86" i="1"/>
  <c r="BR94" i="1"/>
  <c r="BR86" i="1"/>
  <c r="AN94" i="1"/>
  <c r="AN86" i="1"/>
  <c r="AP94" i="1"/>
  <c r="AP86" i="1"/>
  <c r="AR94" i="1"/>
  <c r="AR86" i="1"/>
  <c r="AT94" i="1"/>
  <c r="AT86" i="1"/>
  <c r="AV94" i="1"/>
  <c r="AV86" i="1"/>
  <c r="AX94" i="1"/>
  <c r="AX86" i="1"/>
  <c r="AZ94" i="1"/>
  <c r="AZ86" i="1"/>
  <c r="BB94" i="1"/>
  <c r="BB86" i="1"/>
  <c r="BD94" i="1"/>
  <c r="BD86" i="1"/>
  <c r="BF94" i="1"/>
  <c r="BF86" i="1"/>
  <c r="BH94" i="1"/>
  <c r="BH86" i="1"/>
  <c r="BJ94" i="1"/>
  <c r="BJ86" i="1"/>
  <c r="BL94" i="1"/>
  <c r="BL86" i="1"/>
  <c r="BN94" i="1"/>
  <c r="BN86" i="1"/>
  <c r="BT94" i="1"/>
  <c r="BT86" i="1"/>
  <c r="BT82" i="1"/>
  <c r="BV94" i="1"/>
  <c r="BV86" i="1"/>
  <c r="BX94" i="1"/>
  <c r="BX86" i="1"/>
  <c r="BZ94" i="1"/>
  <c r="BZ86" i="1"/>
  <c r="CR8" i="3"/>
  <c r="CR28" i="3" s="1"/>
  <c r="CR57" i="3" s="1"/>
  <c r="DU25" i="1"/>
  <c r="DU33" i="1"/>
  <c r="FA51" i="1"/>
  <c r="CV113" i="1"/>
  <c r="FA52" i="1"/>
  <c r="FA18" i="1"/>
  <c r="EY58" i="1"/>
  <c r="EY22" i="1"/>
  <c r="EW52" i="1"/>
  <c r="EW18" i="1"/>
  <c r="EU58" i="1"/>
  <c r="EU22" i="1"/>
  <c r="ES52" i="1"/>
  <c r="ES18" i="1"/>
  <c r="EQ58" i="1"/>
  <c r="EQ22" i="1"/>
  <c r="EO52" i="1"/>
  <c r="EO18" i="1"/>
  <c r="EM58" i="1"/>
  <c r="EM22" i="1"/>
  <c r="EK52" i="1"/>
  <c r="EK18" i="1"/>
  <c r="EI58" i="1"/>
  <c r="EI22" i="1"/>
  <c r="EG52" i="1"/>
  <c r="EG18" i="1"/>
  <c r="DX52" i="1"/>
  <c r="DX18" i="1"/>
  <c r="DX58" i="1"/>
  <c r="DX22" i="1"/>
  <c r="DP52" i="1"/>
  <c r="DP18" i="1"/>
  <c r="DP58" i="1"/>
  <c r="DP22" i="1"/>
  <c r="DL52" i="1"/>
  <c r="DL18" i="1"/>
  <c r="DL58" i="1"/>
  <c r="DL22" i="1"/>
  <c r="DJ52" i="1"/>
  <c r="DJ18" i="1"/>
  <c r="DJ58" i="1"/>
  <c r="DJ22" i="1"/>
  <c r="DH52" i="1"/>
  <c r="DH18" i="1"/>
  <c r="DH58" i="1"/>
  <c r="DH22" i="1"/>
  <c r="DF52" i="1"/>
  <c r="DF18" i="1"/>
  <c r="DF58" i="1"/>
  <c r="DF22" i="1"/>
  <c r="BS52" i="1"/>
  <c r="BS18" i="1"/>
  <c r="BS58" i="1"/>
  <c r="BS22" i="1"/>
  <c r="CB84" i="1"/>
  <c r="CB75" i="1"/>
  <c r="CS92" i="1"/>
  <c r="CS90" i="1"/>
  <c r="CG92" i="1"/>
  <c r="EZ84" i="1"/>
  <c r="CG90" i="1"/>
  <c r="CE86" i="1"/>
  <c r="CE94" i="1" s="1"/>
  <c r="CE82" i="1"/>
  <c r="CG86" i="1"/>
  <c r="CG75" i="1"/>
  <c r="CO86" i="1"/>
  <c r="CO75" i="1"/>
  <c r="CQ86" i="1"/>
  <c r="CQ94" i="1" s="1"/>
  <c r="CQ75" i="1"/>
  <c r="CQ82" i="1"/>
  <c r="CS86" i="1"/>
  <c r="CS75" i="1"/>
  <c r="FA84" i="1" l="1"/>
  <c r="CK90" i="1"/>
  <c r="CB82" i="1"/>
  <c r="CK103" i="1"/>
  <c r="CK97" i="1"/>
  <c r="FA92" i="1"/>
  <c r="CG103" i="1"/>
  <c r="DY103" i="1" s="1"/>
  <c r="CG97" i="1"/>
  <c r="EZ92" i="1"/>
  <c r="EG70" i="1"/>
  <c r="EG53" i="1"/>
  <c r="EI59" i="1"/>
  <c r="EI72" i="1"/>
  <c r="EK70" i="1"/>
  <c r="EK53" i="1"/>
  <c r="EM59" i="1"/>
  <c r="EM72" i="1"/>
  <c r="EQ59" i="1"/>
  <c r="EQ72" i="1"/>
  <c r="ES70" i="1"/>
  <c r="ES53" i="1"/>
  <c r="EU59" i="1"/>
  <c r="EU72" i="1"/>
  <c r="EW70" i="1"/>
  <c r="EW53" i="1"/>
  <c r="EY59" i="1"/>
  <c r="EY72" i="1"/>
  <c r="EY82" i="1" s="1"/>
  <c r="BT106" i="1"/>
  <c r="BT99" i="1"/>
  <c r="BT91" i="1"/>
  <c r="BN106" i="1"/>
  <c r="BN99" i="1"/>
  <c r="BN91" i="1"/>
  <c r="BL106" i="1"/>
  <c r="BL99" i="1"/>
  <c r="BL91" i="1"/>
  <c r="BJ106" i="1"/>
  <c r="BJ99" i="1"/>
  <c r="BJ91" i="1"/>
  <c r="BF106" i="1"/>
  <c r="BF99" i="1"/>
  <c r="BF91" i="1"/>
  <c r="BD106" i="1"/>
  <c r="BD99" i="1"/>
  <c r="BD91" i="1"/>
  <c r="BB106" i="1"/>
  <c r="BB99" i="1"/>
  <c r="BB91" i="1"/>
  <c r="AZ106" i="1"/>
  <c r="AZ99" i="1"/>
  <c r="AZ91" i="1"/>
  <c r="AV106" i="1"/>
  <c r="AV99" i="1"/>
  <c r="AV91" i="1"/>
  <c r="AT106" i="1"/>
  <c r="AT99" i="1"/>
  <c r="AT91" i="1"/>
  <c r="AR106" i="1"/>
  <c r="AR99" i="1"/>
  <c r="AR91" i="1"/>
  <c r="AP106" i="1"/>
  <c r="AP99" i="1"/>
  <c r="AP91" i="1"/>
  <c r="BR106" i="1"/>
  <c r="BR99" i="1"/>
  <c r="BR91" i="1"/>
  <c r="BP106" i="1"/>
  <c r="BP99" i="1"/>
  <c r="BP91" i="1"/>
  <c r="DN71" i="1"/>
  <c r="DN85" i="1" s="1"/>
  <c r="DN56" i="1"/>
  <c r="DR71" i="1"/>
  <c r="DR85" i="1" s="1"/>
  <c r="DR56" i="1"/>
  <c r="DV71" i="1"/>
  <c r="DV85" i="1" s="1"/>
  <c r="DV93" i="1" s="1"/>
  <c r="DV98" i="1" s="1"/>
  <c r="DV56" i="1"/>
  <c r="CQ106" i="1"/>
  <c r="CQ99" i="1"/>
  <c r="CQ91" i="1"/>
  <c r="CO94" i="1"/>
  <c r="FB86" i="1"/>
  <c r="FB94" i="1" s="1"/>
  <c r="FB106" i="1" s="1"/>
  <c r="CG94" i="1"/>
  <c r="CE106" i="1"/>
  <c r="CE99" i="1"/>
  <c r="CE91" i="1"/>
  <c r="CS103" i="1"/>
  <c r="CS97" i="1"/>
  <c r="CB92" i="1"/>
  <c r="CB90" i="1"/>
  <c r="CB91" i="1" s="1"/>
  <c r="BS72" i="1"/>
  <c r="BS59" i="1"/>
  <c r="BS70" i="1"/>
  <c r="BS53" i="1"/>
  <c r="DF72" i="1"/>
  <c r="DF59" i="1"/>
  <c r="DF70" i="1"/>
  <c r="DF53" i="1"/>
  <c r="DH72" i="1"/>
  <c r="DH59" i="1"/>
  <c r="DH70" i="1"/>
  <c r="DH53" i="1"/>
  <c r="DJ72" i="1"/>
  <c r="DJ59" i="1"/>
  <c r="DJ70" i="1"/>
  <c r="DJ53" i="1"/>
  <c r="DL72" i="1"/>
  <c r="DL59" i="1"/>
  <c r="DL70" i="1"/>
  <c r="DL53" i="1"/>
  <c r="DP72" i="1"/>
  <c r="DP59" i="1"/>
  <c r="DP70" i="1"/>
  <c r="DP53" i="1"/>
  <c r="DX72" i="1"/>
  <c r="DX86" i="1" s="1"/>
  <c r="DX94" i="1" s="1"/>
  <c r="DX59" i="1"/>
  <c r="DX70" i="1"/>
  <c r="DX53" i="1"/>
  <c r="BZ106" i="1"/>
  <c r="BZ99" i="1"/>
  <c r="BZ91" i="1"/>
  <c r="BX106" i="1"/>
  <c r="BX99" i="1"/>
  <c r="BX91" i="1"/>
  <c r="BV106" i="1"/>
  <c r="BV99" i="1"/>
  <c r="BV91" i="1"/>
  <c r="DZ71" i="1"/>
  <c r="DZ85" i="1" s="1"/>
  <c r="DZ93" i="1" s="1"/>
  <c r="DZ98" i="1" s="1"/>
  <c r="DZ56" i="1"/>
  <c r="BO72" i="1"/>
  <c r="BO59" i="1"/>
  <c r="BO70" i="1"/>
  <c r="BO53" i="1"/>
  <c r="DE71" i="1"/>
  <c r="DE85" i="1" s="1"/>
  <c r="DE56" i="1"/>
  <c r="DG59" i="1"/>
  <c r="DG72" i="1"/>
  <c r="DG70" i="1"/>
  <c r="DG53" i="1"/>
  <c r="DI59" i="1"/>
  <c r="DI72" i="1"/>
  <c r="DI70" i="1"/>
  <c r="DI53" i="1"/>
  <c r="DK59" i="1"/>
  <c r="DK72" i="1"/>
  <c r="DK70" i="1"/>
  <c r="DK53" i="1"/>
  <c r="DM59" i="1"/>
  <c r="DM72" i="1"/>
  <c r="DM70" i="1"/>
  <c r="DM53" i="1"/>
  <c r="DO59" i="1"/>
  <c r="DO72" i="1"/>
  <c r="DO70" i="1"/>
  <c r="DO53" i="1"/>
  <c r="DQ59" i="1"/>
  <c r="DQ72" i="1"/>
  <c r="DQ70" i="1"/>
  <c r="DQ53" i="1"/>
  <c r="DS59" i="1"/>
  <c r="DS72" i="1"/>
  <c r="DS70" i="1"/>
  <c r="DS53" i="1"/>
  <c r="DU52" i="1"/>
  <c r="DU18" i="1"/>
  <c r="DU58" i="1"/>
  <c r="DU22" i="1"/>
  <c r="DW71" i="1"/>
  <c r="DW85" i="1" s="1"/>
  <c r="DW93" i="1" s="1"/>
  <c r="DW98" i="1" s="1"/>
  <c r="DW104" i="1" s="1"/>
  <c r="DW56" i="1"/>
  <c r="DY71" i="1"/>
  <c r="DY85" i="1" s="1"/>
  <c r="DY93" i="1" s="1"/>
  <c r="DY98" i="1" s="1"/>
  <c r="DY56" i="1"/>
  <c r="EA71" i="1"/>
  <c r="EA85" i="1" s="1"/>
  <c r="EA93" i="1" s="1"/>
  <c r="EA98" i="1" s="1"/>
  <c r="EA56" i="1"/>
  <c r="EF70" i="1"/>
  <c r="EF53" i="1"/>
  <c r="EH72" i="1"/>
  <c r="EH59" i="1"/>
  <c r="EJ72" i="1"/>
  <c r="EJ59" i="1"/>
  <c r="EL72" i="1"/>
  <c r="EL59" i="1"/>
  <c r="EN72" i="1"/>
  <c r="EN59" i="1"/>
  <c r="EP72" i="1"/>
  <c r="EP59" i="1"/>
  <c r="ER70" i="1"/>
  <c r="ER53" i="1"/>
  <c r="ET72" i="1"/>
  <c r="ET59" i="1"/>
  <c r="EX72" i="1"/>
  <c r="EX82" i="1" s="1"/>
  <c r="EX59" i="1"/>
  <c r="EZ70" i="1"/>
  <c r="EZ53" i="1"/>
  <c r="FB72" i="1"/>
  <c r="FB82" i="1" s="1"/>
  <c r="FB59" i="1"/>
  <c r="DA112" i="1"/>
  <c r="DB112" i="1" s="1"/>
  <c r="DC112" i="1" s="1"/>
  <c r="CX110" i="1"/>
  <c r="CX113" i="1" s="1"/>
  <c r="CW45" i="1"/>
  <c r="CV46" i="1"/>
  <c r="FC46" i="1" s="1"/>
  <c r="FC50" i="1" s="1"/>
  <c r="FC51" i="1" s="1"/>
  <c r="CG85" i="1"/>
  <c r="EZ71" i="1"/>
  <c r="CM132" i="1"/>
  <c r="CM158" i="1" s="1"/>
  <c r="CM159" i="1" s="1"/>
  <c r="CM102" i="1"/>
  <c r="CE132" i="1"/>
  <c r="CE158" i="1" s="1"/>
  <c r="CE159" i="1" s="1"/>
  <c r="CE102" i="1"/>
  <c r="CC103" i="1"/>
  <c r="CC97" i="1"/>
  <c r="EY92" i="1"/>
  <c r="CR106" i="1"/>
  <c r="CR99" i="1"/>
  <c r="CR91" i="1"/>
  <c r="EY70" i="1"/>
  <c r="EY53" i="1"/>
  <c r="FA59" i="1"/>
  <c r="FA72" i="1"/>
  <c r="FA82" i="1" s="1"/>
  <c r="CW113" i="1"/>
  <c r="CS85" i="1"/>
  <c r="CQ132" i="1"/>
  <c r="CQ158" i="1" s="1"/>
  <c r="CQ159" i="1" s="1"/>
  <c r="CQ102" i="1"/>
  <c r="CI132" i="1"/>
  <c r="CI158" i="1" s="1"/>
  <c r="CI159" i="1" s="1"/>
  <c r="CI102" i="1"/>
  <c r="DZ103" i="1"/>
  <c r="CD103" i="1"/>
  <c r="CD97" i="1"/>
  <c r="BQ106" i="1"/>
  <c r="BQ99" i="1"/>
  <c r="BQ91" i="1"/>
  <c r="AL106" i="1"/>
  <c r="AL99" i="1"/>
  <c r="AL91" i="1"/>
  <c r="AJ106" i="1"/>
  <c r="AJ99" i="1"/>
  <c r="AJ91" i="1"/>
  <c r="AH106" i="1"/>
  <c r="AH99" i="1"/>
  <c r="AH91" i="1"/>
  <c r="AF106" i="1"/>
  <c r="AF99" i="1"/>
  <c r="AF91" i="1"/>
  <c r="AD106" i="1"/>
  <c r="AD99" i="1"/>
  <c r="AD91" i="1"/>
  <c r="AB106" i="1"/>
  <c r="AB99" i="1"/>
  <c r="AB91" i="1"/>
  <c r="Z106" i="1"/>
  <c r="Z99" i="1"/>
  <c r="Z91" i="1"/>
  <c r="X106" i="1"/>
  <c r="X99" i="1"/>
  <c r="X91" i="1"/>
  <c r="V106" i="1"/>
  <c r="V99" i="1"/>
  <c r="V91" i="1"/>
  <c r="T106" i="1"/>
  <c r="T99" i="1"/>
  <c r="T91" i="1"/>
  <c r="R106" i="1"/>
  <c r="R99" i="1"/>
  <c r="R91" i="1"/>
  <c r="P106" i="1"/>
  <c r="P99" i="1"/>
  <c r="P91" i="1"/>
  <c r="N106" i="1"/>
  <c r="N99" i="1"/>
  <c r="N91" i="1"/>
  <c r="L106" i="1"/>
  <c r="L99" i="1"/>
  <c r="L91" i="1"/>
  <c r="J106" i="1"/>
  <c r="J99" i="1"/>
  <c r="J91" i="1"/>
  <c r="H106" i="1"/>
  <c r="H99" i="1"/>
  <c r="H91" i="1"/>
  <c r="F106" i="1"/>
  <c r="F99" i="1"/>
  <c r="F91" i="1"/>
  <c r="D106" i="1"/>
  <c r="D99" i="1"/>
  <c r="D91" i="1"/>
  <c r="CA106" i="1"/>
  <c r="CA99" i="1"/>
  <c r="CA91" i="1"/>
  <c r="BY106" i="1"/>
  <c r="BY99" i="1"/>
  <c r="BY91" i="1"/>
  <c r="BW106" i="1"/>
  <c r="BW99" i="1"/>
  <c r="BW91" i="1"/>
  <c r="BU106" i="1"/>
  <c r="BU99" i="1"/>
  <c r="BU91" i="1"/>
  <c r="BM106" i="1"/>
  <c r="BM99" i="1"/>
  <c r="BM91" i="1"/>
  <c r="BK106" i="1"/>
  <c r="BK99" i="1"/>
  <c r="BK91" i="1"/>
  <c r="BI106" i="1"/>
  <c r="BI99" i="1"/>
  <c r="BI91" i="1"/>
  <c r="BG106" i="1"/>
  <c r="BG99" i="1"/>
  <c r="BG91" i="1"/>
  <c r="BE106" i="1"/>
  <c r="BE99" i="1"/>
  <c r="BE91" i="1"/>
  <c r="BC106" i="1"/>
  <c r="BC99" i="1"/>
  <c r="BC91" i="1"/>
  <c r="BA106" i="1"/>
  <c r="BA99" i="1"/>
  <c r="BA91" i="1"/>
  <c r="AY106" i="1"/>
  <c r="AY99" i="1"/>
  <c r="AY91" i="1"/>
  <c r="AW106" i="1"/>
  <c r="AW99" i="1"/>
  <c r="AW91" i="1"/>
  <c r="AU106" i="1"/>
  <c r="AU99" i="1"/>
  <c r="AU91" i="1"/>
  <c r="AS106" i="1"/>
  <c r="AS99" i="1"/>
  <c r="AS91" i="1"/>
  <c r="AQ106" i="1"/>
  <c r="AQ99" i="1"/>
  <c r="AQ91" i="1"/>
  <c r="AO106" i="1"/>
  <c r="AO99" i="1"/>
  <c r="AO91" i="1"/>
  <c r="AM106" i="1"/>
  <c r="AM99" i="1"/>
  <c r="AM91" i="1"/>
  <c r="AK106" i="1"/>
  <c r="AK99" i="1"/>
  <c r="AK91" i="1"/>
  <c r="AI106" i="1"/>
  <c r="AI99" i="1"/>
  <c r="AI91" i="1"/>
  <c r="AG106" i="1"/>
  <c r="AG99" i="1"/>
  <c r="AG91" i="1"/>
  <c r="AE106" i="1"/>
  <c r="AE99" i="1"/>
  <c r="AE91" i="1"/>
  <c r="AC106" i="1"/>
  <c r="AC99" i="1"/>
  <c r="AC91" i="1"/>
  <c r="AA106" i="1"/>
  <c r="AA99" i="1"/>
  <c r="AA91" i="1"/>
  <c r="Y106" i="1"/>
  <c r="Y99" i="1"/>
  <c r="Y91" i="1"/>
  <c r="W106" i="1"/>
  <c r="W99" i="1"/>
  <c r="W91" i="1"/>
  <c r="U106" i="1"/>
  <c r="U99" i="1"/>
  <c r="U91" i="1"/>
  <c r="S106" i="1"/>
  <c r="S99" i="1"/>
  <c r="S91" i="1"/>
  <c r="Q106" i="1"/>
  <c r="Q99" i="1"/>
  <c r="Q91" i="1"/>
  <c r="O106" i="1"/>
  <c r="O99" i="1"/>
  <c r="O91" i="1"/>
  <c r="M106" i="1"/>
  <c r="M99" i="1"/>
  <c r="M91" i="1"/>
  <c r="K106" i="1"/>
  <c r="K99" i="1"/>
  <c r="K91" i="1"/>
  <c r="I106" i="1"/>
  <c r="I99" i="1"/>
  <c r="I91" i="1"/>
  <c r="G106" i="1"/>
  <c r="G99" i="1"/>
  <c r="G91" i="1"/>
  <c r="E106" i="1"/>
  <c r="E99" i="1"/>
  <c r="E91" i="1"/>
  <c r="CM86" i="1"/>
  <c r="CM94" i="1" s="1"/>
  <c r="CM75" i="1"/>
  <c r="CM82" i="1"/>
  <c r="CK86" i="1"/>
  <c r="CK75" i="1"/>
  <c r="CK82" i="1"/>
  <c r="CI86" i="1"/>
  <c r="CI94" i="1" s="1"/>
  <c r="CI75" i="1"/>
  <c r="CI82" i="1"/>
  <c r="CC86" i="1"/>
  <c r="CC82" i="1"/>
  <c r="DN72" i="1"/>
  <c r="DN59" i="1"/>
  <c r="DN70" i="1"/>
  <c r="DN53" i="1"/>
  <c r="DR72" i="1"/>
  <c r="DR59" i="1"/>
  <c r="DR70" i="1"/>
  <c r="DR53" i="1"/>
  <c r="DT72" i="1"/>
  <c r="DT59" i="1"/>
  <c r="DT70" i="1"/>
  <c r="DT53" i="1"/>
  <c r="DV72" i="1"/>
  <c r="DV59" i="1"/>
  <c r="DV70" i="1"/>
  <c r="DV53" i="1"/>
  <c r="DZ72" i="1"/>
  <c r="DZ59" i="1"/>
  <c r="DZ70" i="1"/>
  <c r="DZ84" i="1" s="1"/>
  <c r="DZ53" i="1"/>
  <c r="EF72" i="1"/>
  <c r="EF59" i="1"/>
  <c r="EH70" i="1"/>
  <c r="EH53" i="1"/>
  <c r="EJ70" i="1"/>
  <c r="EJ53" i="1"/>
  <c r="EL70" i="1"/>
  <c r="EL53" i="1"/>
  <c r="EN70" i="1"/>
  <c r="EN53" i="1"/>
  <c r="EP70" i="1"/>
  <c r="EP53" i="1"/>
  <c r="ER72" i="1"/>
  <c r="ER59" i="1"/>
  <c r="ET70" i="1"/>
  <c r="ET53" i="1"/>
  <c r="EV52" i="1"/>
  <c r="EV18" i="1"/>
  <c r="CK85" i="1"/>
  <c r="FA71" i="1"/>
  <c r="CS94" i="1"/>
  <c r="EO70" i="1"/>
  <c r="EO53" i="1"/>
  <c r="FA70" i="1"/>
  <c r="FA53" i="1"/>
  <c r="BH106" i="1"/>
  <c r="BH99" i="1"/>
  <c r="BH91" i="1"/>
  <c r="AX106" i="1"/>
  <c r="AX99" i="1"/>
  <c r="AX91" i="1"/>
  <c r="AN106" i="1"/>
  <c r="AN99" i="1"/>
  <c r="AN91" i="1"/>
  <c r="DT71" i="1"/>
  <c r="DT85" i="1" s="1"/>
  <c r="DT56" i="1"/>
  <c r="DU55" i="1"/>
  <c r="DU20" i="1"/>
  <c r="CU40" i="1"/>
  <c r="CU48" i="1" s="1"/>
  <c r="CU50" i="1"/>
  <c r="CT48" i="1"/>
  <c r="CO103" i="1"/>
  <c r="EA103" i="1" s="1"/>
  <c r="CO97" i="1"/>
  <c r="FB92" i="1"/>
  <c r="CP106" i="1"/>
  <c r="CP99" i="1"/>
  <c r="CP91" i="1"/>
  <c r="CN106" i="1"/>
  <c r="CN99" i="1"/>
  <c r="CN91" i="1"/>
  <c r="BS71" i="1"/>
  <c r="BS85" i="1" s="1"/>
  <c r="BS93" i="1" s="1"/>
  <c r="BS98" i="1" s="1"/>
  <c r="BS104" i="1" s="1"/>
  <c r="BS56" i="1"/>
  <c r="DF71" i="1"/>
  <c r="DF85" i="1" s="1"/>
  <c r="DF56" i="1"/>
  <c r="DH71" i="1"/>
  <c r="DH85" i="1" s="1"/>
  <c r="DH56" i="1"/>
  <c r="DJ71" i="1"/>
  <c r="DJ85" i="1" s="1"/>
  <c r="DJ56" i="1"/>
  <c r="DL71" i="1"/>
  <c r="DL85" i="1" s="1"/>
  <c r="DL56" i="1"/>
  <c r="DP71" i="1"/>
  <c r="DP85" i="1" s="1"/>
  <c r="DP56" i="1"/>
  <c r="DX71" i="1"/>
  <c r="DX85" i="1" s="1"/>
  <c r="DX93" i="1" s="1"/>
  <c r="DX98" i="1" s="1"/>
  <c r="DX104" i="1" s="1"/>
  <c r="DX56" i="1"/>
  <c r="EG59" i="1"/>
  <c r="EG72" i="1"/>
  <c r="EI70" i="1"/>
  <c r="EI53" i="1"/>
  <c r="EK59" i="1"/>
  <c r="EK72" i="1"/>
  <c r="EM70" i="1"/>
  <c r="EM53" i="1"/>
  <c r="EO59" i="1"/>
  <c r="EO72" i="1"/>
  <c r="EQ70" i="1"/>
  <c r="EQ53" i="1"/>
  <c r="ES59" i="1"/>
  <c r="ES72" i="1"/>
  <c r="EU70" i="1"/>
  <c r="EU53" i="1"/>
  <c r="EW59" i="1"/>
  <c r="EW72" i="1"/>
  <c r="EW82" i="1" s="1"/>
  <c r="CY111" i="1"/>
  <c r="EC111" i="1" s="1"/>
  <c r="CX119" i="1"/>
  <c r="DX82" i="1"/>
  <c r="CO85" i="1"/>
  <c r="FB71" i="1"/>
  <c r="CR132" i="1"/>
  <c r="CR158" i="1" s="1"/>
  <c r="CR159" i="1" s="1"/>
  <c r="CR102" i="1"/>
  <c r="CP132" i="1"/>
  <c r="CP158" i="1" s="1"/>
  <c r="CP159" i="1" s="1"/>
  <c r="CP102" i="1"/>
  <c r="CN132" i="1"/>
  <c r="CN158" i="1" s="1"/>
  <c r="CN159" i="1" s="1"/>
  <c r="CN102" i="1"/>
  <c r="CL132" i="1"/>
  <c r="CL158" i="1" s="1"/>
  <c r="CL159" i="1" s="1"/>
  <c r="CL102" i="1"/>
  <c r="CJ132" i="1"/>
  <c r="CJ158" i="1" s="1"/>
  <c r="CJ159" i="1" s="1"/>
  <c r="CJ102" i="1"/>
  <c r="CH132" i="1"/>
  <c r="CH158" i="1" s="1"/>
  <c r="CH159" i="1" s="1"/>
  <c r="CH102" i="1"/>
  <c r="CF132" i="1"/>
  <c r="CF158" i="1" s="1"/>
  <c r="CF159" i="1" s="1"/>
  <c r="CF102" i="1"/>
  <c r="CL86" i="1"/>
  <c r="CL94" i="1" s="1"/>
  <c r="CL75" i="1"/>
  <c r="CL82" i="1"/>
  <c r="CJ86" i="1"/>
  <c r="CJ94" i="1" s="1"/>
  <c r="CJ75" i="1"/>
  <c r="CJ82" i="1"/>
  <c r="CH86" i="1"/>
  <c r="CH94" i="1" s="1"/>
  <c r="CH75" i="1"/>
  <c r="CH82" i="1"/>
  <c r="CD86" i="1"/>
  <c r="CD94" i="1" s="1"/>
  <c r="CD82" i="1"/>
  <c r="CB106" i="1"/>
  <c r="CB99" i="1"/>
  <c r="CF86" i="1"/>
  <c r="CF94" i="1" s="1"/>
  <c r="CF75" i="1"/>
  <c r="CF82" i="1"/>
  <c r="BO71" i="1"/>
  <c r="BO85" i="1" s="1"/>
  <c r="BO93" i="1" s="1"/>
  <c r="BO98" i="1" s="1"/>
  <c r="BO104" i="1" s="1"/>
  <c r="BO56" i="1"/>
  <c r="DE59" i="1"/>
  <c r="DE72" i="1"/>
  <c r="DE70" i="1"/>
  <c r="DE53" i="1"/>
  <c r="DG71" i="1"/>
  <c r="DG85" i="1" s="1"/>
  <c r="DG56" i="1"/>
  <c r="DI71" i="1"/>
  <c r="DI85" i="1" s="1"/>
  <c r="DI56" i="1"/>
  <c r="DK71" i="1"/>
  <c r="DK85" i="1" s="1"/>
  <c r="DK56" i="1"/>
  <c r="DM71" i="1"/>
  <c r="DM85" i="1" s="1"/>
  <c r="DM56" i="1"/>
  <c r="DO71" i="1"/>
  <c r="DO85" i="1" s="1"/>
  <c r="DO56" i="1"/>
  <c r="DQ71" i="1"/>
  <c r="DQ85" i="1" s="1"/>
  <c r="DQ56" i="1"/>
  <c r="DS71" i="1"/>
  <c r="DS85" i="1" s="1"/>
  <c r="DS56" i="1"/>
  <c r="DW59" i="1"/>
  <c r="DW72" i="1"/>
  <c r="DW70" i="1"/>
  <c r="DW53" i="1"/>
  <c r="DY59" i="1"/>
  <c r="DY72" i="1"/>
  <c r="DY70" i="1"/>
  <c r="DY53" i="1"/>
  <c r="EA59" i="1"/>
  <c r="EA72" i="1"/>
  <c r="EA70" i="1"/>
  <c r="EA84" i="1" s="1"/>
  <c r="EA92" i="1" s="1"/>
  <c r="EA97" i="1" s="1"/>
  <c r="EA102" i="1" s="1"/>
  <c r="EA53" i="1"/>
  <c r="EV58" i="1"/>
  <c r="EV22" i="1"/>
  <c r="EX70" i="1"/>
  <c r="EX53" i="1"/>
  <c r="EZ72" i="1"/>
  <c r="EZ82" i="1" s="1"/>
  <c r="EZ59" i="1"/>
  <c r="FB70" i="1"/>
  <c r="FB53" i="1"/>
  <c r="CC85" i="1"/>
  <c r="EY71" i="1"/>
  <c r="DS91" i="1" l="1"/>
  <c r="EW91" i="1"/>
  <c r="DN91" i="1"/>
  <c r="ED112" i="1"/>
  <c r="EA86" i="1"/>
  <c r="EA94" i="1" s="1"/>
  <c r="EA75" i="1"/>
  <c r="DY86" i="1"/>
  <c r="DY94" i="1" s="1"/>
  <c r="DY82" i="1"/>
  <c r="DW94" i="1"/>
  <c r="DW86" i="1"/>
  <c r="DW82" i="1"/>
  <c r="DE94" i="1"/>
  <c r="DE106" i="1" s="1"/>
  <c r="DE86" i="1"/>
  <c r="DE82" i="1"/>
  <c r="CF106" i="1"/>
  <c r="CF99" i="1"/>
  <c r="CF91" i="1"/>
  <c r="CH106" i="1"/>
  <c r="CH99" i="1"/>
  <c r="CH91" i="1"/>
  <c r="CL106" i="1"/>
  <c r="CL99" i="1"/>
  <c r="CL91" i="1"/>
  <c r="CO93" i="1"/>
  <c r="CO98" i="1" s="1"/>
  <c r="FB85" i="1"/>
  <c r="FB93" i="1" s="1"/>
  <c r="EC119" i="1"/>
  <c r="CY119" i="1"/>
  <c r="CZ111" i="1"/>
  <c r="ES94" i="1"/>
  <c r="ES106" i="1" s="1"/>
  <c r="ES82" i="1"/>
  <c r="EO94" i="1"/>
  <c r="EO106" i="1" s="1"/>
  <c r="EO82" i="1"/>
  <c r="EK94" i="1"/>
  <c r="EK106" i="1" s="1"/>
  <c r="EK82" i="1"/>
  <c r="EG94" i="1"/>
  <c r="EG106" i="1" s="1"/>
  <c r="EG82" i="1"/>
  <c r="CO132" i="1"/>
  <c r="CO158" i="1" s="1"/>
  <c r="CO159" i="1" s="1"/>
  <c r="CO102" i="1"/>
  <c r="EB40" i="1"/>
  <c r="EB48" i="1" s="1"/>
  <c r="EA82" i="1"/>
  <c r="DU71" i="1"/>
  <c r="DU85" i="1" s="1"/>
  <c r="DU56" i="1"/>
  <c r="CK93" i="1"/>
  <c r="CK98" i="1" s="1"/>
  <c r="FA85" i="1"/>
  <c r="FA93" i="1" s="1"/>
  <c r="EV70" i="1"/>
  <c r="EV53" i="1"/>
  <c r="ET90" i="1"/>
  <c r="ET97" i="1" s="1"/>
  <c r="ET102" i="1" s="1"/>
  <c r="ET75" i="1"/>
  <c r="ER94" i="1"/>
  <c r="ER106" i="1" s="1"/>
  <c r="ER82" i="1"/>
  <c r="EP90" i="1"/>
  <c r="EP97" i="1" s="1"/>
  <c r="EP102" i="1" s="1"/>
  <c r="EP75" i="1"/>
  <c r="EN90" i="1"/>
  <c r="EN97" i="1" s="1"/>
  <c r="EN102" i="1" s="1"/>
  <c r="EN75" i="1"/>
  <c r="EL90" i="1"/>
  <c r="EL97" i="1" s="1"/>
  <c r="EL102" i="1" s="1"/>
  <c r="EL75" i="1"/>
  <c r="EJ90" i="1"/>
  <c r="EJ97" i="1" s="1"/>
  <c r="EJ102" i="1" s="1"/>
  <c r="EJ75" i="1"/>
  <c r="EH90" i="1"/>
  <c r="EH97" i="1" s="1"/>
  <c r="EH102" i="1" s="1"/>
  <c r="EH75" i="1"/>
  <c r="EF94" i="1"/>
  <c r="EF106" i="1" s="1"/>
  <c r="EF82" i="1"/>
  <c r="DZ92" i="1"/>
  <c r="DZ97" i="1" s="1"/>
  <c r="DZ102" i="1" s="1"/>
  <c r="DZ90" i="1"/>
  <c r="DZ86" i="1"/>
  <c r="DZ94" i="1" s="1"/>
  <c r="DZ75" i="1"/>
  <c r="DZ82" i="1"/>
  <c r="DV90" i="1"/>
  <c r="DV97" i="1" s="1"/>
  <c r="DV102" i="1" s="1"/>
  <c r="DV84" i="1"/>
  <c r="DV92" i="1" s="1"/>
  <c r="DV75" i="1"/>
  <c r="DV94" i="1"/>
  <c r="DV86" i="1"/>
  <c r="DV82" i="1"/>
  <c r="DT90" i="1"/>
  <c r="DT97" i="1" s="1"/>
  <c r="DT102" i="1" s="1"/>
  <c r="DT84" i="1"/>
  <c r="DT75" i="1"/>
  <c r="DT94" i="1"/>
  <c r="DT106" i="1" s="1"/>
  <c r="DT86" i="1"/>
  <c r="DT82" i="1"/>
  <c r="DR90" i="1"/>
  <c r="DR97" i="1" s="1"/>
  <c r="DR102" i="1" s="1"/>
  <c r="DR84" i="1"/>
  <c r="DR75" i="1"/>
  <c r="DR94" i="1"/>
  <c r="DR106" i="1" s="1"/>
  <c r="DR86" i="1"/>
  <c r="DR82" i="1"/>
  <c r="DN90" i="1"/>
  <c r="DN97" i="1" s="1"/>
  <c r="DN102" i="1" s="1"/>
  <c r="DN84" i="1"/>
  <c r="DN75" i="1"/>
  <c r="DN94" i="1"/>
  <c r="DN106" i="1" s="1"/>
  <c r="DN86" i="1"/>
  <c r="DN82" i="1"/>
  <c r="CC94" i="1"/>
  <c r="EY86" i="1"/>
  <c r="EY94" i="1" s="1"/>
  <c r="EY106" i="1" s="1"/>
  <c r="CK94" i="1"/>
  <c r="FA86" i="1"/>
  <c r="FA94" i="1" s="1"/>
  <c r="FA106" i="1" s="1"/>
  <c r="EF91" i="1"/>
  <c r="EG91" i="1"/>
  <c r="EH91" i="1"/>
  <c r="EI91" i="1"/>
  <c r="EJ91" i="1"/>
  <c r="EK91" i="1"/>
  <c r="EL91" i="1"/>
  <c r="EM91" i="1"/>
  <c r="EN91" i="1"/>
  <c r="EO91" i="1"/>
  <c r="EP91" i="1"/>
  <c r="EQ91" i="1"/>
  <c r="ER91" i="1"/>
  <c r="ES91" i="1"/>
  <c r="ET91" i="1"/>
  <c r="CD132" i="1"/>
  <c r="CD158" i="1" s="1"/>
  <c r="CD159" i="1" s="1"/>
  <c r="CD102" i="1"/>
  <c r="CG93" i="1"/>
  <c r="EZ85" i="1"/>
  <c r="CY110" i="1"/>
  <c r="EC110" i="1" s="1"/>
  <c r="EC113" i="1" s="1"/>
  <c r="DS94" i="1"/>
  <c r="DS106" i="1" s="1"/>
  <c r="DS86" i="1"/>
  <c r="DS82" i="1"/>
  <c r="DQ94" i="1"/>
  <c r="DQ106" i="1" s="1"/>
  <c r="DQ86" i="1"/>
  <c r="DQ82" i="1"/>
  <c r="DO94" i="1"/>
  <c r="DO106" i="1" s="1"/>
  <c r="DO86" i="1"/>
  <c r="DO82" i="1"/>
  <c r="DM94" i="1"/>
  <c r="DM106" i="1" s="1"/>
  <c r="DM86" i="1"/>
  <c r="DM82" i="1"/>
  <c r="DK94" i="1"/>
  <c r="DK106" i="1" s="1"/>
  <c r="DK86" i="1"/>
  <c r="DK82" i="1"/>
  <c r="DI94" i="1"/>
  <c r="DI106" i="1" s="1"/>
  <c r="DI86" i="1"/>
  <c r="DI82" i="1"/>
  <c r="DG94" i="1"/>
  <c r="DG106" i="1" s="1"/>
  <c r="DG86" i="1"/>
  <c r="DG82" i="1"/>
  <c r="EZ86" i="1"/>
  <c r="EZ94" i="1" s="1"/>
  <c r="EZ106" i="1" s="1"/>
  <c r="DO91" i="1"/>
  <c r="DP91" i="1"/>
  <c r="DV91" i="1"/>
  <c r="EW90" i="1"/>
  <c r="EW97" i="1" s="1"/>
  <c r="EW102" i="1" s="1"/>
  <c r="EW75" i="1"/>
  <c r="ES90" i="1"/>
  <c r="ES97" i="1" s="1"/>
  <c r="ES102" i="1" s="1"/>
  <c r="ES75" i="1"/>
  <c r="EK90" i="1"/>
  <c r="EK97" i="1" s="1"/>
  <c r="EK102" i="1" s="1"/>
  <c r="EK75" i="1"/>
  <c r="EG90" i="1"/>
  <c r="EG97" i="1" s="1"/>
  <c r="EG102" i="1" s="1"/>
  <c r="EG75" i="1"/>
  <c r="CG132" i="1"/>
  <c r="CG158" i="1" s="1"/>
  <c r="CG102" i="1"/>
  <c r="CC93" i="1"/>
  <c r="EY85" i="1"/>
  <c r="FB90" i="1"/>
  <c r="FB97" i="1" s="1"/>
  <c r="FB102" i="1" s="1"/>
  <c r="FB75" i="1"/>
  <c r="EX90" i="1"/>
  <c r="EX97" i="1" s="1"/>
  <c r="EX102" i="1" s="1"/>
  <c r="EX75" i="1"/>
  <c r="EV72" i="1"/>
  <c r="EV82" i="1" s="1"/>
  <c r="EV59" i="1"/>
  <c r="DY84" i="1"/>
  <c r="DY75" i="1"/>
  <c r="DW90" i="1"/>
  <c r="DW97" i="1" s="1"/>
  <c r="DW102" i="1" s="1"/>
  <c r="DW84" i="1"/>
  <c r="DW92" i="1" s="1"/>
  <c r="DW75" i="1"/>
  <c r="DE90" i="1"/>
  <c r="DE97" i="1" s="1"/>
  <c r="DE102" i="1" s="1"/>
  <c r="DE84" i="1"/>
  <c r="DE75" i="1"/>
  <c r="CD106" i="1"/>
  <c r="CD99" i="1"/>
  <c r="CD91" i="1"/>
  <c r="CJ106" i="1"/>
  <c r="CJ99" i="1"/>
  <c r="CJ91" i="1"/>
  <c r="EU90" i="1"/>
  <c r="EU97" i="1" s="1"/>
  <c r="EU102" i="1" s="1"/>
  <c r="EU75" i="1"/>
  <c r="EQ90" i="1"/>
  <c r="EQ97" i="1" s="1"/>
  <c r="EQ102" i="1" s="1"/>
  <c r="EQ75" i="1"/>
  <c r="EM90" i="1"/>
  <c r="EM97" i="1" s="1"/>
  <c r="EM102" i="1" s="1"/>
  <c r="EM75" i="1"/>
  <c r="EI90" i="1"/>
  <c r="EI97" i="1" s="1"/>
  <c r="EI102" i="1" s="1"/>
  <c r="EI75" i="1"/>
  <c r="FA90" i="1"/>
  <c r="FA97" i="1" s="1"/>
  <c r="FA102" i="1" s="1"/>
  <c r="FA75" i="1"/>
  <c r="EO90" i="1"/>
  <c r="EO97" i="1" s="1"/>
  <c r="EO102" i="1" s="1"/>
  <c r="EO75" i="1"/>
  <c r="CS106" i="1"/>
  <c r="CS99" i="1"/>
  <c r="CS91" i="1"/>
  <c r="CI106" i="1"/>
  <c r="CI99" i="1"/>
  <c r="CI91" i="1"/>
  <c r="CM106" i="1"/>
  <c r="CM99" i="1"/>
  <c r="CM91" i="1"/>
  <c r="EX91" i="1"/>
  <c r="DE91" i="1"/>
  <c r="DF91" i="1"/>
  <c r="DG91" i="1"/>
  <c r="DH91" i="1"/>
  <c r="DI91" i="1"/>
  <c r="DJ91" i="1"/>
  <c r="DK91" i="1"/>
  <c r="DL91" i="1"/>
  <c r="DM91" i="1"/>
  <c r="CS93" i="1"/>
  <c r="CS98" i="1" s="1"/>
  <c r="EY90" i="1"/>
  <c r="EY97" i="1" s="1"/>
  <c r="EY102" i="1" s="1"/>
  <c r="EY75" i="1"/>
  <c r="CC132" i="1"/>
  <c r="CC158" i="1" s="1"/>
  <c r="CC102" i="1"/>
  <c r="CV40" i="1"/>
  <c r="CV50" i="1"/>
  <c r="CW46" i="1"/>
  <c r="CX45" i="1"/>
  <c r="EZ90" i="1"/>
  <c r="EZ97" i="1" s="1"/>
  <c r="EZ102" i="1" s="1"/>
  <c r="EZ75" i="1"/>
  <c r="ET94" i="1"/>
  <c r="ET106" i="1" s="1"/>
  <c r="ET82" i="1"/>
  <c r="ER90" i="1"/>
  <c r="ER97" i="1" s="1"/>
  <c r="ER102" i="1" s="1"/>
  <c r="ER75" i="1"/>
  <c r="EP94" i="1"/>
  <c r="EP106" i="1" s="1"/>
  <c r="EP82" i="1"/>
  <c r="EN94" i="1"/>
  <c r="EN106" i="1" s="1"/>
  <c r="EN82" i="1"/>
  <c r="EL94" i="1"/>
  <c r="EL106" i="1" s="1"/>
  <c r="EL82" i="1"/>
  <c r="EJ94" i="1"/>
  <c r="EJ106" i="1" s="1"/>
  <c r="EJ82" i="1"/>
  <c r="EH94" i="1"/>
  <c r="EH106" i="1" s="1"/>
  <c r="EH82" i="1"/>
  <c r="EF90" i="1"/>
  <c r="EF97" i="1" s="1"/>
  <c r="EF102" i="1" s="1"/>
  <c r="EF75" i="1"/>
  <c r="DU59" i="1"/>
  <c r="DU72" i="1"/>
  <c r="DU70" i="1"/>
  <c r="DU53" i="1"/>
  <c r="DS90" i="1"/>
  <c r="DS97" i="1" s="1"/>
  <c r="DS102" i="1" s="1"/>
  <c r="DS84" i="1"/>
  <c r="DS75" i="1"/>
  <c r="DQ90" i="1"/>
  <c r="DQ97" i="1" s="1"/>
  <c r="DQ102" i="1" s="1"/>
  <c r="DQ84" i="1"/>
  <c r="DQ75" i="1"/>
  <c r="DO90" i="1"/>
  <c r="DO97" i="1" s="1"/>
  <c r="DO102" i="1" s="1"/>
  <c r="DO84" i="1"/>
  <c r="DO75" i="1"/>
  <c r="DM90" i="1"/>
  <c r="DM97" i="1" s="1"/>
  <c r="DM102" i="1" s="1"/>
  <c r="DM84" i="1"/>
  <c r="DM75" i="1"/>
  <c r="DK90" i="1"/>
  <c r="DK97" i="1" s="1"/>
  <c r="DK102" i="1" s="1"/>
  <c r="DK84" i="1"/>
  <c r="DK75" i="1"/>
  <c r="DI90" i="1"/>
  <c r="DI97" i="1" s="1"/>
  <c r="DI102" i="1" s="1"/>
  <c r="DI84" i="1"/>
  <c r="DI75" i="1"/>
  <c r="DG90" i="1"/>
  <c r="DG97" i="1" s="1"/>
  <c r="DG102" i="1" s="1"/>
  <c r="DG84" i="1"/>
  <c r="DG75" i="1"/>
  <c r="BO84" i="1"/>
  <c r="BO92" i="1" s="1"/>
  <c r="BO103" i="1" s="1"/>
  <c r="BO90" i="1"/>
  <c r="BO97" i="1" s="1"/>
  <c r="BO102" i="1" s="1"/>
  <c r="BO75" i="1"/>
  <c r="BO82" i="1" s="1"/>
  <c r="BO94" i="1"/>
  <c r="BO86" i="1"/>
  <c r="DW91" i="1"/>
  <c r="DX84" i="1"/>
  <c r="DX75" i="1"/>
  <c r="DX106" i="1"/>
  <c r="DX99" i="1"/>
  <c r="DP90" i="1"/>
  <c r="DP97" i="1" s="1"/>
  <c r="DP102" i="1" s="1"/>
  <c r="DP84" i="1"/>
  <c r="DP75" i="1"/>
  <c r="DP94" i="1"/>
  <c r="DP106" i="1" s="1"/>
  <c r="DP86" i="1"/>
  <c r="DP82" i="1"/>
  <c r="DL90" i="1"/>
  <c r="DL97" i="1" s="1"/>
  <c r="DL102" i="1" s="1"/>
  <c r="DL84" i="1"/>
  <c r="DL75" i="1"/>
  <c r="DL94" i="1"/>
  <c r="DL106" i="1" s="1"/>
  <c r="DL86" i="1"/>
  <c r="DL82" i="1"/>
  <c r="DJ90" i="1"/>
  <c r="DJ97" i="1" s="1"/>
  <c r="DJ102" i="1" s="1"/>
  <c r="DJ84" i="1"/>
  <c r="DJ75" i="1"/>
  <c r="DJ94" i="1"/>
  <c r="DJ106" i="1" s="1"/>
  <c r="DJ86" i="1"/>
  <c r="DJ82" i="1"/>
  <c r="DH90" i="1"/>
  <c r="DH97" i="1" s="1"/>
  <c r="DH102" i="1" s="1"/>
  <c r="DH84" i="1"/>
  <c r="DH75" i="1"/>
  <c r="DH94" i="1"/>
  <c r="DH106" i="1" s="1"/>
  <c r="DH86" i="1"/>
  <c r="DH82" i="1"/>
  <c r="DF90" i="1"/>
  <c r="DF97" i="1" s="1"/>
  <c r="DF102" i="1" s="1"/>
  <c r="DF84" i="1"/>
  <c r="DF75" i="1"/>
  <c r="DF94" i="1"/>
  <c r="DF106" i="1" s="1"/>
  <c r="DF86" i="1"/>
  <c r="DF82" i="1"/>
  <c r="BS84" i="1"/>
  <c r="BS92" i="1" s="1"/>
  <c r="BS103" i="1" s="1"/>
  <c r="BS90" i="1"/>
  <c r="BS97" i="1" s="1"/>
  <c r="BS102" i="1" s="1"/>
  <c r="BS75" i="1"/>
  <c r="BS82" i="1" s="1"/>
  <c r="BS94" i="1"/>
  <c r="BS86" i="1"/>
  <c r="CB103" i="1"/>
  <c r="DX103" i="1" s="1"/>
  <c r="CB97" i="1"/>
  <c r="CS132" i="1"/>
  <c r="CS158" i="1" s="1"/>
  <c r="CS102" i="1"/>
  <c r="CG106" i="1"/>
  <c r="CG99" i="1"/>
  <c r="CG91" i="1"/>
  <c r="CO106" i="1"/>
  <c r="CO99" i="1"/>
  <c r="FB99" i="1" s="1"/>
  <c r="CO91" i="1"/>
  <c r="FB91" i="1" s="1"/>
  <c r="DQ91" i="1"/>
  <c r="DR91" i="1"/>
  <c r="EU94" i="1"/>
  <c r="EU106" i="1" s="1"/>
  <c r="EU82" i="1"/>
  <c r="EQ94" i="1"/>
  <c r="EQ106" i="1" s="1"/>
  <c r="EQ82" i="1"/>
  <c r="EM94" i="1"/>
  <c r="EM106" i="1" s="1"/>
  <c r="EM82" i="1"/>
  <c r="EI94" i="1"/>
  <c r="EI106" i="1" s="1"/>
  <c r="EI82" i="1"/>
  <c r="CK132" i="1"/>
  <c r="CK158" i="1" s="1"/>
  <c r="CK102" i="1"/>
  <c r="CK159" i="1" l="1"/>
  <c r="CS159" i="1"/>
  <c r="EZ99" i="1"/>
  <c r="EZ91" i="1"/>
  <c r="BS106" i="1"/>
  <c r="BS99" i="1"/>
  <c r="BS91" i="1"/>
  <c r="DX92" i="1"/>
  <c r="DX97" i="1" s="1"/>
  <c r="DX102" i="1" s="1"/>
  <c r="DX90" i="1"/>
  <c r="DU90" i="1"/>
  <c r="DU97" i="1" s="1"/>
  <c r="DU102" i="1" s="1"/>
  <c r="DU84" i="1"/>
  <c r="DU75" i="1"/>
  <c r="CS104" i="1"/>
  <c r="DY92" i="1"/>
  <c r="DY97" i="1" s="1"/>
  <c r="DY102" i="1" s="1"/>
  <c r="DY90" i="1"/>
  <c r="CC98" i="1"/>
  <c r="CC159" i="1" s="1"/>
  <c r="EY93" i="1"/>
  <c r="CK106" i="1"/>
  <c r="CK99" i="1"/>
  <c r="FA99" i="1" s="1"/>
  <c r="CK91" i="1"/>
  <c r="FA91" i="1" s="1"/>
  <c r="CC106" i="1"/>
  <c r="CC99" i="1"/>
  <c r="EY99" i="1" s="1"/>
  <c r="CC91" i="1"/>
  <c r="DA111" i="1"/>
  <c r="CZ119" i="1"/>
  <c r="FD119" i="1" s="1"/>
  <c r="FD111" i="1"/>
  <c r="CO104" i="1"/>
  <c r="EA104" i="1" s="1"/>
  <c r="FB98" i="1"/>
  <c r="FB104" i="1" s="1"/>
  <c r="CB132" i="1"/>
  <c r="CB158" i="1" s="1"/>
  <c r="CB159" i="1" s="1"/>
  <c r="CB102" i="1"/>
  <c r="BO106" i="1"/>
  <c r="BO99" i="1"/>
  <c r="BO91" i="1"/>
  <c r="DU94" i="1"/>
  <c r="DU106" i="1" s="1"/>
  <c r="DU86" i="1"/>
  <c r="DU82" i="1"/>
  <c r="CY45" i="1"/>
  <c r="EC45" i="1" s="1"/>
  <c r="CX46" i="1"/>
  <c r="CW40" i="1"/>
  <c r="CW50" i="1"/>
  <c r="CV48" i="1"/>
  <c r="FC40" i="1"/>
  <c r="FC48" i="1" s="1"/>
  <c r="EA91" i="1"/>
  <c r="CZ110" i="1"/>
  <c r="CZ113" i="1" s="1"/>
  <c r="CG98" i="1"/>
  <c r="EZ93" i="1"/>
  <c r="DV106" i="1"/>
  <c r="DV99" i="1"/>
  <c r="DZ106" i="1"/>
  <c r="DZ99" i="1"/>
  <c r="EV90" i="1"/>
  <c r="EV97" i="1" s="1"/>
  <c r="EV102" i="1" s="1"/>
  <c r="EV75" i="1"/>
  <c r="CK104" i="1"/>
  <c r="DZ104" i="1" s="1"/>
  <c r="FA98" i="1"/>
  <c r="FA104" i="1" s="1"/>
  <c r="CY113" i="1"/>
  <c r="DY91" i="1"/>
  <c r="DW106" i="1"/>
  <c r="DW99" i="1"/>
  <c r="DY106" i="1"/>
  <c r="DY99" i="1"/>
  <c r="EA106" i="1"/>
  <c r="EA99" i="1"/>
  <c r="FD110" i="1" l="1"/>
  <c r="FD113" i="1" s="1"/>
  <c r="CX40" i="1"/>
  <c r="CX50" i="1"/>
  <c r="DA119" i="1"/>
  <c r="DB111" i="1"/>
  <c r="EY91" i="1"/>
  <c r="DX91" i="1"/>
  <c r="DZ91" i="1"/>
  <c r="CG104" i="1"/>
  <c r="DY104" i="1" s="1"/>
  <c r="EZ98" i="1"/>
  <c r="EZ104" i="1" s="1"/>
  <c r="DA110" i="1"/>
  <c r="CW48" i="1"/>
  <c r="CY46" i="1"/>
  <c r="EC46" i="1" s="1"/>
  <c r="EC50" i="1" s="1"/>
  <c r="CZ45" i="1"/>
  <c r="EU91" i="1"/>
  <c r="DT91" i="1"/>
  <c r="CG159" i="1"/>
  <c r="CC104" i="1"/>
  <c r="EY98" i="1"/>
  <c r="EY104" i="1" s="1"/>
  <c r="EV91" i="1"/>
  <c r="DU91" i="1"/>
  <c r="DB110" i="1" l="1"/>
  <c r="EC51" i="1"/>
  <c r="CY40" i="1"/>
  <c r="CY48" i="1" s="1"/>
  <c r="CY50" i="1"/>
  <c r="DB113" i="1"/>
  <c r="DC111" i="1"/>
  <c r="ED111" i="1" s="1"/>
  <c r="DB119" i="1"/>
  <c r="DA45" i="1"/>
  <c r="CZ46" i="1"/>
  <c r="FD46" i="1" s="1"/>
  <c r="FD50" i="1" s="1"/>
  <c r="DA113" i="1"/>
  <c r="CX48" i="1"/>
  <c r="FD45" i="1"/>
  <c r="DC110" i="1" l="1"/>
  <c r="ED110" i="1" s="1"/>
  <c r="ED113" i="1" s="1"/>
  <c r="EC40" i="1"/>
  <c r="EC48" i="1" s="1"/>
  <c r="CZ40" i="1"/>
  <c r="FD40" i="1" s="1"/>
  <c r="FD48" i="1" s="1"/>
  <c r="CZ50" i="1"/>
  <c r="DA46" i="1"/>
  <c r="DB45" i="1"/>
  <c r="ED119" i="1"/>
  <c r="DC119" i="1"/>
  <c r="DC113" i="1"/>
  <c r="FD51" i="1"/>
  <c r="DA40" i="1" l="1"/>
  <c r="DA48" i="1" s="1"/>
  <c r="DA50" i="1"/>
  <c r="CZ48" i="1"/>
  <c r="DC45" i="1"/>
  <c r="DC46" i="1" s="1"/>
  <c r="DB46" i="1"/>
  <c r="ED46" i="1" l="1"/>
  <c r="ED50" i="1" s="1"/>
  <c r="ED45" i="1"/>
  <c r="DC40" i="1"/>
  <c r="DC48" i="1" s="1"/>
  <c r="DC50" i="1"/>
  <c r="ED51" i="1"/>
  <c r="DB40" i="1"/>
  <c r="DB50" i="1"/>
  <c r="DB48" i="1" l="1"/>
  <c r="ED40" i="1"/>
  <c r="ED48" i="1" s="1"/>
  <c r="U44" i="80" l="1"/>
  <c r="U50" i="80" l="1"/>
  <c r="U70" i="80"/>
  <c r="AB35" i="79" l="1"/>
  <c r="AC35" i="79" s="1"/>
  <c r="AD35" i="79" s="1"/>
  <c r="AE35" i="79" s="1"/>
  <c r="T19" i="79" l="1"/>
  <c r="U74" i="80"/>
  <c r="U13" i="80"/>
  <c r="CR82" i="3" l="1"/>
  <c r="CR81" i="3"/>
  <c r="CR56" i="2"/>
  <c r="CR52" i="2" s="1"/>
  <c r="CR55" i="2"/>
  <c r="CR49" i="2" s="1"/>
  <c r="CR33" i="2"/>
  <c r="CR14" i="2"/>
  <c r="CR51" i="2" l="1"/>
  <c r="CR50" i="2" s="1"/>
  <c r="CR53" i="2"/>
  <c r="CR43" i="2"/>
  <c r="CR15" i="2"/>
  <c r="CR24" i="2" s="1"/>
  <c r="CR71" i="3" s="1"/>
  <c r="AO72" i="80" l="1"/>
  <c r="ED83" i="3" l="1"/>
  <c r="ED82" i="3"/>
  <c r="ED81" i="3"/>
  <c r="FD81" i="3"/>
  <c r="FD56" i="3"/>
  <c r="FD160" i="3" s="1"/>
  <c r="FD53" i="3"/>
  <c r="FD157" i="3" s="1"/>
  <c r="FD50" i="3"/>
  <c r="FD49" i="3"/>
  <c r="FD46" i="3"/>
  <c r="FD45" i="3"/>
  <c r="FD44" i="3"/>
  <c r="FD148" i="3" s="1"/>
  <c r="FD42" i="3"/>
  <c r="FD38" i="3"/>
  <c r="FD142" i="3" s="1"/>
  <c r="FD37" i="3"/>
  <c r="FD141" i="3" s="1"/>
  <c r="FD35" i="3"/>
  <c r="FD34" i="3"/>
  <c r="FD138" i="3" s="1"/>
  <c r="FD33" i="3"/>
  <c r="FD32" i="3"/>
  <c r="FD136" i="3" s="1"/>
  <c r="FD18" i="3"/>
  <c r="FD17" i="3"/>
  <c r="FD16" i="3"/>
  <c r="FD120" i="3" s="1"/>
  <c r="FD15" i="3"/>
  <c r="FD119" i="3" s="1"/>
  <c r="FD14" i="3"/>
  <c r="FD118" i="3" s="1"/>
  <c r="FD12" i="3"/>
  <c r="FD116" i="3" s="1"/>
  <c r="FD158" i="3"/>
  <c r="FD110" i="3"/>
  <c r="FD154" i="3"/>
  <c r="FD153" i="3"/>
  <c r="FD150" i="3"/>
  <c r="FD149" i="3"/>
  <c r="FD146" i="3"/>
  <c r="FD139" i="3"/>
  <c r="FD137" i="3"/>
  <c r="FD121" i="3"/>
  <c r="FC56" i="3"/>
  <c r="ED56" i="3"/>
  <c r="ED160" i="3" s="1"/>
  <c r="ED53" i="3"/>
  <c r="ED50" i="3"/>
  <c r="ED154" i="3" s="1"/>
  <c r="ED49" i="3"/>
  <c r="ED153" i="3" s="1"/>
  <c r="ED46" i="3"/>
  <c r="ED45" i="3"/>
  <c r="ED149" i="3" s="1"/>
  <c r="ED44" i="3"/>
  <c r="ED148" i="3" s="1"/>
  <c r="ED42" i="3"/>
  <c r="ED38" i="3"/>
  <c r="ED37" i="3"/>
  <c r="ED35" i="3"/>
  <c r="ED34" i="3"/>
  <c r="ED33" i="3"/>
  <c r="ED32" i="3"/>
  <c r="ED18" i="3"/>
  <c r="ED17" i="3"/>
  <c r="ED16" i="3"/>
  <c r="ED15" i="3"/>
  <c r="ED119" i="3" s="1"/>
  <c r="ED14" i="3"/>
  <c r="ED12" i="3"/>
  <c r="ED141" i="3"/>
  <c r="ED139" i="3"/>
  <c r="ED137" i="3"/>
  <c r="ED120" i="3"/>
  <c r="ED118" i="3"/>
  <c r="ED116" i="3"/>
  <c r="ED157" i="3"/>
  <c r="ED150" i="3"/>
  <c r="ED146" i="3"/>
  <c r="ED142" i="3"/>
  <c r="ED138" i="3"/>
  <c r="ED136" i="3"/>
  <c r="ED121" i="3"/>
  <c r="FA69" i="2"/>
  <c r="FA68" i="2"/>
  <c r="FA67" i="2"/>
  <c r="FA66" i="2"/>
  <c r="FA63" i="2"/>
  <c r="FA62" i="2"/>
  <c r="FA61" i="2"/>
  <c r="FA60" i="2"/>
  <c r="FD48" i="2"/>
  <c r="FD59" i="2" s="1"/>
  <c r="FD76" i="2" s="1"/>
  <c r="ED84" i="3" l="1"/>
  <c r="ED239" i="2"/>
  <c r="ED238" i="2"/>
  <c r="DZ117" i="2"/>
  <c r="DZ116" i="2"/>
  <c r="ED115" i="2"/>
  <c r="EC115" i="2"/>
  <c r="EB115" i="2"/>
  <c r="EA115" i="2"/>
  <c r="DZ115" i="2"/>
  <c r="ED114" i="2"/>
  <c r="EC114" i="2"/>
  <c r="EB114" i="2"/>
  <c r="EA114" i="2"/>
  <c r="DZ114" i="2"/>
  <c r="ED113" i="2"/>
  <c r="EC113" i="2"/>
  <c r="EB113" i="2"/>
  <c r="EA113" i="2"/>
  <c r="DZ113" i="2"/>
  <c r="ED184" i="2"/>
  <c r="EC184" i="2"/>
  <c r="EB184" i="2"/>
  <c r="EA184" i="2"/>
  <c r="ED183" i="2"/>
  <c r="EC183" i="2"/>
  <c r="EB183" i="2"/>
  <c r="EA183" i="2"/>
  <c r="ED182" i="2"/>
  <c r="EC182" i="2"/>
  <c r="EB182" i="2"/>
  <c r="EA182" i="2"/>
  <c r="ED186" i="2"/>
  <c r="ED185" i="2"/>
  <c r="ED166" i="2"/>
  <c r="ED165" i="2"/>
  <c r="ED164" i="2"/>
  <c r="ED163" i="2"/>
  <c r="ED162" i="2"/>
  <c r="ED137" i="2"/>
  <c r="ED135" i="2"/>
  <c r="ED134" i="2"/>
  <c r="DA160" i="3"/>
  <c r="DB160" i="3" s="1"/>
  <c r="DC160" i="3" s="1"/>
  <c r="CZ157" i="3"/>
  <c r="DA157" i="3" s="1"/>
  <c r="DB157" i="3" s="1"/>
  <c r="DC157" i="3" s="1"/>
  <c r="CZ154" i="3"/>
  <c r="DA154" i="3" s="1"/>
  <c r="DB154" i="3" s="1"/>
  <c r="DC154" i="3" s="1"/>
  <c r="CZ153" i="3"/>
  <c r="DA153" i="3" s="1"/>
  <c r="DB153" i="3" s="1"/>
  <c r="DC153" i="3" s="1"/>
  <c r="CZ150" i="3"/>
  <c r="DA150" i="3" s="1"/>
  <c r="DB150" i="3" s="1"/>
  <c r="DC150" i="3" s="1"/>
  <c r="CZ149" i="3"/>
  <c r="DA149" i="3" s="1"/>
  <c r="DB149" i="3" s="1"/>
  <c r="DC149" i="3" s="1"/>
  <c r="CZ148" i="3"/>
  <c r="DA148" i="3" s="1"/>
  <c r="DB148" i="3" s="1"/>
  <c r="DC148" i="3" s="1"/>
  <c r="CZ146" i="3"/>
  <c r="CZ142" i="3"/>
  <c r="DA142" i="3" s="1"/>
  <c r="DB142" i="3" s="1"/>
  <c r="DC142" i="3" s="1"/>
  <c r="CZ141" i="3"/>
  <c r="DA141" i="3" s="1"/>
  <c r="DB141" i="3" s="1"/>
  <c r="DC141" i="3" s="1"/>
  <c r="CZ139" i="3"/>
  <c r="DA139" i="3" s="1"/>
  <c r="DB139" i="3" s="1"/>
  <c r="DC139" i="3" s="1"/>
  <c r="CZ138" i="3"/>
  <c r="DA138" i="3" s="1"/>
  <c r="DB138" i="3" s="1"/>
  <c r="DC138" i="3" s="1"/>
  <c r="CZ137" i="3"/>
  <c r="DA137" i="3" s="1"/>
  <c r="DB137" i="3" s="1"/>
  <c r="DC137" i="3" s="1"/>
  <c r="CZ136" i="3"/>
  <c r="DA136" i="3" s="1"/>
  <c r="DB136" i="3" s="1"/>
  <c r="DC136" i="3" s="1"/>
  <c r="CZ122" i="3"/>
  <c r="CZ121" i="3"/>
  <c r="DA121" i="3" s="1"/>
  <c r="DB121" i="3" s="1"/>
  <c r="DC121" i="3" s="1"/>
  <c r="CZ120" i="3"/>
  <c r="DA120" i="3" s="1"/>
  <c r="DB120" i="3" s="1"/>
  <c r="DC120" i="3" s="1"/>
  <c r="CZ119" i="3"/>
  <c r="DA119" i="3" s="1"/>
  <c r="DB119" i="3" s="1"/>
  <c r="DC119" i="3" s="1"/>
  <c r="CZ118" i="3"/>
  <c r="DA118" i="3" s="1"/>
  <c r="DB118" i="3" s="1"/>
  <c r="DC118" i="3" s="1"/>
  <c r="CZ116" i="3"/>
  <c r="DA116" i="3" s="1"/>
  <c r="DB116" i="3" s="1"/>
  <c r="DC116" i="3" s="1"/>
  <c r="DC84" i="3"/>
  <c r="DC91" i="3" s="1"/>
  <c r="DB84" i="3"/>
  <c r="DB91" i="3" s="1"/>
  <c r="DA84" i="3"/>
  <c r="CZ84" i="3"/>
  <c r="DC31" i="3"/>
  <c r="DB31" i="3"/>
  <c r="DA31" i="3"/>
  <c r="DC13" i="3"/>
  <c r="DC69" i="3" s="1"/>
  <c r="DB13" i="3"/>
  <c r="DB69" i="3" s="1"/>
  <c r="DA13" i="3"/>
  <c r="DA69" i="3" s="1"/>
  <c r="CZ13" i="3"/>
  <c r="DA91" i="3"/>
  <c r="DC4" i="3"/>
  <c r="DB4" i="3"/>
  <c r="DA4" i="3"/>
  <c r="CZ4" i="3"/>
  <c r="DC201" i="2"/>
  <c r="DC219" i="2" s="1"/>
  <c r="DC237" i="2" s="1"/>
  <c r="DB201" i="2"/>
  <c r="DB219" i="2" s="1"/>
  <c r="DB237" i="2" s="1"/>
  <c r="DA201" i="2"/>
  <c r="DA219" i="2" s="1"/>
  <c r="DA237" i="2" s="1"/>
  <c r="CZ201" i="2"/>
  <c r="CZ219" i="2" s="1"/>
  <c r="CZ237" i="2" s="1"/>
  <c r="DC200" i="2"/>
  <c r="DC218" i="2" s="1"/>
  <c r="DC236" i="2" s="1"/>
  <c r="DB200" i="2"/>
  <c r="DB218" i="2" s="1"/>
  <c r="DB236" i="2" s="1"/>
  <c r="DA200" i="2"/>
  <c r="DA218" i="2" s="1"/>
  <c r="DA236" i="2" s="1"/>
  <c r="CZ200" i="2"/>
  <c r="CZ218" i="2" s="1"/>
  <c r="CZ236" i="2" s="1"/>
  <c r="DC199" i="2"/>
  <c r="DC217" i="2" s="1"/>
  <c r="DC235" i="2" s="1"/>
  <c r="DB199" i="2"/>
  <c r="DB217" i="2" s="1"/>
  <c r="DB235" i="2" s="1"/>
  <c r="DA199" i="2"/>
  <c r="DA217" i="2" s="1"/>
  <c r="DA235" i="2" s="1"/>
  <c r="CZ199" i="2"/>
  <c r="CZ217" i="2" s="1"/>
  <c r="CZ235" i="2" s="1"/>
  <c r="DA52" i="2"/>
  <c r="DB52" i="2" s="1"/>
  <c r="DC51" i="2"/>
  <c r="DC50" i="2" s="1"/>
  <c r="DB50" i="2"/>
  <c r="DA50" i="2"/>
  <c r="CZ50" i="2"/>
  <c r="DB49" i="2"/>
  <c r="DC49" i="2" s="1"/>
  <c r="DC6" i="2"/>
  <c r="DC246" i="2" s="1"/>
  <c r="DB6" i="2"/>
  <c r="DB246" i="2" s="1"/>
  <c r="DA6" i="2"/>
  <c r="DA246" i="2" s="1"/>
  <c r="CZ6" i="2"/>
  <c r="CZ246" i="2" s="1"/>
  <c r="DC5" i="2"/>
  <c r="DC5" i="3" s="1"/>
  <c r="DB5" i="2"/>
  <c r="DB5" i="3" s="1"/>
  <c r="DA5" i="2"/>
  <c r="DA5" i="3" s="1"/>
  <c r="CZ5" i="2"/>
  <c r="CZ5" i="3" s="1"/>
  <c r="DC4" i="2"/>
  <c r="DB4" i="2"/>
  <c r="DA4" i="2"/>
  <c r="CZ4" i="2"/>
  <c r="ED237" i="2" l="1"/>
  <c r="ED235" i="2"/>
  <c r="ED236" i="2"/>
  <c r="ED200" i="2"/>
  <c r="ED218" i="2"/>
  <c r="CZ114" i="3"/>
  <c r="DA114" i="3" s="1"/>
  <c r="DB114" i="3" s="1"/>
  <c r="DC114" i="3" s="1"/>
  <c r="ED10" i="3"/>
  <c r="ED201" i="2"/>
  <c r="ED219" i="2"/>
  <c r="CZ31" i="3"/>
  <c r="ED199" i="2"/>
  <c r="ED217" i="2"/>
  <c r="CZ117" i="3"/>
  <c r="DA117" i="3" s="1"/>
  <c r="DB117" i="3" s="1"/>
  <c r="DC117" i="3" s="1"/>
  <c r="ED13" i="3"/>
  <c r="CZ6" i="3"/>
  <c r="CZ110" i="3" s="1"/>
  <c r="DB6" i="3"/>
  <c r="DB110" i="3" s="1"/>
  <c r="DA6" i="3"/>
  <c r="DA110" i="3" s="1"/>
  <c r="DC6" i="3"/>
  <c r="DC110" i="3" s="1"/>
  <c r="DA92" i="3"/>
  <c r="DC92" i="3"/>
  <c r="DB92" i="3"/>
  <c r="CZ65" i="3"/>
  <c r="CZ80" i="3" s="1"/>
  <c r="CZ95" i="3" s="1"/>
  <c r="CZ69" i="3"/>
  <c r="CZ91" i="3"/>
  <c r="DA146" i="3"/>
  <c r="DC52" i="2"/>
  <c r="DA48" i="2"/>
  <c r="DA59" i="2" s="1"/>
  <c r="DA76" i="2" s="1"/>
  <c r="DC48" i="2"/>
  <c r="DC59" i="2" s="1"/>
  <c r="DC76" i="2" s="1"/>
  <c r="CZ48" i="2"/>
  <c r="CZ59" i="2" s="1"/>
  <c r="CZ76" i="2" s="1"/>
  <c r="DB48" i="2"/>
  <c r="DB59" i="2" s="1"/>
  <c r="DB76" i="2" s="1"/>
  <c r="CZ103" i="2"/>
  <c r="DB103" i="2"/>
  <c r="DA103" i="2"/>
  <c r="DC103" i="2"/>
  <c r="ED91" i="3" l="1"/>
  <c r="ED92" i="3" s="1"/>
  <c r="ED114" i="3"/>
  <c r="CZ135" i="3"/>
  <c r="ED31" i="3"/>
  <c r="DB65" i="3"/>
  <c r="DB80" i="3" s="1"/>
  <c r="DB95" i="3" s="1"/>
  <c r="DA65" i="3"/>
  <c r="DA80" i="3" s="1"/>
  <c r="DA95" i="3" s="1"/>
  <c r="DC65" i="3"/>
  <c r="DC80" i="3" s="1"/>
  <c r="DC95" i="3" s="1"/>
  <c r="ED117" i="3"/>
  <c r="ED69" i="3"/>
  <c r="DB146" i="3"/>
  <c r="CZ92" i="3"/>
  <c r="ED66" i="3" l="1"/>
  <c r="ED135" i="3"/>
  <c r="DA135" i="3"/>
  <c r="DC146" i="3"/>
  <c r="FD179" i="3"/>
  <c r="DB135" i="3" l="1"/>
  <c r="DA255" i="2"/>
  <c r="DA179" i="3"/>
  <c r="DB179" i="3"/>
  <c r="DB255" i="2"/>
  <c r="CZ255" i="2"/>
  <c r="CZ179" i="3"/>
  <c r="DC179" i="3"/>
  <c r="DC255" i="2"/>
  <c r="DC135" i="3" l="1"/>
  <c r="AE49" i="79" l="1"/>
  <c r="AD49" i="79"/>
  <c r="AC49" i="79"/>
  <c r="AB49" i="79"/>
  <c r="AE42" i="79"/>
  <c r="AD42" i="79"/>
  <c r="AC42" i="79"/>
  <c r="AB42" i="79"/>
  <c r="CQ75" i="3" l="1"/>
  <c r="CQ73" i="3"/>
  <c r="CQ56" i="3"/>
  <c r="CQ60" i="3"/>
  <c r="CQ154" i="3"/>
  <c r="CQ155" i="3"/>
  <c r="CQ151" i="3"/>
  <c r="CQ142" i="3"/>
  <c r="CQ143" i="3" s="1"/>
  <c r="CQ140" i="3"/>
  <c r="CQ131" i="3"/>
  <c r="CQ121" i="3"/>
  <c r="CQ114" i="3"/>
  <c r="CQ164" i="3"/>
  <c r="AN72" i="80"/>
  <c r="FC158" i="3"/>
  <c r="FB158" i="3"/>
  <c r="FA158" i="3"/>
  <c r="FC149" i="3"/>
  <c r="FC139" i="3"/>
  <c r="FC120" i="3"/>
  <c r="FC118" i="3"/>
  <c r="EZ158" i="3"/>
  <c r="EZ179" i="3"/>
  <c r="FC81" i="3"/>
  <c r="FB81" i="3"/>
  <c r="FA77" i="2"/>
  <c r="EZ77" i="2"/>
  <c r="EZ69" i="2"/>
  <c r="EZ68" i="2"/>
  <c r="EZ67" i="2"/>
  <c r="EZ66" i="2"/>
  <c r="EZ63" i="2"/>
  <c r="EZ62" i="2"/>
  <c r="EZ61" i="2"/>
  <c r="FA64" i="2"/>
  <c r="FA70" i="2" s="1"/>
  <c r="EZ60" i="2"/>
  <c r="FA56" i="2"/>
  <c r="EZ56" i="2"/>
  <c r="FA55" i="2"/>
  <c r="EZ55" i="2"/>
  <c r="FC48" i="2"/>
  <c r="FC59" i="2" s="1"/>
  <c r="FC76" i="2" s="1"/>
  <c r="FB48" i="2"/>
  <c r="FB59" i="2" s="1"/>
  <c r="FB76" i="2" s="1"/>
  <c r="FA48" i="2"/>
  <c r="FA59" i="2" s="1"/>
  <c r="FA76" i="2" s="1"/>
  <c r="EZ48" i="2"/>
  <c r="EZ59" i="2" s="1"/>
  <c r="EZ76" i="2" s="1"/>
  <c r="FC49" i="3"/>
  <c r="FC153" i="3" s="1"/>
  <c r="FC46" i="3"/>
  <c r="FC150" i="3" s="1"/>
  <c r="FC45" i="3"/>
  <c r="FC44" i="3"/>
  <c r="FC148" i="3" s="1"/>
  <c r="FC42" i="3"/>
  <c r="FC146" i="3" s="1"/>
  <c r="FC37" i="3"/>
  <c r="FC141" i="3" s="1"/>
  <c r="FC35" i="3"/>
  <c r="FC34" i="3"/>
  <c r="FC138" i="3" s="1"/>
  <c r="FC33" i="3"/>
  <c r="FC137" i="3" s="1"/>
  <c r="FC32" i="3"/>
  <c r="FC136" i="3" s="1"/>
  <c r="FC17" i="3"/>
  <c r="FC121" i="3" s="1"/>
  <c r="FC16" i="3"/>
  <c r="FC15" i="3"/>
  <c r="FC119" i="3" s="1"/>
  <c r="FC14" i="3"/>
  <c r="FC12" i="3"/>
  <c r="FC116" i="3" s="1"/>
  <c r="FC110" i="3"/>
  <c r="FC160" i="3"/>
  <c r="EC83" i="3"/>
  <c r="EC82" i="3"/>
  <c r="EC81" i="3"/>
  <c r="EC17" i="3"/>
  <c r="EC16" i="3"/>
  <c r="EC120" i="3" s="1"/>
  <c r="EC15" i="3"/>
  <c r="EC119" i="3" s="1"/>
  <c r="EC14" i="3"/>
  <c r="EC118" i="3" s="1"/>
  <c r="EC12" i="3"/>
  <c r="EC116" i="3" s="1"/>
  <c r="EC56" i="3"/>
  <c r="EC160" i="3" s="1"/>
  <c r="EC53" i="3"/>
  <c r="EC50" i="3"/>
  <c r="EC154" i="3" s="1"/>
  <c r="EC49" i="3"/>
  <c r="EC46" i="3"/>
  <c r="EC45" i="3"/>
  <c r="EC44" i="3"/>
  <c r="EC148" i="3" s="1"/>
  <c r="EC42" i="3"/>
  <c r="EC38" i="3"/>
  <c r="EC142" i="3" s="1"/>
  <c r="EC37" i="3"/>
  <c r="EC35" i="3"/>
  <c r="EC34" i="3"/>
  <c r="EC33" i="3"/>
  <c r="EC137" i="3" s="1"/>
  <c r="EC32" i="3"/>
  <c r="EC153" i="3"/>
  <c r="EC149" i="3"/>
  <c r="EC141" i="3"/>
  <c r="EC139" i="3"/>
  <c r="EC157" i="3"/>
  <c r="EC150" i="3"/>
  <c r="EC146" i="3"/>
  <c r="EC138" i="3"/>
  <c r="EC136" i="3"/>
  <c r="EC121" i="3"/>
  <c r="EC239" i="2"/>
  <c r="EC238" i="2"/>
  <c r="EC186" i="2"/>
  <c r="EC185" i="2"/>
  <c r="EC166" i="2"/>
  <c r="EC165" i="2"/>
  <c r="EC164" i="2"/>
  <c r="EC163" i="2"/>
  <c r="EC162" i="2"/>
  <c r="EC137" i="2"/>
  <c r="EC135" i="2"/>
  <c r="EC134" i="2"/>
  <c r="CW160" i="3"/>
  <c r="CX160" i="3" s="1"/>
  <c r="CY160" i="3" s="1"/>
  <c r="CV157" i="3"/>
  <c r="CW157" i="3" s="1"/>
  <c r="CX157" i="3" s="1"/>
  <c r="CY157" i="3" s="1"/>
  <c r="CV154" i="3"/>
  <c r="CW154" i="3" s="1"/>
  <c r="CX154" i="3" s="1"/>
  <c r="CY154" i="3" s="1"/>
  <c r="CW153" i="3"/>
  <c r="CX153" i="3" s="1"/>
  <c r="CY153" i="3" s="1"/>
  <c r="CV153" i="3"/>
  <c r="CW150" i="3"/>
  <c r="CX150" i="3" s="1"/>
  <c r="CY150" i="3" s="1"/>
  <c r="CV150" i="3"/>
  <c r="CV149" i="3"/>
  <c r="CW149" i="3" s="1"/>
  <c r="CX149" i="3" s="1"/>
  <c r="CY149" i="3" s="1"/>
  <c r="CV148" i="3"/>
  <c r="CW148" i="3" s="1"/>
  <c r="CX148" i="3" s="1"/>
  <c r="CY148" i="3" s="1"/>
  <c r="CW146" i="3"/>
  <c r="CX146" i="3" s="1"/>
  <c r="CY146" i="3" s="1"/>
  <c r="CV146" i="3"/>
  <c r="CW142" i="3"/>
  <c r="CX142" i="3" s="1"/>
  <c r="CY142" i="3" s="1"/>
  <c r="CV142" i="3"/>
  <c r="CV141" i="3"/>
  <c r="CW141" i="3" s="1"/>
  <c r="CX141" i="3" s="1"/>
  <c r="CY141" i="3" s="1"/>
  <c r="CV139" i="3"/>
  <c r="CW139" i="3" s="1"/>
  <c r="CX139" i="3" s="1"/>
  <c r="CY139" i="3" s="1"/>
  <c r="CW138" i="3"/>
  <c r="CX138" i="3" s="1"/>
  <c r="CY138" i="3" s="1"/>
  <c r="CV138" i="3"/>
  <c r="CW137" i="3"/>
  <c r="CX137" i="3" s="1"/>
  <c r="CY137" i="3" s="1"/>
  <c r="CV137" i="3"/>
  <c r="CV136" i="3"/>
  <c r="CW136" i="3" s="1"/>
  <c r="CX136" i="3" s="1"/>
  <c r="CY136" i="3" s="1"/>
  <c r="CV122" i="3"/>
  <c r="CX121" i="3"/>
  <c r="CY121" i="3" s="1"/>
  <c r="CV121" i="3"/>
  <c r="CW121" i="3" s="1"/>
  <c r="CX120" i="3"/>
  <c r="CY120" i="3" s="1"/>
  <c r="CV120" i="3"/>
  <c r="CW120" i="3" s="1"/>
  <c r="CX119" i="3"/>
  <c r="CY119" i="3" s="1"/>
  <c r="CV119" i="3"/>
  <c r="CW119" i="3" s="1"/>
  <c r="CX118" i="3"/>
  <c r="CY118" i="3" s="1"/>
  <c r="CV118" i="3"/>
  <c r="CW118" i="3" s="1"/>
  <c r="CX116" i="3"/>
  <c r="CY116" i="3" s="1"/>
  <c r="CV116" i="3"/>
  <c r="CW116" i="3" s="1"/>
  <c r="CY84" i="3"/>
  <c r="CY91" i="3" s="1"/>
  <c r="CX84" i="3"/>
  <c r="CX91" i="3" s="1"/>
  <c r="CW84" i="3"/>
  <c r="CV84" i="3"/>
  <c r="CV114" i="3" s="1"/>
  <c r="CY31" i="3"/>
  <c r="CX31" i="3"/>
  <c r="CW31" i="3"/>
  <c r="CV31" i="3"/>
  <c r="CV135" i="3" s="1"/>
  <c r="CY13" i="3"/>
  <c r="CY69" i="3" s="1"/>
  <c r="CX13" i="3"/>
  <c r="CX69" i="3" s="1"/>
  <c r="CW13" i="3"/>
  <c r="CV13" i="3"/>
  <c r="CV117" i="3" s="1"/>
  <c r="CY4" i="3"/>
  <c r="CX4" i="3"/>
  <c r="CW4" i="3"/>
  <c r="CV4" i="3"/>
  <c r="CY201" i="2"/>
  <c r="CY219" i="2" s="1"/>
  <c r="CY237" i="2" s="1"/>
  <c r="CX201" i="2"/>
  <c r="CX219" i="2" s="1"/>
  <c r="CX237" i="2" s="1"/>
  <c r="CW201" i="2"/>
  <c r="CW219" i="2" s="1"/>
  <c r="CW237" i="2" s="1"/>
  <c r="CV201" i="2"/>
  <c r="CV219" i="2" s="1"/>
  <c r="CV237" i="2" s="1"/>
  <c r="CY200" i="2"/>
  <c r="CY218" i="2" s="1"/>
  <c r="CY236" i="2" s="1"/>
  <c r="CX200" i="2"/>
  <c r="CX218" i="2" s="1"/>
  <c r="CX236" i="2" s="1"/>
  <c r="CW200" i="2"/>
  <c r="CW218" i="2" s="1"/>
  <c r="CW236" i="2" s="1"/>
  <c r="CV200" i="2"/>
  <c r="CV218" i="2" s="1"/>
  <c r="CV236" i="2" s="1"/>
  <c r="CY199" i="2"/>
  <c r="CY217" i="2" s="1"/>
  <c r="CY235" i="2" s="1"/>
  <c r="CX199" i="2"/>
  <c r="CX217" i="2" s="1"/>
  <c r="CX235" i="2" s="1"/>
  <c r="CW199" i="2"/>
  <c r="CW217" i="2" s="1"/>
  <c r="CW235" i="2" s="1"/>
  <c r="CV199" i="2"/>
  <c r="CV217" i="2" s="1"/>
  <c r="CV235" i="2" s="1"/>
  <c r="CW52" i="2"/>
  <c r="CX52" i="2" s="1"/>
  <c r="CY52" i="2" s="1"/>
  <c r="CY51" i="2"/>
  <c r="CY50" i="2" s="1"/>
  <c r="CX50" i="2"/>
  <c r="CW50" i="2"/>
  <c r="CV50" i="2"/>
  <c r="CX49" i="2"/>
  <c r="CY49" i="2" s="1"/>
  <c r="CY6" i="2"/>
  <c r="CY246" i="2" s="1"/>
  <c r="CX6" i="2"/>
  <c r="CX6" i="3" s="1"/>
  <c r="CX65" i="3" s="1"/>
  <c r="CX80" i="3" s="1"/>
  <c r="CX95" i="3" s="1"/>
  <c r="CW6" i="2"/>
  <c r="CW246" i="2" s="1"/>
  <c r="CV6" i="2"/>
  <c r="CV6" i="3" s="1"/>
  <c r="CV110" i="3" s="1"/>
  <c r="CY5" i="2"/>
  <c r="CY5" i="3" s="1"/>
  <c r="CX5" i="2"/>
  <c r="CX5" i="3" s="1"/>
  <c r="CW5" i="2"/>
  <c r="CW5" i="3" s="1"/>
  <c r="CV5" i="2"/>
  <c r="CV5" i="3" s="1"/>
  <c r="CY4" i="2"/>
  <c r="CX4" i="2"/>
  <c r="CW4" i="2"/>
  <c r="CV4" i="2"/>
  <c r="EC31" i="3" l="1"/>
  <c r="FD31" i="3"/>
  <c r="DC87" i="3"/>
  <c r="EZ64" i="2"/>
  <c r="EZ70" i="2" s="1"/>
  <c r="CQ76" i="3"/>
  <c r="CW91" i="3"/>
  <c r="FD10" i="3"/>
  <c r="EC84" i="3"/>
  <c r="CW69" i="3"/>
  <c r="FD13" i="3"/>
  <c r="EC235" i="2"/>
  <c r="EC236" i="2"/>
  <c r="EC237" i="2"/>
  <c r="EC200" i="2"/>
  <c r="EC218" i="2"/>
  <c r="EC199" i="2"/>
  <c r="EC201" i="2"/>
  <c r="EC217" i="2"/>
  <c r="EC219" i="2"/>
  <c r="CW6" i="3"/>
  <c r="CW110" i="3" s="1"/>
  <c r="CY6" i="3"/>
  <c r="CY110" i="3" s="1"/>
  <c r="EC13" i="3"/>
  <c r="EC117" i="3" s="1"/>
  <c r="CW117" i="3"/>
  <c r="CX117" i="3" s="1"/>
  <c r="CY117" i="3" s="1"/>
  <c r="EC10" i="3"/>
  <c r="CW114" i="3"/>
  <c r="CX114" i="3" s="1"/>
  <c r="CY114" i="3" s="1"/>
  <c r="CX92" i="3"/>
  <c r="CW92" i="3"/>
  <c r="CY92" i="3"/>
  <c r="CX110" i="3"/>
  <c r="CW135" i="3"/>
  <c r="CV65" i="3"/>
  <c r="CV80" i="3" s="1"/>
  <c r="CV95" i="3" s="1"/>
  <c r="CV69" i="3"/>
  <c r="CV91" i="3"/>
  <c r="CV246" i="2"/>
  <c r="CV103" i="2"/>
  <c r="CV48" i="2"/>
  <c r="CV59" i="2" s="1"/>
  <c r="CV76" i="2" s="1"/>
  <c r="CX246" i="2"/>
  <c r="CX103" i="2"/>
  <c r="CX48" i="2"/>
  <c r="CX59" i="2" s="1"/>
  <c r="CX76" i="2" s="1"/>
  <c r="CY48" i="2"/>
  <c r="CY59" i="2" s="1"/>
  <c r="CY76" i="2" s="1"/>
  <c r="CY103" i="2"/>
  <c r="CW48" i="2"/>
  <c r="CW59" i="2" s="1"/>
  <c r="CW76" i="2" s="1"/>
  <c r="CW103" i="2"/>
  <c r="AA49" i="79"/>
  <c r="Z49" i="79"/>
  <c r="Y49" i="79"/>
  <c r="X49" i="79"/>
  <c r="AA42" i="79"/>
  <c r="Z42" i="79"/>
  <c r="Y42" i="79"/>
  <c r="X42" i="79"/>
  <c r="EC179" i="3"/>
  <c r="FB179" i="3"/>
  <c r="FA179" i="3"/>
  <c r="EC135" i="3" l="1"/>
  <c r="EC66" i="3"/>
  <c r="FD66" i="3"/>
  <c r="FD135" i="3"/>
  <c r="FD114" i="3"/>
  <c r="FD91" i="3"/>
  <c r="CY65" i="3"/>
  <c r="CY80" i="3" s="1"/>
  <c r="CY95" i="3" s="1"/>
  <c r="FD117" i="3"/>
  <c r="FD69" i="3"/>
  <c r="CW65" i="3"/>
  <c r="CW80" i="3" s="1"/>
  <c r="CW95" i="3" s="1"/>
  <c r="EC69" i="3"/>
  <c r="FC179" i="3"/>
  <c r="ED255" i="2"/>
  <c r="ED179" i="3"/>
  <c r="CY179" i="3"/>
  <c r="CY255" i="2"/>
  <c r="CX255" i="2"/>
  <c r="CX179" i="3"/>
  <c r="CW179" i="3"/>
  <c r="CW255" i="2"/>
  <c r="CV255" i="2"/>
  <c r="CV179" i="3"/>
  <c r="EC91" i="3"/>
  <c r="EC114" i="3"/>
  <c r="CV92" i="3"/>
  <c r="CX135" i="3"/>
  <c r="EC92" i="3" l="1"/>
  <c r="CY135" i="3"/>
  <c r="FB77" i="2"/>
  <c r="CZ77" i="2" l="1"/>
  <c r="DA77" i="2"/>
  <c r="FD77" i="2" l="1"/>
  <c r="DB77" i="2"/>
  <c r="CV77" i="2" l="1"/>
  <c r="CQ8" i="3"/>
  <c r="CW77" i="2"/>
  <c r="AS41" i="80"/>
  <c r="AS42" i="80"/>
  <c r="AS40" i="80"/>
  <c r="AR43" i="80"/>
  <c r="DC77" i="2" l="1"/>
  <c r="FC77" i="2"/>
  <c r="CX77" i="2"/>
  <c r="ED77" i="2" l="1"/>
  <c r="CY77" i="2"/>
  <c r="EC77" i="2" l="1"/>
  <c r="CS66" i="3" l="1"/>
  <c r="DA87" i="3"/>
  <c r="DB87" i="3"/>
  <c r="S70" i="80"/>
  <c r="T70" i="80"/>
  <c r="T74" i="80"/>
  <c r="T44" i="80"/>
  <c r="CZ87" i="3" l="1"/>
  <c r="CY87" i="3"/>
  <c r="CO66" i="3"/>
  <c r="CP66" i="3"/>
  <c r="CQ56" i="2"/>
  <c r="CQ52" i="2" s="1"/>
  <c r="CQ55" i="2"/>
  <c r="CQ33" i="2"/>
  <c r="CQ43" i="2" s="1"/>
  <c r="CQ51" i="2" l="1"/>
  <c r="CQ50" i="2" s="1"/>
  <c r="CQ49" i="2"/>
  <c r="R5" i="80" l="1"/>
  <c r="R7" i="80"/>
  <c r="Q46" i="79" l="1"/>
  <c r="P46" i="79"/>
  <c r="O46" i="79"/>
  <c r="N46" i="79"/>
  <c r="M46" i="79"/>
  <c r="L46" i="79"/>
  <c r="K46" i="79"/>
  <c r="J46" i="79"/>
  <c r="I46" i="79"/>
  <c r="H46" i="79"/>
  <c r="G46" i="79"/>
  <c r="F46" i="79"/>
  <c r="E46" i="79"/>
  <c r="D46" i="79"/>
  <c r="W42" i="79"/>
  <c r="V42" i="79"/>
  <c r="U42" i="79"/>
  <c r="T42" i="79"/>
  <c r="R42" i="79"/>
  <c r="J42" i="79"/>
  <c r="H42" i="79"/>
  <c r="K34" i="79"/>
  <c r="J34" i="79"/>
  <c r="I34" i="79"/>
  <c r="H34" i="79"/>
  <c r="F34" i="79"/>
  <c r="E34" i="79"/>
  <c r="D34" i="79"/>
  <c r="R29" i="79"/>
  <c r="Q29" i="79"/>
  <c r="P29" i="79"/>
  <c r="O29" i="79"/>
  <c r="N29" i="79"/>
  <c r="M29" i="79"/>
  <c r="L29" i="79"/>
  <c r="K29" i="79"/>
  <c r="J29" i="79"/>
  <c r="I29" i="79"/>
  <c r="H29" i="79"/>
  <c r="G29" i="79"/>
  <c r="F29" i="79"/>
  <c r="E29" i="79"/>
  <c r="D29" i="79"/>
  <c r="Q28" i="79"/>
  <c r="P28" i="79"/>
  <c r="O28" i="79"/>
  <c r="N28" i="79"/>
  <c r="L28" i="79"/>
  <c r="K28" i="79"/>
  <c r="J28" i="79"/>
  <c r="I28" i="79"/>
  <c r="H28" i="79"/>
  <c r="G28" i="79"/>
  <c r="F28" i="79"/>
  <c r="E28" i="79"/>
  <c r="D28" i="79"/>
  <c r="K12" i="79"/>
  <c r="G12" i="79"/>
  <c r="N6" i="79"/>
  <c r="O6" i="79" s="1"/>
  <c r="S74" i="80"/>
  <c r="R74" i="80"/>
  <c r="Q74" i="80"/>
  <c r="P74" i="80"/>
  <c r="O74" i="80"/>
  <c r="N74" i="80"/>
  <c r="M74" i="80"/>
  <c r="L74" i="80"/>
  <c r="K74" i="80"/>
  <c r="J74" i="80"/>
  <c r="I74" i="80"/>
  <c r="H74" i="80"/>
  <c r="G74" i="80"/>
  <c r="F74" i="80"/>
  <c r="E74" i="80"/>
  <c r="AM72" i="80"/>
  <c r="S42" i="79"/>
  <c r="R72" i="80"/>
  <c r="Q42" i="79" s="1"/>
  <c r="Q72" i="80"/>
  <c r="P72" i="80"/>
  <c r="O42" i="79" s="1"/>
  <c r="O72" i="80"/>
  <c r="N42" i="79" s="1"/>
  <c r="N72" i="80"/>
  <c r="M42" i="79" s="1"/>
  <c r="M72" i="80"/>
  <c r="L72" i="80"/>
  <c r="K42" i="79" s="1"/>
  <c r="J72" i="80"/>
  <c r="I42" i="79" s="1"/>
  <c r="G72" i="80"/>
  <c r="F42" i="79" s="1"/>
  <c r="F72" i="80"/>
  <c r="E42" i="79" s="1"/>
  <c r="E72" i="80"/>
  <c r="H72" i="80" s="1"/>
  <c r="G42" i="79" s="1"/>
  <c r="R70" i="80"/>
  <c r="Q70" i="80"/>
  <c r="P70" i="80"/>
  <c r="O70" i="80"/>
  <c r="N70" i="80"/>
  <c r="M70" i="80"/>
  <c r="L70" i="80"/>
  <c r="K70" i="80"/>
  <c r="J70" i="80"/>
  <c r="H70" i="80"/>
  <c r="R65" i="80"/>
  <c r="Q34" i="79" s="1"/>
  <c r="Q65" i="80"/>
  <c r="P34" i="79" s="1"/>
  <c r="P65" i="80"/>
  <c r="O34" i="79" s="1"/>
  <c r="O65" i="80"/>
  <c r="N34" i="79" s="1"/>
  <c r="N65" i="80"/>
  <c r="M34" i="79" s="1"/>
  <c r="M65" i="80"/>
  <c r="L34" i="79" s="1"/>
  <c r="H65" i="80"/>
  <c r="G34" i="79" s="1"/>
  <c r="J59" i="80"/>
  <c r="I59" i="80"/>
  <c r="H59" i="80"/>
  <c r="G59" i="80"/>
  <c r="F59" i="80"/>
  <c r="AI58" i="80"/>
  <c r="K58" i="80"/>
  <c r="L58" i="80" s="1"/>
  <c r="M58" i="80" s="1"/>
  <c r="T57" i="80"/>
  <c r="U57" i="80" s="1"/>
  <c r="W57" i="80" s="1"/>
  <c r="X57" i="80" s="1"/>
  <c r="Y57" i="80" s="1"/>
  <c r="Q54" i="80"/>
  <c r="P54" i="80"/>
  <c r="O54" i="80"/>
  <c r="M54" i="80"/>
  <c r="L54" i="80"/>
  <c r="K54" i="80"/>
  <c r="J54" i="80"/>
  <c r="I54" i="80"/>
  <c r="R53" i="80"/>
  <c r="Q53" i="80"/>
  <c r="P53" i="80"/>
  <c r="M53" i="80"/>
  <c r="L53" i="80"/>
  <c r="K53" i="80"/>
  <c r="J53" i="80"/>
  <c r="I53" i="80"/>
  <c r="H53" i="80"/>
  <c r="G53" i="80"/>
  <c r="F53" i="80"/>
  <c r="AJ52" i="80"/>
  <c r="AI52" i="80"/>
  <c r="N52" i="80"/>
  <c r="N53" i="80" s="1"/>
  <c r="R51" i="80"/>
  <c r="Q30" i="79" s="1"/>
  <c r="Q51" i="80"/>
  <c r="P30" i="79" s="1"/>
  <c r="P51" i="80"/>
  <c r="O30" i="79" s="1"/>
  <c r="O51" i="80"/>
  <c r="N30" i="79" s="1"/>
  <c r="M51" i="80"/>
  <c r="L51" i="80"/>
  <c r="K51" i="80"/>
  <c r="K66" i="80" s="1"/>
  <c r="K67" i="80" s="1"/>
  <c r="J27" i="79" s="1"/>
  <c r="J51" i="80"/>
  <c r="J66" i="80" s="1"/>
  <c r="J67" i="80" s="1"/>
  <c r="I27" i="79" s="1"/>
  <c r="I51" i="80"/>
  <c r="I66" i="80" s="1"/>
  <c r="I67" i="80" s="1"/>
  <c r="H27" i="79" s="1"/>
  <c r="H35" i="79" s="1"/>
  <c r="H51" i="80"/>
  <c r="H66" i="80" s="1"/>
  <c r="H67" i="80" s="1"/>
  <c r="G27" i="79" s="1"/>
  <c r="G51" i="80"/>
  <c r="G66" i="80" s="1"/>
  <c r="G67" i="80" s="1"/>
  <c r="F27" i="79" s="1"/>
  <c r="F51" i="80"/>
  <c r="F66" i="80" s="1"/>
  <c r="F67" i="80" s="1"/>
  <c r="E27" i="79" s="1"/>
  <c r="E51" i="80"/>
  <c r="E66" i="80" s="1"/>
  <c r="E67" i="80" s="1"/>
  <c r="D27" i="79" s="1"/>
  <c r="S52" i="80"/>
  <c r="S54" i="80" s="1"/>
  <c r="S65" i="80"/>
  <c r="R34" i="79" s="1"/>
  <c r="R33" i="79" s="1"/>
  <c r="S49" i="80"/>
  <c r="R49" i="80"/>
  <c r="Q49" i="80"/>
  <c r="P49" i="80"/>
  <c r="O49" i="80"/>
  <c r="N49" i="80"/>
  <c r="M49" i="80"/>
  <c r="L49" i="80"/>
  <c r="K49" i="80"/>
  <c r="J49" i="80"/>
  <c r="I49" i="80"/>
  <c r="H49" i="80"/>
  <c r="G49" i="80"/>
  <c r="S44" i="80"/>
  <c r="R44" i="80"/>
  <c r="Q44" i="80"/>
  <c r="P44" i="80"/>
  <c r="O44" i="80"/>
  <c r="N44" i="80"/>
  <c r="M44" i="80"/>
  <c r="L44" i="80"/>
  <c r="K44" i="80"/>
  <c r="J44" i="80"/>
  <c r="H44" i="80"/>
  <c r="E33" i="80"/>
  <c r="R39" i="80"/>
  <c r="Q39" i="80"/>
  <c r="P39" i="80"/>
  <c r="O39" i="80"/>
  <c r="N39" i="80"/>
  <c r="M39" i="80"/>
  <c r="L39" i="80"/>
  <c r="K39" i="80"/>
  <c r="R37" i="80"/>
  <c r="Q37" i="80"/>
  <c r="P37" i="80"/>
  <c r="O37" i="80"/>
  <c r="N37" i="80"/>
  <c r="M37" i="80"/>
  <c r="L37" i="80"/>
  <c r="K37" i="80"/>
  <c r="Q35" i="80"/>
  <c r="P35" i="80"/>
  <c r="O35" i="80"/>
  <c r="N35" i="80"/>
  <c r="M35" i="80"/>
  <c r="L35" i="80"/>
  <c r="K35" i="80"/>
  <c r="Q33" i="80"/>
  <c r="P33" i="80"/>
  <c r="O33" i="80"/>
  <c r="N33" i="80"/>
  <c r="M33" i="80"/>
  <c r="L33" i="80"/>
  <c r="K33" i="80"/>
  <c r="J33" i="80"/>
  <c r="I33" i="80"/>
  <c r="H33" i="80"/>
  <c r="G33" i="80"/>
  <c r="F33" i="80"/>
  <c r="R27" i="80"/>
  <c r="Q27" i="80"/>
  <c r="P27" i="80"/>
  <c r="O27" i="80"/>
  <c r="N27" i="80"/>
  <c r="M27" i="80"/>
  <c r="L27" i="80"/>
  <c r="K27" i="80"/>
  <c r="J26" i="80"/>
  <c r="J39" i="80" s="1"/>
  <c r="I26" i="80"/>
  <c r="I39" i="80" s="1"/>
  <c r="H26" i="80"/>
  <c r="H39" i="80" s="1"/>
  <c r="G26" i="80"/>
  <c r="G39" i="80" s="1"/>
  <c r="F26" i="80"/>
  <c r="F39" i="80" s="1"/>
  <c r="E26" i="80"/>
  <c r="E39" i="80" s="1"/>
  <c r="R25" i="80"/>
  <c r="Q25" i="80"/>
  <c r="P25" i="80"/>
  <c r="O25" i="80"/>
  <c r="N25" i="80"/>
  <c r="M25" i="80"/>
  <c r="L25" i="80"/>
  <c r="K25" i="80"/>
  <c r="R24" i="80"/>
  <c r="Q24" i="80"/>
  <c r="P24" i="80"/>
  <c r="O24" i="80"/>
  <c r="N24" i="80"/>
  <c r="M24" i="80"/>
  <c r="L24" i="80"/>
  <c r="J23" i="80"/>
  <c r="I23" i="80"/>
  <c r="I37" i="80" s="1"/>
  <c r="H23" i="80"/>
  <c r="G23" i="80"/>
  <c r="G37" i="80" s="1"/>
  <c r="F23" i="80"/>
  <c r="E23" i="80"/>
  <c r="E37" i="80" s="1"/>
  <c r="R22" i="80"/>
  <c r="Q22" i="80"/>
  <c r="P22" i="80"/>
  <c r="O22" i="80"/>
  <c r="N22" i="80"/>
  <c r="M22" i="80"/>
  <c r="L22" i="80"/>
  <c r="K22" i="80"/>
  <c r="R21" i="80"/>
  <c r="Q21" i="80"/>
  <c r="P21" i="80"/>
  <c r="O21" i="80"/>
  <c r="N21" i="80"/>
  <c r="M21" i="80"/>
  <c r="L21" i="80"/>
  <c r="J20" i="80"/>
  <c r="I20" i="80"/>
  <c r="I35" i="80" s="1"/>
  <c r="H20" i="80"/>
  <c r="H35" i="80" s="1"/>
  <c r="G20" i="80"/>
  <c r="F20" i="80"/>
  <c r="E20" i="80"/>
  <c r="E35" i="80" s="1"/>
  <c r="R19" i="80"/>
  <c r="Q19" i="80"/>
  <c r="P19" i="80"/>
  <c r="O19" i="80"/>
  <c r="N19" i="80"/>
  <c r="M19" i="80"/>
  <c r="L19" i="80"/>
  <c r="K19" i="80"/>
  <c r="J19" i="80"/>
  <c r="I19" i="80"/>
  <c r="H19" i="80"/>
  <c r="G19" i="80"/>
  <c r="F19" i="80"/>
  <c r="Q13" i="80"/>
  <c r="Q12" i="80" s="1"/>
  <c r="P13" i="80"/>
  <c r="O5" i="79" s="1"/>
  <c r="O13" i="80"/>
  <c r="O10" i="80" s="1"/>
  <c r="N13" i="80"/>
  <c r="N10" i="80" s="1"/>
  <c r="M13" i="80"/>
  <c r="M12" i="80" s="1"/>
  <c r="L13" i="80"/>
  <c r="L10" i="80" s="1"/>
  <c r="K13" i="80"/>
  <c r="J5" i="79" s="1"/>
  <c r="J13" i="80"/>
  <c r="J10" i="80" s="1"/>
  <c r="I13" i="80"/>
  <c r="I10" i="80" s="1"/>
  <c r="H13" i="80"/>
  <c r="G5" i="79" s="1"/>
  <c r="G13" i="80"/>
  <c r="G10" i="80" s="1"/>
  <c r="F13" i="80"/>
  <c r="F10" i="80" s="1"/>
  <c r="E13" i="80"/>
  <c r="D5" i="79" s="1"/>
  <c r="P12" i="80"/>
  <c r="I12" i="80"/>
  <c r="H12" i="80"/>
  <c r="E12" i="80"/>
  <c r="P10" i="80"/>
  <c r="H10" i="80"/>
  <c r="E10" i="80"/>
  <c r="F9" i="80"/>
  <c r="F37" i="80" s="1"/>
  <c r="P8" i="80"/>
  <c r="M8" i="80"/>
  <c r="H8" i="80"/>
  <c r="E8" i="80"/>
  <c r="R35" i="80"/>
  <c r="P6" i="80"/>
  <c r="J6" i="80"/>
  <c r="H6" i="80"/>
  <c r="E6" i="80"/>
  <c r="EV179" i="3"/>
  <c r="DF179" i="3"/>
  <c r="DE179" i="3"/>
  <c r="CB179" i="3"/>
  <c r="K179" i="3"/>
  <c r="J179" i="3"/>
  <c r="I179" i="3"/>
  <c r="H179" i="3"/>
  <c r="G179" i="3"/>
  <c r="F179" i="3"/>
  <c r="E179" i="3"/>
  <c r="D179" i="3"/>
  <c r="DF164" i="3"/>
  <c r="DE164" i="3"/>
  <c r="CO164" i="3"/>
  <c r="CN164" i="3"/>
  <c r="CM164" i="3"/>
  <c r="CL164" i="3"/>
  <c r="CK164" i="3"/>
  <c r="CJ164" i="3"/>
  <c r="CI164" i="3"/>
  <c r="CH164" i="3"/>
  <c r="CG164" i="3"/>
  <c r="CF164" i="3"/>
  <c r="CE164" i="3"/>
  <c r="CD164" i="3"/>
  <c r="CC164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D159" i="3" s="1"/>
  <c r="BG159" i="3" s="1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BW160" i="3"/>
  <c r="DZ160" i="3"/>
  <c r="DG159" i="3"/>
  <c r="CT160" i="3"/>
  <c r="CU160" i="3" s="1"/>
  <c r="O159" i="3"/>
  <c r="N159" i="3"/>
  <c r="M159" i="3"/>
  <c r="G159" i="3"/>
  <c r="F159" i="3"/>
  <c r="E159" i="3"/>
  <c r="DY158" i="3"/>
  <c r="DX158" i="3"/>
  <c r="DW158" i="3"/>
  <c r="DV158" i="3"/>
  <c r="DU158" i="3"/>
  <c r="DT158" i="3"/>
  <c r="DS158" i="3"/>
  <c r="DR158" i="3"/>
  <c r="DQ158" i="3"/>
  <c r="DP158" i="3"/>
  <c r="DO158" i="3"/>
  <c r="DN158" i="3"/>
  <c r="DM158" i="3"/>
  <c r="DL158" i="3"/>
  <c r="DK158" i="3"/>
  <c r="DJ158" i="3"/>
  <c r="DI158" i="3"/>
  <c r="DH158" i="3"/>
  <c r="DG158" i="3"/>
  <c r="DF158" i="3"/>
  <c r="DE158" i="3"/>
  <c r="EY158" i="3"/>
  <c r="EX158" i="3"/>
  <c r="EW158" i="3"/>
  <c r="EV158" i="3"/>
  <c r="EU158" i="3"/>
  <c r="ET158" i="3"/>
  <c r="ES158" i="3"/>
  <c r="ER158" i="3"/>
  <c r="EQ158" i="3"/>
  <c r="EP158" i="3"/>
  <c r="EO158" i="3"/>
  <c r="EN158" i="3"/>
  <c r="EM158" i="3"/>
  <c r="EL158" i="3"/>
  <c r="EK158" i="3"/>
  <c r="EJ158" i="3"/>
  <c r="EI158" i="3"/>
  <c r="EH158" i="3"/>
  <c r="BU155" i="3"/>
  <c r="BT155" i="3"/>
  <c r="BR155" i="3"/>
  <c r="BQ155" i="3"/>
  <c r="BP155" i="3"/>
  <c r="BD155" i="3"/>
  <c r="AV155" i="3"/>
  <c r="AI155" i="3"/>
  <c r="AH155" i="3"/>
  <c r="AG155" i="3"/>
  <c r="AF155" i="3"/>
  <c r="AD155" i="3"/>
  <c r="AC155" i="3"/>
  <c r="AB155" i="3"/>
  <c r="AA155" i="3"/>
  <c r="Z155" i="3"/>
  <c r="Y155" i="3"/>
  <c r="X155" i="3"/>
  <c r="K155" i="3"/>
  <c r="J155" i="3"/>
  <c r="I155" i="3"/>
  <c r="H155" i="3"/>
  <c r="G155" i="3"/>
  <c r="F155" i="3"/>
  <c r="E155" i="3"/>
  <c r="D155" i="3"/>
  <c r="CP154" i="3"/>
  <c r="CP155" i="3" s="1"/>
  <c r="CO154" i="3"/>
  <c r="CO155" i="3" s="1"/>
  <c r="CN154" i="3"/>
  <c r="CM154" i="3"/>
  <c r="CL154" i="3"/>
  <c r="CK154" i="3"/>
  <c r="CJ154" i="3"/>
  <c r="CI154" i="3"/>
  <c r="CH154" i="3"/>
  <c r="CG154" i="3"/>
  <c r="CC154" i="3"/>
  <c r="CB154" i="3"/>
  <c r="CB155" i="3" s="1"/>
  <c r="CA154" i="3"/>
  <c r="BZ154" i="3"/>
  <c r="BY154" i="3"/>
  <c r="BX154" i="3"/>
  <c r="BX155" i="3" s="1"/>
  <c r="BW154" i="3"/>
  <c r="BV154" i="3"/>
  <c r="BS154" i="3"/>
  <c r="BO154" i="3"/>
  <c r="BK154" i="3"/>
  <c r="BJ154" i="3"/>
  <c r="BI154" i="3"/>
  <c r="BH154" i="3"/>
  <c r="BG154" i="3"/>
  <c r="BF154" i="3"/>
  <c r="BE154" i="3"/>
  <c r="BC154" i="3"/>
  <c r="BB154" i="3"/>
  <c r="BA154" i="3"/>
  <c r="BA155" i="3" s="1"/>
  <c r="AZ154" i="3"/>
  <c r="AZ155" i="3" s="1"/>
  <c r="AY154" i="3"/>
  <c r="AY155" i="3" s="1"/>
  <c r="AX154" i="3"/>
  <c r="AX155" i="3" s="1"/>
  <c r="AW154" i="3"/>
  <c r="AW155" i="3" s="1"/>
  <c r="AU154" i="3"/>
  <c r="AS154" i="3"/>
  <c r="AS155" i="3" s="1"/>
  <c r="AR154" i="3"/>
  <c r="AR155" i="3" s="1"/>
  <c r="AQ154" i="3"/>
  <c r="AP154" i="3"/>
  <c r="AO154" i="3"/>
  <c r="AM154" i="3"/>
  <c r="AL154" i="3"/>
  <c r="AK154" i="3"/>
  <c r="AJ154" i="3"/>
  <c r="AJ155" i="3" s="1"/>
  <c r="AE154" i="3"/>
  <c r="W154" i="3"/>
  <c r="V154" i="3"/>
  <c r="U154" i="3"/>
  <c r="T154" i="3"/>
  <c r="CF153" i="3"/>
  <c r="CF155" i="3" s="1"/>
  <c r="CE153" i="3"/>
  <c r="CD153" i="3"/>
  <c r="AQ153" i="3"/>
  <c r="AP153" i="3"/>
  <c r="AO153" i="3"/>
  <c r="AN153" i="3"/>
  <c r="W153" i="3"/>
  <c r="T153" i="3"/>
  <c r="S153" i="3"/>
  <c r="O153" i="3"/>
  <c r="N153" i="3"/>
  <c r="M153" i="3"/>
  <c r="CN151" i="3"/>
  <c r="CN155" i="3" s="1"/>
  <c r="CM151" i="3"/>
  <c r="CM155" i="3" s="1"/>
  <c r="CL151" i="3"/>
  <c r="CL155" i="3" s="1"/>
  <c r="CK151" i="3"/>
  <c r="CK155" i="3" s="1"/>
  <c r="CJ151" i="3"/>
  <c r="CJ155" i="3" s="1"/>
  <c r="CI151" i="3"/>
  <c r="CI155" i="3" s="1"/>
  <c r="CH151" i="3"/>
  <c r="CH155" i="3" s="1"/>
  <c r="CG151" i="3"/>
  <c r="CG155" i="3" s="1"/>
  <c r="CE151" i="3"/>
  <c r="CE155" i="3" s="1"/>
  <c r="CD151" i="3"/>
  <c r="CD155" i="3" s="1"/>
  <c r="CC151" i="3"/>
  <c r="CC155" i="3" s="1"/>
  <c r="CA151" i="3"/>
  <c r="CA155" i="3" s="1"/>
  <c r="BZ151" i="3"/>
  <c r="BZ155" i="3" s="1"/>
  <c r="BY151" i="3"/>
  <c r="BY155" i="3" s="1"/>
  <c r="BW151" i="3"/>
  <c r="BW155" i="3" s="1"/>
  <c r="BV151" i="3"/>
  <c r="BV155" i="3" s="1"/>
  <c r="BS151" i="3"/>
  <c r="BS155" i="3" s="1"/>
  <c r="BO151" i="3"/>
  <c r="BO155" i="3" s="1"/>
  <c r="BN151" i="3"/>
  <c r="BN155" i="3" s="1"/>
  <c r="BM151" i="3"/>
  <c r="BM155" i="3" s="1"/>
  <c r="BL151" i="3"/>
  <c r="BL155" i="3" s="1"/>
  <c r="BK151" i="3"/>
  <c r="BK155" i="3" s="1"/>
  <c r="BJ151" i="3"/>
  <c r="BJ155" i="3" s="1"/>
  <c r="BI151" i="3"/>
  <c r="BI155" i="3" s="1"/>
  <c r="BH151" i="3"/>
  <c r="BH155" i="3" s="1"/>
  <c r="BG151" i="3"/>
  <c r="BG155" i="3" s="1"/>
  <c r="BF151" i="3"/>
  <c r="BF155" i="3" s="1"/>
  <c r="BE151" i="3"/>
  <c r="BE155" i="3" s="1"/>
  <c r="BC151" i="3"/>
  <c r="BC155" i="3" s="1"/>
  <c r="BB151" i="3"/>
  <c r="BB155" i="3" s="1"/>
  <c r="AU151" i="3"/>
  <c r="AU155" i="3" s="1"/>
  <c r="AT151" i="3"/>
  <c r="AT155" i="3" s="1"/>
  <c r="AQ151" i="3"/>
  <c r="AP151" i="3"/>
  <c r="AP155" i="3" s="1"/>
  <c r="AO151" i="3"/>
  <c r="AN151" i="3"/>
  <c r="AN155" i="3" s="1"/>
  <c r="AM151" i="3"/>
  <c r="AM155" i="3" s="1"/>
  <c r="AL151" i="3"/>
  <c r="AL155" i="3" s="1"/>
  <c r="AK151" i="3"/>
  <c r="AE151" i="3"/>
  <c r="AE155" i="3" s="1"/>
  <c r="W151" i="3"/>
  <c r="W155" i="3" s="1"/>
  <c r="V151" i="3"/>
  <c r="V155" i="3" s="1"/>
  <c r="U151" i="3"/>
  <c r="T151" i="3"/>
  <c r="T155" i="3" s="1"/>
  <c r="S151" i="3"/>
  <c r="S155" i="3" s="1"/>
  <c r="R151" i="3"/>
  <c r="R155" i="3" s="1"/>
  <c r="Q151" i="3"/>
  <c r="Q155" i="3" s="1"/>
  <c r="P151" i="3"/>
  <c r="P155" i="3" s="1"/>
  <c r="O151" i="3"/>
  <c r="O155" i="3" s="1"/>
  <c r="N151" i="3"/>
  <c r="N155" i="3" s="1"/>
  <c r="M151" i="3"/>
  <c r="L151" i="3"/>
  <c r="L155" i="3" s="1"/>
  <c r="CS153" i="3"/>
  <c r="CT153" i="3" s="1"/>
  <c r="CU153" i="3" s="1"/>
  <c r="CS150" i="3"/>
  <c r="CT150" i="3" s="1"/>
  <c r="CU150" i="3" s="1"/>
  <c r="CS149" i="3"/>
  <c r="CT149" i="3" s="1"/>
  <c r="CU149" i="3" s="1"/>
  <c r="CS148" i="3"/>
  <c r="CT148" i="3" s="1"/>
  <c r="CU148" i="3" s="1"/>
  <c r="CS146" i="3"/>
  <c r="CT146" i="3" s="1"/>
  <c r="CC143" i="3"/>
  <c r="BT143" i="3"/>
  <c r="BP143" i="3"/>
  <c r="BO143" i="3"/>
  <c r="K143" i="3"/>
  <c r="J143" i="3"/>
  <c r="I143" i="3"/>
  <c r="H143" i="3"/>
  <c r="G143" i="3"/>
  <c r="F143" i="3"/>
  <c r="E143" i="3"/>
  <c r="D143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A142" i="3"/>
  <c r="CA143" i="3" s="1"/>
  <c r="BZ142" i="3"/>
  <c r="BU142" i="3"/>
  <c r="BU143" i="3" s="1"/>
  <c r="BS142" i="3"/>
  <c r="BS143" i="3" s="1"/>
  <c r="BR142" i="3"/>
  <c r="BQ142" i="3"/>
  <c r="BQ143" i="3" s="1"/>
  <c r="BO142" i="3"/>
  <c r="BN142" i="3"/>
  <c r="BN143" i="3" s="1"/>
  <c r="BM142" i="3"/>
  <c r="BM143" i="3" s="1"/>
  <c r="BL142" i="3"/>
  <c r="BL143" i="3" s="1"/>
  <c r="BK142" i="3"/>
  <c r="BJ142" i="3"/>
  <c r="BI142" i="3"/>
  <c r="BG142" i="3"/>
  <c r="BE142" i="3"/>
  <c r="BC142" i="3"/>
  <c r="BB142" i="3"/>
  <c r="BA142" i="3"/>
  <c r="AZ142" i="3"/>
  <c r="AY142" i="3"/>
  <c r="AX142" i="3"/>
  <c r="AW142" i="3"/>
  <c r="AV142" i="3"/>
  <c r="AU142" i="3"/>
  <c r="AT142" i="3"/>
  <c r="AR142" i="3"/>
  <c r="AQ142" i="3"/>
  <c r="AP142" i="3"/>
  <c r="AN142" i="3"/>
  <c r="AM142" i="3"/>
  <c r="AL142" i="3"/>
  <c r="AI142" i="3"/>
  <c r="AE142" i="3"/>
  <c r="AE141" i="3"/>
  <c r="AE140" i="3"/>
  <c r="U142" i="3"/>
  <c r="CO140" i="3"/>
  <c r="CP140" i="3" s="1"/>
  <c r="CN140" i="3"/>
  <c r="CM140" i="3"/>
  <c r="CM143" i="3" s="1"/>
  <c r="CL140" i="3"/>
  <c r="CL143" i="3" s="1"/>
  <c r="CK140" i="3"/>
  <c r="CJ140" i="3"/>
  <c r="CI140" i="3"/>
  <c r="CI143" i="3" s="1"/>
  <c r="CH140" i="3"/>
  <c r="CH143" i="3" s="1"/>
  <c r="CG140" i="3"/>
  <c r="CF140" i="3"/>
  <c r="CE140" i="3"/>
  <c r="CE143" i="3" s="1"/>
  <c r="CD140" i="3"/>
  <c r="CD143" i="3" s="1"/>
  <c r="CB140" i="3"/>
  <c r="CB143" i="3" s="1"/>
  <c r="CA140" i="3"/>
  <c r="BZ140" i="3"/>
  <c r="BZ143" i="3" s="1"/>
  <c r="BY140" i="3"/>
  <c r="BY143" i="3" s="1"/>
  <c r="BX140" i="3"/>
  <c r="BX143" i="3" s="1"/>
  <c r="BW140" i="3"/>
  <c r="BW143" i="3" s="1"/>
  <c r="BV140" i="3"/>
  <c r="BV143" i="3" s="1"/>
  <c r="BR140" i="3"/>
  <c r="BR143" i="3" s="1"/>
  <c r="BK140" i="3"/>
  <c r="BJ140" i="3"/>
  <c r="BI140" i="3"/>
  <c r="BH140" i="3"/>
  <c r="BH143" i="3" s="1"/>
  <c r="BG140" i="3"/>
  <c r="BF140" i="3"/>
  <c r="BE140" i="3"/>
  <c r="BE143" i="3" s="1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J143" i="3" s="1"/>
  <c r="AI140" i="3"/>
  <c r="AH140" i="3"/>
  <c r="AG140" i="3"/>
  <c r="AF140" i="3"/>
  <c r="AF143" i="3" s="1"/>
  <c r="AD140" i="3"/>
  <c r="AC140" i="3"/>
  <c r="AB140" i="3"/>
  <c r="AA140" i="3"/>
  <c r="Z140" i="3"/>
  <c r="Z143" i="3" s="1"/>
  <c r="Y140" i="3"/>
  <c r="Y143" i="3" s="1"/>
  <c r="X140" i="3"/>
  <c r="X143" i="3" s="1"/>
  <c r="W140" i="3"/>
  <c r="V140" i="3"/>
  <c r="V143" i="3" s="1"/>
  <c r="U140" i="3"/>
  <c r="T140" i="3"/>
  <c r="T143" i="3" s="1"/>
  <c r="S140" i="3"/>
  <c r="R140" i="3"/>
  <c r="R143" i="3" s="1"/>
  <c r="Q140" i="3"/>
  <c r="P140" i="3"/>
  <c r="P143" i="3" s="1"/>
  <c r="O140" i="3"/>
  <c r="N140" i="3"/>
  <c r="M140" i="3"/>
  <c r="M143" i="3" s="1"/>
  <c r="L140" i="3"/>
  <c r="CS141" i="3"/>
  <c r="CT141" i="3" s="1"/>
  <c r="CU141" i="3" s="1"/>
  <c r="CS139" i="3"/>
  <c r="CT139" i="3" s="1"/>
  <c r="CU139" i="3" s="1"/>
  <c r="CS138" i="3"/>
  <c r="CT138" i="3" s="1"/>
  <c r="CU138" i="3" s="1"/>
  <c r="CS137" i="3"/>
  <c r="CT137" i="3" s="1"/>
  <c r="CU137" i="3" s="1"/>
  <c r="CS136" i="3"/>
  <c r="CT136" i="3" s="1"/>
  <c r="CU136" i="3" s="1"/>
  <c r="BK135" i="3"/>
  <c r="BK143" i="3" s="1"/>
  <c r="BJ135" i="3"/>
  <c r="BJ143" i="3" s="1"/>
  <c r="BG135" i="3"/>
  <c r="BG143" i="3" s="1"/>
  <c r="BF135" i="3"/>
  <c r="BF143" i="3" s="1"/>
  <c r="BD135" i="3"/>
  <c r="BD143" i="3" s="1"/>
  <c r="BC135" i="3"/>
  <c r="BB135" i="3"/>
  <c r="BB143" i="3" s="1"/>
  <c r="BA135" i="3"/>
  <c r="AZ135" i="3"/>
  <c r="AZ143" i="3" s="1"/>
  <c r="AY135" i="3"/>
  <c r="AX135" i="3"/>
  <c r="AX143" i="3" s="1"/>
  <c r="AW135" i="3"/>
  <c r="AV135" i="3"/>
  <c r="AV143" i="3" s="1"/>
  <c r="AU135" i="3"/>
  <c r="AU143" i="3" s="1"/>
  <c r="AT135" i="3"/>
  <c r="AT143" i="3" s="1"/>
  <c r="AS135" i="3"/>
  <c r="AR135" i="3"/>
  <c r="AR143" i="3" s="1"/>
  <c r="AQ135" i="3"/>
  <c r="AQ143" i="3" s="1"/>
  <c r="AP135" i="3"/>
  <c r="AP143" i="3" s="1"/>
  <c r="AO135" i="3"/>
  <c r="AN135" i="3"/>
  <c r="AN143" i="3" s="1"/>
  <c r="AM135" i="3"/>
  <c r="AM143" i="3" s="1"/>
  <c r="AL135" i="3"/>
  <c r="AL143" i="3" s="1"/>
  <c r="AK135" i="3"/>
  <c r="AI135" i="3"/>
  <c r="AI143" i="3" s="1"/>
  <c r="AH135" i="3"/>
  <c r="AH143" i="3" s="1"/>
  <c r="AG135" i="3"/>
  <c r="AE135" i="3"/>
  <c r="AE143" i="3" s="1"/>
  <c r="AD135" i="3"/>
  <c r="AD143" i="3" s="1"/>
  <c r="AC135" i="3"/>
  <c r="AC143" i="3" s="1"/>
  <c r="AB135" i="3"/>
  <c r="AA135" i="3"/>
  <c r="AA143" i="3" s="1"/>
  <c r="W135" i="3"/>
  <c r="W143" i="3" s="1"/>
  <c r="U135" i="3"/>
  <c r="U143" i="3" s="1"/>
  <c r="S135" i="3"/>
  <c r="S143" i="3" s="1"/>
  <c r="Q135" i="3"/>
  <c r="Q143" i="3" s="1"/>
  <c r="O135" i="3"/>
  <c r="O143" i="3" s="1"/>
  <c r="N135" i="3"/>
  <c r="L135" i="3"/>
  <c r="CO131" i="3"/>
  <c r="CN131" i="3"/>
  <c r="CM131" i="3"/>
  <c r="CL131" i="3"/>
  <c r="CK131" i="3"/>
  <c r="CI131" i="3"/>
  <c r="CH131" i="3"/>
  <c r="CG131" i="3"/>
  <c r="CF131" i="3"/>
  <c r="BX131" i="3"/>
  <c r="BR131" i="3"/>
  <c r="BQ131" i="3"/>
  <c r="BN131" i="3"/>
  <c r="BM131" i="3"/>
  <c r="BL131" i="3"/>
  <c r="BK131" i="3"/>
  <c r="BG131" i="3"/>
  <c r="BG130" i="3"/>
  <c r="BC131" i="3"/>
  <c r="AX131" i="3"/>
  <c r="W131" i="3"/>
  <c r="V131" i="3"/>
  <c r="U131" i="3"/>
  <c r="S131" i="3"/>
  <c r="R131" i="3"/>
  <c r="Q131" i="3"/>
  <c r="O131" i="3"/>
  <c r="N131" i="3"/>
  <c r="M131" i="3"/>
  <c r="L131" i="3"/>
  <c r="CP127" i="3"/>
  <c r="CP124" i="3"/>
  <c r="CP123" i="3"/>
  <c r="CS121" i="3"/>
  <c r="CS118" i="3"/>
  <c r="CT118" i="3" s="1"/>
  <c r="CU118" i="3" s="1"/>
  <c r="CP121" i="3"/>
  <c r="CM121" i="3"/>
  <c r="CI121" i="3"/>
  <c r="CH121" i="3"/>
  <c r="CG121" i="3"/>
  <c r="CF121" i="3"/>
  <c r="CE121" i="3"/>
  <c r="CD121" i="3"/>
  <c r="CC121" i="3"/>
  <c r="CB121" i="3"/>
  <c r="CA121" i="3"/>
  <c r="BZ121" i="3"/>
  <c r="BY121" i="3"/>
  <c r="BS121" i="3"/>
  <c r="BR121" i="3"/>
  <c r="BQ121" i="3"/>
  <c r="BO121" i="3"/>
  <c r="BN121" i="3"/>
  <c r="BM121" i="3"/>
  <c r="BK121" i="3"/>
  <c r="BJ121" i="3"/>
  <c r="BI121" i="3"/>
  <c r="BG121" i="3"/>
  <c r="BF121" i="3"/>
  <c r="BE121" i="3"/>
  <c r="BC121" i="3"/>
  <c r="AH121" i="3"/>
  <c r="AG121" i="3"/>
  <c r="AF121" i="3"/>
  <c r="AE121" i="3"/>
  <c r="AD121" i="3"/>
  <c r="AC121" i="3"/>
  <c r="AB121" i="3"/>
  <c r="AA121" i="3"/>
  <c r="Z121" i="3"/>
  <c r="Y121" i="3"/>
  <c r="X121" i="3"/>
  <c r="CP117" i="3"/>
  <c r="AE117" i="3"/>
  <c r="CP115" i="3"/>
  <c r="CT121" i="3"/>
  <c r="CU121" i="3" s="1"/>
  <c r="CS120" i="3"/>
  <c r="CT120" i="3" s="1"/>
  <c r="CU120" i="3" s="1"/>
  <c r="CS119" i="3"/>
  <c r="CT119" i="3" s="1"/>
  <c r="CU119" i="3" s="1"/>
  <c r="CS116" i="3"/>
  <c r="CT116" i="3" s="1"/>
  <c r="CU116" i="3" s="1"/>
  <c r="CO114" i="3"/>
  <c r="CN114" i="3"/>
  <c r="CM114" i="3"/>
  <c r="CL114" i="3"/>
  <c r="CK114" i="3"/>
  <c r="CJ114" i="3"/>
  <c r="CI114" i="3"/>
  <c r="CH114" i="3"/>
  <c r="CG114" i="3"/>
  <c r="CF114" i="3"/>
  <c r="CE114" i="3"/>
  <c r="CD114" i="3"/>
  <c r="CC114" i="3"/>
  <c r="CB114" i="3"/>
  <c r="CA114" i="3"/>
  <c r="BZ114" i="3"/>
  <c r="BY114" i="3"/>
  <c r="BX114" i="3"/>
  <c r="BW114" i="3"/>
  <c r="BV114" i="3"/>
  <c r="BU114" i="3"/>
  <c r="BT114" i="3"/>
  <c r="BS114" i="3"/>
  <c r="BR114" i="3"/>
  <c r="BQ114" i="3"/>
  <c r="FB110" i="3"/>
  <c r="FA110" i="3"/>
  <c r="EZ110" i="3"/>
  <c r="EG105" i="3"/>
  <c r="EG104" i="3"/>
  <c r="EF104" i="3"/>
  <c r="EF105" i="3" s="1"/>
  <c r="CU84" i="3"/>
  <c r="CU91" i="3" s="1"/>
  <c r="CT84" i="3"/>
  <c r="CS84" i="3"/>
  <c r="CR84" i="3"/>
  <c r="T49" i="79" s="1"/>
  <c r="CQ84" i="3"/>
  <c r="CP84" i="3"/>
  <c r="CO84" i="3"/>
  <c r="CK84" i="3"/>
  <c r="CJ84" i="3"/>
  <c r="CH84" i="3"/>
  <c r="CG84" i="3"/>
  <c r="CF84" i="3"/>
  <c r="CD84" i="3"/>
  <c r="CC84" i="3"/>
  <c r="CB84" i="3"/>
  <c r="BZ84" i="3"/>
  <c r="BY84" i="3"/>
  <c r="BX84" i="3"/>
  <c r="BV84" i="3"/>
  <c r="BU84" i="3"/>
  <c r="BR84" i="3"/>
  <c r="BQ84" i="3"/>
  <c r="BP84" i="3"/>
  <c r="EB83" i="3"/>
  <c r="EA83" i="3"/>
  <c r="DY83" i="3"/>
  <c r="DX83" i="3"/>
  <c r="DW83" i="3"/>
  <c r="DV83" i="3"/>
  <c r="DU83" i="3"/>
  <c r="CL83" i="3"/>
  <c r="CM83" i="3" s="1"/>
  <c r="DZ83" i="3" s="1"/>
  <c r="CA82" i="3"/>
  <c r="CA84" i="3" s="1"/>
  <c r="CA81" i="3"/>
  <c r="EX81" i="3" s="1"/>
  <c r="BW82" i="3"/>
  <c r="DV82" i="3" s="1"/>
  <c r="CN81" i="3"/>
  <c r="CM81" i="3"/>
  <c r="CI81" i="3"/>
  <c r="CE81" i="3"/>
  <c r="BT81" i="3"/>
  <c r="EV81" i="3" s="1"/>
  <c r="BS81" i="3"/>
  <c r="BS84" i="3" s="1"/>
  <c r="BO81" i="3"/>
  <c r="BK81" i="3"/>
  <c r="ET81" i="3" s="1"/>
  <c r="BG81" i="3"/>
  <c r="ES81" i="3" s="1"/>
  <c r="BC81" i="3"/>
  <c r="ER81" i="3" s="1"/>
  <c r="AY81" i="3"/>
  <c r="AU81" i="3"/>
  <c r="EP81" i="3" s="1"/>
  <c r="AQ81" i="3"/>
  <c r="EO81" i="3" s="1"/>
  <c r="AM81" i="3"/>
  <c r="EY81" i="3"/>
  <c r="EU81" i="3"/>
  <c r="EQ81" i="3"/>
  <c r="EB82" i="3"/>
  <c r="EA82" i="3"/>
  <c r="DZ82" i="3"/>
  <c r="DY82" i="3"/>
  <c r="DX82" i="3"/>
  <c r="DW82" i="3"/>
  <c r="DU82" i="3"/>
  <c r="EB81" i="3"/>
  <c r="EA81" i="3"/>
  <c r="DZ81" i="3"/>
  <c r="DZ84" i="3" s="1"/>
  <c r="DY81" i="3"/>
  <c r="DY84" i="3" s="1"/>
  <c r="DU81" i="3"/>
  <c r="DF79" i="3"/>
  <c r="DE79" i="3"/>
  <c r="CP75" i="3"/>
  <c r="CO75" i="3"/>
  <c r="CN75" i="3"/>
  <c r="CM75" i="3"/>
  <c r="CL75" i="3"/>
  <c r="CK75" i="3"/>
  <c r="CJ75" i="3"/>
  <c r="CI75" i="3"/>
  <c r="CH75" i="3"/>
  <c r="CG75" i="3"/>
  <c r="CF75" i="3"/>
  <c r="CE75" i="3"/>
  <c r="CD75" i="3"/>
  <c r="CC75" i="3"/>
  <c r="CB75" i="3"/>
  <c r="CA75" i="3"/>
  <c r="BZ75" i="3"/>
  <c r="BY75" i="3"/>
  <c r="BX75" i="3"/>
  <c r="BW75" i="3"/>
  <c r="BV75" i="3"/>
  <c r="BU75" i="3"/>
  <c r="BT75" i="3"/>
  <c r="BS75" i="3"/>
  <c r="BR75" i="3"/>
  <c r="BQ75" i="3"/>
  <c r="BP75" i="3"/>
  <c r="BO75" i="3"/>
  <c r="BN75" i="3"/>
  <c r="BM75" i="3"/>
  <c r="BL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DZ72" i="3"/>
  <c r="DY72" i="3"/>
  <c r="DX72" i="3"/>
  <c r="DW72" i="3"/>
  <c r="DV72" i="3"/>
  <c r="DU72" i="3"/>
  <c r="DT72" i="3"/>
  <c r="DS72" i="3"/>
  <c r="DR72" i="3"/>
  <c r="DQ72" i="3"/>
  <c r="DP72" i="3"/>
  <c r="DO72" i="3"/>
  <c r="DN72" i="3"/>
  <c r="DM72" i="3"/>
  <c r="DL72" i="3"/>
  <c r="DK72" i="3"/>
  <c r="DJ72" i="3"/>
  <c r="DI72" i="3"/>
  <c r="DH72" i="3"/>
  <c r="DG72" i="3"/>
  <c r="DZ70" i="3"/>
  <c r="DY70" i="3"/>
  <c r="DY73" i="3" s="1"/>
  <c r="DX70" i="3"/>
  <c r="DX73" i="3" s="1"/>
  <c r="DW70" i="3"/>
  <c r="DV70" i="3"/>
  <c r="DU70" i="3"/>
  <c r="DT70" i="3"/>
  <c r="DT73" i="3" s="1"/>
  <c r="DS70" i="3"/>
  <c r="DR70" i="3"/>
  <c r="DQ70" i="3"/>
  <c r="DP70" i="3"/>
  <c r="DP73" i="3" s="1"/>
  <c r="DO70" i="3"/>
  <c r="DN70" i="3"/>
  <c r="DN73" i="3" s="1"/>
  <c r="DM70" i="3"/>
  <c r="DL70" i="3"/>
  <c r="DL73" i="3" s="1"/>
  <c r="DK70" i="3"/>
  <c r="DJ70" i="3"/>
  <c r="DJ73" i="3" s="1"/>
  <c r="DI70" i="3"/>
  <c r="DH70" i="3"/>
  <c r="DH73" i="3" s="1"/>
  <c r="DG70" i="3"/>
  <c r="FA72" i="3"/>
  <c r="EZ72" i="3"/>
  <c r="EY72" i="3"/>
  <c r="EX72" i="3"/>
  <c r="EW72" i="3"/>
  <c r="EV72" i="3"/>
  <c r="EU72" i="3"/>
  <c r="ET72" i="3"/>
  <c r="ES72" i="3"/>
  <c r="ER72" i="3"/>
  <c r="EQ72" i="3"/>
  <c r="EP72" i="3"/>
  <c r="EO72" i="3"/>
  <c r="EN72" i="3"/>
  <c r="EM72" i="3"/>
  <c r="EL72" i="3"/>
  <c r="EK72" i="3"/>
  <c r="EJ72" i="3"/>
  <c r="EI72" i="3"/>
  <c r="EH72" i="3"/>
  <c r="FA70" i="3"/>
  <c r="EZ70" i="3"/>
  <c r="EZ73" i="3" s="1"/>
  <c r="EY70" i="3"/>
  <c r="EX70" i="3"/>
  <c r="EX73" i="3" s="1"/>
  <c r="EW70" i="3"/>
  <c r="EV70" i="3"/>
  <c r="EV73" i="3" s="1"/>
  <c r="EU70" i="3"/>
  <c r="ET70" i="3"/>
  <c r="ES70" i="3"/>
  <c r="ER70" i="3"/>
  <c r="ER73" i="3" s="1"/>
  <c r="EQ70" i="3"/>
  <c r="EP70" i="3"/>
  <c r="EP73" i="3" s="1"/>
  <c r="EO70" i="3"/>
  <c r="EN70" i="3"/>
  <c r="EN73" i="3" s="1"/>
  <c r="EM70" i="3"/>
  <c r="EL70" i="3"/>
  <c r="EK70" i="3"/>
  <c r="EJ70" i="3"/>
  <c r="EJ73" i="3" s="1"/>
  <c r="EI70" i="3"/>
  <c r="EH70" i="3"/>
  <c r="EH73" i="3" s="1"/>
  <c r="FA65" i="3"/>
  <c r="FA80" i="3" s="1"/>
  <c r="FA95" i="3" s="1"/>
  <c r="EZ65" i="3"/>
  <c r="EZ80" i="3" s="1"/>
  <c r="EZ95" i="3" s="1"/>
  <c r="B61" i="3"/>
  <c r="B60" i="3"/>
  <c r="DF60" i="3"/>
  <c r="DE60" i="3"/>
  <c r="CO60" i="3"/>
  <c r="CN60" i="3"/>
  <c r="CM60" i="3"/>
  <c r="CL60" i="3"/>
  <c r="CK60" i="3"/>
  <c r="CJ60" i="3"/>
  <c r="CI60" i="3"/>
  <c r="CH60" i="3"/>
  <c r="CG60" i="3"/>
  <c r="CF60" i="3"/>
  <c r="CE60" i="3"/>
  <c r="CD60" i="3"/>
  <c r="CC60" i="3"/>
  <c r="CB60" i="3"/>
  <c r="CA60" i="3"/>
  <c r="BZ60" i="3"/>
  <c r="BY60" i="3"/>
  <c r="BX60" i="3"/>
  <c r="BW60" i="3"/>
  <c r="BV60" i="3"/>
  <c r="BU60" i="3"/>
  <c r="BT60" i="3"/>
  <c r="BS60" i="3"/>
  <c r="BR60" i="3"/>
  <c r="BQ60" i="3"/>
  <c r="BP60" i="3"/>
  <c r="BO60" i="3"/>
  <c r="BN60" i="3"/>
  <c r="BM60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B58" i="3"/>
  <c r="B57" i="3"/>
  <c r="B56" i="3"/>
  <c r="B55" i="3"/>
  <c r="EB56" i="3"/>
  <c r="EB160" i="3" s="1"/>
  <c r="CO56" i="3"/>
  <c r="CK56" i="3"/>
  <c r="CG56" i="3"/>
  <c r="CH56" i="3" s="1"/>
  <c r="DY56" i="3" s="1"/>
  <c r="DY160" i="3" s="1"/>
  <c r="CC56" i="3"/>
  <c r="CB56" i="3"/>
  <c r="BX56" i="3"/>
  <c r="BT56" i="3"/>
  <c r="BU56" i="3" s="1"/>
  <c r="BS56" i="3"/>
  <c r="EV56" i="3" s="1"/>
  <c r="EV160" i="3" s="1"/>
  <c r="BP56" i="3"/>
  <c r="BQ56" i="3" s="1"/>
  <c r="BR56" i="3" s="1"/>
  <c r="BL56" i="3"/>
  <c r="BM56" i="3" s="1"/>
  <c r="BH56" i="3"/>
  <c r="BD56" i="3"/>
  <c r="BE56" i="3" s="1"/>
  <c r="BC56" i="3"/>
  <c r="AZ56" i="3"/>
  <c r="BA56" i="3" s="1"/>
  <c r="BB56" i="3" s="1"/>
  <c r="AV56" i="3"/>
  <c r="AW56" i="3" s="1"/>
  <c r="AR56" i="3"/>
  <c r="AN56" i="3"/>
  <c r="AO56" i="3" s="1"/>
  <c r="AM56" i="3"/>
  <c r="DM56" i="3" s="1"/>
  <c r="DM160" i="3" s="1"/>
  <c r="AJ56" i="3"/>
  <c r="AK56" i="3" s="1"/>
  <c r="AL56" i="3" s="1"/>
  <c r="AF56" i="3"/>
  <c r="AG56" i="3" s="1"/>
  <c r="AB56" i="3"/>
  <c r="X56" i="3"/>
  <c r="Y56" i="3" s="1"/>
  <c r="T56" i="3"/>
  <c r="U56" i="3" s="1"/>
  <c r="V56" i="3" s="1"/>
  <c r="W56" i="3" s="1"/>
  <c r="DI56" i="3" s="1"/>
  <c r="DI160" i="3" s="1"/>
  <c r="P56" i="3"/>
  <c r="Q56" i="3" s="1"/>
  <c r="L56" i="3"/>
  <c r="H56" i="3"/>
  <c r="I56" i="3" s="1"/>
  <c r="J56" i="3" s="1"/>
  <c r="K56" i="3" s="1"/>
  <c r="G56" i="3"/>
  <c r="DE56" i="3" s="1"/>
  <c r="DE160" i="3" s="1"/>
  <c r="D56" i="3"/>
  <c r="E56" i="3" s="1"/>
  <c r="F56" i="3" s="1"/>
  <c r="L55" i="3"/>
  <c r="CO53" i="3"/>
  <c r="CN53" i="3"/>
  <c r="CK53" i="3"/>
  <c r="CL53" i="3" s="1"/>
  <c r="CM53" i="3" s="1"/>
  <c r="CJ53" i="3"/>
  <c r="CG53" i="3"/>
  <c r="CF53" i="3"/>
  <c r="CC53" i="3"/>
  <c r="CD53" i="3" s="1"/>
  <c r="CE53" i="3" s="1"/>
  <c r="CB53" i="3"/>
  <c r="BX53" i="3"/>
  <c r="BY53" i="3" s="1"/>
  <c r="BT53" i="3"/>
  <c r="BP53" i="3"/>
  <c r="BL53" i="3"/>
  <c r="BM53" i="3" s="1"/>
  <c r="BN53" i="3" s="1"/>
  <c r="BO53" i="3" s="1"/>
  <c r="BK53" i="3"/>
  <c r="BH53" i="3"/>
  <c r="BI53" i="3" s="1"/>
  <c r="BJ53" i="3" s="1"/>
  <c r="BD53" i="3"/>
  <c r="AZ53" i="3"/>
  <c r="AV53" i="3"/>
  <c r="AW53" i="3" s="1"/>
  <c r="AX53" i="3" s="1"/>
  <c r="AY53" i="3" s="1"/>
  <c r="AR53" i="3"/>
  <c r="AS53" i="3" s="1"/>
  <c r="AT53" i="3" s="1"/>
  <c r="AU53" i="3" s="1"/>
  <c r="EP53" i="3" s="1"/>
  <c r="EP157" i="3" s="1"/>
  <c r="AN53" i="3"/>
  <c r="AJ53" i="3"/>
  <c r="AF53" i="3"/>
  <c r="AG53" i="3" s="1"/>
  <c r="AH53" i="3" s="1"/>
  <c r="AI53" i="3" s="1"/>
  <c r="AE53" i="3"/>
  <c r="EL53" i="3" s="1"/>
  <c r="EL157" i="3" s="1"/>
  <c r="AB53" i="3"/>
  <c r="AC53" i="3" s="1"/>
  <c r="AD53" i="3" s="1"/>
  <c r="X53" i="3"/>
  <c r="T53" i="3"/>
  <c r="P53" i="3"/>
  <c r="Q53" i="3" s="1"/>
  <c r="R53" i="3" s="1"/>
  <c r="S53" i="3" s="1"/>
  <c r="O53" i="3"/>
  <c r="L53" i="3"/>
  <c r="M53" i="3" s="1"/>
  <c r="N53" i="3" s="1"/>
  <c r="H53" i="3"/>
  <c r="D53" i="3"/>
  <c r="B53" i="3"/>
  <c r="B51" i="3"/>
  <c r="B50" i="3"/>
  <c r="EB49" i="3"/>
  <c r="CO50" i="3"/>
  <c r="CP50" i="3" s="1"/>
  <c r="CQ50" i="3" s="1"/>
  <c r="CN50" i="3"/>
  <c r="CK50" i="3"/>
  <c r="CJ50" i="3"/>
  <c r="CF50" i="3"/>
  <c r="CG50" i="3" s="1"/>
  <c r="CC50" i="3"/>
  <c r="CD50" i="3" s="1"/>
  <c r="CB50" i="3"/>
  <c r="BX50" i="3"/>
  <c r="BY50" i="3" s="1"/>
  <c r="BZ50" i="3" s="1"/>
  <c r="BU50" i="3"/>
  <c r="BV50" i="3" s="1"/>
  <c r="BT50" i="3"/>
  <c r="BQ50" i="3"/>
  <c r="BP50" i="3"/>
  <c r="BM50" i="3"/>
  <c r="BN50" i="3" s="1"/>
  <c r="BL50" i="3"/>
  <c r="BI50" i="3"/>
  <c r="BJ50" i="3" s="1"/>
  <c r="BH50" i="3"/>
  <c r="BE50" i="3"/>
  <c r="BD50" i="3"/>
  <c r="BB50" i="3"/>
  <c r="BC50" i="3" s="1"/>
  <c r="BA50" i="3"/>
  <c r="AZ50" i="3"/>
  <c r="AV50" i="3"/>
  <c r="AW50" i="3" s="1"/>
  <c r="AX50" i="3" s="1"/>
  <c r="AS50" i="3"/>
  <c r="AT50" i="3" s="1"/>
  <c r="AR50" i="3"/>
  <c r="AN50" i="3"/>
  <c r="AO50" i="3" s="1"/>
  <c r="AP50" i="3" s="1"/>
  <c r="AL50" i="3"/>
  <c r="AM50" i="3" s="1"/>
  <c r="AK50" i="3"/>
  <c r="AJ50" i="3"/>
  <c r="AG50" i="3"/>
  <c r="AH50" i="3" s="1"/>
  <c r="AF50" i="3"/>
  <c r="AC50" i="3"/>
  <c r="AD50" i="3" s="1"/>
  <c r="AB50" i="3"/>
  <c r="Y50" i="3"/>
  <c r="X50" i="3"/>
  <c r="T50" i="3"/>
  <c r="U50" i="3" s="1"/>
  <c r="Q50" i="3"/>
  <c r="R50" i="3" s="1"/>
  <c r="P50" i="3"/>
  <c r="L50" i="3"/>
  <c r="M50" i="3" s="1"/>
  <c r="N50" i="3" s="1"/>
  <c r="I50" i="3"/>
  <c r="J50" i="3" s="1"/>
  <c r="H50" i="3"/>
  <c r="E50" i="3"/>
  <c r="D50" i="3"/>
  <c r="CN49" i="3"/>
  <c r="CJ49" i="3"/>
  <c r="CK49" i="3" s="1"/>
  <c r="CG49" i="3"/>
  <c r="CH49" i="3" s="1"/>
  <c r="CI49" i="3" s="1"/>
  <c r="EZ49" i="3" s="1"/>
  <c r="EZ153" i="3" s="1"/>
  <c r="CF49" i="3"/>
  <c r="CB49" i="3"/>
  <c r="CC49" i="3" s="1"/>
  <c r="BX49" i="3"/>
  <c r="BY49" i="3" s="1"/>
  <c r="BT49" i="3"/>
  <c r="BU49" i="3" s="1"/>
  <c r="BQ49" i="3"/>
  <c r="BR49" i="3" s="1"/>
  <c r="BS49" i="3" s="1"/>
  <c r="BP49" i="3"/>
  <c r="BL49" i="3"/>
  <c r="BH49" i="3"/>
  <c r="BI49" i="3" s="1"/>
  <c r="BD49" i="3"/>
  <c r="BE49" i="3" s="1"/>
  <c r="BA49" i="3"/>
  <c r="BB49" i="3" s="1"/>
  <c r="BC49" i="3" s="1"/>
  <c r="AZ49" i="3"/>
  <c r="AV49" i="3"/>
  <c r="AW49" i="3" s="1"/>
  <c r="AR49" i="3"/>
  <c r="AS49" i="3" s="1"/>
  <c r="AN49" i="3"/>
  <c r="AJ49" i="3"/>
  <c r="AF49" i="3"/>
  <c r="AB49" i="3"/>
  <c r="AC49" i="3" s="1"/>
  <c r="X49" i="3"/>
  <c r="T49" i="3"/>
  <c r="P49" i="3"/>
  <c r="Q49" i="3" s="1"/>
  <c r="L49" i="3"/>
  <c r="M49" i="3" s="1"/>
  <c r="H49" i="3"/>
  <c r="D49" i="3"/>
  <c r="CO48" i="3"/>
  <c r="CP48" i="3" s="1"/>
  <c r="CQ48" i="3" s="1"/>
  <c r="CN48" i="3"/>
  <c r="CK48" i="3"/>
  <c r="CJ48" i="3"/>
  <c r="CG48" i="3"/>
  <c r="CF48" i="3"/>
  <c r="CC48" i="3"/>
  <c r="CD48" i="3" s="1"/>
  <c r="CB48" i="3"/>
  <c r="BY48" i="3"/>
  <c r="BZ48" i="3" s="1"/>
  <c r="CA48" i="3" s="1"/>
  <c r="BX48" i="3"/>
  <c r="BU48" i="3"/>
  <c r="BT48" i="3"/>
  <c r="BQ48" i="3"/>
  <c r="BP48" i="3"/>
  <c r="BM48" i="3"/>
  <c r="BN48" i="3" s="1"/>
  <c r="BL48" i="3"/>
  <c r="BI48" i="3"/>
  <c r="BJ48" i="3" s="1"/>
  <c r="BK48" i="3" s="1"/>
  <c r="BH48" i="3"/>
  <c r="BE48" i="3"/>
  <c r="BD48" i="3"/>
  <c r="BA48" i="3"/>
  <c r="AZ48" i="3"/>
  <c r="AW48" i="3"/>
  <c r="AX48" i="3" s="1"/>
  <c r="AV48" i="3"/>
  <c r="AS48" i="3"/>
  <c r="AT48" i="3" s="1"/>
  <c r="AU48" i="3" s="1"/>
  <c r="AR48" i="3"/>
  <c r="AO48" i="3"/>
  <c r="AN48" i="3"/>
  <c r="AK48" i="3"/>
  <c r="AJ48" i="3"/>
  <c r="AG48" i="3"/>
  <c r="AH48" i="3" s="1"/>
  <c r="AF48" i="3"/>
  <c r="AC48" i="3"/>
  <c r="AD48" i="3" s="1"/>
  <c r="AE48" i="3" s="1"/>
  <c r="AB48" i="3"/>
  <c r="Y48" i="3"/>
  <c r="X48" i="3"/>
  <c r="U48" i="3"/>
  <c r="T48" i="3"/>
  <c r="Q48" i="3"/>
  <c r="R48" i="3" s="1"/>
  <c r="P48" i="3"/>
  <c r="M48" i="3"/>
  <c r="N48" i="3" s="1"/>
  <c r="O48" i="3" s="1"/>
  <c r="L48" i="3"/>
  <c r="I48" i="3"/>
  <c r="H48" i="3"/>
  <c r="E48" i="3"/>
  <c r="D48" i="3"/>
  <c r="CO47" i="3"/>
  <c r="CN47" i="3"/>
  <c r="CK47" i="3"/>
  <c r="CL47" i="3" s="1"/>
  <c r="CJ47" i="3"/>
  <c r="CG47" i="3"/>
  <c r="CH47" i="3" s="1"/>
  <c r="CF47" i="3"/>
  <c r="CC47" i="3"/>
  <c r="CB47" i="3"/>
  <c r="BY47" i="3"/>
  <c r="BX47" i="3"/>
  <c r="BU47" i="3"/>
  <c r="BV47" i="3" s="1"/>
  <c r="BT47" i="3"/>
  <c r="BQ47" i="3"/>
  <c r="BR47" i="3" s="1"/>
  <c r="BP47" i="3"/>
  <c r="BM47" i="3"/>
  <c r="BL47" i="3"/>
  <c r="BI47" i="3"/>
  <c r="BH47" i="3"/>
  <c r="BE47" i="3"/>
  <c r="BF47" i="3" s="1"/>
  <c r="BD47" i="3"/>
  <c r="BA47" i="3"/>
  <c r="BB47" i="3" s="1"/>
  <c r="AZ47" i="3"/>
  <c r="AW47" i="3"/>
  <c r="AV47" i="3"/>
  <c r="AS47" i="3"/>
  <c r="AR47" i="3"/>
  <c r="AO47" i="3"/>
  <c r="AP47" i="3" s="1"/>
  <c r="AN47" i="3"/>
  <c r="AK47" i="3"/>
  <c r="AL47" i="3" s="1"/>
  <c r="AJ47" i="3"/>
  <c r="AG47" i="3"/>
  <c r="AF47" i="3"/>
  <c r="AC47" i="3"/>
  <c r="AB47" i="3"/>
  <c r="Y47" i="3"/>
  <c r="Z47" i="3" s="1"/>
  <c r="X47" i="3"/>
  <c r="U47" i="3"/>
  <c r="V47" i="3" s="1"/>
  <c r="T47" i="3"/>
  <c r="Q47" i="3"/>
  <c r="P47" i="3"/>
  <c r="M47" i="3"/>
  <c r="L47" i="3"/>
  <c r="I47" i="3"/>
  <c r="J47" i="3" s="1"/>
  <c r="K47" i="3" s="1"/>
  <c r="H47" i="3"/>
  <c r="E47" i="3"/>
  <c r="F47" i="3" s="1"/>
  <c r="G47" i="3" s="1"/>
  <c r="D47" i="3"/>
  <c r="CN46" i="3"/>
  <c r="CO46" i="3" s="1"/>
  <c r="CJ46" i="3"/>
  <c r="CK46" i="3" s="1"/>
  <c r="CF46" i="3"/>
  <c r="CG46" i="3" s="1"/>
  <c r="CB46" i="3"/>
  <c r="BX46" i="3"/>
  <c r="BY46" i="3" s="1"/>
  <c r="BT46" i="3"/>
  <c r="BU46" i="3" s="1"/>
  <c r="BP46" i="3"/>
  <c r="BQ46" i="3" s="1"/>
  <c r="BL46" i="3"/>
  <c r="BH46" i="3"/>
  <c r="BH51" i="3" s="1"/>
  <c r="BD46" i="3"/>
  <c r="BD51" i="3" s="1"/>
  <c r="AZ46" i="3"/>
  <c r="AZ51" i="3" s="1"/>
  <c r="AV46" i="3"/>
  <c r="AR46" i="3"/>
  <c r="AR51" i="3" s="1"/>
  <c r="AN46" i="3"/>
  <c r="AJ46" i="3"/>
  <c r="AJ51" i="3" s="1"/>
  <c r="AF46" i="3"/>
  <c r="AB46" i="3"/>
  <c r="AB51" i="3" s="1"/>
  <c r="X46" i="3"/>
  <c r="X51" i="3" s="1"/>
  <c r="T46" i="3"/>
  <c r="P46" i="3"/>
  <c r="L46" i="3"/>
  <c r="L51" i="3" s="1"/>
  <c r="H46" i="3"/>
  <c r="H51" i="3" s="1"/>
  <c r="D46" i="3"/>
  <c r="D51" i="3" s="1"/>
  <c r="B46" i="3"/>
  <c r="EB46" i="3"/>
  <c r="EB150" i="3" s="1"/>
  <c r="EB45" i="3"/>
  <c r="EB149" i="3" s="1"/>
  <c r="DS45" i="3"/>
  <c r="DS149" i="3" s="1"/>
  <c r="DR45" i="3"/>
  <c r="DR149" i="3" s="1"/>
  <c r="DQ45" i="3"/>
  <c r="DQ149" i="3" s="1"/>
  <c r="DP45" i="3"/>
  <c r="DP149" i="3" s="1"/>
  <c r="DO45" i="3"/>
  <c r="DO149" i="3" s="1"/>
  <c r="DN45" i="3"/>
  <c r="DN149" i="3" s="1"/>
  <c r="DM45" i="3"/>
  <c r="DM149" i="3" s="1"/>
  <c r="DL45" i="3"/>
  <c r="DL149" i="3" s="1"/>
  <c r="DK45" i="3"/>
  <c r="DK149" i="3" s="1"/>
  <c r="DJ45" i="3"/>
  <c r="DJ149" i="3" s="1"/>
  <c r="DI45" i="3"/>
  <c r="DI149" i="3" s="1"/>
  <c r="DH45" i="3"/>
  <c r="DH149" i="3" s="1"/>
  <c r="DG45" i="3"/>
  <c r="DG149" i="3" s="1"/>
  <c r="DF45" i="3"/>
  <c r="DF149" i="3" s="1"/>
  <c r="DE45" i="3"/>
  <c r="DE149" i="3" s="1"/>
  <c r="EB44" i="3"/>
  <c r="EB148" i="3" s="1"/>
  <c r="DS44" i="3"/>
  <c r="DS148" i="3" s="1"/>
  <c r="DR44" i="3"/>
  <c r="DR148" i="3" s="1"/>
  <c r="DQ44" i="3"/>
  <c r="DQ148" i="3" s="1"/>
  <c r="DP44" i="3"/>
  <c r="DP148" i="3" s="1"/>
  <c r="DO44" i="3"/>
  <c r="DO148" i="3" s="1"/>
  <c r="DN44" i="3"/>
  <c r="DN148" i="3" s="1"/>
  <c r="DM44" i="3"/>
  <c r="DM148" i="3" s="1"/>
  <c r="DL44" i="3"/>
  <c r="DL148" i="3" s="1"/>
  <c r="DK44" i="3"/>
  <c r="DK148" i="3" s="1"/>
  <c r="DJ44" i="3"/>
  <c r="DJ148" i="3" s="1"/>
  <c r="DI44" i="3"/>
  <c r="DI148" i="3" s="1"/>
  <c r="DH44" i="3"/>
  <c r="DH148" i="3" s="1"/>
  <c r="DG44" i="3"/>
  <c r="DG148" i="3" s="1"/>
  <c r="DF44" i="3"/>
  <c r="DF148" i="3" s="1"/>
  <c r="DE44" i="3"/>
  <c r="DE148" i="3" s="1"/>
  <c r="CN45" i="3"/>
  <c r="CJ45" i="3"/>
  <c r="CK45" i="3" s="1"/>
  <c r="CF45" i="3"/>
  <c r="CG45" i="3" s="1"/>
  <c r="CB45" i="3"/>
  <c r="BX45" i="3"/>
  <c r="BT45" i="3"/>
  <c r="BU45" i="3" s="1"/>
  <c r="BP45" i="3"/>
  <c r="BQ45" i="3" s="1"/>
  <c r="BL45" i="3"/>
  <c r="ET45" i="3" s="1"/>
  <c r="ET149" i="3" s="1"/>
  <c r="CN44" i="3"/>
  <c r="CO44" i="3" s="1"/>
  <c r="CJ44" i="3"/>
  <c r="CK44" i="3" s="1"/>
  <c r="CF44" i="3"/>
  <c r="CG44" i="3" s="1"/>
  <c r="CB44" i="3"/>
  <c r="BX44" i="3"/>
  <c r="BY44" i="3" s="1"/>
  <c r="BT44" i="3"/>
  <c r="BU44" i="3" s="1"/>
  <c r="BP44" i="3"/>
  <c r="BQ44" i="3" s="1"/>
  <c r="BL44" i="3"/>
  <c r="DS43" i="3"/>
  <c r="DS147" i="3" s="1"/>
  <c r="DR43" i="3"/>
  <c r="DR147" i="3" s="1"/>
  <c r="DQ43" i="3"/>
  <c r="DQ147" i="3" s="1"/>
  <c r="DP43" i="3"/>
  <c r="DP147" i="3" s="1"/>
  <c r="DO43" i="3"/>
  <c r="DO147" i="3" s="1"/>
  <c r="DN43" i="3"/>
  <c r="DN147" i="3" s="1"/>
  <c r="DM43" i="3"/>
  <c r="DM147" i="3" s="1"/>
  <c r="DL43" i="3"/>
  <c r="DL147" i="3" s="1"/>
  <c r="DK43" i="3"/>
  <c r="DK147" i="3" s="1"/>
  <c r="DJ43" i="3"/>
  <c r="DJ147" i="3" s="1"/>
  <c r="DI43" i="3"/>
  <c r="DI147" i="3" s="1"/>
  <c r="DH43" i="3"/>
  <c r="DH147" i="3" s="1"/>
  <c r="DG43" i="3"/>
  <c r="DG147" i="3" s="1"/>
  <c r="DF43" i="3"/>
  <c r="DF147" i="3" s="1"/>
  <c r="DE43" i="3"/>
  <c r="DE147" i="3" s="1"/>
  <c r="CO43" i="3"/>
  <c r="CN43" i="3"/>
  <c r="CK43" i="3"/>
  <c r="CL43" i="3" s="1"/>
  <c r="CM43" i="3" s="1"/>
  <c r="CJ43" i="3"/>
  <c r="CG43" i="3"/>
  <c r="CH43" i="3" s="1"/>
  <c r="CF43" i="3"/>
  <c r="CC43" i="3"/>
  <c r="CB43" i="3"/>
  <c r="BY43" i="3"/>
  <c r="BX43" i="3"/>
  <c r="BU43" i="3"/>
  <c r="BV43" i="3" s="1"/>
  <c r="BW43" i="3" s="1"/>
  <c r="BT43" i="3"/>
  <c r="BQ43" i="3"/>
  <c r="BR43" i="3" s="1"/>
  <c r="BP43" i="3"/>
  <c r="BM43" i="3"/>
  <c r="BL43" i="3"/>
  <c r="ES45" i="3"/>
  <c r="ES149" i="3" s="1"/>
  <c r="ER45" i="3"/>
  <c r="ER149" i="3" s="1"/>
  <c r="EQ45" i="3"/>
  <c r="EQ149" i="3" s="1"/>
  <c r="EP45" i="3"/>
  <c r="EP149" i="3" s="1"/>
  <c r="EO45" i="3"/>
  <c r="EO149" i="3" s="1"/>
  <c r="EN45" i="3"/>
  <c r="EN149" i="3" s="1"/>
  <c r="EM45" i="3"/>
  <c r="EM149" i="3" s="1"/>
  <c r="EL45" i="3"/>
  <c r="EL149" i="3" s="1"/>
  <c r="EK45" i="3"/>
  <c r="EK149" i="3" s="1"/>
  <c r="EJ45" i="3"/>
  <c r="EJ149" i="3" s="1"/>
  <c r="EI45" i="3"/>
  <c r="EI149" i="3" s="1"/>
  <c r="EH45" i="3"/>
  <c r="EH149" i="3" s="1"/>
  <c r="ES44" i="3"/>
  <c r="ES148" i="3" s="1"/>
  <c r="ER44" i="3"/>
  <c r="ER148" i="3" s="1"/>
  <c r="EQ44" i="3"/>
  <c r="EQ148" i="3" s="1"/>
  <c r="EP44" i="3"/>
  <c r="EP148" i="3" s="1"/>
  <c r="EO44" i="3"/>
  <c r="EO148" i="3" s="1"/>
  <c r="EN44" i="3"/>
  <c r="EN148" i="3" s="1"/>
  <c r="EM44" i="3"/>
  <c r="EM148" i="3" s="1"/>
  <c r="EL44" i="3"/>
  <c r="EL148" i="3" s="1"/>
  <c r="EK44" i="3"/>
  <c r="EK148" i="3" s="1"/>
  <c r="EJ44" i="3"/>
  <c r="EJ148" i="3" s="1"/>
  <c r="EI44" i="3"/>
  <c r="EI148" i="3" s="1"/>
  <c r="EH44" i="3"/>
  <c r="EH148" i="3" s="1"/>
  <c r="ET43" i="3"/>
  <c r="ET147" i="3" s="1"/>
  <c r="ES43" i="3"/>
  <c r="ES147" i="3" s="1"/>
  <c r="ER43" i="3"/>
  <c r="ER147" i="3" s="1"/>
  <c r="EQ43" i="3"/>
  <c r="EQ147" i="3" s="1"/>
  <c r="EP43" i="3"/>
  <c r="EP147" i="3" s="1"/>
  <c r="EO43" i="3"/>
  <c r="EO147" i="3" s="1"/>
  <c r="EN43" i="3"/>
  <c r="EN147" i="3" s="1"/>
  <c r="EM43" i="3"/>
  <c r="EM147" i="3" s="1"/>
  <c r="EL43" i="3"/>
  <c r="EL147" i="3" s="1"/>
  <c r="EK43" i="3"/>
  <c r="EK147" i="3" s="1"/>
  <c r="EJ43" i="3"/>
  <c r="EJ147" i="3" s="1"/>
  <c r="EI43" i="3"/>
  <c r="EI147" i="3" s="1"/>
  <c r="EH43" i="3"/>
  <c r="EH147" i="3" s="1"/>
  <c r="ES42" i="3"/>
  <c r="ES146" i="3" s="1"/>
  <c r="ER42" i="3"/>
  <c r="ER146" i="3" s="1"/>
  <c r="EQ42" i="3"/>
  <c r="EQ146" i="3" s="1"/>
  <c r="EP42" i="3"/>
  <c r="EP146" i="3" s="1"/>
  <c r="EO42" i="3"/>
  <c r="EO146" i="3" s="1"/>
  <c r="EN42" i="3"/>
  <c r="EN146" i="3" s="1"/>
  <c r="EM42" i="3"/>
  <c r="EM146" i="3" s="1"/>
  <c r="EL42" i="3"/>
  <c r="EL146" i="3" s="1"/>
  <c r="EK42" i="3"/>
  <c r="EK146" i="3" s="1"/>
  <c r="EJ42" i="3"/>
  <c r="EJ146" i="3" s="1"/>
  <c r="EI42" i="3"/>
  <c r="EI146" i="3" s="1"/>
  <c r="EH42" i="3"/>
  <c r="EH146" i="3" s="1"/>
  <c r="EB42" i="3"/>
  <c r="EB146" i="3" s="1"/>
  <c r="DS42" i="3"/>
  <c r="DS146" i="3" s="1"/>
  <c r="DR42" i="3"/>
  <c r="DQ42" i="3"/>
  <c r="DP42" i="3"/>
  <c r="DP146" i="3" s="1"/>
  <c r="DO42" i="3"/>
  <c r="DO146" i="3" s="1"/>
  <c r="DN42" i="3"/>
  <c r="DM42" i="3"/>
  <c r="DL42" i="3"/>
  <c r="DL146" i="3" s="1"/>
  <c r="DK42" i="3"/>
  <c r="DK146" i="3" s="1"/>
  <c r="DJ42" i="3"/>
  <c r="DI42" i="3"/>
  <c r="DH42" i="3"/>
  <c r="DH146" i="3" s="1"/>
  <c r="DG42" i="3"/>
  <c r="DG146" i="3" s="1"/>
  <c r="DF42" i="3"/>
  <c r="DE42" i="3"/>
  <c r="CN42" i="3"/>
  <c r="CJ42" i="3"/>
  <c r="CK42" i="3" s="1"/>
  <c r="CF42" i="3"/>
  <c r="CG42" i="3" s="1"/>
  <c r="CB42" i="3"/>
  <c r="CC42" i="3" s="1"/>
  <c r="BX42" i="3"/>
  <c r="BT42" i="3"/>
  <c r="BU42" i="3" s="1"/>
  <c r="BP42" i="3"/>
  <c r="BQ42" i="3" s="1"/>
  <c r="BL42" i="3"/>
  <c r="BM42" i="3" s="1"/>
  <c r="BN42" i="3" s="1"/>
  <c r="B41" i="3"/>
  <c r="B39" i="3"/>
  <c r="B38" i="3"/>
  <c r="B37" i="3"/>
  <c r="B36" i="3"/>
  <c r="B35" i="3"/>
  <c r="CN38" i="3"/>
  <c r="CJ38" i="3"/>
  <c r="CK38" i="3" s="1"/>
  <c r="CF38" i="3"/>
  <c r="CG38" i="3" s="1"/>
  <c r="CB38" i="3"/>
  <c r="CC38" i="3" s="1"/>
  <c r="CD38" i="3" s="1"/>
  <c r="CE38" i="3" s="1"/>
  <c r="EY38" i="3" s="1"/>
  <c r="EY142" i="3" s="1"/>
  <c r="BX38" i="3"/>
  <c r="BT38" i="3"/>
  <c r="BU38" i="3" s="1"/>
  <c r="BP38" i="3"/>
  <c r="BQ38" i="3" s="1"/>
  <c r="BL38" i="3"/>
  <c r="BM38" i="3" s="1"/>
  <c r="BN38" i="3" s="1"/>
  <c r="BO38" i="3" s="1"/>
  <c r="EU38" i="3" s="1"/>
  <c r="EU142" i="3" s="1"/>
  <c r="BH38" i="3"/>
  <c r="BD38" i="3"/>
  <c r="BE38" i="3" s="1"/>
  <c r="AZ38" i="3"/>
  <c r="BA38" i="3" s="1"/>
  <c r="AV38" i="3"/>
  <c r="AW38" i="3" s="1"/>
  <c r="AX38" i="3" s="1"/>
  <c r="AY38" i="3" s="1"/>
  <c r="EQ38" i="3" s="1"/>
  <c r="EQ142" i="3" s="1"/>
  <c r="AR38" i="3"/>
  <c r="AN38" i="3"/>
  <c r="AO38" i="3" s="1"/>
  <c r="AJ38" i="3"/>
  <c r="AK38" i="3" s="1"/>
  <c r="AF38" i="3"/>
  <c r="AG38" i="3" s="1"/>
  <c r="AH38" i="3" s="1"/>
  <c r="AI38" i="3" s="1"/>
  <c r="EM38" i="3" s="1"/>
  <c r="EM142" i="3" s="1"/>
  <c r="AB38" i="3"/>
  <c r="X38" i="3"/>
  <c r="Y38" i="3" s="1"/>
  <c r="T38" i="3"/>
  <c r="U38" i="3" s="1"/>
  <c r="P38" i="3"/>
  <c r="Q38" i="3" s="1"/>
  <c r="R38" i="3" s="1"/>
  <c r="S38" i="3" s="1"/>
  <c r="EI38" i="3" s="1"/>
  <c r="EI142" i="3" s="1"/>
  <c r="L38" i="3"/>
  <c r="H38" i="3"/>
  <c r="I38" i="3" s="1"/>
  <c r="J38" i="3" s="1"/>
  <c r="K38" i="3" s="1"/>
  <c r="D38" i="3"/>
  <c r="E38" i="3" s="1"/>
  <c r="F38" i="3" s="1"/>
  <c r="G38" i="3" s="1"/>
  <c r="CN37" i="3"/>
  <c r="CO37" i="3" s="1"/>
  <c r="CP37" i="3" s="1"/>
  <c r="CQ37" i="3" s="1"/>
  <c r="CJ37" i="3"/>
  <c r="CK37" i="3" s="1"/>
  <c r="CF37" i="3"/>
  <c r="CG37" i="3" s="1"/>
  <c r="CH37" i="3" s="1"/>
  <c r="CB37" i="3"/>
  <c r="CC37" i="3" s="1"/>
  <c r="BX37" i="3"/>
  <c r="BY37" i="3" s="1"/>
  <c r="BZ37" i="3" s="1"/>
  <c r="BT37" i="3"/>
  <c r="BU37" i="3" s="1"/>
  <c r="BP37" i="3"/>
  <c r="BQ37" i="3" s="1"/>
  <c r="BR37" i="3" s="1"/>
  <c r="BL37" i="3"/>
  <c r="BM37" i="3" s="1"/>
  <c r="BH37" i="3"/>
  <c r="BI37" i="3" s="1"/>
  <c r="BJ37" i="3" s="1"/>
  <c r="BK37" i="3" s="1"/>
  <c r="BD37" i="3"/>
  <c r="BE37" i="3" s="1"/>
  <c r="AZ37" i="3"/>
  <c r="BA37" i="3" s="1"/>
  <c r="BB37" i="3" s="1"/>
  <c r="AV37" i="3"/>
  <c r="AW37" i="3" s="1"/>
  <c r="AR37" i="3"/>
  <c r="AS37" i="3" s="1"/>
  <c r="AT37" i="3" s="1"/>
  <c r="AN37" i="3"/>
  <c r="AO37" i="3" s="1"/>
  <c r="AJ37" i="3"/>
  <c r="AK37" i="3" s="1"/>
  <c r="AL37" i="3" s="1"/>
  <c r="AF37" i="3"/>
  <c r="AG37" i="3" s="1"/>
  <c r="AB37" i="3"/>
  <c r="AC37" i="3" s="1"/>
  <c r="AD37" i="3" s="1"/>
  <c r="AE37" i="3" s="1"/>
  <c r="X37" i="3"/>
  <c r="Y37" i="3" s="1"/>
  <c r="T37" i="3"/>
  <c r="U37" i="3" s="1"/>
  <c r="V37" i="3" s="1"/>
  <c r="P37" i="3"/>
  <c r="Q37" i="3" s="1"/>
  <c r="L37" i="3"/>
  <c r="M37" i="3" s="1"/>
  <c r="N37" i="3" s="1"/>
  <c r="H37" i="3"/>
  <c r="I37" i="3" s="1"/>
  <c r="J37" i="3" s="1"/>
  <c r="D37" i="3"/>
  <c r="E37" i="3" s="1"/>
  <c r="F37" i="3" s="1"/>
  <c r="G37" i="3" s="1"/>
  <c r="CN36" i="3"/>
  <c r="CO36" i="3" s="1"/>
  <c r="CJ36" i="3"/>
  <c r="CK36" i="3" s="1"/>
  <c r="CL36" i="3" s="1"/>
  <c r="CH36" i="3"/>
  <c r="CI36" i="3" s="1"/>
  <c r="CF36" i="3"/>
  <c r="CG36" i="3" s="1"/>
  <c r="CB36" i="3"/>
  <c r="CC36" i="3" s="1"/>
  <c r="CD36" i="3" s="1"/>
  <c r="CE36" i="3" s="1"/>
  <c r="BZ36" i="3"/>
  <c r="CA36" i="3" s="1"/>
  <c r="BX36" i="3"/>
  <c r="BY36" i="3" s="1"/>
  <c r="BT36" i="3"/>
  <c r="BU36" i="3" s="1"/>
  <c r="BV36" i="3" s="1"/>
  <c r="BR36" i="3"/>
  <c r="BQ36" i="3"/>
  <c r="BP36" i="3"/>
  <c r="BM36" i="3"/>
  <c r="BN36" i="3" s="1"/>
  <c r="BL36" i="3"/>
  <c r="BH36" i="3"/>
  <c r="BI36" i="3" s="1"/>
  <c r="BJ36" i="3" s="1"/>
  <c r="BD36" i="3"/>
  <c r="BE36" i="3" s="1"/>
  <c r="BB36" i="3"/>
  <c r="BA36" i="3"/>
  <c r="AZ36" i="3"/>
  <c r="AW36" i="3"/>
  <c r="AX36" i="3" s="1"/>
  <c r="AV36" i="3"/>
  <c r="AR36" i="3"/>
  <c r="AS36" i="3" s="1"/>
  <c r="AT36" i="3" s="1"/>
  <c r="AN36" i="3"/>
  <c r="AO36" i="3" s="1"/>
  <c r="AL36" i="3"/>
  <c r="AK36" i="3"/>
  <c r="AJ36" i="3"/>
  <c r="AG36" i="3"/>
  <c r="AH36" i="3" s="1"/>
  <c r="AF36" i="3"/>
  <c r="AB36" i="3"/>
  <c r="AC36" i="3" s="1"/>
  <c r="AD36" i="3" s="1"/>
  <c r="X36" i="3"/>
  <c r="Y36" i="3" s="1"/>
  <c r="V36" i="3"/>
  <c r="U36" i="3"/>
  <c r="T36" i="3"/>
  <c r="Q36" i="3"/>
  <c r="R36" i="3" s="1"/>
  <c r="P36" i="3"/>
  <c r="L36" i="3"/>
  <c r="M36" i="3" s="1"/>
  <c r="N36" i="3" s="1"/>
  <c r="H36" i="3"/>
  <c r="I36" i="3" s="1"/>
  <c r="J36" i="3" s="1"/>
  <c r="K36" i="3" s="1"/>
  <c r="F36" i="3"/>
  <c r="E36" i="3"/>
  <c r="D36" i="3"/>
  <c r="CN35" i="3"/>
  <c r="CO35" i="3" s="1"/>
  <c r="CJ35" i="3"/>
  <c r="CK35" i="3" s="1"/>
  <c r="CG35" i="3"/>
  <c r="CH35" i="3" s="1"/>
  <c r="CF35" i="3"/>
  <c r="CB35" i="3"/>
  <c r="CC35" i="3" s="1"/>
  <c r="CD35" i="3" s="1"/>
  <c r="CE35" i="3" s="1"/>
  <c r="BY35" i="3"/>
  <c r="BZ35" i="3" s="1"/>
  <c r="BX35" i="3"/>
  <c r="BU35" i="3"/>
  <c r="BT35" i="3"/>
  <c r="BP35" i="3"/>
  <c r="BQ35" i="3" s="1"/>
  <c r="BR35" i="3" s="1"/>
  <c r="BN35" i="3"/>
  <c r="BO35" i="3" s="1"/>
  <c r="BM35" i="3"/>
  <c r="BL35" i="3"/>
  <c r="BH35" i="3"/>
  <c r="BI35" i="3" s="1"/>
  <c r="BD35" i="3"/>
  <c r="BE35" i="3" s="1"/>
  <c r="BA35" i="3"/>
  <c r="BB35" i="3" s="1"/>
  <c r="BC35" i="3" s="1"/>
  <c r="AZ35" i="3"/>
  <c r="AV35" i="3"/>
  <c r="AW35" i="3" s="1"/>
  <c r="AX35" i="3" s="1"/>
  <c r="AY35" i="3" s="1"/>
  <c r="AS35" i="3"/>
  <c r="AT35" i="3" s="1"/>
  <c r="AR35" i="3"/>
  <c r="AO35" i="3"/>
  <c r="AN35" i="3"/>
  <c r="AJ35" i="3"/>
  <c r="AK35" i="3" s="1"/>
  <c r="AL35" i="3" s="1"/>
  <c r="AH35" i="3"/>
  <c r="AI35" i="3" s="1"/>
  <c r="AG35" i="3"/>
  <c r="AF35" i="3"/>
  <c r="AB35" i="3"/>
  <c r="AC35" i="3" s="1"/>
  <c r="X35" i="3"/>
  <c r="Y35" i="3" s="1"/>
  <c r="U35" i="3"/>
  <c r="V35" i="3" s="1"/>
  <c r="T35" i="3"/>
  <c r="P35" i="3"/>
  <c r="Q35" i="3" s="1"/>
  <c r="R35" i="3" s="1"/>
  <c r="S35" i="3" s="1"/>
  <c r="M35" i="3"/>
  <c r="N35" i="3" s="1"/>
  <c r="L35" i="3"/>
  <c r="I35" i="3"/>
  <c r="H35" i="3"/>
  <c r="D35" i="3"/>
  <c r="E35" i="3" s="1"/>
  <c r="F35" i="3" s="1"/>
  <c r="G35" i="3" s="1"/>
  <c r="EB37" i="3"/>
  <c r="EB141" i="3" s="1"/>
  <c r="EB35" i="3"/>
  <c r="EB139" i="3" s="1"/>
  <c r="EB34" i="3"/>
  <c r="EB138" i="3" s="1"/>
  <c r="DS34" i="3"/>
  <c r="DS138" i="3" s="1"/>
  <c r="DR34" i="3"/>
  <c r="DR138" i="3" s="1"/>
  <c r="DQ34" i="3"/>
  <c r="DQ138" i="3" s="1"/>
  <c r="DP34" i="3"/>
  <c r="DP138" i="3" s="1"/>
  <c r="DO34" i="3"/>
  <c r="DO138" i="3" s="1"/>
  <c r="DN34" i="3"/>
  <c r="DN138" i="3" s="1"/>
  <c r="DM34" i="3"/>
  <c r="DM138" i="3" s="1"/>
  <c r="DL34" i="3"/>
  <c r="DL138" i="3" s="1"/>
  <c r="DK34" i="3"/>
  <c r="DK138" i="3" s="1"/>
  <c r="DJ34" i="3"/>
  <c r="DJ138" i="3" s="1"/>
  <c r="DI34" i="3"/>
  <c r="DI138" i="3" s="1"/>
  <c r="DH34" i="3"/>
  <c r="DH138" i="3" s="1"/>
  <c r="DG34" i="3"/>
  <c r="DG138" i="3" s="1"/>
  <c r="DF34" i="3"/>
  <c r="DF138" i="3" s="1"/>
  <c r="DE34" i="3"/>
  <c r="DE138" i="3" s="1"/>
  <c r="EB33" i="3"/>
  <c r="EB137" i="3" s="1"/>
  <c r="DS33" i="3"/>
  <c r="DS137" i="3" s="1"/>
  <c r="DR33" i="3"/>
  <c r="DR137" i="3" s="1"/>
  <c r="DQ33" i="3"/>
  <c r="DQ137" i="3" s="1"/>
  <c r="DP33" i="3"/>
  <c r="DP137" i="3" s="1"/>
  <c r="DO33" i="3"/>
  <c r="DO137" i="3" s="1"/>
  <c r="DN33" i="3"/>
  <c r="DN137" i="3" s="1"/>
  <c r="DM33" i="3"/>
  <c r="DM137" i="3" s="1"/>
  <c r="DL33" i="3"/>
  <c r="DL137" i="3" s="1"/>
  <c r="DK33" i="3"/>
  <c r="DK137" i="3" s="1"/>
  <c r="DJ33" i="3"/>
  <c r="DJ137" i="3" s="1"/>
  <c r="DI33" i="3"/>
  <c r="DI137" i="3" s="1"/>
  <c r="DH33" i="3"/>
  <c r="DH137" i="3" s="1"/>
  <c r="DG33" i="3"/>
  <c r="DG137" i="3" s="1"/>
  <c r="DF33" i="3"/>
  <c r="DF137" i="3" s="1"/>
  <c r="DE33" i="3"/>
  <c r="DE137" i="3" s="1"/>
  <c r="EB32" i="3"/>
  <c r="EB136" i="3" s="1"/>
  <c r="DS32" i="3"/>
  <c r="DS136" i="3" s="1"/>
  <c r="DR32" i="3"/>
  <c r="DR136" i="3" s="1"/>
  <c r="DQ32" i="3"/>
  <c r="DQ136" i="3" s="1"/>
  <c r="DP32" i="3"/>
  <c r="DP136" i="3" s="1"/>
  <c r="DO32" i="3"/>
  <c r="DO136" i="3" s="1"/>
  <c r="DN32" i="3"/>
  <c r="DN136" i="3" s="1"/>
  <c r="DM32" i="3"/>
  <c r="DM136" i="3" s="1"/>
  <c r="DL32" i="3"/>
  <c r="DL136" i="3" s="1"/>
  <c r="DK32" i="3"/>
  <c r="DK136" i="3" s="1"/>
  <c r="DJ32" i="3"/>
  <c r="DJ136" i="3" s="1"/>
  <c r="DI32" i="3"/>
  <c r="DI136" i="3" s="1"/>
  <c r="DH32" i="3"/>
  <c r="DH136" i="3" s="1"/>
  <c r="DG32" i="3"/>
  <c r="DG136" i="3" s="1"/>
  <c r="DF32" i="3"/>
  <c r="DF136" i="3" s="1"/>
  <c r="DE32" i="3"/>
  <c r="DE136" i="3" s="1"/>
  <c r="CN34" i="3"/>
  <c r="CO34" i="3" s="1"/>
  <c r="CJ34" i="3"/>
  <c r="CK34" i="3" s="1"/>
  <c r="CL34" i="3" s="1"/>
  <c r="CM34" i="3" s="1"/>
  <c r="CF34" i="3"/>
  <c r="CC34" i="3"/>
  <c r="CD34" i="3" s="1"/>
  <c r="CE34" i="3" s="1"/>
  <c r="CB34" i="3"/>
  <c r="BX34" i="3"/>
  <c r="BY34" i="3" s="1"/>
  <c r="BT34" i="3"/>
  <c r="BU34" i="3" s="1"/>
  <c r="BV34" i="3" s="1"/>
  <c r="BW34" i="3" s="1"/>
  <c r="BP34" i="3"/>
  <c r="BL34" i="3"/>
  <c r="BM34" i="3" s="1"/>
  <c r="BN34" i="3" s="1"/>
  <c r="BO34" i="3" s="1"/>
  <c r="CN33" i="3"/>
  <c r="CO33" i="3" s="1"/>
  <c r="CP33" i="3" s="1"/>
  <c r="CQ33" i="3" s="1"/>
  <c r="CJ33" i="3"/>
  <c r="CK33" i="3" s="1"/>
  <c r="CF33" i="3"/>
  <c r="CB33" i="3"/>
  <c r="BX33" i="3"/>
  <c r="BY33" i="3" s="1"/>
  <c r="BZ33" i="3" s="1"/>
  <c r="CA33" i="3" s="1"/>
  <c r="EX33" i="3" s="1"/>
  <c r="EX137" i="3" s="1"/>
  <c r="BT33" i="3"/>
  <c r="BU33" i="3" s="1"/>
  <c r="BP33" i="3"/>
  <c r="BL33" i="3"/>
  <c r="CN32" i="3"/>
  <c r="CO32" i="3" s="1"/>
  <c r="CJ32" i="3"/>
  <c r="CK32" i="3" s="1"/>
  <c r="CL32" i="3" s="1"/>
  <c r="CM32" i="3" s="1"/>
  <c r="FA32" i="3" s="1"/>
  <c r="FA136" i="3" s="1"/>
  <c r="CF32" i="3"/>
  <c r="CG32" i="3" s="1"/>
  <c r="CB32" i="3"/>
  <c r="CC32" i="3" s="1"/>
  <c r="CD32" i="3" s="1"/>
  <c r="CE32" i="3" s="1"/>
  <c r="EY32" i="3" s="1"/>
  <c r="EY136" i="3" s="1"/>
  <c r="BX32" i="3"/>
  <c r="BY32" i="3" s="1"/>
  <c r="BZ32" i="3" s="1"/>
  <c r="CA32" i="3" s="1"/>
  <c r="BT32" i="3"/>
  <c r="BU32" i="3" s="1"/>
  <c r="BV32" i="3" s="1"/>
  <c r="BW32" i="3" s="1"/>
  <c r="DV32" i="3" s="1"/>
  <c r="DV136" i="3" s="1"/>
  <c r="BP32" i="3"/>
  <c r="BQ32" i="3" s="1"/>
  <c r="BR32" i="3" s="1"/>
  <c r="BS32" i="3" s="1"/>
  <c r="EV32" i="3" s="1"/>
  <c r="EV136" i="3" s="1"/>
  <c r="BL32" i="3"/>
  <c r="BM32" i="3" s="1"/>
  <c r="ET34" i="3"/>
  <c r="ET138" i="3" s="1"/>
  <c r="ES34" i="3"/>
  <c r="ES138" i="3" s="1"/>
  <c r="ER34" i="3"/>
  <c r="ER138" i="3" s="1"/>
  <c r="EQ34" i="3"/>
  <c r="EQ138" i="3" s="1"/>
  <c r="EP34" i="3"/>
  <c r="EP138" i="3" s="1"/>
  <c r="EO34" i="3"/>
  <c r="EO138" i="3" s="1"/>
  <c r="EN34" i="3"/>
  <c r="EN138" i="3" s="1"/>
  <c r="EM34" i="3"/>
  <c r="EM138" i="3" s="1"/>
  <c r="EL34" i="3"/>
  <c r="EL138" i="3" s="1"/>
  <c r="EK34" i="3"/>
  <c r="EK138" i="3" s="1"/>
  <c r="EJ34" i="3"/>
  <c r="EJ138" i="3" s="1"/>
  <c r="EI34" i="3"/>
  <c r="EI138" i="3" s="1"/>
  <c r="EH34" i="3"/>
  <c r="EH138" i="3" s="1"/>
  <c r="ES33" i="3"/>
  <c r="ES137" i="3" s="1"/>
  <c r="ER33" i="3"/>
  <c r="ER137" i="3" s="1"/>
  <c r="EQ33" i="3"/>
  <c r="EQ137" i="3" s="1"/>
  <c r="EP33" i="3"/>
  <c r="EP137" i="3" s="1"/>
  <c r="EO33" i="3"/>
  <c r="EO137" i="3" s="1"/>
  <c r="EN33" i="3"/>
  <c r="EN137" i="3" s="1"/>
  <c r="EM33" i="3"/>
  <c r="EM137" i="3" s="1"/>
  <c r="EL33" i="3"/>
  <c r="EL137" i="3" s="1"/>
  <c r="EK33" i="3"/>
  <c r="EK137" i="3" s="1"/>
  <c r="EJ33" i="3"/>
  <c r="EJ137" i="3" s="1"/>
  <c r="EI33" i="3"/>
  <c r="EI137" i="3" s="1"/>
  <c r="EH33" i="3"/>
  <c r="EH137" i="3" s="1"/>
  <c r="ET32" i="3"/>
  <c r="ET136" i="3" s="1"/>
  <c r="ES32" i="3"/>
  <c r="ES136" i="3" s="1"/>
  <c r="ER32" i="3"/>
  <c r="ER136" i="3" s="1"/>
  <c r="EQ32" i="3"/>
  <c r="EQ136" i="3" s="1"/>
  <c r="EP32" i="3"/>
  <c r="EP136" i="3" s="1"/>
  <c r="EO32" i="3"/>
  <c r="EO136" i="3" s="1"/>
  <c r="EN32" i="3"/>
  <c r="EN136" i="3" s="1"/>
  <c r="EM32" i="3"/>
  <c r="EM136" i="3" s="1"/>
  <c r="EL32" i="3"/>
  <c r="EL136" i="3" s="1"/>
  <c r="EK32" i="3"/>
  <c r="EK136" i="3" s="1"/>
  <c r="EJ32" i="3"/>
  <c r="EJ136" i="3" s="1"/>
  <c r="EI32" i="3"/>
  <c r="EI136" i="3" s="1"/>
  <c r="EH32" i="3"/>
  <c r="EH136" i="3" s="1"/>
  <c r="CU31" i="3"/>
  <c r="FC31" i="3" s="1"/>
  <c r="CT31" i="3"/>
  <c r="CT135" i="3" s="1"/>
  <c r="CN31" i="3"/>
  <c r="CO31" i="3" s="1"/>
  <c r="CJ31" i="3"/>
  <c r="CF31" i="3"/>
  <c r="CG31" i="3" s="1"/>
  <c r="CB31" i="3"/>
  <c r="CC31" i="3" s="1"/>
  <c r="BX31" i="3"/>
  <c r="BY31" i="3" s="1"/>
  <c r="BT31" i="3"/>
  <c r="BU31" i="3" s="1"/>
  <c r="BP31" i="3"/>
  <c r="BL31" i="3"/>
  <c r="BM31" i="3" s="1"/>
  <c r="BH31" i="3"/>
  <c r="BI31" i="3" s="1"/>
  <c r="BD31" i="3"/>
  <c r="BE31" i="3" s="1"/>
  <c r="AZ31" i="3"/>
  <c r="BA31" i="3" s="1"/>
  <c r="AV31" i="3"/>
  <c r="AW31" i="3" s="1"/>
  <c r="AR31" i="3"/>
  <c r="AN31" i="3"/>
  <c r="AO31" i="3" s="1"/>
  <c r="AJ31" i="3"/>
  <c r="AK31" i="3" s="1"/>
  <c r="AF31" i="3"/>
  <c r="AG31" i="3" s="1"/>
  <c r="AB31" i="3"/>
  <c r="AC31" i="3" s="1"/>
  <c r="X31" i="3"/>
  <c r="T31" i="3"/>
  <c r="U31" i="3" s="1"/>
  <c r="P31" i="3"/>
  <c r="Q31" i="3" s="1"/>
  <c r="L31" i="3"/>
  <c r="M31" i="3" s="1"/>
  <c r="H31" i="3"/>
  <c r="D31" i="3"/>
  <c r="B31" i="3"/>
  <c r="B30" i="3"/>
  <c r="B28" i="3"/>
  <c r="B27" i="3"/>
  <c r="B26" i="3"/>
  <c r="B25" i="3"/>
  <c r="B24" i="3"/>
  <c r="B23" i="3"/>
  <c r="B22" i="3"/>
  <c r="B21" i="3"/>
  <c r="B20" i="3"/>
  <c r="B19" i="3"/>
  <c r="B18" i="3"/>
  <c r="CO27" i="3"/>
  <c r="CN27" i="3"/>
  <c r="CJ27" i="3"/>
  <c r="CK27" i="3" s="1"/>
  <c r="CG27" i="3"/>
  <c r="CF27" i="3"/>
  <c r="CB27" i="3"/>
  <c r="CC27" i="3" s="1"/>
  <c r="BY27" i="3"/>
  <c r="BX27" i="3"/>
  <c r="BT27" i="3"/>
  <c r="BU27" i="3" s="1"/>
  <c r="BQ27" i="3"/>
  <c r="BP27" i="3"/>
  <c r="BL27" i="3"/>
  <c r="BM27" i="3" s="1"/>
  <c r="BI27" i="3"/>
  <c r="BH27" i="3"/>
  <c r="BD27" i="3"/>
  <c r="BE27" i="3" s="1"/>
  <c r="BA27" i="3"/>
  <c r="AZ27" i="3"/>
  <c r="AV27" i="3"/>
  <c r="AW27" i="3" s="1"/>
  <c r="AS27" i="3"/>
  <c r="AR27" i="3"/>
  <c r="AN27" i="3"/>
  <c r="AO27" i="3" s="1"/>
  <c r="AK27" i="3"/>
  <c r="AJ27" i="3"/>
  <c r="AF27" i="3"/>
  <c r="AG27" i="3" s="1"/>
  <c r="AC27" i="3"/>
  <c r="AB27" i="3"/>
  <c r="X27" i="3"/>
  <c r="Y27" i="3" s="1"/>
  <c r="U27" i="3"/>
  <c r="T27" i="3"/>
  <c r="P27" i="3"/>
  <c r="Q27" i="3" s="1"/>
  <c r="M27" i="3"/>
  <c r="L27" i="3"/>
  <c r="H27" i="3"/>
  <c r="I27" i="3" s="1"/>
  <c r="J27" i="3" s="1"/>
  <c r="K27" i="3" s="1"/>
  <c r="E27" i="3"/>
  <c r="F27" i="3" s="1"/>
  <c r="G27" i="3" s="1"/>
  <c r="D27" i="3"/>
  <c r="CN26" i="3"/>
  <c r="CO26" i="3" s="1"/>
  <c r="CK26" i="3"/>
  <c r="CJ26" i="3"/>
  <c r="CF26" i="3"/>
  <c r="CG26" i="3" s="1"/>
  <c r="CC26" i="3"/>
  <c r="CD26" i="3" s="1"/>
  <c r="CE26" i="3" s="1"/>
  <c r="CB26" i="3"/>
  <c r="BX26" i="3"/>
  <c r="BY26" i="3" s="1"/>
  <c r="BU26" i="3"/>
  <c r="BT26" i="3"/>
  <c r="BP26" i="3"/>
  <c r="BQ26" i="3" s="1"/>
  <c r="BM26" i="3"/>
  <c r="BN26" i="3" s="1"/>
  <c r="BO26" i="3" s="1"/>
  <c r="BL26" i="3"/>
  <c r="BH26" i="3"/>
  <c r="BI26" i="3" s="1"/>
  <c r="BE26" i="3"/>
  <c r="BD26" i="3"/>
  <c r="AZ26" i="3"/>
  <c r="BA26" i="3" s="1"/>
  <c r="AW26" i="3"/>
  <c r="AX26" i="3" s="1"/>
  <c r="AY26" i="3" s="1"/>
  <c r="AV26" i="3"/>
  <c r="AR26" i="3"/>
  <c r="AS26" i="3" s="1"/>
  <c r="AO26" i="3"/>
  <c r="AN26" i="3"/>
  <c r="AJ26" i="3"/>
  <c r="AK26" i="3" s="1"/>
  <c r="AG26" i="3"/>
  <c r="AH26" i="3" s="1"/>
  <c r="AI26" i="3" s="1"/>
  <c r="AF26" i="3"/>
  <c r="AB26" i="3"/>
  <c r="AC26" i="3" s="1"/>
  <c r="Y26" i="3"/>
  <c r="X26" i="3"/>
  <c r="T26" i="3"/>
  <c r="U26" i="3" s="1"/>
  <c r="Q26" i="3"/>
  <c r="R26" i="3" s="1"/>
  <c r="S26" i="3" s="1"/>
  <c r="P26" i="3"/>
  <c r="L26" i="3"/>
  <c r="M26" i="3" s="1"/>
  <c r="I26" i="3"/>
  <c r="H26" i="3"/>
  <c r="D26" i="3"/>
  <c r="E26" i="3" s="1"/>
  <c r="CO25" i="3"/>
  <c r="CN25" i="3"/>
  <c r="CJ25" i="3"/>
  <c r="CK25" i="3" s="1"/>
  <c r="CL25" i="3" s="1"/>
  <c r="CM25" i="3" s="1"/>
  <c r="CG25" i="3"/>
  <c r="CH25" i="3" s="1"/>
  <c r="CI25" i="3" s="1"/>
  <c r="CF25" i="3"/>
  <c r="CB25" i="3"/>
  <c r="CC25" i="3" s="1"/>
  <c r="BY25" i="3"/>
  <c r="BX25" i="3"/>
  <c r="BT25" i="3"/>
  <c r="BU25" i="3" s="1"/>
  <c r="BV25" i="3" s="1"/>
  <c r="BW25" i="3" s="1"/>
  <c r="BQ25" i="3"/>
  <c r="BR25" i="3" s="1"/>
  <c r="BS25" i="3" s="1"/>
  <c r="BP25" i="3"/>
  <c r="BL25" i="3"/>
  <c r="BM25" i="3" s="1"/>
  <c r="BI25" i="3"/>
  <c r="BH25" i="3"/>
  <c r="BD25" i="3"/>
  <c r="BE25" i="3" s="1"/>
  <c r="BF25" i="3" s="1"/>
  <c r="BG25" i="3" s="1"/>
  <c r="BA25" i="3"/>
  <c r="BB25" i="3" s="1"/>
  <c r="BC25" i="3" s="1"/>
  <c r="AZ25" i="3"/>
  <c r="AV25" i="3"/>
  <c r="AW25" i="3" s="1"/>
  <c r="AS25" i="3"/>
  <c r="AR25" i="3"/>
  <c r="AN25" i="3"/>
  <c r="AO25" i="3" s="1"/>
  <c r="AP25" i="3" s="1"/>
  <c r="AQ25" i="3" s="1"/>
  <c r="AK25" i="3"/>
  <c r="AL25" i="3" s="1"/>
  <c r="AM25" i="3" s="1"/>
  <c r="AJ25" i="3"/>
  <c r="AF25" i="3"/>
  <c r="AG25" i="3" s="1"/>
  <c r="AC25" i="3"/>
  <c r="AB25" i="3"/>
  <c r="X25" i="3"/>
  <c r="Y25" i="3" s="1"/>
  <c r="Z25" i="3" s="1"/>
  <c r="AA25" i="3" s="1"/>
  <c r="U25" i="3"/>
  <c r="V25" i="3" s="1"/>
  <c r="W25" i="3" s="1"/>
  <c r="T25" i="3"/>
  <c r="P25" i="3"/>
  <c r="Q25" i="3" s="1"/>
  <c r="M25" i="3"/>
  <c r="L25" i="3"/>
  <c r="H25" i="3"/>
  <c r="I25" i="3" s="1"/>
  <c r="J25" i="3" s="1"/>
  <c r="K25" i="3" s="1"/>
  <c r="E25" i="3"/>
  <c r="F25" i="3" s="1"/>
  <c r="G25" i="3" s="1"/>
  <c r="D25" i="3"/>
  <c r="CN24" i="3"/>
  <c r="CO24" i="3" s="1"/>
  <c r="CP24" i="3" s="1"/>
  <c r="CQ24" i="3" s="1"/>
  <c r="CK24" i="3"/>
  <c r="CJ24" i="3"/>
  <c r="CF24" i="3"/>
  <c r="CG24" i="3" s="1"/>
  <c r="CC24" i="3"/>
  <c r="CB24" i="3"/>
  <c r="BX24" i="3"/>
  <c r="BY24" i="3" s="1"/>
  <c r="BZ24" i="3" s="1"/>
  <c r="CA24" i="3" s="1"/>
  <c r="BU24" i="3"/>
  <c r="BT24" i="3"/>
  <c r="BP24" i="3"/>
  <c r="BQ24" i="3" s="1"/>
  <c r="BM24" i="3"/>
  <c r="BL24" i="3"/>
  <c r="BH24" i="3"/>
  <c r="BI24" i="3" s="1"/>
  <c r="BJ24" i="3" s="1"/>
  <c r="BK24" i="3" s="1"/>
  <c r="BE24" i="3"/>
  <c r="BF24" i="3" s="1"/>
  <c r="BG24" i="3" s="1"/>
  <c r="BD24" i="3"/>
  <c r="AZ24" i="3"/>
  <c r="BA24" i="3" s="1"/>
  <c r="AW24" i="3"/>
  <c r="AV24" i="3"/>
  <c r="AR24" i="3"/>
  <c r="AS24" i="3" s="1"/>
  <c r="AT24" i="3" s="1"/>
  <c r="AU24" i="3" s="1"/>
  <c r="AO24" i="3"/>
  <c r="AP24" i="3" s="1"/>
  <c r="AQ24" i="3" s="1"/>
  <c r="AN24" i="3"/>
  <c r="AJ24" i="3"/>
  <c r="AK24" i="3" s="1"/>
  <c r="AG24" i="3"/>
  <c r="AF24" i="3"/>
  <c r="AB24" i="3"/>
  <c r="AC24" i="3" s="1"/>
  <c r="AD24" i="3" s="1"/>
  <c r="AE24" i="3" s="1"/>
  <c r="Y24" i="3"/>
  <c r="Z24" i="3" s="1"/>
  <c r="AA24" i="3" s="1"/>
  <c r="X24" i="3"/>
  <c r="T24" i="3"/>
  <c r="U24" i="3" s="1"/>
  <c r="Q24" i="3"/>
  <c r="P24" i="3"/>
  <c r="L24" i="3"/>
  <c r="M24" i="3" s="1"/>
  <c r="N24" i="3" s="1"/>
  <c r="O24" i="3" s="1"/>
  <c r="I24" i="3"/>
  <c r="J24" i="3" s="1"/>
  <c r="K24" i="3" s="1"/>
  <c r="H24" i="3"/>
  <c r="D24" i="3"/>
  <c r="E24" i="3" s="1"/>
  <c r="CO23" i="3"/>
  <c r="CN23" i="3"/>
  <c r="CJ23" i="3"/>
  <c r="CK23" i="3" s="1"/>
  <c r="CG23" i="3"/>
  <c r="CF23" i="3"/>
  <c r="CB23" i="3"/>
  <c r="BY23" i="3"/>
  <c r="BX23" i="3"/>
  <c r="BT23" i="3"/>
  <c r="BU23" i="3" s="1"/>
  <c r="BQ23" i="3"/>
  <c r="BP23" i="3"/>
  <c r="BL23" i="3"/>
  <c r="BI23" i="3"/>
  <c r="BH23" i="3"/>
  <c r="BD23" i="3"/>
  <c r="BE23" i="3" s="1"/>
  <c r="BA23" i="3"/>
  <c r="AZ23" i="3"/>
  <c r="AV23" i="3"/>
  <c r="AS23" i="3"/>
  <c r="AR23" i="3"/>
  <c r="AN23" i="3"/>
  <c r="AO23" i="3" s="1"/>
  <c r="AK23" i="3"/>
  <c r="AJ23" i="3"/>
  <c r="AF23" i="3"/>
  <c r="AC23" i="3"/>
  <c r="AB23" i="3"/>
  <c r="X23" i="3"/>
  <c r="Y23" i="3" s="1"/>
  <c r="U23" i="3"/>
  <c r="T23" i="3"/>
  <c r="P23" i="3"/>
  <c r="M23" i="3"/>
  <c r="L23" i="3"/>
  <c r="H23" i="3"/>
  <c r="I23" i="3" s="1"/>
  <c r="J23" i="3" s="1"/>
  <c r="K23" i="3" s="1"/>
  <c r="E23" i="3"/>
  <c r="F23" i="3" s="1"/>
  <c r="G23" i="3" s="1"/>
  <c r="D23" i="3"/>
  <c r="CN22" i="3"/>
  <c r="CO22" i="3" s="1"/>
  <c r="CK22" i="3"/>
  <c r="CJ22" i="3"/>
  <c r="CF22" i="3"/>
  <c r="CG22" i="3" s="1"/>
  <c r="CC22" i="3"/>
  <c r="CD22" i="3" s="1"/>
  <c r="CE22" i="3" s="1"/>
  <c r="CB22" i="3"/>
  <c r="BX22" i="3"/>
  <c r="BY22" i="3" s="1"/>
  <c r="BU22" i="3"/>
  <c r="BT22" i="3"/>
  <c r="BP22" i="3"/>
  <c r="BQ22" i="3" s="1"/>
  <c r="BM22" i="3"/>
  <c r="BN22" i="3" s="1"/>
  <c r="BO22" i="3" s="1"/>
  <c r="BL22" i="3"/>
  <c r="BH22" i="3"/>
  <c r="BI22" i="3" s="1"/>
  <c r="BE22" i="3"/>
  <c r="BD22" i="3"/>
  <c r="AZ22" i="3"/>
  <c r="BA22" i="3" s="1"/>
  <c r="AW22" i="3"/>
  <c r="AX22" i="3" s="1"/>
  <c r="AY22" i="3" s="1"/>
  <c r="AV22" i="3"/>
  <c r="AR22" i="3"/>
  <c r="AS22" i="3" s="1"/>
  <c r="AO22" i="3"/>
  <c r="AN22" i="3"/>
  <c r="AJ22" i="3"/>
  <c r="AK22" i="3" s="1"/>
  <c r="AG22" i="3"/>
  <c r="AH22" i="3" s="1"/>
  <c r="AI22" i="3" s="1"/>
  <c r="AF22" i="3"/>
  <c r="AB22" i="3"/>
  <c r="AC22" i="3" s="1"/>
  <c r="Y22" i="3"/>
  <c r="X22" i="3"/>
  <c r="T22" i="3"/>
  <c r="U22" i="3" s="1"/>
  <c r="Q22" i="3"/>
  <c r="R22" i="3" s="1"/>
  <c r="S22" i="3" s="1"/>
  <c r="P22" i="3"/>
  <c r="L22" i="3"/>
  <c r="M22" i="3" s="1"/>
  <c r="I22" i="3"/>
  <c r="J22" i="3" s="1"/>
  <c r="K22" i="3" s="1"/>
  <c r="H22" i="3"/>
  <c r="D22" i="3"/>
  <c r="E22" i="3" s="1"/>
  <c r="CO21" i="3"/>
  <c r="CN21" i="3"/>
  <c r="CJ21" i="3"/>
  <c r="CK21" i="3" s="1"/>
  <c r="CL21" i="3" s="1"/>
  <c r="CM21" i="3" s="1"/>
  <c r="CG21" i="3"/>
  <c r="CH21" i="3" s="1"/>
  <c r="CI21" i="3" s="1"/>
  <c r="CF21" i="3"/>
  <c r="CB21" i="3"/>
  <c r="CC21" i="3" s="1"/>
  <c r="BY21" i="3"/>
  <c r="BX21" i="3"/>
  <c r="BT21" i="3"/>
  <c r="BU21" i="3" s="1"/>
  <c r="BV21" i="3" s="1"/>
  <c r="BW21" i="3" s="1"/>
  <c r="BQ21" i="3"/>
  <c r="BR21" i="3" s="1"/>
  <c r="BS21" i="3" s="1"/>
  <c r="BP21" i="3"/>
  <c r="BL21" i="3"/>
  <c r="BM21" i="3" s="1"/>
  <c r="BI21" i="3"/>
  <c r="BH21" i="3"/>
  <c r="BD21" i="3"/>
  <c r="BE21" i="3" s="1"/>
  <c r="BF21" i="3" s="1"/>
  <c r="BG21" i="3" s="1"/>
  <c r="BA21" i="3"/>
  <c r="BB21" i="3" s="1"/>
  <c r="BC21" i="3" s="1"/>
  <c r="AZ21" i="3"/>
  <c r="AV21" i="3"/>
  <c r="AW21" i="3" s="1"/>
  <c r="AS21" i="3"/>
  <c r="AR21" i="3"/>
  <c r="AN21" i="3"/>
  <c r="AO21" i="3" s="1"/>
  <c r="AP21" i="3" s="1"/>
  <c r="AQ21" i="3" s="1"/>
  <c r="AK21" i="3"/>
  <c r="AL21" i="3" s="1"/>
  <c r="AM21" i="3" s="1"/>
  <c r="AJ21" i="3"/>
  <c r="AF21" i="3"/>
  <c r="AG21" i="3" s="1"/>
  <c r="AC21" i="3"/>
  <c r="AB21" i="3"/>
  <c r="X21" i="3"/>
  <c r="Y21" i="3" s="1"/>
  <c r="Z21" i="3" s="1"/>
  <c r="AA21" i="3" s="1"/>
  <c r="U21" i="3"/>
  <c r="V21" i="3" s="1"/>
  <c r="W21" i="3" s="1"/>
  <c r="T21" i="3"/>
  <c r="P21" i="3"/>
  <c r="Q21" i="3" s="1"/>
  <c r="M21" i="3"/>
  <c r="L21" i="3"/>
  <c r="H21" i="3"/>
  <c r="I21" i="3" s="1"/>
  <c r="J21" i="3" s="1"/>
  <c r="K21" i="3" s="1"/>
  <c r="E21" i="3"/>
  <c r="F21" i="3" s="1"/>
  <c r="G21" i="3" s="1"/>
  <c r="D21" i="3"/>
  <c r="CN20" i="3"/>
  <c r="CO20" i="3" s="1"/>
  <c r="CP20" i="3" s="1"/>
  <c r="CQ20" i="3" s="1"/>
  <c r="CK20" i="3"/>
  <c r="CL20" i="3" s="1"/>
  <c r="CM20" i="3" s="1"/>
  <c r="CJ20" i="3"/>
  <c r="CF20" i="3"/>
  <c r="CG20" i="3" s="1"/>
  <c r="CC20" i="3"/>
  <c r="CB20" i="3"/>
  <c r="BX20" i="3"/>
  <c r="BY20" i="3" s="1"/>
  <c r="BZ20" i="3" s="1"/>
  <c r="CA20" i="3" s="1"/>
  <c r="BU20" i="3"/>
  <c r="BV20" i="3" s="1"/>
  <c r="BW20" i="3" s="1"/>
  <c r="BT20" i="3"/>
  <c r="BP20" i="3"/>
  <c r="BQ20" i="3" s="1"/>
  <c r="BM20" i="3"/>
  <c r="BL20" i="3"/>
  <c r="BH20" i="3"/>
  <c r="BI20" i="3" s="1"/>
  <c r="BJ20" i="3" s="1"/>
  <c r="BK20" i="3" s="1"/>
  <c r="BE20" i="3"/>
  <c r="BF20" i="3" s="1"/>
  <c r="BG20" i="3" s="1"/>
  <c r="BD20" i="3"/>
  <c r="AZ20" i="3"/>
  <c r="BA20" i="3" s="1"/>
  <c r="AW20" i="3"/>
  <c r="AV20" i="3"/>
  <c r="AR20" i="3"/>
  <c r="AS20" i="3" s="1"/>
  <c r="AT20" i="3" s="1"/>
  <c r="AU20" i="3" s="1"/>
  <c r="AO20" i="3"/>
  <c r="AP20" i="3" s="1"/>
  <c r="AQ20" i="3" s="1"/>
  <c r="AN20" i="3"/>
  <c r="AJ20" i="3"/>
  <c r="AK20" i="3" s="1"/>
  <c r="AG20" i="3"/>
  <c r="AF20" i="3"/>
  <c r="AB20" i="3"/>
  <c r="AC20" i="3" s="1"/>
  <c r="AD20" i="3" s="1"/>
  <c r="AE20" i="3" s="1"/>
  <c r="Y20" i="3"/>
  <c r="Z20" i="3" s="1"/>
  <c r="AA20" i="3" s="1"/>
  <c r="X20" i="3"/>
  <c r="T20" i="3"/>
  <c r="U20" i="3" s="1"/>
  <c r="Q20" i="3"/>
  <c r="P20" i="3"/>
  <c r="L20" i="3"/>
  <c r="M20" i="3" s="1"/>
  <c r="N20" i="3" s="1"/>
  <c r="O20" i="3" s="1"/>
  <c r="I20" i="3"/>
  <c r="J20" i="3" s="1"/>
  <c r="K20" i="3" s="1"/>
  <c r="H20" i="3"/>
  <c r="D20" i="3"/>
  <c r="E20" i="3" s="1"/>
  <c r="F20" i="3" s="1"/>
  <c r="G20" i="3" s="1"/>
  <c r="CO19" i="3"/>
  <c r="CP19" i="3" s="1"/>
  <c r="CQ19" i="3" s="1"/>
  <c r="CN19" i="3"/>
  <c r="CJ19" i="3"/>
  <c r="CK19" i="3" s="1"/>
  <c r="CG19" i="3"/>
  <c r="CF19" i="3"/>
  <c r="CB19" i="3"/>
  <c r="BY19" i="3"/>
  <c r="BZ19" i="3" s="1"/>
  <c r="CA19" i="3" s="1"/>
  <c r="BX19" i="3"/>
  <c r="BT19" i="3"/>
  <c r="BU19" i="3" s="1"/>
  <c r="BQ19" i="3"/>
  <c r="BP19" i="3"/>
  <c r="BL19" i="3"/>
  <c r="BI19" i="3"/>
  <c r="BH19" i="3"/>
  <c r="BD19" i="3"/>
  <c r="BE19" i="3" s="1"/>
  <c r="BA19" i="3"/>
  <c r="AZ19" i="3"/>
  <c r="AV19" i="3"/>
  <c r="AW19" i="3" s="1"/>
  <c r="AS19" i="3"/>
  <c r="AR19" i="3"/>
  <c r="AN19" i="3"/>
  <c r="AO19" i="3" s="1"/>
  <c r="AK19" i="3"/>
  <c r="AJ19" i="3"/>
  <c r="AF19" i="3"/>
  <c r="AG19" i="3" s="1"/>
  <c r="AC19" i="3"/>
  <c r="AB19" i="3"/>
  <c r="X19" i="3"/>
  <c r="Y19" i="3" s="1"/>
  <c r="U19" i="3"/>
  <c r="T19" i="3"/>
  <c r="P19" i="3"/>
  <c r="Q19" i="3" s="1"/>
  <c r="M19" i="3"/>
  <c r="L19" i="3"/>
  <c r="H19" i="3"/>
  <c r="I19" i="3" s="1"/>
  <c r="E19" i="3"/>
  <c r="F19" i="3" s="1"/>
  <c r="G19" i="3" s="1"/>
  <c r="D19" i="3"/>
  <c r="B16" i="3"/>
  <c r="B15" i="3"/>
  <c r="B14" i="3"/>
  <c r="B13" i="3"/>
  <c r="B12" i="3"/>
  <c r="B11" i="3"/>
  <c r="B10" i="3"/>
  <c r="B9" i="3"/>
  <c r="B8" i="3"/>
  <c r="B7" i="3"/>
  <c r="EB17" i="3"/>
  <c r="EB121" i="3" s="1"/>
  <c r="EB16" i="3"/>
  <c r="EB120" i="3" s="1"/>
  <c r="EB15" i="3"/>
  <c r="EB119" i="3" s="1"/>
  <c r="EB14" i="3"/>
  <c r="EB118" i="3" s="1"/>
  <c r="CN17" i="3"/>
  <c r="CJ17" i="3"/>
  <c r="CF17" i="3"/>
  <c r="CG17" i="3" s="1"/>
  <c r="CH17" i="3" s="1"/>
  <c r="CB17" i="3"/>
  <c r="CC17" i="3" s="1"/>
  <c r="CD17" i="3" s="1"/>
  <c r="BX17" i="3"/>
  <c r="BT17" i="3"/>
  <c r="BP17" i="3"/>
  <c r="BQ17" i="3" s="1"/>
  <c r="BL17" i="3"/>
  <c r="BM17" i="3" s="1"/>
  <c r="BH17" i="3"/>
  <c r="BD17" i="3"/>
  <c r="AZ17" i="3"/>
  <c r="BA17" i="3" s="1"/>
  <c r="BB17" i="3" s="1"/>
  <c r="AV17" i="3"/>
  <c r="AW17" i="3" s="1"/>
  <c r="AX17" i="3" s="1"/>
  <c r="AR17" i="3"/>
  <c r="AN17" i="3"/>
  <c r="AJ17" i="3"/>
  <c r="AK17" i="3" s="1"/>
  <c r="AF17" i="3"/>
  <c r="AG17" i="3" s="1"/>
  <c r="AH17" i="3" s="1"/>
  <c r="AB17" i="3"/>
  <c r="X17" i="3"/>
  <c r="T17" i="3"/>
  <c r="U17" i="3" s="1"/>
  <c r="V17" i="3" s="1"/>
  <c r="P17" i="3"/>
  <c r="Q17" i="3" s="1"/>
  <c r="R17" i="3" s="1"/>
  <c r="L17" i="3"/>
  <c r="H17" i="3"/>
  <c r="D17" i="3"/>
  <c r="E17" i="3" s="1"/>
  <c r="CN16" i="3"/>
  <c r="CO16" i="3" s="1"/>
  <c r="CJ16" i="3"/>
  <c r="CK16" i="3" s="1"/>
  <c r="CF16" i="3"/>
  <c r="CG16" i="3" s="1"/>
  <c r="CB16" i="3"/>
  <c r="CC16" i="3" s="1"/>
  <c r="BX16" i="3"/>
  <c r="BY16" i="3" s="1"/>
  <c r="BT16" i="3"/>
  <c r="BU16" i="3" s="1"/>
  <c r="BP16" i="3"/>
  <c r="BQ16" i="3" s="1"/>
  <c r="BL16" i="3"/>
  <c r="BM16" i="3" s="1"/>
  <c r="BH16" i="3"/>
  <c r="BI16" i="3" s="1"/>
  <c r="BD16" i="3"/>
  <c r="BE16" i="3" s="1"/>
  <c r="AZ16" i="3"/>
  <c r="BA16" i="3" s="1"/>
  <c r="AV16" i="3"/>
  <c r="AW16" i="3" s="1"/>
  <c r="AR16" i="3"/>
  <c r="AS16" i="3" s="1"/>
  <c r="AN16" i="3"/>
  <c r="AO16" i="3" s="1"/>
  <c r="AJ16" i="3"/>
  <c r="AK16" i="3" s="1"/>
  <c r="AF16" i="3"/>
  <c r="AG16" i="3" s="1"/>
  <c r="AB16" i="3"/>
  <c r="AC16" i="3" s="1"/>
  <c r="X16" i="3"/>
  <c r="Y16" i="3" s="1"/>
  <c r="T16" i="3"/>
  <c r="U16" i="3" s="1"/>
  <c r="P16" i="3"/>
  <c r="Q16" i="3" s="1"/>
  <c r="L16" i="3"/>
  <c r="M16" i="3" s="1"/>
  <c r="H16" i="3"/>
  <c r="I16" i="3" s="1"/>
  <c r="D16" i="3"/>
  <c r="E16" i="3" s="1"/>
  <c r="CN15" i="3"/>
  <c r="CJ15" i="3"/>
  <c r="CF15" i="3"/>
  <c r="CB15" i="3"/>
  <c r="CC15" i="3" s="1"/>
  <c r="BX15" i="3"/>
  <c r="BT15" i="3"/>
  <c r="BP15" i="3"/>
  <c r="BL15" i="3"/>
  <c r="BM15" i="3" s="1"/>
  <c r="BH15" i="3"/>
  <c r="BD15" i="3"/>
  <c r="AZ15" i="3"/>
  <c r="AV15" i="3"/>
  <c r="AW15" i="3" s="1"/>
  <c r="AR15" i="3"/>
  <c r="AN15" i="3"/>
  <c r="AJ15" i="3"/>
  <c r="AF15" i="3"/>
  <c r="AG15" i="3" s="1"/>
  <c r="AB15" i="3"/>
  <c r="X15" i="3"/>
  <c r="T15" i="3"/>
  <c r="P15" i="3"/>
  <c r="Q15" i="3" s="1"/>
  <c r="L15" i="3"/>
  <c r="H15" i="3"/>
  <c r="D15" i="3"/>
  <c r="CN14" i="3"/>
  <c r="CO14" i="3" s="1"/>
  <c r="CP14" i="3" s="1"/>
  <c r="CQ14" i="3" s="1"/>
  <c r="CJ14" i="3"/>
  <c r="CF14" i="3"/>
  <c r="CG14" i="3" s="1"/>
  <c r="CB14" i="3"/>
  <c r="CC14" i="3" s="1"/>
  <c r="CD14" i="3" s="1"/>
  <c r="CE14" i="3" s="1"/>
  <c r="EY14" i="3" s="1"/>
  <c r="EY118" i="3" s="1"/>
  <c r="BX14" i="3"/>
  <c r="BY14" i="3" s="1"/>
  <c r="BZ14" i="3" s="1"/>
  <c r="CA14" i="3" s="1"/>
  <c r="EX14" i="3" s="1"/>
  <c r="EX118" i="3" s="1"/>
  <c r="BT14" i="3"/>
  <c r="BP14" i="3"/>
  <c r="BQ14" i="3" s="1"/>
  <c r="BL14" i="3"/>
  <c r="BM14" i="3" s="1"/>
  <c r="BN14" i="3" s="1"/>
  <c r="BO14" i="3" s="1"/>
  <c r="BH14" i="3"/>
  <c r="BI14" i="3" s="1"/>
  <c r="BJ14" i="3" s="1"/>
  <c r="BK14" i="3" s="1"/>
  <c r="ET14" i="3" s="1"/>
  <c r="ET118" i="3" s="1"/>
  <c r="BD14" i="3"/>
  <c r="AZ14" i="3"/>
  <c r="BA14" i="3" s="1"/>
  <c r="AV14" i="3"/>
  <c r="AW14" i="3" s="1"/>
  <c r="AX14" i="3" s="1"/>
  <c r="AY14" i="3" s="1"/>
  <c r="EQ14" i="3" s="1"/>
  <c r="EQ118" i="3" s="1"/>
  <c r="AR14" i="3"/>
  <c r="AS14" i="3" s="1"/>
  <c r="AT14" i="3" s="1"/>
  <c r="AU14" i="3" s="1"/>
  <c r="EP14" i="3" s="1"/>
  <c r="EP118" i="3" s="1"/>
  <c r="AN14" i="3"/>
  <c r="AJ14" i="3"/>
  <c r="AK14" i="3" s="1"/>
  <c r="AF14" i="3"/>
  <c r="AG14" i="3" s="1"/>
  <c r="AH14" i="3" s="1"/>
  <c r="AI14" i="3" s="1"/>
  <c r="AB14" i="3"/>
  <c r="AC14" i="3" s="1"/>
  <c r="AD14" i="3" s="1"/>
  <c r="AE14" i="3" s="1"/>
  <c r="EL14" i="3" s="1"/>
  <c r="EL118" i="3" s="1"/>
  <c r="X14" i="3"/>
  <c r="T14" i="3"/>
  <c r="U14" i="3" s="1"/>
  <c r="P14" i="3"/>
  <c r="Q14" i="3" s="1"/>
  <c r="R14" i="3" s="1"/>
  <c r="S14" i="3" s="1"/>
  <c r="EI14" i="3" s="1"/>
  <c r="EI118" i="3" s="1"/>
  <c r="L14" i="3"/>
  <c r="M14" i="3" s="1"/>
  <c r="N14" i="3" s="1"/>
  <c r="O14" i="3" s="1"/>
  <c r="EH14" i="3" s="1"/>
  <c r="EH118" i="3" s="1"/>
  <c r="H14" i="3"/>
  <c r="D14" i="3"/>
  <c r="E14" i="3" s="1"/>
  <c r="F14" i="3" s="1"/>
  <c r="G14" i="3" s="1"/>
  <c r="CU13" i="3"/>
  <c r="CU69" i="3" s="1"/>
  <c r="CT13" i="3"/>
  <c r="CT69" i="3" s="1"/>
  <c r="CS13" i="3"/>
  <c r="CN13" i="3"/>
  <c r="CN69" i="3" s="1"/>
  <c r="CJ13" i="3"/>
  <c r="CJ69" i="3" s="1"/>
  <c r="CF13" i="3"/>
  <c r="CF69" i="3" s="1"/>
  <c r="CB13" i="3"/>
  <c r="CB69" i="3" s="1"/>
  <c r="BY13" i="3"/>
  <c r="BZ13" i="3" s="1"/>
  <c r="BX13" i="3"/>
  <c r="BX69" i="3" s="1"/>
  <c r="BT13" i="3"/>
  <c r="BT69" i="3" s="1"/>
  <c r="BQ13" i="3"/>
  <c r="BR13" i="3" s="1"/>
  <c r="BP13" i="3"/>
  <c r="BL13" i="3"/>
  <c r="BM13" i="3" s="1"/>
  <c r="BH13" i="3"/>
  <c r="BI13" i="3" s="1"/>
  <c r="BJ13" i="3" s="1"/>
  <c r="BK13" i="3" s="1"/>
  <c r="BD13" i="3"/>
  <c r="BE13" i="3" s="1"/>
  <c r="AZ13" i="3"/>
  <c r="BA13" i="3" s="1"/>
  <c r="BB13" i="3" s="1"/>
  <c r="AV13" i="3"/>
  <c r="AW13" i="3" s="1"/>
  <c r="AR13" i="3"/>
  <c r="AS13" i="3" s="1"/>
  <c r="AT13" i="3" s="1"/>
  <c r="AU13" i="3" s="1"/>
  <c r="AO13" i="3"/>
  <c r="AP13" i="3" s="1"/>
  <c r="AQ13" i="3" s="1"/>
  <c r="AN13" i="3"/>
  <c r="AJ13" i="3"/>
  <c r="AK13" i="3" s="1"/>
  <c r="AL13" i="3" s="1"/>
  <c r="AG13" i="3"/>
  <c r="AF13" i="3"/>
  <c r="AB13" i="3"/>
  <c r="AC13" i="3" s="1"/>
  <c r="AD13" i="3" s="1"/>
  <c r="AE13" i="3" s="1"/>
  <c r="X13" i="3"/>
  <c r="Y13" i="3" s="1"/>
  <c r="T13" i="3"/>
  <c r="U13" i="3" s="1"/>
  <c r="V13" i="3" s="1"/>
  <c r="P13" i="3"/>
  <c r="Q13" i="3" s="1"/>
  <c r="M13" i="3"/>
  <c r="N13" i="3" s="1"/>
  <c r="O13" i="3" s="1"/>
  <c r="L13" i="3"/>
  <c r="H13" i="3"/>
  <c r="I13" i="3" s="1"/>
  <c r="E13" i="3"/>
  <c r="F13" i="3" s="1"/>
  <c r="G13" i="3" s="1"/>
  <c r="D13" i="3"/>
  <c r="EB12" i="3"/>
  <c r="EB116" i="3" s="1"/>
  <c r="CN12" i="3"/>
  <c r="CK12" i="3"/>
  <c r="CL12" i="3" s="1"/>
  <c r="CM12" i="3" s="1"/>
  <c r="CJ12" i="3"/>
  <c r="CF12" i="3"/>
  <c r="CB12" i="3"/>
  <c r="CC12" i="3" s="1"/>
  <c r="BX12" i="3"/>
  <c r="BY12" i="3" s="1"/>
  <c r="BT12" i="3"/>
  <c r="BP12" i="3"/>
  <c r="BL12" i="3"/>
  <c r="BM12" i="3" s="1"/>
  <c r="BH12" i="3"/>
  <c r="BE12" i="3"/>
  <c r="BF12" i="3" s="1"/>
  <c r="BG12" i="3" s="1"/>
  <c r="BD12" i="3"/>
  <c r="AZ12" i="3"/>
  <c r="AV12" i="3"/>
  <c r="AW12" i="3" s="1"/>
  <c r="AR12" i="3"/>
  <c r="AS12" i="3" s="1"/>
  <c r="AN12" i="3"/>
  <c r="AJ12" i="3"/>
  <c r="AF12" i="3"/>
  <c r="AG12" i="3" s="1"/>
  <c r="AB12" i="3"/>
  <c r="Y12" i="3"/>
  <c r="Z12" i="3" s="1"/>
  <c r="AA12" i="3" s="1"/>
  <c r="X12" i="3"/>
  <c r="T12" i="3"/>
  <c r="P12" i="3"/>
  <c r="Q12" i="3" s="1"/>
  <c r="L12" i="3"/>
  <c r="M12" i="3" s="1"/>
  <c r="H12" i="3"/>
  <c r="D12" i="3"/>
  <c r="CO11" i="3"/>
  <c r="CN11" i="3"/>
  <c r="CJ11" i="3"/>
  <c r="CF11" i="3"/>
  <c r="CB11" i="3"/>
  <c r="BX11" i="3"/>
  <c r="BY11" i="3" s="1"/>
  <c r="BZ11" i="3" s="1"/>
  <c r="CA11" i="3" s="1"/>
  <c r="BT11" i="3"/>
  <c r="BP11" i="3"/>
  <c r="BQ11" i="3" s="1"/>
  <c r="BL11" i="3"/>
  <c r="BM11" i="3" s="1"/>
  <c r="BI11" i="3"/>
  <c r="BJ11" i="3" s="1"/>
  <c r="BK11" i="3" s="1"/>
  <c r="BH11" i="3"/>
  <c r="BD11" i="3"/>
  <c r="AZ11" i="3"/>
  <c r="BA11" i="3" s="1"/>
  <c r="AV11" i="3"/>
  <c r="AR11" i="3"/>
  <c r="AS11" i="3" s="1"/>
  <c r="AT11" i="3" s="1"/>
  <c r="AU11" i="3" s="1"/>
  <c r="AN11" i="3"/>
  <c r="AJ11" i="3"/>
  <c r="AK11" i="3" s="1"/>
  <c r="AF11" i="3"/>
  <c r="AG11" i="3" s="1"/>
  <c r="AC11" i="3"/>
  <c r="AD11" i="3" s="1"/>
  <c r="AE11" i="3" s="1"/>
  <c r="AB11" i="3"/>
  <c r="X11" i="3"/>
  <c r="T11" i="3"/>
  <c r="U11" i="3" s="1"/>
  <c r="P11" i="3"/>
  <c r="L11" i="3"/>
  <c r="M11" i="3" s="1"/>
  <c r="N11" i="3" s="1"/>
  <c r="O11" i="3" s="1"/>
  <c r="H11" i="3"/>
  <c r="D11" i="3"/>
  <c r="E11" i="3" s="1"/>
  <c r="F11" i="3" s="1"/>
  <c r="G11" i="3" s="1"/>
  <c r="CT91" i="3"/>
  <c r="CN10" i="3"/>
  <c r="P49" i="79" s="1"/>
  <c r="CJ10" i="3"/>
  <c r="CJ91" i="3" s="1"/>
  <c r="CF10" i="3"/>
  <c r="CF91" i="3" s="1"/>
  <c r="CB10" i="3"/>
  <c r="D49" i="79" s="1"/>
  <c r="BX10" i="3"/>
  <c r="BY10" i="3" s="1"/>
  <c r="BT10" i="3"/>
  <c r="BT91" i="3" s="1"/>
  <c r="BP10" i="3"/>
  <c r="BP91" i="3" s="1"/>
  <c r="BL10" i="3"/>
  <c r="BH10" i="3"/>
  <c r="BD10" i="3"/>
  <c r="BD91" i="3" s="1"/>
  <c r="AZ10" i="3"/>
  <c r="AZ91" i="3" s="1"/>
  <c r="AV10" i="3"/>
  <c r="AR10" i="3"/>
  <c r="AN10" i="3"/>
  <c r="AN91" i="3" s="1"/>
  <c r="AJ10" i="3"/>
  <c r="AJ91" i="3" s="1"/>
  <c r="AF10" i="3"/>
  <c r="AB10" i="3"/>
  <c r="AC10" i="3" s="1"/>
  <c r="X10" i="3"/>
  <c r="X91" i="3" s="1"/>
  <c r="T10" i="3"/>
  <c r="T91" i="3" s="1"/>
  <c r="P10" i="3"/>
  <c r="L10" i="3"/>
  <c r="I10" i="3"/>
  <c r="H10" i="3"/>
  <c r="D10" i="3"/>
  <c r="EP5" i="3"/>
  <c r="EO5" i="3"/>
  <c r="EN5" i="3"/>
  <c r="EM5" i="3"/>
  <c r="EL5" i="3"/>
  <c r="EK5" i="3"/>
  <c r="EJ5" i="3"/>
  <c r="EI5" i="3"/>
  <c r="EH5" i="3"/>
  <c r="EG5" i="3"/>
  <c r="EF5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EV255" i="2"/>
  <c r="DF255" i="2"/>
  <c r="DE255" i="2"/>
  <c r="CO255" i="2"/>
  <c r="CB255" i="2"/>
  <c r="K255" i="2"/>
  <c r="J255" i="2"/>
  <c r="I255" i="2"/>
  <c r="H255" i="2"/>
  <c r="G255" i="2"/>
  <c r="F255" i="2"/>
  <c r="E255" i="2"/>
  <c r="D255" i="2"/>
  <c r="L247" i="2"/>
  <c r="DW242" i="2"/>
  <c r="DV242" i="2"/>
  <c r="DW241" i="2"/>
  <c r="DV241" i="2"/>
  <c r="DW240" i="2"/>
  <c r="DV240" i="2"/>
  <c r="DW237" i="2"/>
  <c r="DV237" i="2"/>
  <c r="DW236" i="2"/>
  <c r="DV236" i="2"/>
  <c r="DW235" i="2"/>
  <c r="DV235" i="2"/>
  <c r="DW234" i="2"/>
  <c r="DV234" i="2"/>
  <c r="BY224" i="2"/>
  <c r="BX224" i="2"/>
  <c r="BW224" i="2"/>
  <c r="BV224" i="2"/>
  <c r="DY221" i="2"/>
  <c r="DX221" i="2"/>
  <c r="DW221" i="2"/>
  <c r="DY220" i="2"/>
  <c r="DX220" i="2"/>
  <c r="DW220" i="2"/>
  <c r="DW219" i="2"/>
  <c r="DW218" i="2"/>
  <c r="DW217" i="2"/>
  <c r="CE217" i="2"/>
  <c r="CD217" i="2"/>
  <c r="CC217" i="2"/>
  <c r="CB217" i="2"/>
  <c r="BX215" i="2"/>
  <c r="BX214" i="2"/>
  <c r="BX213" i="2"/>
  <c r="BX212" i="2"/>
  <c r="BW215" i="2"/>
  <c r="BV215" i="2"/>
  <c r="BW214" i="2"/>
  <c r="BV214" i="2"/>
  <c r="BW213" i="2"/>
  <c r="BV213" i="2"/>
  <c r="BW212" i="2"/>
  <c r="BV212" i="2"/>
  <c r="BX211" i="2"/>
  <c r="BW211" i="2"/>
  <c r="DV211" i="2" s="1"/>
  <c r="BX210" i="2"/>
  <c r="BW210" i="2"/>
  <c r="BX205" i="2"/>
  <c r="BX223" i="2" s="1"/>
  <c r="BX204" i="2"/>
  <c r="BX222" i="2" s="1"/>
  <c r="CL203" i="2"/>
  <c r="CL221" i="2" s="1"/>
  <c r="DZ221" i="2" s="1"/>
  <c r="CL202" i="2"/>
  <c r="CL220" i="2" s="1"/>
  <c r="DZ220" i="2" s="1"/>
  <c r="CL201" i="2"/>
  <c r="CL219" i="2" s="1"/>
  <c r="CL237" i="2" s="1"/>
  <c r="CL200" i="2"/>
  <c r="CL218" i="2" s="1"/>
  <c r="CL236" i="2" s="1"/>
  <c r="CL199" i="2"/>
  <c r="CL217" i="2" s="1"/>
  <c r="CL235" i="2" s="1"/>
  <c r="CM201" i="2"/>
  <c r="CM219" i="2" s="1"/>
  <c r="CM237" i="2" s="1"/>
  <c r="CM200" i="2"/>
  <c r="CM218" i="2" s="1"/>
  <c r="CM236" i="2" s="1"/>
  <c r="CM199" i="2"/>
  <c r="CM217" i="2" s="1"/>
  <c r="CM235" i="2" s="1"/>
  <c r="DZ203" i="2"/>
  <c r="DY203" i="2"/>
  <c r="DX203" i="2"/>
  <c r="DW203" i="2"/>
  <c r="DY202" i="2"/>
  <c r="DX202" i="2"/>
  <c r="DW202" i="2"/>
  <c r="DW201" i="2"/>
  <c r="DW200" i="2"/>
  <c r="DW199" i="2"/>
  <c r="CU201" i="2"/>
  <c r="CU219" i="2" s="1"/>
  <c r="CU237" i="2" s="1"/>
  <c r="CT201" i="2"/>
  <c r="CT219" i="2" s="1"/>
  <c r="CT237" i="2" s="1"/>
  <c r="CS201" i="2"/>
  <c r="CS219" i="2" s="1"/>
  <c r="CS237" i="2" s="1"/>
  <c r="CR201" i="2"/>
  <c r="CR219" i="2" s="1"/>
  <c r="CQ201" i="2"/>
  <c r="CQ219" i="2" s="1"/>
  <c r="CQ237" i="2" s="1"/>
  <c r="CP201" i="2"/>
  <c r="CP219" i="2" s="1"/>
  <c r="CP237" i="2" s="1"/>
  <c r="CO201" i="2"/>
  <c r="CO219" i="2" s="1"/>
  <c r="CO237" i="2" s="1"/>
  <c r="CN201" i="2"/>
  <c r="CN219" i="2" s="1"/>
  <c r="CU200" i="2"/>
  <c r="CU218" i="2" s="1"/>
  <c r="CU236" i="2" s="1"/>
  <c r="CT200" i="2"/>
  <c r="CT218" i="2" s="1"/>
  <c r="CT236" i="2" s="1"/>
  <c r="CS200" i="2"/>
  <c r="CS218" i="2" s="1"/>
  <c r="CS236" i="2" s="1"/>
  <c r="CR200" i="2"/>
  <c r="CQ200" i="2"/>
  <c r="CQ218" i="2" s="1"/>
  <c r="CQ236" i="2" s="1"/>
  <c r="CP200" i="2"/>
  <c r="CP218" i="2" s="1"/>
  <c r="CP236" i="2" s="1"/>
  <c r="CO200" i="2"/>
  <c r="CO218" i="2" s="1"/>
  <c r="CO236" i="2" s="1"/>
  <c r="CN200" i="2"/>
  <c r="CN218" i="2" s="1"/>
  <c r="CU199" i="2"/>
  <c r="CU217" i="2" s="1"/>
  <c r="CU235" i="2" s="1"/>
  <c r="CT199" i="2"/>
  <c r="CT217" i="2" s="1"/>
  <c r="CT235" i="2" s="1"/>
  <c r="CS199" i="2"/>
  <c r="CS217" i="2" s="1"/>
  <c r="CS235" i="2" s="1"/>
  <c r="CR199" i="2"/>
  <c r="CR217" i="2" s="1"/>
  <c r="CQ199" i="2"/>
  <c r="CQ217" i="2" s="1"/>
  <c r="CQ235" i="2" s="1"/>
  <c r="CP199" i="2"/>
  <c r="CP217" i="2" s="1"/>
  <c r="CP235" i="2" s="1"/>
  <c r="CO199" i="2"/>
  <c r="CO217" i="2" s="1"/>
  <c r="CO235" i="2" s="1"/>
  <c r="CN199" i="2"/>
  <c r="CN217" i="2" s="1"/>
  <c r="CK201" i="2"/>
  <c r="CK219" i="2" s="1"/>
  <c r="CK237" i="2" s="1"/>
  <c r="CJ201" i="2"/>
  <c r="CI201" i="2"/>
  <c r="CI219" i="2" s="1"/>
  <c r="CI237" i="2" s="1"/>
  <c r="CH201" i="2"/>
  <c r="CH219" i="2" s="1"/>
  <c r="CH237" i="2" s="1"/>
  <c r="CG201" i="2"/>
  <c r="CG219" i="2" s="1"/>
  <c r="CG237" i="2" s="1"/>
  <c r="CF201" i="2"/>
  <c r="CF219" i="2" s="1"/>
  <c r="CE201" i="2"/>
  <c r="CE219" i="2" s="1"/>
  <c r="CE237" i="2" s="1"/>
  <c r="CD201" i="2"/>
  <c r="CD219" i="2" s="1"/>
  <c r="CD237" i="2" s="1"/>
  <c r="CC201" i="2"/>
  <c r="CC219" i="2" s="1"/>
  <c r="CC237" i="2" s="1"/>
  <c r="CB201" i="2"/>
  <c r="CB219" i="2" s="1"/>
  <c r="CK200" i="2"/>
  <c r="CK218" i="2" s="1"/>
  <c r="CK236" i="2" s="1"/>
  <c r="CJ200" i="2"/>
  <c r="CJ218" i="2" s="1"/>
  <c r="CI200" i="2"/>
  <c r="CI218" i="2" s="1"/>
  <c r="CI236" i="2" s="1"/>
  <c r="CH200" i="2"/>
  <c r="CH218" i="2" s="1"/>
  <c r="CH236" i="2" s="1"/>
  <c r="CG200" i="2"/>
  <c r="CG218" i="2" s="1"/>
  <c r="CG236" i="2" s="1"/>
  <c r="CF200" i="2"/>
  <c r="CF218" i="2" s="1"/>
  <c r="CE200" i="2"/>
  <c r="CE218" i="2" s="1"/>
  <c r="CE236" i="2" s="1"/>
  <c r="CD200" i="2"/>
  <c r="CD218" i="2" s="1"/>
  <c r="CD236" i="2" s="1"/>
  <c r="CC200" i="2"/>
  <c r="CC218" i="2" s="1"/>
  <c r="CC236" i="2" s="1"/>
  <c r="CB200" i="2"/>
  <c r="CK199" i="2"/>
  <c r="CK217" i="2" s="1"/>
  <c r="CK235" i="2" s="1"/>
  <c r="CJ199" i="2"/>
  <c r="CI199" i="2"/>
  <c r="CI217" i="2" s="1"/>
  <c r="CI235" i="2" s="1"/>
  <c r="CH199" i="2"/>
  <c r="CH217" i="2" s="1"/>
  <c r="CH235" i="2" s="1"/>
  <c r="CG199" i="2"/>
  <c r="CG217" i="2" s="1"/>
  <c r="CG235" i="2" s="1"/>
  <c r="CF199" i="2"/>
  <c r="CF217" i="2" s="1"/>
  <c r="CE199" i="2"/>
  <c r="CD199" i="2"/>
  <c r="CC199" i="2"/>
  <c r="CB199" i="2"/>
  <c r="DW189" i="2"/>
  <c r="DV189" i="2"/>
  <c r="CB189" i="2"/>
  <c r="CB169" i="2" s="1"/>
  <c r="CD189" i="2"/>
  <c r="CE189" i="2" s="1"/>
  <c r="BX188" i="2"/>
  <c r="BY188" i="2" s="1"/>
  <c r="BZ188" i="2" s="1"/>
  <c r="CA188" i="2" s="1"/>
  <c r="BX187" i="2"/>
  <c r="BY187" i="2" s="1"/>
  <c r="BZ187" i="2" s="1"/>
  <c r="CA187" i="2" s="1"/>
  <c r="DV180" i="2"/>
  <c r="DV179" i="2"/>
  <c r="DV178" i="2"/>
  <c r="DV177" i="2"/>
  <c r="DV176" i="2"/>
  <c r="DV175" i="2"/>
  <c r="BX181" i="2"/>
  <c r="BY181" i="2" s="1"/>
  <c r="BZ181" i="2" s="1"/>
  <c r="CA181" i="2" s="1"/>
  <c r="BX180" i="2"/>
  <c r="BY215" i="2" s="1"/>
  <c r="BX179" i="2"/>
  <c r="BY214" i="2" s="1"/>
  <c r="BX178" i="2"/>
  <c r="BY213" i="2" s="1"/>
  <c r="BX177" i="2"/>
  <c r="BY212" i="2" s="1"/>
  <c r="BX176" i="2"/>
  <c r="BY211" i="2" s="1"/>
  <c r="BX175" i="2"/>
  <c r="BY210" i="2" s="1"/>
  <c r="CD169" i="2"/>
  <c r="CC169" i="2"/>
  <c r="CA169" i="2"/>
  <c r="BZ169" i="2"/>
  <c r="BY169" i="2"/>
  <c r="BX169" i="2"/>
  <c r="BW169" i="2"/>
  <c r="BV169" i="2"/>
  <c r="BU169" i="2"/>
  <c r="BU206" i="2" s="1"/>
  <c r="BT169" i="2"/>
  <c r="BS169" i="2"/>
  <c r="DV168" i="2"/>
  <c r="DV167" i="2"/>
  <c r="BY168" i="2"/>
  <c r="BY167" i="2"/>
  <c r="DV161" i="2"/>
  <c r="BY161" i="2"/>
  <c r="BZ161" i="2" s="1"/>
  <c r="CA161" i="2" s="1"/>
  <c r="BU160" i="2"/>
  <c r="BU197" i="2" s="1"/>
  <c r="BU159" i="2"/>
  <c r="BU158" i="2"/>
  <c r="BU195" i="2" s="1"/>
  <c r="BU157" i="2"/>
  <c r="BU194" i="2" s="1"/>
  <c r="BU156" i="2"/>
  <c r="BU193" i="2" s="1"/>
  <c r="BU155" i="2"/>
  <c r="CH148" i="2"/>
  <c r="CG148" i="2"/>
  <c r="CF148" i="2"/>
  <c r="CE148" i="2"/>
  <c r="CD148" i="2"/>
  <c r="CC148" i="2"/>
  <c r="CB148" i="2"/>
  <c r="CA148" i="2"/>
  <c r="BZ148" i="2"/>
  <c r="BY148" i="2"/>
  <c r="BX148" i="2"/>
  <c r="CJ145" i="2"/>
  <c r="CK145" i="2" s="1"/>
  <c r="CL145" i="2" s="1"/>
  <c r="CL123" i="2" s="1"/>
  <c r="BY145" i="2"/>
  <c r="BZ224" i="2" s="1"/>
  <c r="BX144" i="2"/>
  <c r="BX143" i="2"/>
  <c r="DZ147" i="2"/>
  <c r="DV147" i="2"/>
  <c r="DZ145" i="2"/>
  <c r="DY145" i="2"/>
  <c r="DV145" i="2"/>
  <c r="DV144" i="2"/>
  <c r="DV143" i="2"/>
  <c r="DW142" i="2"/>
  <c r="DW120" i="2" s="1"/>
  <c r="DV142" i="2"/>
  <c r="BW141" i="2"/>
  <c r="BW146" i="2" s="1"/>
  <c r="DV146" i="2" s="1"/>
  <c r="DV148" i="2" s="1"/>
  <c r="BV141" i="2"/>
  <c r="BV146" i="2" s="1"/>
  <c r="BU141" i="2"/>
  <c r="BU146" i="2" s="1"/>
  <c r="BT141" i="2"/>
  <c r="BT146" i="2" s="1"/>
  <c r="BS141" i="2"/>
  <c r="BS146" i="2" s="1"/>
  <c r="CD142" i="2"/>
  <c r="CE142" i="2" s="1"/>
  <c r="CF142" i="2" s="1"/>
  <c r="CG142" i="2" s="1"/>
  <c r="CH142" i="2" s="1"/>
  <c r="CH140" i="2"/>
  <c r="CE140" i="2"/>
  <c r="DX140" i="2" s="1"/>
  <c r="CD140" i="2"/>
  <c r="CC140" i="2"/>
  <c r="CB140" i="2"/>
  <c r="CA140" i="2"/>
  <c r="DW140" i="2" s="1"/>
  <c r="BZ140" i="2"/>
  <c r="BY140" i="2"/>
  <c r="BX140" i="2"/>
  <c r="BX141" i="2" s="1"/>
  <c r="DZ139" i="2"/>
  <c r="DZ138" i="2"/>
  <c r="CN147" i="2"/>
  <c r="CO147" i="2" s="1"/>
  <c r="CP147" i="2" s="1"/>
  <c r="CQ147" i="2" s="1"/>
  <c r="CR147" i="2" s="1"/>
  <c r="CS147" i="2" s="1"/>
  <c r="CT147" i="2" s="1"/>
  <c r="CU147" i="2" s="1"/>
  <c r="CN145" i="2"/>
  <c r="CN139" i="2"/>
  <c r="CO139" i="2" s="1"/>
  <c r="CP139" i="2" s="1"/>
  <c r="CQ139" i="2" s="1"/>
  <c r="CN138" i="2"/>
  <c r="CO138" i="2" s="1"/>
  <c r="CP138" i="2" s="1"/>
  <c r="CQ138" i="2" s="1"/>
  <c r="EA138" i="2" s="1"/>
  <c r="CM136" i="2"/>
  <c r="CN136" i="2" s="1"/>
  <c r="CO136" i="2" s="1"/>
  <c r="CP136" i="2" s="1"/>
  <c r="CQ136" i="2" s="1"/>
  <c r="CR136" i="2" s="1"/>
  <c r="CS136" i="2" s="1"/>
  <c r="CT136" i="2" s="1"/>
  <c r="CU136" i="2" s="1"/>
  <c r="CV136" i="2" s="1"/>
  <c r="CW136" i="2" s="1"/>
  <c r="CX136" i="2" s="1"/>
  <c r="CY136" i="2" s="1"/>
  <c r="BY133" i="2"/>
  <c r="BZ133" i="2" s="1"/>
  <c r="CA133" i="2" s="1"/>
  <c r="DV133" i="2"/>
  <c r="DV132" i="2"/>
  <c r="DV131" i="2"/>
  <c r="DV130" i="2"/>
  <c r="DV129" i="2"/>
  <c r="DV128" i="2"/>
  <c r="DV127" i="2"/>
  <c r="CG133" i="2"/>
  <c r="CH133" i="2" s="1"/>
  <c r="CI133" i="2" s="1"/>
  <c r="DY133" i="2" s="1"/>
  <c r="CM123" i="2"/>
  <c r="DZ123" i="2" s="1"/>
  <c r="CI123" i="2"/>
  <c r="DY123" i="2" s="1"/>
  <c r="BX123" i="2"/>
  <c r="BW123" i="2"/>
  <c r="DV123" i="2" s="1"/>
  <c r="BV123" i="2"/>
  <c r="DV122" i="2"/>
  <c r="BY122" i="2"/>
  <c r="BZ122" i="2" s="1"/>
  <c r="BY121" i="2"/>
  <c r="DV120" i="2"/>
  <c r="CB120" i="2"/>
  <c r="CA120" i="2"/>
  <c r="BZ120" i="2"/>
  <c r="BV119" i="2"/>
  <c r="BV124" i="2" s="1"/>
  <c r="DX118" i="2"/>
  <c r="DW118" i="2"/>
  <c r="CI118" i="2"/>
  <c r="CI140" i="2" s="1"/>
  <c r="DY140" i="2" s="1"/>
  <c r="CF118" i="2"/>
  <c r="CN117" i="2"/>
  <c r="CN203" i="2" s="1"/>
  <c r="CN116" i="2"/>
  <c r="CN202" i="2" s="1"/>
  <c r="BX112" i="2"/>
  <c r="BX198" i="2" s="1"/>
  <c r="BW111" i="2"/>
  <c r="CF111" i="2"/>
  <c r="CG111" i="2" s="1"/>
  <c r="CH111" i="2" s="1"/>
  <c r="BW110" i="2"/>
  <c r="DV110" i="2" s="1"/>
  <c r="BW109" i="2"/>
  <c r="DV109" i="2" s="1"/>
  <c r="BW108" i="2"/>
  <c r="DV108" i="2" s="1"/>
  <c r="DX111" i="2"/>
  <c r="CG108" i="2"/>
  <c r="CH108" i="2" s="1"/>
  <c r="BW107" i="2"/>
  <c r="BX107" i="2" s="1"/>
  <c r="BY107" i="2" s="1"/>
  <c r="BW106" i="2"/>
  <c r="BX106" i="2" s="1"/>
  <c r="CO93" i="2"/>
  <c r="CN93" i="2"/>
  <c r="CM93" i="2"/>
  <c r="CK93" i="2"/>
  <c r="CJ93" i="2"/>
  <c r="CI93" i="2"/>
  <c r="CH93" i="2"/>
  <c r="CG93" i="2"/>
  <c r="CF93" i="2"/>
  <c r="CE93" i="2"/>
  <c r="CD93" i="2"/>
  <c r="CB93" i="2"/>
  <c r="CA93" i="2"/>
  <c r="BZ93" i="2"/>
  <c r="BY93" i="2"/>
  <c r="BX93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CP87" i="2"/>
  <c r="CO87" i="2"/>
  <c r="CN87" i="2"/>
  <c r="CM87" i="2"/>
  <c r="CL87" i="2"/>
  <c r="CK87" i="2"/>
  <c r="CJ87" i="2"/>
  <c r="CI87" i="2"/>
  <c r="CH87" i="2"/>
  <c r="CG87" i="2"/>
  <c r="CF87" i="2"/>
  <c r="CE87" i="2"/>
  <c r="CD87" i="2"/>
  <c r="CC87" i="2"/>
  <c r="CB87" i="2"/>
  <c r="CA87" i="2"/>
  <c r="BZ87" i="2"/>
  <c r="BY87" i="2"/>
  <c r="BX87" i="2"/>
  <c r="BW87" i="2"/>
  <c r="BV87" i="2"/>
  <c r="CP86" i="2"/>
  <c r="CQ65" i="1" s="1"/>
  <c r="CO86" i="2"/>
  <c r="CN86" i="2"/>
  <c r="CO65" i="1" s="1"/>
  <c r="CM86" i="2"/>
  <c r="CN65" i="1" s="1"/>
  <c r="CL86" i="2"/>
  <c r="CM65" i="1" s="1"/>
  <c r="CK86" i="2"/>
  <c r="CJ86" i="2"/>
  <c r="CK65" i="1" s="1"/>
  <c r="CH86" i="2"/>
  <c r="CG86" i="2"/>
  <c r="CG98" i="2" s="1"/>
  <c r="CF86" i="2"/>
  <c r="CE86" i="2"/>
  <c r="CD86" i="2"/>
  <c r="CC86" i="2"/>
  <c r="CC98" i="2" s="1"/>
  <c r="CB86" i="2"/>
  <c r="CA86" i="2"/>
  <c r="BZ86" i="2"/>
  <c r="BY86" i="2"/>
  <c r="BY98" i="2" s="1"/>
  <c r="BX86" i="2"/>
  <c r="BW86" i="2"/>
  <c r="BV86" i="2"/>
  <c r="CP82" i="2"/>
  <c r="CO82" i="2"/>
  <c r="CN82" i="2"/>
  <c r="CM82" i="2"/>
  <c r="CK82" i="2"/>
  <c r="CJ82" i="2"/>
  <c r="CI82" i="2"/>
  <c r="CH82" i="2"/>
  <c r="CG82" i="2"/>
  <c r="CF82" i="2"/>
  <c r="CE82" i="2"/>
  <c r="CD82" i="2"/>
  <c r="CC82" i="2"/>
  <c r="CB82" i="2"/>
  <c r="CA82" i="2"/>
  <c r="BZ82" i="2"/>
  <c r="BY82" i="2"/>
  <c r="BX82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CO81" i="2"/>
  <c r="CN81" i="2"/>
  <c r="CM81" i="2"/>
  <c r="CL81" i="2"/>
  <c r="CK81" i="2"/>
  <c r="CJ81" i="2"/>
  <c r="CI81" i="2"/>
  <c r="CH81" i="2"/>
  <c r="CG81" i="2"/>
  <c r="CF81" i="2"/>
  <c r="CE81" i="2"/>
  <c r="CD81" i="2"/>
  <c r="CC81" i="2"/>
  <c r="CB81" i="2"/>
  <c r="CA81" i="2"/>
  <c r="BZ81" i="2"/>
  <c r="BY81" i="2"/>
  <c r="BX81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CO80" i="2"/>
  <c r="CN80" i="2"/>
  <c r="CM80" i="2"/>
  <c r="CL80" i="2"/>
  <c r="CK80" i="2"/>
  <c r="CJ80" i="2"/>
  <c r="CJ83" i="2" s="1"/>
  <c r="CI80" i="2"/>
  <c r="CH80" i="2"/>
  <c r="CG80" i="2"/>
  <c r="CF80" i="2"/>
  <c r="CF83" i="2" s="1"/>
  <c r="CE80" i="2"/>
  <c r="CD80" i="2"/>
  <c r="CC80" i="2"/>
  <c r="CB80" i="2"/>
  <c r="CB83" i="2" s="1"/>
  <c r="CA80" i="2"/>
  <c r="BZ80" i="2"/>
  <c r="BY80" i="2"/>
  <c r="BX80" i="2"/>
  <c r="BX83" i="2" s="1"/>
  <c r="BW80" i="2"/>
  <c r="BV80" i="2"/>
  <c r="BU80" i="2"/>
  <c r="BT80" i="2"/>
  <c r="BT83" i="2" s="1"/>
  <c r="BS80" i="2"/>
  <c r="BR80" i="2"/>
  <c r="BQ80" i="2"/>
  <c r="BP80" i="2"/>
  <c r="BP83" i="2" s="1"/>
  <c r="BO80" i="2"/>
  <c r="BN80" i="2"/>
  <c r="BM80" i="2"/>
  <c r="BL80" i="2"/>
  <c r="BL83" i="2" s="1"/>
  <c r="BK80" i="2"/>
  <c r="BJ80" i="2"/>
  <c r="BI80" i="2"/>
  <c r="BH80" i="2"/>
  <c r="BH83" i="2" s="1"/>
  <c r="BG80" i="2"/>
  <c r="BF80" i="2"/>
  <c r="BE80" i="2"/>
  <c r="BD80" i="2"/>
  <c r="BD83" i="2" s="1"/>
  <c r="BC80" i="2"/>
  <c r="BB80" i="2"/>
  <c r="BA80" i="2"/>
  <c r="AZ80" i="2"/>
  <c r="AZ83" i="2" s="1"/>
  <c r="AY80" i="2"/>
  <c r="AX80" i="2"/>
  <c r="AW80" i="2"/>
  <c r="AV80" i="2"/>
  <c r="AV83" i="2" s="1"/>
  <c r="AU80" i="2"/>
  <c r="AT80" i="2"/>
  <c r="AS80" i="2"/>
  <c r="AR80" i="2"/>
  <c r="AR83" i="2" s="1"/>
  <c r="AQ80" i="2"/>
  <c r="AP80" i="2"/>
  <c r="AO80" i="2"/>
  <c r="AN80" i="2"/>
  <c r="AN83" i="2" s="1"/>
  <c r="AM80" i="2"/>
  <c r="AL80" i="2"/>
  <c r="AK80" i="2"/>
  <c r="AJ80" i="2"/>
  <c r="AJ83" i="2" s="1"/>
  <c r="AI80" i="2"/>
  <c r="AH80" i="2"/>
  <c r="AG80" i="2"/>
  <c r="AF80" i="2"/>
  <c r="AF83" i="2" s="1"/>
  <c r="AE80" i="2"/>
  <c r="AD80" i="2"/>
  <c r="AC80" i="2"/>
  <c r="AB80" i="2"/>
  <c r="AB83" i="2" s="1"/>
  <c r="AA80" i="2"/>
  <c r="Z80" i="2"/>
  <c r="Y80" i="2"/>
  <c r="X80" i="2"/>
  <c r="X83" i="2" s="1"/>
  <c r="W80" i="2"/>
  <c r="V80" i="2"/>
  <c r="U80" i="2"/>
  <c r="T80" i="2"/>
  <c r="T83" i="2" s="1"/>
  <c r="S80" i="2"/>
  <c r="R80" i="2"/>
  <c r="Q80" i="2"/>
  <c r="P80" i="2"/>
  <c r="P83" i="2" s="1"/>
  <c r="O80" i="2"/>
  <c r="N80" i="2"/>
  <c r="M80" i="2"/>
  <c r="L80" i="2"/>
  <c r="L83" i="2" s="1"/>
  <c r="CP77" i="2"/>
  <c r="CP92" i="2" s="1"/>
  <c r="CO77" i="2"/>
  <c r="CO92" i="2" s="1"/>
  <c r="CN77" i="2"/>
  <c r="CN92" i="2" s="1"/>
  <c r="CM77" i="2"/>
  <c r="CL77" i="2"/>
  <c r="CL92" i="2" s="1"/>
  <c r="CK77" i="2"/>
  <c r="CK92" i="2" s="1"/>
  <c r="CJ77" i="2"/>
  <c r="CJ92" i="2" s="1"/>
  <c r="CI77" i="2"/>
  <c r="CH77" i="2"/>
  <c r="CH92" i="2" s="1"/>
  <c r="CG77" i="2"/>
  <c r="CG92" i="2" s="1"/>
  <c r="CF77" i="2"/>
  <c r="CF92" i="2" s="1"/>
  <c r="CE77" i="2"/>
  <c r="CE92" i="2" s="1"/>
  <c r="CD77" i="2"/>
  <c r="CD92" i="2" s="1"/>
  <c r="CC77" i="2"/>
  <c r="CC92" i="2" s="1"/>
  <c r="CB77" i="2"/>
  <c r="CB92" i="2" s="1"/>
  <c r="CA77" i="2"/>
  <c r="CA92" i="2" s="1"/>
  <c r="BZ77" i="2"/>
  <c r="BZ92" i="2" s="1"/>
  <c r="BY77" i="2"/>
  <c r="BX77" i="2"/>
  <c r="BX92" i="2" s="1"/>
  <c r="BW77" i="2"/>
  <c r="BV77" i="2"/>
  <c r="BV92" i="2" s="1"/>
  <c r="BU77" i="2"/>
  <c r="BU92" i="2" s="1"/>
  <c r="BT77" i="2"/>
  <c r="BS77" i="2"/>
  <c r="BR77" i="2"/>
  <c r="BR92" i="2" s="1"/>
  <c r="BQ77" i="2"/>
  <c r="BQ92" i="2" s="1"/>
  <c r="BP77" i="2"/>
  <c r="BP92" i="2" s="1"/>
  <c r="BO77" i="2"/>
  <c r="BN77" i="2"/>
  <c r="BN92" i="2" s="1"/>
  <c r="BM77" i="2"/>
  <c r="BM92" i="2" s="1"/>
  <c r="BL77" i="2"/>
  <c r="BL92" i="2" s="1"/>
  <c r="BK77" i="2"/>
  <c r="BK92" i="2" s="1"/>
  <c r="BJ77" i="2"/>
  <c r="BJ92" i="2" s="1"/>
  <c r="BI77" i="2"/>
  <c r="BH77" i="2"/>
  <c r="BH92" i="2" s="1"/>
  <c r="BG77" i="2"/>
  <c r="BF77" i="2"/>
  <c r="BF92" i="2" s="1"/>
  <c r="BE77" i="2"/>
  <c r="BE92" i="2" s="1"/>
  <c r="BD77" i="2"/>
  <c r="BC77" i="2"/>
  <c r="BB77" i="2"/>
  <c r="BB92" i="2" s="1"/>
  <c r="BA77" i="2"/>
  <c r="BA92" i="2" s="1"/>
  <c r="AZ77" i="2"/>
  <c r="AZ92" i="2" s="1"/>
  <c r="AY77" i="2"/>
  <c r="AY92" i="2" s="1"/>
  <c r="AX77" i="2"/>
  <c r="AX92" i="2" s="1"/>
  <c r="AW77" i="2"/>
  <c r="AW92" i="2" s="1"/>
  <c r="AV77" i="2"/>
  <c r="AV92" i="2" s="1"/>
  <c r="AU77" i="2"/>
  <c r="AU92" i="2" s="1"/>
  <c r="AT77" i="2"/>
  <c r="AT92" i="2" s="1"/>
  <c r="AS77" i="2"/>
  <c r="AR77" i="2"/>
  <c r="AR92" i="2" s="1"/>
  <c r="AQ77" i="2"/>
  <c r="AP77" i="2"/>
  <c r="AP92" i="2" s="1"/>
  <c r="AO77" i="2"/>
  <c r="AO92" i="2" s="1"/>
  <c r="AN77" i="2"/>
  <c r="AM77" i="2"/>
  <c r="AL77" i="2"/>
  <c r="AL92" i="2" s="1"/>
  <c r="AK77" i="2"/>
  <c r="AK92" i="2" s="1"/>
  <c r="AJ77" i="2"/>
  <c r="AJ92" i="2" s="1"/>
  <c r="AI77" i="2"/>
  <c r="AI92" i="2" s="1"/>
  <c r="AH77" i="2"/>
  <c r="AH92" i="2" s="1"/>
  <c r="AG77" i="2"/>
  <c r="AG92" i="2" s="1"/>
  <c r="AF77" i="2"/>
  <c r="AF92" i="2" s="1"/>
  <c r="AE77" i="2"/>
  <c r="AE92" i="2" s="1"/>
  <c r="AD77" i="2"/>
  <c r="AD92" i="2" s="1"/>
  <c r="AC77" i="2"/>
  <c r="AB77" i="2"/>
  <c r="AB92" i="2" s="1"/>
  <c r="AA77" i="2"/>
  <c r="Z77" i="2"/>
  <c r="Z92" i="2" s="1"/>
  <c r="Y77" i="2"/>
  <c r="Y92" i="2" s="1"/>
  <c r="X77" i="2"/>
  <c r="W77" i="2"/>
  <c r="V77" i="2"/>
  <c r="V92" i="2" s="1"/>
  <c r="U77" i="2"/>
  <c r="U92" i="2" s="1"/>
  <c r="T77" i="2"/>
  <c r="T92" i="2" s="1"/>
  <c r="S77" i="2"/>
  <c r="S92" i="2" s="1"/>
  <c r="R77" i="2"/>
  <c r="R92" i="2" s="1"/>
  <c r="Q77" i="2"/>
  <c r="Q92" i="2" s="1"/>
  <c r="P77" i="2"/>
  <c r="P92" i="2" s="1"/>
  <c r="O77" i="2"/>
  <c r="O92" i="2" s="1"/>
  <c r="N77" i="2"/>
  <c r="N92" i="2" s="1"/>
  <c r="M77" i="2"/>
  <c r="L77" i="2"/>
  <c r="L92" i="2" s="1"/>
  <c r="CP72" i="2"/>
  <c r="CO72" i="2"/>
  <c r="CN72" i="2"/>
  <c r="FA72" i="2" s="1"/>
  <c r="CM72" i="2"/>
  <c r="DZ72" i="2" s="1"/>
  <c r="CL72" i="2"/>
  <c r="CK72" i="2"/>
  <c r="CJ72" i="2"/>
  <c r="CI72" i="2"/>
  <c r="CH72" i="2"/>
  <c r="FA73" i="2" s="1"/>
  <c r="CG72" i="2"/>
  <c r="EZ72" i="2" s="1"/>
  <c r="EZ73" i="2" s="1"/>
  <c r="CF72" i="2"/>
  <c r="EY72" i="2" s="1"/>
  <c r="CE72" i="2"/>
  <c r="DX72" i="2" s="1"/>
  <c r="CD72" i="2"/>
  <c r="CC72" i="2"/>
  <c r="CB72" i="2"/>
  <c r="EX72" i="2" s="1"/>
  <c r="CA72" i="2"/>
  <c r="BZ72" i="2"/>
  <c r="BY72" i="2"/>
  <c r="BX72" i="2"/>
  <c r="EW72" i="2" s="1"/>
  <c r="BW72" i="2"/>
  <c r="DV72" i="2" s="1"/>
  <c r="BV72" i="2"/>
  <c r="BU72" i="2"/>
  <c r="BT72" i="2"/>
  <c r="EV72" i="2" s="1"/>
  <c r="BS72" i="2"/>
  <c r="BR72" i="2"/>
  <c r="BQ72" i="2"/>
  <c r="BP72" i="2"/>
  <c r="EU72" i="2" s="1"/>
  <c r="BO72" i="2"/>
  <c r="DT72" i="2" s="1"/>
  <c r="BN72" i="2"/>
  <c r="BM72" i="2"/>
  <c r="BL72" i="2"/>
  <c r="ET72" i="2" s="1"/>
  <c r="BK72" i="2"/>
  <c r="BJ72" i="2"/>
  <c r="BI72" i="2"/>
  <c r="BH72" i="2"/>
  <c r="ES72" i="2" s="1"/>
  <c r="BG72" i="2"/>
  <c r="DR72" i="2" s="1"/>
  <c r="BF72" i="2"/>
  <c r="BE72" i="2"/>
  <c r="BD72" i="2"/>
  <c r="ER72" i="2" s="1"/>
  <c r="BC72" i="2"/>
  <c r="BB72" i="2"/>
  <c r="BA72" i="2"/>
  <c r="AZ72" i="2"/>
  <c r="EQ72" i="2" s="1"/>
  <c r="AY72" i="2"/>
  <c r="DP72" i="2" s="1"/>
  <c r="AX72" i="2"/>
  <c r="AW72" i="2"/>
  <c r="AV72" i="2"/>
  <c r="EP72" i="2" s="1"/>
  <c r="AU72" i="2"/>
  <c r="AT72" i="2"/>
  <c r="AS72" i="2"/>
  <c r="AR72" i="2"/>
  <c r="EO72" i="2" s="1"/>
  <c r="AQ72" i="2"/>
  <c r="DN72" i="2" s="1"/>
  <c r="AP72" i="2"/>
  <c r="AO72" i="2"/>
  <c r="AN72" i="2"/>
  <c r="EN72" i="2" s="1"/>
  <c r="AM72" i="2"/>
  <c r="AL72" i="2"/>
  <c r="AK72" i="2"/>
  <c r="AJ72" i="2"/>
  <c r="EM72" i="2" s="1"/>
  <c r="AI72" i="2"/>
  <c r="DL72" i="2" s="1"/>
  <c r="AH72" i="2"/>
  <c r="AG72" i="2"/>
  <c r="AF72" i="2"/>
  <c r="EL72" i="2" s="1"/>
  <c r="AE72" i="2"/>
  <c r="AD72" i="2"/>
  <c r="AC72" i="2"/>
  <c r="AB72" i="2"/>
  <c r="EK72" i="2" s="1"/>
  <c r="AA72" i="2"/>
  <c r="DJ72" i="2" s="1"/>
  <c r="Z72" i="2"/>
  <c r="Y72" i="2"/>
  <c r="X72" i="2"/>
  <c r="EJ72" i="2" s="1"/>
  <c r="W72" i="2"/>
  <c r="V72" i="2"/>
  <c r="U72" i="2"/>
  <c r="T72" i="2"/>
  <c r="EI72" i="2" s="1"/>
  <c r="S72" i="2"/>
  <c r="DH72" i="2" s="1"/>
  <c r="R72" i="2"/>
  <c r="Q72" i="2"/>
  <c r="P72" i="2"/>
  <c r="EH72" i="2" s="1"/>
  <c r="O72" i="2"/>
  <c r="N72" i="2"/>
  <c r="M72" i="2"/>
  <c r="L72" i="2"/>
  <c r="EG72" i="2" s="1"/>
  <c r="BS69" i="2"/>
  <c r="BR69" i="2"/>
  <c r="BQ69" i="2"/>
  <c r="BP69" i="2"/>
  <c r="BO69" i="2"/>
  <c r="BN69" i="2"/>
  <c r="BM69" i="2"/>
  <c r="BL69" i="2"/>
  <c r="ET69" i="2" s="1"/>
  <c r="BK69" i="2"/>
  <c r="DS69" i="2" s="1"/>
  <c r="CE67" i="2"/>
  <c r="DX67" i="2" s="1"/>
  <c r="CE66" i="2"/>
  <c r="CC67" i="2"/>
  <c r="CC66" i="2"/>
  <c r="EY69" i="2"/>
  <c r="EX69" i="2"/>
  <c r="EW69" i="2"/>
  <c r="EV69" i="2"/>
  <c r="EU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DZ69" i="2"/>
  <c r="DY69" i="2"/>
  <c r="DX69" i="2"/>
  <c r="DW69" i="2"/>
  <c r="DV69" i="2"/>
  <c r="DU69" i="2"/>
  <c r="DT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Z67" i="2"/>
  <c r="DY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EA67" i="2"/>
  <c r="CP66" i="2"/>
  <c r="CL66" i="2"/>
  <c r="CO64" i="2"/>
  <c r="CO70" i="2" s="1"/>
  <c r="CN64" i="2"/>
  <c r="CM64" i="2"/>
  <c r="CK64" i="2"/>
  <c r="CK70" i="2" s="1"/>
  <c r="CJ64" i="2"/>
  <c r="CI64" i="2"/>
  <c r="CH64" i="2"/>
  <c r="CG64" i="2"/>
  <c r="CG70" i="2" s="1"/>
  <c r="CF64" i="2"/>
  <c r="CF70" i="2" s="1"/>
  <c r="CB64" i="2"/>
  <c r="CA64" i="2"/>
  <c r="BX64" i="2"/>
  <c r="BW64" i="2"/>
  <c r="BV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I70" i="2" s="1"/>
  <c r="BH64" i="2"/>
  <c r="BG64" i="2"/>
  <c r="BF64" i="2"/>
  <c r="BE64" i="2"/>
  <c r="BE70" i="2" s="1"/>
  <c r="BD64" i="2"/>
  <c r="BC64" i="2"/>
  <c r="BB64" i="2"/>
  <c r="BA64" i="2"/>
  <c r="BA70" i="2" s="1"/>
  <c r="AZ64" i="2"/>
  <c r="AY64" i="2"/>
  <c r="AX64" i="2"/>
  <c r="AW64" i="2"/>
  <c r="AW70" i="2" s="1"/>
  <c r="AV64" i="2"/>
  <c r="AU64" i="2"/>
  <c r="AT64" i="2"/>
  <c r="AS64" i="2"/>
  <c r="AS70" i="2" s="1"/>
  <c r="AR64" i="2"/>
  <c r="AQ64" i="2"/>
  <c r="AP64" i="2"/>
  <c r="AO64" i="2"/>
  <c r="AO70" i="2" s="1"/>
  <c r="AN64" i="2"/>
  <c r="AM64" i="2"/>
  <c r="AL64" i="2"/>
  <c r="AK64" i="2"/>
  <c r="AK70" i="2" s="1"/>
  <c r="AJ64" i="2"/>
  <c r="AI64" i="2"/>
  <c r="AH64" i="2"/>
  <c r="AG64" i="2"/>
  <c r="AG70" i="2" s="1"/>
  <c r="AF64" i="2"/>
  <c r="AE64" i="2"/>
  <c r="AD64" i="2"/>
  <c r="AC64" i="2"/>
  <c r="AC70" i="2" s="1"/>
  <c r="AB64" i="2"/>
  <c r="AA64" i="2"/>
  <c r="Z64" i="2"/>
  <c r="Y64" i="2"/>
  <c r="Y70" i="2" s="1"/>
  <c r="X64" i="2"/>
  <c r="W64" i="2"/>
  <c r="V64" i="2"/>
  <c r="U64" i="2"/>
  <c r="U70" i="2" s="1"/>
  <c r="T64" i="2"/>
  <c r="S64" i="2"/>
  <c r="R64" i="2"/>
  <c r="Q64" i="2"/>
  <c r="Q70" i="2" s="1"/>
  <c r="P64" i="2"/>
  <c r="O64" i="2"/>
  <c r="N64" i="2"/>
  <c r="M64" i="2"/>
  <c r="M70" i="2" s="1"/>
  <c r="L64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CP61" i="2"/>
  <c r="CP60" i="2"/>
  <c r="CQ60" i="2" s="1"/>
  <c r="EA60" i="2" s="1"/>
  <c r="CL60" i="2"/>
  <c r="CL64" i="2" s="1"/>
  <c r="CC60" i="2"/>
  <c r="BY60" i="2"/>
  <c r="BU60" i="2"/>
  <c r="BU64" i="2" s="1"/>
  <c r="BU70" i="2" s="1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Y60" i="2"/>
  <c r="EX60" i="2"/>
  <c r="EX64" i="2" s="1"/>
  <c r="EW60" i="2"/>
  <c r="EV60" i="2"/>
  <c r="EU60" i="2"/>
  <c r="ET60" i="2"/>
  <c r="ET64" i="2" s="1"/>
  <c r="ES60" i="2"/>
  <c r="ER60" i="2"/>
  <c r="EQ60" i="2"/>
  <c r="EP60" i="2"/>
  <c r="EP64" i="2" s="1"/>
  <c r="EO60" i="2"/>
  <c r="EN60" i="2"/>
  <c r="EM60" i="2"/>
  <c r="EL60" i="2"/>
  <c r="EL64" i="2" s="1"/>
  <c r="EK60" i="2"/>
  <c r="EJ60" i="2"/>
  <c r="EI60" i="2"/>
  <c r="EH60" i="2"/>
  <c r="EH64" i="2" s="1"/>
  <c r="EG60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Z60" i="2"/>
  <c r="DY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K64" i="2" s="1"/>
  <c r="DJ60" i="2"/>
  <c r="DI60" i="2"/>
  <c r="DH60" i="2"/>
  <c r="DG60" i="2"/>
  <c r="EA61" i="2"/>
  <c r="CP56" i="2"/>
  <c r="CP51" i="2" s="1"/>
  <c r="CP50" i="2" s="1"/>
  <c r="CO56" i="2"/>
  <c r="CN56" i="2"/>
  <c r="CN52" i="2" s="1"/>
  <c r="CO52" i="2" s="1"/>
  <c r="CM56" i="2"/>
  <c r="CM51" i="2" s="1"/>
  <c r="CM50" i="2" s="1"/>
  <c r="CL56" i="2"/>
  <c r="CL52" i="2" s="1"/>
  <c r="CK56" i="2"/>
  <c r="CJ56" i="2"/>
  <c r="CJ51" i="2" s="1"/>
  <c r="CJ50" i="2" s="1"/>
  <c r="CI56" i="2"/>
  <c r="CH56" i="2"/>
  <c r="CH52" i="2" s="1"/>
  <c r="CG56" i="2"/>
  <c r="CF56" i="2"/>
  <c r="CF51" i="2" s="1"/>
  <c r="CF50" i="2" s="1"/>
  <c r="CE56" i="2"/>
  <c r="CE52" i="2" s="1"/>
  <c r="CD56" i="2"/>
  <c r="CD52" i="2" s="1"/>
  <c r="CC56" i="2"/>
  <c r="CB56" i="2"/>
  <c r="CB52" i="2" s="1"/>
  <c r="CA56" i="2"/>
  <c r="BZ56" i="2"/>
  <c r="BZ52" i="2" s="1"/>
  <c r="CA52" i="2" s="1"/>
  <c r="BY56" i="2"/>
  <c r="BX56" i="2"/>
  <c r="BX52" i="2" s="1"/>
  <c r="BW56" i="2"/>
  <c r="BW52" i="2" s="1"/>
  <c r="BV56" i="2"/>
  <c r="BV52" i="2" s="1"/>
  <c r="BU56" i="2"/>
  <c r="BT56" i="2"/>
  <c r="BT51" i="2" s="1"/>
  <c r="BT50" i="2" s="1"/>
  <c r="BR56" i="2"/>
  <c r="BR52" i="2" s="1"/>
  <c r="BQ56" i="2"/>
  <c r="BP56" i="2"/>
  <c r="BP51" i="2" s="1"/>
  <c r="BP50" i="2" s="1"/>
  <c r="BN56" i="2"/>
  <c r="BN52" i="2" s="1"/>
  <c r="BM56" i="2"/>
  <c r="BL56" i="2"/>
  <c r="BL52" i="2" s="1"/>
  <c r="BK56" i="2"/>
  <c r="BJ56" i="2"/>
  <c r="BJ51" i="2" s="1"/>
  <c r="BJ50" i="2" s="1"/>
  <c r="BI56" i="2"/>
  <c r="BH56" i="2"/>
  <c r="BH52" i="2" s="1"/>
  <c r="BG56" i="2"/>
  <c r="BF56" i="2"/>
  <c r="BF52" i="2" s="1"/>
  <c r="BE56" i="2"/>
  <c r="BD56" i="2"/>
  <c r="BD51" i="2" s="1"/>
  <c r="BD50" i="2" s="1"/>
  <c r="BC56" i="2"/>
  <c r="BB56" i="2"/>
  <c r="BB52" i="2" s="1"/>
  <c r="BA56" i="2"/>
  <c r="AZ56" i="2"/>
  <c r="AZ51" i="2" s="1"/>
  <c r="AZ50" i="2" s="1"/>
  <c r="AY56" i="2"/>
  <c r="AX56" i="2"/>
  <c r="AX52" i="2" s="1"/>
  <c r="AW56" i="2"/>
  <c r="AV56" i="2"/>
  <c r="AV52" i="2" s="1"/>
  <c r="AU56" i="2"/>
  <c r="AT56" i="2"/>
  <c r="AT52" i="2" s="1"/>
  <c r="AS56" i="2"/>
  <c r="AR56" i="2"/>
  <c r="AR52" i="2" s="1"/>
  <c r="AQ56" i="2"/>
  <c r="AP56" i="2"/>
  <c r="AP52" i="2" s="1"/>
  <c r="AO56" i="2"/>
  <c r="AN56" i="2"/>
  <c r="AN51" i="2" s="1"/>
  <c r="AN50" i="2" s="1"/>
  <c r="AM56" i="2"/>
  <c r="AM52" i="2" s="1"/>
  <c r="AL56" i="2"/>
  <c r="AL52" i="2" s="1"/>
  <c r="AK56" i="2"/>
  <c r="AJ56" i="2"/>
  <c r="AJ51" i="2" s="1"/>
  <c r="AJ50" i="2" s="1"/>
  <c r="AI56" i="2"/>
  <c r="AH56" i="2"/>
  <c r="AH52" i="2" s="1"/>
  <c r="AG56" i="2"/>
  <c r="AF56" i="2"/>
  <c r="AF52" i="2" s="1"/>
  <c r="AE56" i="2"/>
  <c r="AD56" i="2"/>
  <c r="AD51" i="2" s="1"/>
  <c r="AD50" i="2" s="1"/>
  <c r="AC56" i="2"/>
  <c r="AB56" i="2"/>
  <c r="AB52" i="2" s="1"/>
  <c r="AA56" i="2"/>
  <c r="Z56" i="2"/>
  <c r="Z52" i="2" s="1"/>
  <c r="Y56" i="2"/>
  <c r="X56" i="2"/>
  <c r="X51" i="2" s="1"/>
  <c r="X50" i="2" s="1"/>
  <c r="W56" i="2"/>
  <c r="V56" i="2"/>
  <c r="V52" i="2" s="1"/>
  <c r="U56" i="2"/>
  <c r="T56" i="2"/>
  <c r="T51" i="2" s="1"/>
  <c r="T50" i="2" s="1"/>
  <c r="S56" i="2"/>
  <c r="R56" i="2"/>
  <c r="R52" i="2" s="1"/>
  <c r="Q56" i="2"/>
  <c r="P56" i="2"/>
  <c r="P52" i="2" s="1"/>
  <c r="O56" i="2"/>
  <c r="N56" i="2"/>
  <c r="N51" i="2" s="1"/>
  <c r="N50" i="2" s="1"/>
  <c r="M56" i="2"/>
  <c r="L56" i="2"/>
  <c r="L52" i="2" s="1"/>
  <c r="CP55" i="2"/>
  <c r="CP49" i="2" s="1"/>
  <c r="CO55" i="2"/>
  <c r="CN55" i="2"/>
  <c r="CN49" i="2" s="1"/>
  <c r="CO49" i="2" s="1"/>
  <c r="CM55" i="2"/>
  <c r="CM49" i="2" s="1"/>
  <c r="CL55" i="2"/>
  <c r="CL49" i="2" s="1"/>
  <c r="CK55" i="2"/>
  <c r="CK49" i="2" s="1"/>
  <c r="CJ55" i="2"/>
  <c r="CJ49" i="2" s="1"/>
  <c r="CI55" i="2"/>
  <c r="CI49" i="2" s="1"/>
  <c r="CH55" i="2"/>
  <c r="CG55" i="2"/>
  <c r="CG49" i="2" s="1"/>
  <c r="CF55" i="2"/>
  <c r="CF53" i="2" s="1"/>
  <c r="CE55" i="2"/>
  <c r="CE53" i="2" s="1"/>
  <c r="CD55" i="2"/>
  <c r="CC55" i="2"/>
  <c r="CC49" i="2" s="1"/>
  <c r="CB55" i="2"/>
  <c r="CB53" i="2" s="1"/>
  <c r="CA55" i="2"/>
  <c r="CA53" i="2" s="1"/>
  <c r="BZ55" i="2"/>
  <c r="BY55" i="2"/>
  <c r="BY49" i="2" s="1"/>
  <c r="BX55" i="2"/>
  <c r="BX53" i="2" s="1"/>
  <c r="BW55" i="2"/>
  <c r="BW49" i="2" s="1"/>
  <c r="BV55" i="2"/>
  <c r="BV53" i="2" s="1"/>
  <c r="BU55" i="2"/>
  <c r="BU49" i="2" s="1"/>
  <c r="BT55" i="2"/>
  <c r="BT49" i="2" s="1"/>
  <c r="BR55" i="2"/>
  <c r="BQ55" i="2"/>
  <c r="BQ49" i="2" s="1"/>
  <c r="BP55" i="2"/>
  <c r="BP53" i="2" s="1"/>
  <c r="BN55" i="2"/>
  <c r="BM55" i="2"/>
  <c r="BM49" i="2" s="1"/>
  <c r="BL55" i="2"/>
  <c r="BL49" i="2" s="1"/>
  <c r="BK55" i="2"/>
  <c r="BK49" i="2" s="1"/>
  <c r="BJ55" i="2"/>
  <c r="BI55" i="2"/>
  <c r="BI49" i="2" s="1"/>
  <c r="BH55" i="2"/>
  <c r="BH53" i="2" s="1"/>
  <c r="BG55" i="2"/>
  <c r="BG49" i="2" s="1"/>
  <c r="BF55" i="2"/>
  <c r="BE55" i="2"/>
  <c r="BE49" i="2" s="1"/>
  <c r="BD55" i="2"/>
  <c r="BD49" i="2" s="1"/>
  <c r="BC55" i="2"/>
  <c r="BC53" i="2" s="1"/>
  <c r="BB55" i="2"/>
  <c r="BA55" i="2"/>
  <c r="BA49" i="2" s="1"/>
  <c r="AZ55" i="2"/>
  <c r="AZ53" i="2" s="1"/>
  <c r="AY55" i="2"/>
  <c r="AY53" i="2" s="1"/>
  <c r="AX55" i="2"/>
  <c r="AW55" i="2"/>
  <c r="AW49" i="2" s="1"/>
  <c r="AV55" i="2"/>
  <c r="AV49" i="2" s="1"/>
  <c r="AU55" i="2"/>
  <c r="AU49" i="2" s="1"/>
  <c r="AT55" i="2"/>
  <c r="AT53" i="2" s="1"/>
  <c r="AS55" i="2"/>
  <c r="AS49" i="2" s="1"/>
  <c r="AR55" i="2"/>
  <c r="AR53" i="2" s="1"/>
  <c r="AQ55" i="2"/>
  <c r="AQ49" i="2" s="1"/>
  <c r="AP55" i="2"/>
  <c r="AO55" i="2"/>
  <c r="AO49" i="2" s="1"/>
  <c r="AN55" i="2"/>
  <c r="AN53" i="2" s="1"/>
  <c r="AM55" i="2"/>
  <c r="AM53" i="2" s="1"/>
  <c r="AL55" i="2"/>
  <c r="AK55" i="2"/>
  <c r="AK49" i="2" s="1"/>
  <c r="AJ55" i="2"/>
  <c r="AJ53" i="2" s="1"/>
  <c r="AI55" i="2"/>
  <c r="AI53" i="2" s="1"/>
  <c r="AH55" i="2"/>
  <c r="AG55" i="2"/>
  <c r="AG49" i="2" s="1"/>
  <c r="AF55" i="2"/>
  <c r="AF53" i="2" s="1"/>
  <c r="AE55" i="2"/>
  <c r="AE49" i="2" s="1"/>
  <c r="AD55" i="2"/>
  <c r="AC55" i="2"/>
  <c r="AC49" i="2" s="1"/>
  <c r="AB55" i="2"/>
  <c r="AB53" i="2" s="1"/>
  <c r="AA55" i="2"/>
  <c r="AA49" i="2" s="1"/>
  <c r="Z55" i="2"/>
  <c r="Y55" i="2"/>
  <c r="Y49" i="2" s="1"/>
  <c r="X55" i="2"/>
  <c r="X49" i="2" s="1"/>
  <c r="W55" i="2"/>
  <c r="W53" i="2" s="1"/>
  <c r="V55" i="2"/>
  <c r="U55" i="2"/>
  <c r="U49" i="2" s="1"/>
  <c r="T55" i="2"/>
  <c r="T53" i="2" s="1"/>
  <c r="S55" i="2"/>
  <c r="S53" i="2" s="1"/>
  <c r="R55" i="2"/>
  <c r="R53" i="2" s="1"/>
  <c r="Q55" i="2"/>
  <c r="Q49" i="2" s="1"/>
  <c r="P55" i="2"/>
  <c r="P49" i="2" s="1"/>
  <c r="O55" i="2"/>
  <c r="O49" i="2" s="1"/>
  <c r="N55" i="2"/>
  <c r="M55" i="2"/>
  <c r="M49" i="2" s="1"/>
  <c r="L55" i="2"/>
  <c r="L53" i="2" s="1"/>
  <c r="CO53" i="2"/>
  <c r="CJ53" i="2"/>
  <c r="CS52" i="2"/>
  <c r="CT52" i="2" s="1"/>
  <c r="CU52" i="2" s="1"/>
  <c r="CU51" i="2"/>
  <c r="CU50" i="2" s="1"/>
  <c r="CT50" i="2"/>
  <c r="CS50" i="2"/>
  <c r="CT49" i="2"/>
  <c r="CU49" i="2" s="1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CD39" i="2"/>
  <c r="CC39" i="2"/>
  <c r="CO38" i="2"/>
  <c r="CP38" i="2" s="1"/>
  <c r="CL38" i="2"/>
  <c r="CK38" i="2"/>
  <c r="CJ38" i="2"/>
  <c r="EZ38" i="2" s="1"/>
  <c r="CH38" i="2"/>
  <c r="CG38" i="2"/>
  <c r="CF38" i="2"/>
  <c r="CE38" i="2"/>
  <c r="DX38" i="2" s="1"/>
  <c r="CC37" i="2"/>
  <c r="CC36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FA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Z38" i="2"/>
  <c r="DY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K37" i="2"/>
  <c r="DJ37" i="2"/>
  <c r="DI37" i="2"/>
  <c r="DH37" i="2"/>
  <c r="DG37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K36" i="2"/>
  <c r="DJ36" i="2"/>
  <c r="DI36" i="2"/>
  <c r="DH36" i="2"/>
  <c r="DG36" i="2"/>
  <c r="DZ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FB37" i="2"/>
  <c r="CI35" i="2"/>
  <c r="CI86" i="2" s="1"/>
  <c r="CJ65" i="1" s="1"/>
  <c r="CO33" i="2"/>
  <c r="CN33" i="2"/>
  <c r="CN43" i="2" s="1"/>
  <c r="CL33" i="2"/>
  <c r="CL43" i="2" s="1"/>
  <c r="CJ33" i="2"/>
  <c r="CI33" i="2"/>
  <c r="CH33" i="2"/>
  <c r="CG33" i="2"/>
  <c r="CG43" i="2" s="1"/>
  <c r="CE33" i="2"/>
  <c r="CD33" i="2"/>
  <c r="CB33" i="2"/>
  <c r="CB43" i="2" s="1"/>
  <c r="CA33" i="2"/>
  <c r="CA43" i="2" s="1"/>
  <c r="BZ33" i="2"/>
  <c r="BZ43" i="2" s="1"/>
  <c r="BY33" i="2"/>
  <c r="BY43" i="2" s="1"/>
  <c r="BX33" i="2"/>
  <c r="BX43" i="2" s="1"/>
  <c r="BW33" i="2"/>
  <c r="BW43" i="2" s="1"/>
  <c r="BV33" i="2"/>
  <c r="BV43" i="2" s="1"/>
  <c r="BU33" i="2"/>
  <c r="BU43" i="2" s="1"/>
  <c r="BT33" i="2"/>
  <c r="BT43" i="2" s="1"/>
  <c r="BS33" i="2"/>
  <c r="BS43" i="2" s="1"/>
  <c r="BR33" i="2"/>
  <c r="BR43" i="2" s="1"/>
  <c r="BQ33" i="2"/>
  <c r="BQ43" i="2" s="1"/>
  <c r="BP33" i="2"/>
  <c r="BP43" i="2" s="1"/>
  <c r="BO33" i="2"/>
  <c r="BO43" i="2" s="1"/>
  <c r="BN33" i="2"/>
  <c r="BN43" i="2" s="1"/>
  <c r="BM33" i="2"/>
  <c r="BM43" i="2" s="1"/>
  <c r="BL33" i="2"/>
  <c r="BL43" i="2" s="1"/>
  <c r="BK33" i="2"/>
  <c r="BK43" i="2" s="1"/>
  <c r="BJ33" i="2"/>
  <c r="BJ43" i="2" s="1"/>
  <c r="BI33" i="2"/>
  <c r="BI43" i="2" s="1"/>
  <c r="BH33" i="2"/>
  <c r="BH43" i="2" s="1"/>
  <c r="BG33" i="2"/>
  <c r="BG43" i="2" s="1"/>
  <c r="BF33" i="2"/>
  <c r="BF43" i="2" s="1"/>
  <c r="BE33" i="2"/>
  <c r="BE43" i="2" s="1"/>
  <c r="BD33" i="2"/>
  <c r="BD43" i="2" s="1"/>
  <c r="BC33" i="2"/>
  <c r="BC43" i="2" s="1"/>
  <c r="BB33" i="2"/>
  <c r="BB43" i="2" s="1"/>
  <c r="BA33" i="2"/>
  <c r="BA43" i="2" s="1"/>
  <c r="AZ33" i="2"/>
  <c r="AZ43" i="2" s="1"/>
  <c r="AY33" i="2"/>
  <c r="AY43" i="2" s="1"/>
  <c r="AX33" i="2"/>
  <c r="AX43" i="2" s="1"/>
  <c r="AW33" i="2"/>
  <c r="AW43" i="2" s="1"/>
  <c r="AV33" i="2"/>
  <c r="AV43" i="2" s="1"/>
  <c r="AU33" i="2"/>
  <c r="AU43" i="2" s="1"/>
  <c r="AT33" i="2"/>
  <c r="AT43" i="2" s="1"/>
  <c r="AS33" i="2"/>
  <c r="AS43" i="2" s="1"/>
  <c r="AR33" i="2"/>
  <c r="AR43" i="2" s="1"/>
  <c r="AQ33" i="2"/>
  <c r="AQ43" i="2" s="1"/>
  <c r="AP33" i="2"/>
  <c r="AP43" i="2" s="1"/>
  <c r="AO33" i="2"/>
  <c r="AO43" i="2" s="1"/>
  <c r="AN33" i="2"/>
  <c r="AN43" i="2" s="1"/>
  <c r="AM33" i="2"/>
  <c r="AM43" i="2" s="1"/>
  <c r="AL33" i="2"/>
  <c r="AL43" i="2" s="1"/>
  <c r="AK33" i="2"/>
  <c r="AK43" i="2" s="1"/>
  <c r="AJ33" i="2"/>
  <c r="AJ43" i="2" s="1"/>
  <c r="AI33" i="2"/>
  <c r="AI43" i="2" s="1"/>
  <c r="AH33" i="2"/>
  <c r="AH43" i="2" s="1"/>
  <c r="AG33" i="2"/>
  <c r="AG43" i="2" s="1"/>
  <c r="AF33" i="2"/>
  <c r="AF43" i="2" s="1"/>
  <c r="AE33" i="2"/>
  <c r="AE43" i="2" s="1"/>
  <c r="AD33" i="2"/>
  <c r="AD43" i="2" s="1"/>
  <c r="AC33" i="2"/>
  <c r="AC43" i="2" s="1"/>
  <c r="AB33" i="2"/>
  <c r="AB43" i="2" s="1"/>
  <c r="AA33" i="2"/>
  <c r="AA43" i="2" s="1"/>
  <c r="Z33" i="2"/>
  <c r="Z43" i="2" s="1"/>
  <c r="Y33" i="2"/>
  <c r="Y43" i="2" s="1"/>
  <c r="X33" i="2"/>
  <c r="X43" i="2" s="1"/>
  <c r="W33" i="2"/>
  <c r="W43" i="2" s="1"/>
  <c r="V33" i="2"/>
  <c r="V43" i="2" s="1"/>
  <c r="U33" i="2"/>
  <c r="U43" i="2" s="1"/>
  <c r="T33" i="2"/>
  <c r="T43" i="2" s="1"/>
  <c r="S33" i="2"/>
  <c r="S43" i="2" s="1"/>
  <c r="R33" i="2"/>
  <c r="R43" i="2" s="1"/>
  <c r="Q33" i="2"/>
  <c r="Q43" i="2" s="1"/>
  <c r="P33" i="2"/>
  <c r="P43" i="2" s="1"/>
  <c r="O33" i="2"/>
  <c r="O43" i="2" s="1"/>
  <c r="N33" i="2"/>
  <c r="N43" i="2" s="1"/>
  <c r="M33" i="2"/>
  <c r="M43" i="2" s="1"/>
  <c r="L33" i="2"/>
  <c r="L43" i="2" s="1"/>
  <c r="CF30" i="2"/>
  <c r="CF33" i="2" s="1"/>
  <c r="CF43" i="2" s="1"/>
  <c r="CC30" i="2"/>
  <c r="CP29" i="2"/>
  <c r="CP33" i="2" s="1"/>
  <c r="CK29" i="2"/>
  <c r="CK33" i="2" s="1"/>
  <c r="CK43" i="2" s="1"/>
  <c r="CC28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FA30" i="2"/>
  <c r="EZ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FA27" i="2"/>
  <c r="FA52" i="2" s="1"/>
  <c r="EZ27" i="2"/>
  <c r="EZ52" i="2" s="1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DZ32" i="2"/>
  <c r="DY32" i="2"/>
  <c r="DX32" i="2"/>
  <c r="DW32" i="2"/>
  <c r="DV32" i="2"/>
  <c r="DU32" i="2"/>
  <c r="DT32" i="2"/>
  <c r="DS32" i="2"/>
  <c r="DR32" i="2"/>
  <c r="DQ32" i="2"/>
  <c r="DP32" i="2"/>
  <c r="DO32" i="2"/>
  <c r="DN32" i="2"/>
  <c r="DM32" i="2"/>
  <c r="DL32" i="2"/>
  <c r="DK32" i="2"/>
  <c r="DJ32" i="2"/>
  <c r="DI32" i="2"/>
  <c r="DH32" i="2"/>
  <c r="DG32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K31" i="2"/>
  <c r="DJ31" i="2"/>
  <c r="DI31" i="2"/>
  <c r="DH31" i="2"/>
  <c r="DG31" i="2"/>
  <c r="DZ30" i="2"/>
  <c r="DY30" i="2"/>
  <c r="DX30" i="2"/>
  <c r="DW30" i="2"/>
  <c r="DV30" i="2"/>
  <c r="DU30" i="2"/>
  <c r="DT30" i="2"/>
  <c r="DS30" i="2"/>
  <c r="DR30" i="2"/>
  <c r="DQ30" i="2"/>
  <c r="DP30" i="2"/>
  <c r="DO30" i="2"/>
  <c r="DN30" i="2"/>
  <c r="DM30" i="2"/>
  <c r="DL30" i="2"/>
  <c r="DK30" i="2"/>
  <c r="DJ30" i="2"/>
  <c r="DI30" i="2"/>
  <c r="DH30" i="2"/>
  <c r="DG30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K29" i="2"/>
  <c r="DJ29" i="2"/>
  <c r="DI29" i="2"/>
  <c r="DH29" i="2"/>
  <c r="DG29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K28" i="2"/>
  <c r="DJ28" i="2"/>
  <c r="DI28" i="2"/>
  <c r="DH28" i="2"/>
  <c r="DG28" i="2"/>
  <c r="DY27" i="2"/>
  <c r="DX27" i="2"/>
  <c r="DW27" i="2"/>
  <c r="DV27" i="2"/>
  <c r="DU27" i="2"/>
  <c r="DT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CQ87" i="2"/>
  <c r="EA31" i="2"/>
  <c r="CM27" i="2"/>
  <c r="DZ27" i="2" s="1"/>
  <c r="FA23" i="2"/>
  <c r="EZ23" i="2"/>
  <c r="EY23" i="2"/>
  <c r="EW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DZ23" i="2"/>
  <c r="DY23" i="2"/>
  <c r="DX23" i="2"/>
  <c r="DV23" i="2"/>
  <c r="DU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CL23" i="2"/>
  <c r="CL22" i="2"/>
  <c r="CL82" i="2" s="1"/>
  <c r="CL21" i="2"/>
  <c r="CL20" i="2"/>
  <c r="CC23" i="2"/>
  <c r="CB23" i="2"/>
  <c r="EX23" i="2" s="1"/>
  <c r="CA23" i="2"/>
  <c r="DW23" i="2" s="1"/>
  <c r="BV23" i="2"/>
  <c r="BU23" i="2"/>
  <c r="BT23" i="2"/>
  <c r="EV23" i="2" s="1"/>
  <c r="BR23" i="2"/>
  <c r="BQ23" i="2"/>
  <c r="BP23" i="2"/>
  <c r="EU23" i="2" s="1"/>
  <c r="BO23" i="2"/>
  <c r="DT23" i="2" s="1"/>
  <c r="BN23" i="2"/>
  <c r="BM23" i="2"/>
  <c r="BL23" i="2"/>
  <c r="ET23" i="2" s="1"/>
  <c r="BK23" i="2"/>
  <c r="DS23" i="2" s="1"/>
  <c r="CP21" i="2"/>
  <c r="EA21" i="2" s="1"/>
  <c r="CP20" i="2"/>
  <c r="CP19" i="2"/>
  <c r="CP18" i="2"/>
  <c r="CC20" i="2"/>
  <c r="CC93" i="2" s="1"/>
  <c r="FA22" i="2"/>
  <c r="EZ22" i="2"/>
  <c r="EY22" i="2"/>
  <c r="EX22" i="2"/>
  <c r="EW22" i="2"/>
  <c r="EV22" i="2"/>
  <c r="EU22" i="2"/>
  <c r="ET22" i="2"/>
  <c r="FA21" i="2"/>
  <c r="EZ21" i="2"/>
  <c r="EY21" i="2"/>
  <c r="EX21" i="2"/>
  <c r="EW21" i="2"/>
  <c r="EV21" i="2"/>
  <c r="EU21" i="2"/>
  <c r="ET21" i="2"/>
  <c r="FA20" i="2"/>
  <c r="EZ20" i="2"/>
  <c r="EY20" i="2"/>
  <c r="EX20" i="2"/>
  <c r="EW20" i="2"/>
  <c r="EV20" i="2"/>
  <c r="EU20" i="2"/>
  <c r="ET20" i="2"/>
  <c r="FA19" i="2"/>
  <c r="EZ19" i="2"/>
  <c r="EY19" i="2"/>
  <c r="EX19" i="2"/>
  <c r="EW19" i="2"/>
  <c r="EV19" i="2"/>
  <c r="EU19" i="2"/>
  <c r="ET19" i="2"/>
  <c r="FA18" i="2"/>
  <c r="EZ18" i="2"/>
  <c r="EY18" i="2"/>
  <c r="EX18" i="2"/>
  <c r="EW18" i="2"/>
  <c r="EV18" i="2"/>
  <c r="EU18" i="2"/>
  <c r="ET18" i="2"/>
  <c r="FA17" i="2"/>
  <c r="FA75" i="3" s="1"/>
  <c r="EZ17" i="2"/>
  <c r="EZ75" i="3" s="1"/>
  <c r="EY17" i="2"/>
  <c r="EY75" i="3" s="1"/>
  <c r="EX17" i="2"/>
  <c r="EX75" i="3" s="1"/>
  <c r="EW17" i="2"/>
  <c r="EW75" i="3" s="1"/>
  <c r="EV17" i="2"/>
  <c r="EV75" i="3" s="1"/>
  <c r="EU17" i="2"/>
  <c r="EU75" i="3" s="1"/>
  <c r="ET17" i="2"/>
  <c r="ET75" i="3" s="1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S17" i="2"/>
  <c r="ES75" i="3" s="1"/>
  <c r="ER17" i="2"/>
  <c r="ER75" i="3" s="1"/>
  <c r="EQ17" i="2"/>
  <c r="EQ75" i="3" s="1"/>
  <c r="EP17" i="2"/>
  <c r="EP75" i="3" s="1"/>
  <c r="EO17" i="2"/>
  <c r="EO75" i="3" s="1"/>
  <c r="EN17" i="2"/>
  <c r="EN75" i="3" s="1"/>
  <c r="EM17" i="2"/>
  <c r="EM75" i="3" s="1"/>
  <c r="EL17" i="2"/>
  <c r="EL75" i="3" s="1"/>
  <c r="EK17" i="2"/>
  <c r="EK75" i="3" s="1"/>
  <c r="EJ17" i="2"/>
  <c r="EJ75" i="3" s="1"/>
  <c r="EI17" i="2"/>
  <c r="EI75" i="3" s="1"/>
  <c r="EH17" i="2"/>
  <c r="EH75" i="3" s="1"/>
  <c r="EG17" i="2"/>
  <c r="DZ22" i="2"/>
  <c r="DY22" i="2"/>
  <c r="DX22" i="2"/>
  <c r="DW22" i="2"/>
  <c r="DV22" i="2"/>
  <c r="DU22" i="2"/>
  <c r="DT22" i="2"/>
  <c r="DZ21" i="2"/>
  <c r="DY21" i="2"/>
  <c r="DX21" i="2"/>
  <c r="DW21" i="2"/>
  <c r="DV21" i="2"/>
  <c r="DU21" i="2"/>
  <c r="DT21" i="2"/>
  <c r="DZ20" i="2"/>
  <c r="DY20" i="2"/>
  <c r="DX20" i="2"/>
  <c r="DW20" i="2"/>
  <c r="DV20" i="2"/>
  <c r="DU20" i="2"/>
  <c r="DT20" i="2"/>
  <c r="DZ19" i="2"/>
  <c r="DY19" i="2"/>
  <c r="DX19" i="2"/>
  <c r="DW19" i="2"/>
  <c r="DV19" i="2"/>
  <c r="DU19" i="2"/>
  <c r="DT19" i="2"/>
  <c r="DZ18" i="2"/>
  <c r="DY18" i="2"/>
  <c r="DX18" i="2"/>
  <c r="DW18" i="2"/>
  <c r="DV18" i="2"/>
  <c r="DU18" i="2"/>
  <c r="DT18" i="2"/>
  <c r="DZ17" i="2"/>
  <c r="DZ75" i="3" s="1"/>
  <c r="DY17" i="2"/>
  <c r="DY75" i="3" s="1"/>
  <c r="DX17" i="2"/>
  <c r="DX75" i="3" s="1"/>
  <c r="DW17" i="2"/>
  <c r="DW75" i="3" s="1"/>
  <c r="DV17" i="2"/>
  <c r="DV75" i="3" s="1"/>
  <c r="DU17" i="2"/>
  <c r="DU75" i="3" s="1"/>
  <c r="DT17" i="2"/>
  <c r="DT75" i="3" s="1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S17" i="2"/>
  <c r="DS75" i="3" s="1"/>
  <c r="DR17" i="2"/>
  <c r="DR75" i="3" s="1"/>
  <c r="DQ17" i="2"/>
  <c r="DQ75" i="3" s="1"/>
  <c r="DP17" i="2"/>
  <c r="DP75" i="3" s="1"/>
  <c r="DO17" i="2"/>
  <c r="DO75" i="3" s="1"/>
  <c r="DN17" i="2"/>
  <c r="DN75" i="3" s="1"/>
  <c r="DM17" i="2"/>
  <c r="DM75" i="3" s="1"/>
  <c r="DL17" i="2"/>
  <c r="DL75" i="3" s="1"/>
  <c r="DK17" i="2"/>
  <c r="DK75" i="3" s="1"/>
  <c r="DJ17" i="2"/>
  <c r="DJ75" i="3" s="1"/>
  <c r="DI17" i="2"/>
  <c r="DI75" i="3" s="1"/>
  <c r="DH17" i="2"/>
  <c r="DH75" i="3" s="1"/>
  <c r="DG17" i="2"/>
  <c r="DG75" i="3" s="1"/>
  <c r="CQ82" i="2"/>
  <c r="CO15" i="2"/>
  <c r="CM15" i="2"/>
  <c r="CM24" i="2" s="1"/>
  <c r="CM71" i="3" s="1"/>
  <c r="CK15" i="2"/>
  <c r="CJ15" i="2"/>
  <c r="CJ100" i="2" s="1"/>
  <c r="CI15" i="2"/>
  <c r="CH15" i="2"/>
  <c r="CH100" i="2" s="1"/>
  <c r="CG15" i="2"/>
  <c r="CF15" i="2"/>
  <c r="CE15" i="2"/>
  <c r="CD15" i="2"/>
  <c r="CC15" i="2"/>
  <c r="CB15" i="2"/>
  <c r="CB100" i="2" s="1"/>
  <c r="CA15" i="2"/>
  <c r="BZ15" i="2"/>
  <c r="BY15" i="2"/>
  <c r="BX15" i="2"/>
  <c r="BX100" i="2" s="1"/>
  <c r="BW15" i="2"/>
  <c r="BV15" i="2"/>
  <c r="BU15" i="2"/>
  <c r="BT15" i="2"/>
  <c r="BT100" i="2" s="1"/>
  <c r="BS15" i="2"/>
  <c r="BR15" i="2"/>
  <c r="BQ15" i="2"/>
  <c r="BP15" i="2"/>
  <c r="BP100" i="2" s="1"/>
  <c r="BO15" i="2"/>
  <c r="BN15" i="2"/>
  <c r="BM15" i="2"/>
  <c r="BL15" i="2"/>
  <c r="BL100" i="2" s="1"/>
  <c r="BK15" i="2"/>
  <c r="BJ15" i="2"/>
  <c r="BI15" i="2"/>
  <c r="BH15" i="2"/>
  <c r="BH100" i="2" s="1"/>
  <c r="BG15" i="2"/>
  <c r="BF15" i="2"/>
  <c r="BE15" i="2"/>
  <c r="BD15" i="2"/>
  <c r="BD100" i="2" s="1"/>
  <c r="BC15" i="2"/>
  <c r="BB15" i="2"/>
  <c r="BA15" i="2"/>
  <c r="AZ15" i="2"/>
  <c r="AZ100" i="2" s="1"/>
  <c r="AY15" i="2"/>
  <c r="AX15" i="2"/>
  <c r="AW15" i="2"/>
  <c r="AV15" i="2"/>
  <c r="AV100" i="2" s="1"/>
  <c r="AU15" i="2"/>
  <c r="AT15" i="2"/>
  <c r="AS15" i="2"/>
  <c r="AR15" i="2"/>
  <c r="AR100" i="2" s="1"/>
  <c r="AQ15" i="2"/>
  <c r="AP15" i="2"/>
  <c r="AO15" i="2"/>
  <c r="AN15" i="2"/>
  <c r="AN100" i="2" s="1"/>
  <c r="AM15" i="2"/>
  <c r="AL15" i="2"/>
  <c r="AK15" i="2"/>
  <c r="AJ15" i="2"/>
  <c r="AJ100" i="2" s="1"/>
  <c r="AI15" i="2"/>
  <c r="AH15" i="2"/>
  <c r="AG15" i="2"/>
  <c r="AF15" i="2"/>
  <c r="AF100" i="2" s="1"/>
  <c r="AE15" i="2"/>
  <c r="AD15" i="2"/>
  <c r="AC15" i="2"/>
  <c r="AB15" i="2"/>
  <c r="AB100" i="2" s="1"/>
  <c r="AA15" i="2"/>
  <c r="Z15" i="2"/>
  <c r="Y15" i="2"/>
  <c r="X15" i="2"/>
  <c r="X100" i="2" s="1"/>
  <c r="W15" i="2"/>
  <c r="V15" i="2"/>
  <c r="U15" i="2"/>
  <c r="T15" i="2"/>
  <c r="T100" i="2" s="1"/>
  <c r="S15" i="2"/>
  <c r="R15" i="2"/>
  <c r="Q15" i="2"/>
  <c r="P15" i="2"/>
  <c r="P100" i="2" s="1"/>
  <c r="O15" i="2"/>
  <c r="N15" i="2"/>
  <c r="M15" i="2"/>
  <c r="L15" i="2"/>
  <c r="L100" i="2" s="1"/>
  <c r="CN14" i="2"/>
  <c r="FA14" i="2" s="1"/>
  <c r="FA53" i="2" s="1"/>
  <c r="CL14" i="2"/>
  <c r="CL15" i="2" s="1"/>
  <c r="CP9" i="2"/>
  <c r="EZ14" i="2"/>
  <c r="EZ53" i="2" s="1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FA12" i="2"/>
  <c r="FA51" i="2" s="1"/>
  <c r="FA50" i="2" s="1"/>
  <c r="EZ12" i="2"/>
  <c r="EZ51" i="2" s="1"/>
  <c r="EZ50" i="2" s="1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FA11" i="2"/>
  <c r="FA49" i="2" s="1"/>
  <c r="EZ11" i="2"/>
  <c r="EZ49" i="2" s="1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FA8" i="2"/>
  <c r="FA164" i="3" s="1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DZ14" i="2"/>
  <c r="DY14" i="2"/>
  <c r="DX14" i="2"/>
  <c r="DW14" i="2"/>
  <c r="DV14" i="2"/>
  <c r="DU14" i="2"/>
  <c r="DT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Z13" i="2"/>
  <c r="DY13" i="2"/>
  <c r="DX13" i="2"/>
  <c r="DW13" i="2"/>
  <c r="DV13" i="2"/>
  <c r="DU13" i="2"/>
  <c r="DT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Z12" i="2"/>
  <c r="DY12" i="2"/>
  <c r="DX12" i="2"/>
  <c r="DW12" i="2"/>
  <c r="DV12" i="2"/>
  <c r="DU12" i="2"/>
  <c r="DT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Z11" i="2"/>
  <c r="DY11" i="2"/>
  <c r="DX11" i="2"/>
  <c r="DW11" i="2"/>
  <c r="DV11" i="2"/>
  <c r="DU11" i="2"/>
  <c r="DT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ED6" i="2"/>
  <c r="EC6" i="2"/>
  <c r="EB6" i="2"/>
  <c r="EB6" i="3" s="1"/>
  <c r="EA6" i="2"/>
  <c r="EA6" i="3" s="1"/>
  <c r="DZ6" i="2"/>
  <c r="DZ6" i="3" s="1"/>
  <c r="DY6" i="2"/>
  <c r="DY6" i="3" s="1"/>
  <c r="DX6" i="2"/>
  <c r="DX6" i="3" s="1"/>
  <c r="DW6" i="2"/>
  <c r="DV6" i="2"/>
  <c r="DV6" i="3" s="1"/>
  <c r="DU6" i="2"/>
  <c r="DU6" i="3" s="1"/>
  <c r="DT6" i="2"/>
  <c r="DT6" i="3" s="1"/>
  <c r="DS6" i="2"/>
  <c r="DS6" i="3" s="1"/>
  <c r="DR6" i="2"/>
  <c r="DR6" i="3" s="1"/>
  <c r="DQ6" i="2"/>
  <c r="DQ6" i="3" s="1"/>
  <c r="DP6" i="2"/>
  <c r="DP6" i="3" s="1"/>
  <c r="DO6" i="2"/>
  <c r="DO6" i="3" s="1"/>
  <c r="DN6" i="2"/>
  <c r="DN6" i="3" s="1"/>
  <c r="DM6" i="2"/>
  <c r="DM6" i="3" s="1"/>
  <c r="DL6" i="2"/>
  <c r="DL6" i="3" s="1"/>
  <c r="DK6" i="2"/>
  <c r="DK6" i="3" s="1"/>
  <c r="DJ6" i="2"/>
  <c r="DJ6" i="3" s="1"/>
  <c r="DI6" i="2"/>
  <c r="DI6" i="3" s="1"/>
  <c r="DH6" i="2"/>
  <c r="DH6" i="3" s="1"/>
  <c r="DG6" i="2"/>
  <c r="DG6" i="3" s="1"/>
  <c r="DF6" i="2"/>
  <c r="DF6" i="3" s="1"/>
  <c r="DE6" i="2"/>
  <c r="DE6" i="3" s="1"/>
  <c r="EP5" i="2"/>
  <c r="EO5" i="2"/>
  <c r="EN5" i="2"/>
  <c r="EM5" i="2"/>
  <c r="EL5" i="2"/>
  <c r="EK5" i="2"/>
  <c r="EJ5" i="2"/>
  <c r="EI5" i="2"/>
  <c r="EH5" i="2"/>
  <c r="EG5" i="2"/>
  <c r="EF5" i="2"/>
  <c r="CU6" i="2"/>
  <c r="CU6" i="3" s="1"/>
  <c r="CT6" i="2"/>
  <c r="CT6" i="3" s="1"/>
  <c r="CS6" i="2"/>
  <c r="CS6" i="3" s="1"/>
  <c r="CR6" i="2"/>
  <c r="CR6" i="3" s="1"/>
  <c r="CQ6" i="2"/>
  <c r="CQ6" i="3" s="1"/>
  <c r="CP6" i="2"/>
  <c r="CP6" i="3" s="1"/>
  <c r="CO6" i="2"/>
  <c r="CO6" i="3" s="1"/>
  <c r="CN6" i="2"/>
  <c r="CN6" i="3" s="1"/>
  <c r="CM6" i="2"/>
  <c r="CM6" i="3" s="1"/>
  <c r="CL6" i="2"/>
  <c r="CL6" i="3" s="1"/>
  <c r="CK6" i="2"/>
  <c r="CJ6" i="2"/>
  <c r="CJ6" i="3" s="1"/>
  <c r="CI6" i="2"/>
  <c r="CI6" i="3" s="1"/>
  <c r="CH6" i="2"/>
  <c r="CH6" i="3" s="1"/>
  <c r="CG6" i="2"/>
  <c r="CG6" i="3" s="1"/>
  <c r="CF6" i="2"/>
  <c r="CF6" i="3" s="1"/>
  <c r="CE6" i="2"/>
  <c r="CE6" i="3" s="1"/>
  <c r="CD6" i="2"/>
  <c r="CD6" i="3" s="1"/>
  <c r="CC6" i="2"/>
  <c r="CB6" i="2"/>
  <c r="CB6" i="3" s="1"/>
  <c r="CA6" i="2"/>
  <c r="CA6" i="3" s="1"/>
  <c r="BZ6" i="2"/>
  <c r="BZ6" i="3" s="1"/>
  <c r="BY6" i="2"/>
  <c r="BY6" i="3" s="1"/>
  <c r="BX6" i="2"/>
  <c r="BX6" i="3" s="1"/>
  <c r="BW6" i="2"/>
  <c r="BW6" i="3" s="1"/>
  <c r="BV6" i="2"/>
  <c r="BV6" i="3" s="1"/>
  <c r="BU6" i="2"/>
  <c r="BU6" i="3" s="1"/>
  <c r="BT6" i="2"/>
  <c r="BT6" i="3" s="1"/>
  <c r="BS6" i="2"/>
  <c r="BS6" i="3" s="1"/>
  <c r="BR6" i="2"/>
  <c r="BR6" i="3" s="1"/>
  <c r="BQ6" i="2"/>
  <c r="BQ6" i="3" s="1"/>
  <c r="BP6" i="2"/>
  <c r="BP6" i="3" s="1"/>
  <c r="BO6" i="2"/>
  <c r="BO6" i="3" s="1"/>
  <c r="BN6" i="2"/>
  <c r="BN6" i="3" s="1"/>
  <c r="BM6" i="2"/>
  <c r="BL6" i="2"/>
  <c r="BL6" i="3" s="1"/>
  <c r="BK6" i="2"/>
  <c r="BK6" i="3" s="1"/>
  <c r="BJ6" i="2"/>
  <c r="BJ6" i="3" s="1"/>
  <c r="BI6" i="2"/>
  <c r="BI6" i="3" s="1"/>
  <c r="BH6" i="2"/>
  <c r="BH6" i="3" s="1"/>
  <c r="BG6" i="2"/>
  <c r="BG6" i="3" s="1"/>
  <c r="BF6" i="2"/>
  <c r="BF6" i="3" s="1"/>
  <c r="BE6" i="2"/>
  <c r="BE6" i="3" s="1"/>
  <c r="BD6" i="2"/>
  <c r="BD6" i="3" s="1"/>
  <c r="BC6" i="2"/>
  <c r="BC6" i="3" s="1"/>
  <c r="BB6" i="2"/>
  <c r="BB6" i="3" s="1"/>
  <c r="BA6" i="2"/>
  <c r="BA6" i="3" s="1"/>
  <c r="AZ6" i="2"/>
  <c r="AZ6" i="3" s="1"/>
  <c r="AY6" i="2"/>
  <c r="AY6" i="3" s="1"/>
  <c r="AX6" i="2"/>
  <c r="AX6" i="3" s="1"/>
  <c r="AW6" i="2"/>
  <c r="AV6" i="2"/>
  <c r="AV6" i="3" s="1"/>
  <c r="AU6" i="2"/>
  <c r="AU6" i="3" s="1"/>
  <c r="AT6" i="2"/>
  <c r="AT6" i="3" s="1"/>
  <c r="AS6" i="2"/>
  <c r="AS6" i="3" s="1"/>
  <c r="AR6" i="2"/>
  <c r="AR6" i="3" s="1"/>
  <c r="AQ6" i="2"/>
  <c r="AQ6" i="3" s="1"/>
  <c r="AP6" i="2"/>
  <c r="AO6" i="2"/>
  <c r="AN6" i="2"/>
  <c r="AN6" i="3" s="1"/>
  <c r="AM6" i="2"/>
  <c r="AM6" i="3" s="1"/>
  <c r="AL6" i="2"/>
  <c r="AL6" i="3" s="1"/>
  <c r="AK6" i="2"/>
  <c r="AK6" i="3" s="1"/>
  <c r="AJ6" i="2"/>
  <c r="AJ6" i="3" s="1"/>
  <c r="AI6" i="2"/>
  <c r="AI6" i="3" s="1"/>
  <c r="AH6" i="2"/>
  <c r="AH6" i="3" s="1"/>
  <c r="AG6" i="2"/>
  <c r="AG6" i="3" s="1"/>
  <c r="AF6" i="2"/>
  <c r="AF6" i="3" s="1"/>
  <c r="AE6" i="2"/>
  <c r="AE6" i="3" s="1"/>
  <c r="AD6" i="2"/>
  <c r="AD6" i="3" s="1"/>
  <c r="AC6" i="2"/>
  <c r="AC6" i="3" s="1"/>
  <c r="AB6" i="2"/>
  <c r="AB6" i="3" s="1"/>
  <c r="AA6" i="2"/>
  <c r="AA6" i="3" s="1"/>
  <c r="Z6" i="2"/>
  <c r="Z6" i="3" s="1"/>
  <c r="Y6" i="2"/>
  <c r="X6" i="2"/>
  <c r="X6" i="3" s="1"/>
  <c r="W6" i="2"/>
  <c r="W6" i="3" s="1"/>
  <c r="V6" i="2"/>
  <c r="V6" i="3" s="1"/>
  <c r="U6" i="2"/>
  <c r="U6" i="3" s="1"/>
  <c r="T6" i="2"/>
  <c r="T6" i="3" s="1"/>
  <c r="S6" i="2"/>
  <c r="S6" i="3" s="1"/>
  <c r="R6" i="2"/>
  <c r="R6" i="3" s="1"/>
  <c r="Q6" i="2"/>
  <c r="P6" i="2"/>
  <c r="P6" i="3" s="1"/>
  <c r="O6" i="2"/>
  <c r="O6" i="3" s="1"/>
  <c r="N6" i="2"/>
  <c r="N6" i="3" s="1"/>
  <c r="M6" i="2"/>
  <c r="M6" i="3" s="1"/>
  <c r="L6" i="2"/>
  <c r="L6" i="3" s="1"/>
  <c r="K6" i="2"/>
  <c r="K6" i="3" s="1"/>
  <c r="J6" i="2"/>
  <c r="I6" i="2"/>
  <c r="I6" i="3" s="1"/>
  <c r="H6" i="2"/>
  <c r="H6" i="3" s="1"/>
  <c r="G6" i="2"/>
  <c r="G6" i="3" s="1"/>
  <c r="F6" i="2"/>
  <c r="F6" i="3" s="1"/>
  <c r="E6" i="2"/>
  <c r="E6" i="3" s="1"/>
  <c r="D6" i="2"/>
  <c r="D6" i="3" s="1"/>
  <c r="CU5" i="2"/>
  <c r="CU5" i="3" s="1"/>
  <c r="CT5" i="2"/>
  <c r="CT5" i="3" s="1"/>
  <c r="CS5" i="2"/>
  <c r="CS5" i="3" s="1"/>
  <c r="CR5" i="2"/>
  <c r="CR5" i="3" s="1"/>
  <c r="CQ5" i="2"/>
  <c r="CQ5" i="3" s="1"/>
  <c r="CP5" i="2"/>
  <c r="CP5" i="3" s="1"/>
  <c r="CO5" i="2"/>
  <c r="CO5" i="3" s="1"/>
  <c r="CN5" i="2"/>
  <c r="CN5" i="3" s="1"/>
  <c r="CM5" i="2"/>
  <c r="CM5" i="3" s="1"/>
  <c r="CL5" i="2"/>
  <c r="CL5" i="3" s="1"/>
  <c r="CK5" i="2"/>
  <c r="CK5" i="3" s="1"/>
  <c r="CJ5" i="2"/>
  <c r="CJ5" i="3" s="1"/>
  <c r="CI5" i="2"/>
  <c r="CI5" i="3" s="1"/>
  <c r="CH5" i="2"/>
  <c r="CH5" i="3" s="1"/>
  <c r="CG5" i="2"/>
  <c r="CG5" i="3" s="1"/>
  <c r="CF5" i="2"/>
  <c r="CF5" i="3" s="1"/>
  <c r="CE5" i="2"/>
  <c r="CE5" i="3" s="1"/>
  <c r="CD5" i="2"/>
  <c r="CD5" i="3" s="1"/>
  <c r="CC5" i="2"/>
  <c r="CC5" i="3" s="1"/>
  <c r="CB5" i="2"/>
  <c r="CB5" i="3" s="1"/>
  <c r="CA5" i="2"/>
  <c r="CA5" i="3" s="1"/>
  <c r="BZ5" i="2"/>
  <c r="BZ5" i="3" s="1"/>
  <c r="BY5" i="2"/>
  <c r="BY5" i="3" s="1"/>
  <c r="BX5" i="2"/>
  <c r="BX5" i="3" s="1"/>
  <c r="BW5" i="2"/>
  <c r="BW5" i="3" s="1"/>
  <c r="BV5" i="2"/>
  <c r="BV5" i="3" s="1"/>
  <c r="BU5" i="2"/>
  <c r="BU5" i="3" s="1"/>
  <c r="BT5" i="2"/>
  <c r="BT5" i="3" s="1"/>
  <c r="BS5" i="2"/>
  <c r="BS5" i="3" s="1"/>
  <c r="BR5" i="2"/>
  <c r="BR5" i="3" s="1"/>
  <c r="BQ5" i="2"/>
  <c r="BQ5" i="3" s="1"/>
  <c r="BP5" i="2"/>
  <c r="BP5" i="3" s="1"/>
  <c r="BO5" i="2"/>
  <c r="BO5" i="3" s="1"/>
  <c r="BN5" i="2"/>
  <c r="BN5" i="3" s="1"/>
  <c r="BM5" i="2"/>
  <c r="BM5" i="3" s="1"/>
  <c r="BL5" i="2"/>
  <c r="BL5" i="3" s="1"/>
  <c r="BK5" i="2"/>
  <c r="BK5" i="3" s="1"/>
  <c r="BJ5" i="2"/>
  <c r="BJ5" i="3" s="1"/>
  <c r="BI5" i="2"/>
  <c r="BI5" i="3" s="1"/>
  <c r="BH5" i="2"/>
  <c r="BH5" i="3" s="1"/>
  <c r="BG5" i="2"/>
  <c r="BG5" i="3" s="1"/>
  <c r="BF5" i="2"/>
  <c r="BF5" i="3" s="1"/>
  <c r="BE5" i="2"/>
  <c r="BE5" i="3" s="1"/>
  <c r="BD5" i="2"/>
  <c r="BD5" i="3" s="1"/>
  <c r="BC5" i="2"/>
  <c r="BC5" i="3" s="1"/>
  <c r="BB5" i="2"/>
  <c r="BB5" i="3" s="1"/>
  <c r="BA5" i="2"/>
  <c r="BA5" i="3" s="1"/>
  <c r="AZ5" i="2"/>
  <c r="AZ5" i="3" s="1"/>
  <c r="AY5" i="2"/>
  <c r="AY5" i="3" s="1"/>
  <c r="AX5" i="2"/>
  <c r="AX5" i="3" s="1"/>
  <c r="AW5" i="2"/>
  <c r="AW5" i="3" s="1"/>
  <c r="AV5" i="2"/>
  <c r="AV5" i="3" s="1"/>
  <c r="AU5" i="2"/>
  <c r="AU5" i="3" s="1"/>
  <c r="AT5" i="2"/>
  <c r="AT5" i="3" s="1"/>
  <c r="AS5" i="2"/>
  <c r="AS5" i="3" s="1"/>
  <c r="AR5" i="2"/>
  <c r="AR5" i="3" s="1"/>
  <c r="AQ5" i="2"/>
  <c r="AQ5" i="3" s="1"/>
  <c r="AP5" i="2"/>
  <c r="AP5" i="3" s="1"/>
  <c r="AO5" i="2"/>
  <c r="AO5" i="3" s="1"/>
  <c r="AN5" i="2"/>
  <c r="AN5" i="3" s="1"/>
  <c r="AM5" i="2"/>
  <c r="AM5" i="3" s="1"/>
  <c r="AL5" i="2"/>
  <c r="AL5" i="3" s="1"/>
  <c r="AK5" i="2"/>
  <c r="AK5" i="3" s="1"/>
  <c r="AJ5" i="2"/>
  <c r="AJ5" i="3" s="1"/>
  <c r="AI5" i="2"/>
  <c r="AI5" i="3" s="1"/>
  <c r="AH5" i="2"/>
  <c r="AH5" i="3" s="1"/>
  <c r="AG5" i="2"/>
  <c r="AG5" i="3" s="1"/>
  <c r="AF5" i="2"/>
  <c r="AF5" i="3" s="1"/>
  <c r="AE5" i="2"/>
  <c r="AE5" i="3" s="1"/>
  <c r="AD5" i="2"/>
  <c r="AD5" i="3" s="1"/>
  <c r="AC5" i="2"/>
  <c r="AC5" i="3" s="1"/>
  <c r="AB5" i="2"/>
  <c r="AB5" i="3" s="1"/>
  <c r="AA5" i="2"/>
  <c r="AA5" i="3" s="1"/>
  <c r="Z5" i="2"/>
  <c r="Z5" i="3" s="1"/>
  <c r="Y5" i="2"/>
  <c r="Y5" i="3" s="1"/>
  <c r="X5" i="2"/>
  <c r="X5" i="3" s="1"/>
  <c r="W5" i="2"/>
  <c r="W5" i="3" s="1"/>
  <c r="V5" i="2"/>
  <c r="V5" i="3" s="1"/>
  <c r="U5" i="2"/>
  <c r="U5" i="3" s="1"/>
  <c r="T5" i="2"/>
  <c r="T5" i="3" s="1"/>
  <c r="S5" i="2"/>
  <c r="S5" i="3" s="1"/>
  <c r="R5" i="2"/>
  <c r="R5" i="3" s="1"/>
  <c r="Q5" i="2"/>
  <c r="Q5" i="3" s="1"/>
  <c r="P5" i="2"/>
  <c r="P5" i="3" s="1"/>
  <c r="O5" i="2"/>
  <c r="O5" i="3" s="1"/>
  <c r="N5" i="2"/>
  <c r="N5" i="3" s="1"/>
  <c r="M5" i="2"/>
  <c r="M5" i="3" s="1"/>
  <c r="L5" i="2"/>
  <c r="L5" i="3" s="1"/>
  <c r="K5" i="2"/>
  <c r="K5" i="3" s="1"/>
  <c r="J5" i="2"/>
  <c r="J5" i="3" s="1"/>
  <c r="I5" i="2"/>
  <c r="I5" i="3" s="1"/>
  <c r="H5" i="2"/>
  <c r="H5" i="3" s="1"/>
  <c r="G5" i="2"/>
  <c r="G5" i="3" s="1"/>
  <c r="F5" i="2"/>
  <c r="F5" i="3" s="1"/>
  <c r="E5" i="2"/>
  <c r="E5" i="3" s="1"/>
  <c r="D5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B2" i="2"/>
  <c r="B2" i="3" s="1"/>
  <c r="DZ255" i="2"/>
  <c r="EY179" i="3"/>
  <c r="EX179" i="3"/>
  <c r="EW179" i="3"/>
  <c r="DV255" i="2"/>
  <c r="EU179" i="3"/>
  <c r="ET179" i="3"/>
  <c r="ES179" i="3"/>
  <c r="ER255" i="2"/>
  <c r="EQ179" i="3"/>
  <c r="EP179" i="3"/>
  <c r="EO179" i="3"/>
  <c r="EN255" i="2"/>
  <c r="EM179" i="3"/>
  <c r="EL179" i="3"/>
  <c r="EK179" i="3"/>
  <c r="EJ255" i="2"/>
  <c r="EI179" i="3"/>
  <c r="EH179" i="3"/>
  <c r="EG179" i="3"/>
  <c r="CU179" i="3"/>
  <c r="CT179" i="3"/>
  <c r="CS255" i="2"/>
  <c r="CR179" i="3"/>
  <c r="CQ179" i="3"/>
  <c r="CP179" i="3"/>
  <c r="CO179" i="3"/>
  <c r="CN179" i="3"/>
  <c r="CM179" i="3"/>
  <c r="CL179" i="3"/>
  <c r="CK255" i="2"/>
  <c r="CJ179" i="3"/>
  <c r="CI179" i="3"/>
  <c r="CH179" i="3"/>
  <c r="CG255" i="2"/>
  <c r="CF179" i="3"/>
  <c r="CE179" i="3"/>
  <c r="CD179" i="3"/>
  <c r="CC255" i="2"/>
  <c r="CA179" i="3"/>
  <c r="BZ179" i="3"/>
  <c r="BY255" i="2"/>
  <c r="BX179" i="3"/>
  <c r="BW179" i="3"/>
  <c r="BV179" i="3"/>
  <c r="BU255" i="2"/>
  <c r="BT179" i="3"/>
  <c r="BS179" i="3"/>
  <c r="BR179" i="3"/>
  <c r="BQ255" i="2"/>
  <c r="BP179" i="3"/>
  <c r="BO179" i="3"/>
  <c r="BN179" i="3"/>
  <c r="BM255" i="2"/>
  <c r="BL179" i="3"/>
  <c r="BK179" i="3"/>
  <c r="BJ179" i="3"/>
  <c r="BI255" i="2"/>
  <c r="BH179" i="3"/>
  <c r="BG179" i="3"/>
  <c r="BF179" i="3"/>
  <c r="BE255" i="2"/>
  <c r="BD179" i="3"/>
  <c r="BC179" i="3"/>
  <c r="BB179" i="3"/>
  <c r="BA255" i="2"/>
  <c r="AZ179" i="3"/>
  <c r="AY179" i="3"/>
  <c r="AX179" i="3"/>
  <c r="AW255" i="2"/>
  <c r="AV179" i="3"/>
  <c r="AU179" i="3"/>
  <c r="AT179" i="3"/>
  <c r="AS255" i="2"/>
  <c r="AR179" i="3"/>
  <c r="AQ179" i="3"/>
  <c r="AP179" i="3"/>
  <c r="AO255" i="2"/>
  <c r="AN179" i="3"/>
  <c r="AM179" i="3"/>
  <c r="AL179" i="3"/>
  <c r="AK255" i="2"/>
  <c r="AJ179" i="3"/>
  <c r="AI179" i="3"/>
  <c r="AH179" i="3"/>
  <c r="AG255" i="2"/>
  <c r="AF179" i="3"/>
  <c r="AE179" i="3"/>
  <c r="AD179" i="3"/>
  <c r="AC255" i="2"/>
  <c r="AB179" i="3"/>
  <c r="AA179" i="3"/>
  <c r="Z179" i="3"/>
  <c r="Y255" i="2"/>
  <c r="X179" i="3"/>
  <c r="W179" i="3"/>
  <c r="V179" i="3"/>
  <c r="U255" i="2"/>
  <c r="T179" i="3"/>
  <c r="S179" i="3"/>
  <c r="R179" i="3"/>
  <c r="Q255" i="2"/>
  <c r="P179" i="3"/>
  <c r="O179" i="3"/>
  <c r="N179" i="3"/>
  <c r="M255" i="2"/>
  <c r="L179" i="3"/>
  <c r="DZ202" i="2" l="1"/>
  <c r="O83" i="2"/>
  <c r="S83" i="2"/>
  <c r="W83" i="2"/>
  <c r="W248" i="2" s="1"/>
  <c r="AA83" i="2"/>
  <c r="AE83" i="2"/>
  <c r="AI83" i="2"/>
  <c r="AM83" i="2"/>
  <c r="AM248" i="2" s="1"/>
  <c r="AQ83" i="2"/>
  <c r="AU83" i="2"/>
  <c r="AY83" i="2"/>
  <c r="BC83" i="2"/>
  <c r="BC248" i="2" s="1"/>
  <c r="BG83" i="2"/>
  <c r="BK83" i="2"/>
  <c r="BO83" i="2"/>
  <c r="BS83" i="2"/>
  <c r="BS248" i="2" s="1"/>
  <c r="BW83" i="2"/>
  <c r="CA83" i="2"/>
  <c r="CE83" i="2"/>
  <c r="CI83" i="2"/>
  <c r="CI248" i="2" s="1"/>
  <c r="CM83" i="2"/>
  <c r="CL65" i="1"/>
  <c r="CP65" i="1"/>
  <c r="CC94" i="2"/>
  <c r="D5" i="3"/>
  <c r="EU32" i="3"/>
  <c r="EU136" i="3" s="1"/>
  <c r="BN32" i="3"/>
  <c r="BO32" i="3" s="1"/>
  <c r="BF35" i="3"/>
  <c r="BG35" i="3" s="1"/>
  <c r="EO36" i="3"/>
  <c r="EO140" i="3" s="1"/>
  <c r="AP36" i="3"/>
  <c r="AQ36" i="3" s="1"/>
  <c r="CM36" i="3"/>
  <c r="FA36" i="3"/>
  <c r="FA140" i="3" s="1"/>
  <c r="EZ32" i="3"/>
  <c r="EZ136" i="3" s="1"/>
  <c r="CH32" i="3"/>
  <c r="CI32" i="3" s="1"/>
  <c r="CL35" i="3"/>
  <c r="CM35" i="3" s="1"/>
  <c r="Z36" i="3"/>
  <c r="AA36" i="3" s="1"/>
  <c r="V50" i="3"/>
  <c r="W50" i="3" s="1"/>
  <c r="BW36" i="3"/>
  <c r="EW36" i="3" s="1"/>
  <c r="EW140" i="3" s="1"/>
  <c r="CP32" i="3"/>
  <c r="EK35" i="3"/>
  <c r="EK139" i="3" s="1"/>
  <c r="Z35" i="3"/>
  <c r="AA35" i="3" s="1"/>
  <c r="DR36" i="3"/>
  <c r="DR140" i="3" s="1"/>
  <c r="BF36" i="3"/>
  <c r="BG36" i="3" s="1"/>
  <c r="ES36" i="3"/>
  <c r="ES140" i="3" s="1"/>
  <c r="CH50" i="3"/>
  <c r="CI50" i="3" s="1"/>
  <c r="CP142" i="3"/>
  <c r="CP36" i="3"/>
  <c r="CQ36" i="3" s="1"/>
  <c r="EZ93" i="2"/>
  <c r="EZ94" i="2" s="1"/>
  <c r="EZ92" i="2"/>
  <c r="CT62" i="2"/>
  <c r="CU62" i="2" s="1"/>
  <c r="FB62" i="2"/>
  <c r="DY118" i="2"/>
  <c r="EC136" i="2"/>
  <c r="CZ136" i="2"/>
  <c r="DA136" i="2" s="1"/>
  <c r="DB136" i="2" s="1"/>
  <c r="DC136" i="2" s="1"/>
  <c r="ED136" i="2" s="1"/>
  <c r="DK11" i="3"/>
  <c r="DK115" i="3" s="1"/>
  <c r="DS11" i="3"/>
  <c r="DS115" i="3" s="1"/>
  <c r="FB14" i="3"/>
  <c r="FB118" i="3" s="1"/>
  <c r="CC13" i="3"/>
  <c r="CK13" i="3"/>
  <c r="DE19" i="3"/>
  <c r="DE123" i="3" s="1"/>
  <c r="DW19" i="3"/>
  <c r="DW123" i="3" s="1"/>
  <c r="DF20" i="3"/>
  <c r="DF124" i="3" s="1"/>
  <c r="DJ20" i="3"/>
  <c r="DJ124" i="3" s="1"/>
  <c r="DN20" i="3"/>
  <c r="DN124" i="3" s="1"/>
  <c r="DR20" i="3"/>
  <c r="DR124" i="3" s="1"/>
  <c r="DV20" i="3"/>
  <c r="DV124" i="3" s="1"/>
  <c r="DZ20" i="3"/>
  <c r="DZ124" i="3" s="1"/>
  <c r="DE21" i="3"/>
  <c r="DE125" i="3" s="1"/>
  <c r="DI21" i="3"/>
  <c r="DI125" i="3" s="1"/>
  <c r="DM21" i="3"/>
  <c r="DM125" i="3" s="1"/>
  <c r="DQ21" i="3"/>
  <c r="DQ125" i="3" s="1"/>
  <c r="DU21" i="3"/>
  <c r="DU125" i="3" s="1"/>
  <c r="DY21" i="3"/>
  <c r="DY125" i="3" s="1"/>
  <c r="DE23" i="3"/>
  <c r="DE127" i="3" s="1"/>
  <c r="DF24" i="3"/>
  <c r="DF128" i="3" s="1"/>
  <c r="DJ24" i="3"/>
  <c r="DJ128" i="3" s="1"/>
  <c r="DN24" i="3"/>
  <c r="DN128" i="3" s="1"/>
  <c r="DR24" i="3"/>
  <c r="DR128" i="3" s="1"/>
  <c r="DE25" i="3"/>
  <c r="DE129" i="3" s="1"/>
  <c r="DI25" i="3"/>
  <c r="DI129" i="3" s="1"/>
  <c r="DM25" i="3"/>
  <c r="DM129" i="3" s="1"/>
  <c r="DQ25" i="3"/>
  <c r="DQ129" i="3" s="1"/>
  <c r="DU25" i="3"/>
  <c r="DU129" i="3" s="1"/>
  <c r="DY25" i="3"/>
  <c r="DY129" i="3" s="1"/>
  <c r="DE27" i="3"/>
  <c r="DE131" i="3" s="1"/>
  <c r="H39" i="3"/>
  <c r="FB33" i="3"/>
  <c r="FB137" i="3" s="1"/>
  <c r="DR35" i="3"/>
  <c r="DR139" i="3" s="1"/>
  <c r="DJ36" i="3"/>
  <c r="DJ140" i="3" s="1"/>
  <c r="DZ36" i="3"/>
  <c r="DZ140" i="3" s="1"/>
  <c r="ER50" i="3"/>
  <c r="ER154" i="3" s="1"/>
  <c r="T51" i="3"/>
  <c r="ER49" i="3"/>
  <c r="ER153" i="3" s="1"/>
  <c r="DM50" i="3"/>
  <c r="DM154" i="3" s="1"/>
  <c r="ET53" i="3"/>
  <c r="ET157" i="3" s="1"/>
  <c r="EN56" i="3"/>
  <c r="EN160" i="3" s="1"/>
  <c r="EI73" i="3"/>
  <c r="EQ73" i="3"/>
  <c r="EY73" i="3"/>
  <c r="M155" i="3"/>
  <c r="H16" i="79"/>
  <c r="L16" i="79"/>
  <c r="P16" i="79"/>
  <c r="FA93" i="2"/>
  <c r="FA94" i="2" s="1"/>
  <c r="FA92" i="2"/>
  <c r="CP11" i="3"/>
  <c r="AN51" i="3"/>
  <c r="DG48" i="3"/>
  <c r="DG152" i="3" s="1"/>
  <c r="DK48" i="3"/>
  <c r="DK152" i="3" s="1"/>
  <c r="DO48" i="3"/>
  <c r="DO152" i="3" s="1"/>
  <c r="DS48" i="3"/>
  <c r="DS152" i="3" s="1"/>
  <c r="DW48" i="3"/>
  <c r="DW152" i="3" s="1"/>
  <c r="EA48" i="3"/>
  <c r="EA152" i="3" s="1"/>
  <c r="EV49" i="3"/>
  <c r="EV153" i="3" s="1"/>
  <c r="EH53" i="3"/>
  <c r="EH157" i="3" s="1"/>
  <c r="ER56" i="3"/>
  <c r="ER160" i="3" s="1"/>
  <c r="M28" i="79"/>
  <c r="D30" i="79"/>
  <c r="EZ60" i="3"/>
  <c r="EZ164" i="3"/>
  <c r="N100" i="2"/>
  <c r="V100" i="2"/>
  <c r="AD100" i="2"/>
  <c r="AL100" i="2"/>
  <c r="AT100" i="2"/>
  <c r="BB100" i="2"/>
  <c r="BF100" i="2"/>
  <c r="BV100" i="2"/>
  <c r="U155" i="3"/>
  <c r="N41" i="80"/>
  <c r="G30" i="79"/>
  <c r="D42" i="79"/>
  <c r="DF35" i="3"/>
  <c r="DF139" i="3" s="1"/>
  <c r="R100" i="2"/>
  <c r="Z100" i="2"/>
  <c r="AH100" i="2"/>
  <c r="AP100" i="2"/>
  <c r="AX100" i="2"/>
  <c r="BJ100" i="2"/>
  <c r="BN100" i="2"/>
  <c r="BR100" i="2"/>
  <c r="BZ100" i="2"/>
  <c r="CH43" i="2"/>
  <c r="AV51" i="2"/>
  <c r="AV50" i="2" s="1"/>
  <c r="DY64" i="2"/>
  <c r="M83" i="2"/>
  <c r="M248" i="2" s="1"/>
  <c r="Q83" i="2"/>
  <c r="U83" i="2"/>
  <c r="Y83" i="2"/>
  <c r="AC83" i="2"/>
  <c r="AC248" i="2" s="1"/>
  <c r="AG83" i="2"/>
  <c r="AK83" i="2"/>
  <c r="AO83" i="2"/>
  <c r="AS83" i="2"/>
  <c r="AS248" i="2" s="1"/>
  <c r="AW83" i="2"/>
  <c r="BA83" i="2"/>
  <c r="BE83" i="2"/>
  <c r="BI83" i="2"/>
  <c r="BI248" i="2" s="1"/>
  <c r="BM83" i="2"/>
  <c r="BQ83" i="2"/>
  <c r="BU83" i="2"/>
  <c r="BY83" i="2"/>
  <c r="BY88" i="2" s="1"/>
  <c r="CC83" i="2"/>
  <c r="CG83" i="2"/>
  <c r="CK83" i="2"/>
  <c r="CO83" i="2"/>
  <c r="CP247" i="2" s="1"/>
  <c r="CQ250" i="2" s="1"/>
  <c r="CG11" i="3"/>
  <c r="ES12" i="3"/>
  <c r="ES116" i="3" s="1"/>
  <c r="DV12" i="3"/>
  <c r="DV116" i="3" s="1"/>
  <c r="CG13" i="3"/>
  <c r="CO13" i="3"/>
  <c r="J35" i="3"/>
  <c r="K35" i="3" s="1"/>
  <c r="AP35" i="3"/>
  <c r="AQ35" i="3" s="1"/>
  <c r="BV35" i="3"/>
  <c r="BW35" i="3" s="1"/>
  <c r="CE100" i="2"/>
  <c r="CL83" i="2"/>
  <c r="CP43" i="2"/>
  <c r="CD43" i="2"/>
  <c r="CO43" i="2"/>
  <c r="CP52" i="2"/>
  <c r="DZ64" i="2"/>
  <c r="EN64" i="2"/>
  <c r="EV64" i="2"/>
  <c r="BQ70" i="2"/>
  <c r="N83" i="2"/>
  <c r="R83" i="2"/>
  <c r="S247" i="2" s="1"/>
  <c r="V83" i="2"/>
  <c r="Z83" i="2"/>
  <c r="AD83" i="2"/>
  <c r="AH83" i="2"/>
  <c r="AH248" i="2" s="1"/>
  <c r="AL83" i="2"/>
  <c r="AP83" i="2"/>
  <c r="AT83" i="2"/>
  <c r="AX83" i="2"/>
  <c r="AX248" i="2" s="1"/>
  <c r="BB83" i="2"/>
  <c r="BF83" i="2"/>
  <c r="BJ83" i="2"/>
  <c r="BN83" i="2"/>
  <c r="BN248" i="2" s="1"/>
  <c r="BR83" i="2"/>
  <c r="BV83" i="2"/>
  <c r="BZ83" i="2"/>
  <c r="CD83" i="2"/>
  <c r="CD248" i="2" s="1"/>
  <c r="CH83" i="2"/>
  <c r="FA12" i="3"/>
  <c r="FA116" i="3" s="1"/>
  <c r="I12" i="3"/>
  <c r="J12" i="3" s="1"/>
  <c r="K12" i="3" s="1"/>
  <c r="AO12" i="3"/>
  <c r="AP12" i="3" s="1"/>
  <c r="AQ12" i="3" s="1"/>
  <c r="BU12" i="3"/>
  <c r="BV12" i="3" s="1"/>
  <c r="BW12" i="3" s="1"/>
  <c r="BU13" i="3"/>
  <c r="BM19" i="3"/>
  <c r="BN19" i="3" s="1"/>
  <c r="BO19" i="3" s="1"/>
  <c r="CC19" i="3"/>
  <c r="CD19" i="3" s="1"/>
  <c r="CE19" i="3" s="1"/>
  <c r="Q23" i="3"/>
  <c r="R23" i="3" s="1"/>
  <c r="S23" i="3" s="1"/>
  <c r="AG23" i="3"/>
  <c r="AH23" i="3" s="1"/>
  <c r="AI23" i="3" s="1"/>
  <c r="AW23" i="3"/>
  <c r="AX23" i="3" s="1"/>
  <c r="AY23" i="3" s="1"/>
  <c r="BM23" i="3"/>
  <c r="BN23" i="3" s="1"/>
  <c r="BO23" i="3" s="1"/>
  <c r="CC23" i="3"/>
  <c r="CD23" i="3" s="1"/>
  <c r="CE23" i="3" s="1"/>
  <c r="D39" i="3"/>
  <c r="EO35" i="3"/>
  <c r="EO139" i="3" s="1"/>
  <c r="DJ35" i="3"/>
  <c r="DJ139" i="3" s="1"/>
  <c r="DF36" i="3"/>
  <c r="DF140" i="3" s="1"/>
  <c r="DV36" i="3"/>
  <c r="DV140" i="3" s="1"/>
  <c r="ET42" i="3"/>
  <c r="ET146" i="3" s="1"/>
  <c r="EN50" i="3"/>
  <c r="EN154" i="3" s="1"/>
  <c r="P51" i="3"/>
  <c r="AF51" i="3"/>
  <c r="AV51" i="3"/>
  <c r="DE47" i="3"/>
  <c r="DE151" i="3" s="1"/>
  <c r="F50" i="3"/>
  <c r="G50" i="3" s="1"/>
  <c r="BR50" i="3"/>
  <c r="BS50" i="3" s="1"/>
  <c r="DW81" i="3"/>
  <c r="N143" i="3"/>
  <c r="AY143" i="3"/>
  <c r="BC143" i="3"/>
  <c r="CF143" i="3"/>
  <c r="CJ143" i="3"/>
  <c r="CN143" i="3"/>
  <c r="AQ155" i="3"/>
  <c r="AO155" i="3"/>
  <c r="AK155" i="3"/>
  <c r="AJ54" i="80"/>
  <c r="H49" i="79"/>
  <c r="L49" i="79"/>
  <c r="FC13" i="3"/>
  <c r="FC69" i="3" s="1"/>
  <c r="ED6" i="3"/>
  <c r="ED103" i="2"/>
  <c r="ED48" i="2"/>
  <c r="ED59" i="2" s="1"/>
  <c r="ED76" i="2" s="1"/>
  <c r="ED246" i="2"/>
  <c r="AN49" i="2"/>
  <c r="G8" i="80"/>
  <c r="I8" i="80"/>
  <c r="L66" i="80"/>
  <c r="L67" i="80" s="1"/>
  <c r="K27" i="79" s="1"/>
  <c r="K35" i="79" s="1"/>
  <c r="Z57" i="80"/>
  <c r="FC135" i="3"/>
  <c r="FC66" i="3"/>
  <c r="BY123" i="2"/>
  <c r="BV51" i="2"/>
  <c r="BV50" i="2" s="1"/>
  <c r="BT52" i="2"/>
  <c r="CF120" i="2"/>
  <c r="AL51" i="2"/>
  <c r="AL50" i="2" s="1"/>
  <c r="BH51" i="2"/>
  <c r="BH50" i="2" s="1"/>
  <c r="CH51" i="2"/>
  <c r="CH50" i="2" s="1"/>
  <c r="AZ52" i="2"/>
  <c r="CF52" i="2"/>
  <c r="CS91" i="3"/>
  <c r="FC10" i="3"/>
  <c r="EC6" i="3"/>
  <c r="EC103" i="2"/>
  <c r="EC246" i="2"/>
  <c r="EC48" i="2"/>
  <c r="EC59" i="2" s="1"/>
  <c r="EC76" i="2" s="1"/>
  <c r="EB147" i="2"/>
  <c r="CV147" i="2"/>
  <c r="CW147" i="2" s="1"/>
  <c r="CX147" i="2" s="1"/>
  <c r="CY147" i="2" s="1"/>
  <c r="EI15" i="2"/>
  <c r="EM15" i="2"/>
  <c r="EM24" i="2" s="1"/>
  <c r="EM71" i="3" s="1"/>
  <c r="EQ15" i="2"/>
  <c r="EQ24" i="2" s="1"/>
  <c r="EQ71" i="3" s="1"/>
  <c r="EU15" i="2"/>
  <c r="EY15" i="2"/>
  <c r="CP8" i="2"/>
  <c r="CP80" i="2" s="1"/>
  <c r="CD100" i="2"/>
  <c r="CL100" i="2"/>
  <c r="CO100" i="2"/>
  <c r="DT33" i="2"/>
  <c r="DT43" i="2" s="1"/>
  <c r="DX33" i="2"/>
  <c r="DX43" i="2" s="1"/>
  <c r="EK33" i="2"/>
  <c r="FA33" i="2"/>
  <c r="EB62" i="2"/>
  <c r="CV62" i="2"/>
  <c r="DJ64" i="2"/>
  <c r="CD120" i="2"/>
  <c r="CJ123" i="2"/>
  <c r="BX146" i="2"/>
  <c r="BX147" i="2" s="1"/>
  <c r="X53" i="2"/>
  <c r="L49" i="2"/>
  <c r="BD53" i="2"/>
  <c r="AK72" i="80"/>
  <c r="AY49" i="2"/>
  <c r="V51" i="2"/>
  <c r="V50" i="2" s="1"/>
  <c r="AR51" i="2"/>
  <c r="AR50" i="2" s="1"/>
  <c r="BB51" i="2"/>
  <c r="BB50" i="2" s="1"/>
  <c r="BL51" i="2"/>
  <c r="BL50" i="2" s="1"/>
  <c r="BZ51" i="2"/>
  <c r="BZ50" i="2" s="1"/>
  <c r="CL51" i="2"/>
  <c r="CL50" i="2" s="1"/>
  <c r="AD52" i="2"/>
  <c r="BJ52" i="2"/>
  <c r="CJ52" i="2"/>
  <c r="BP49" i="2"/>
  <c r="L51" i="2"/>
  <c r="L50" i="2" s="1"/>
  <c r="AF51" i="2"/>
  <c r="AF50" i="2" s="1"/>
  <c r="T52" i="2"/>
  <c r="AN52" i="2"/>
  <c r="BC49" i="2"/>
  <c r="P51" i="2"/>
  <c r="P50" i="2" s="1"/>
  <c r="AB51" i="2"/>
  <c r="AB50" i="2" s="1"/>
  <c r="AH51" i="2"/>
  <c r="AH50" i="2" s="1"/>
  <c r="AP51" i="2"/>
  <c r="AP50" i="2" s="1"/>
  <c r="AT51" i="2"/>
  <c r="AT50" i="2" s="1"/>
  <c r="AX51" i="2"/>
  <c r="AX50" i="2" s="1"/>
  <c r="BF51" i="2"/>
  <c r="BF50" i="2" s="1"/>
  <c r="BN51" i="2"/>
  <c r="BN50" i="2" s="1"/>
  <c r="BX51" i="2"/>
  <c r="BX50" i="2" s="1"/>
  <c r="CD51" i="2"/>
  <c r="CD50" i="2" s="1"/>
  <c r="CN51" i="2"/>
  <c r="CN50" i="2" s="1"/>
  <c r="N52" i="2"/>
  <c r="X52" i="2"/>
  <c r="AJ52" i="2"/>
  <c r="BD52" i="2"/>
  <c r="DN64" i="2"/>
  <c r="DN70" i="2" s="1"/>
  <c r="DN73" i="2" s="1"/>
  <c r="DR64" i="2"/>
  <c r="DV64" i="2"/>
  <c r="DV70" i="2" s="1"/>
  <c r="DV73" i="2" s="1"/>
  <c r="BX110" i="2"/>
  <c r="BY110" i="2" s="1"/>
  <c r="CQ53" i="2"/>
  <c r="EY30" i="2"/>
  <c r="M76" i="3"/>
  <c r="O76" i="3"/>
  <c r="Q76" i="3"/>
  <c r="S76" i="3"/>
  <c r="U76" i="3"/>
  <c r="W76" i="3"/>
  <c r="Y76" i="3"/>
  <c r="AA76" i="3"/>
  <c r="AC76" i="3"/>
  <c r="AE76" i="3"/>
  <c r="AG76" i="3"/>
  <c r="AI76" i="3"/>
  <c r="AK76" i="3"/>
  <c r="AM76" i="3"/>
  <c r="AO76" i="3"/>
  <c r="AQ76" i="3"/>
  <c r="AS76" i="3"/>
  <c r="AU76" i="3"/>
  <c r="AW76" i="3"/>
  <c r="AY76" i="3"/>
  <c r="BE76" i="3"/>
  <c r="BG76" i="3"/>
  <c r="BI76" i="3"/>
  <c r="BK76" i="3"/>
  <c r="BM76" i="3"/>
  <c r="BO76" i="3"/>
  <c r="BQ76" i="3"/>
  <c r="BS76" i="3"/>
  <c r="BU76" i="3"/>
  <c r="BW76" i="3"/>
  <c r="BY76" i="3"/>
  <c r="CA76" i="3"/>
  <c r="CC76" i="3"/>
  <c r="CE76" i="3"/>
  <c r="CG76" i="3"/>
  <c r="CI76" i="3"/>
  <c r="CK76" i="3"/>
  <c r="CM76" i="3"/>
  <c r="L76" i="3"/>
  <c r="N76" i="3"/>
  <c r="P76" i="3"/>
  <c r="R76" i="3"/>
  <c r="T76" i="3"/>
  <c r="V76" i="3"/>
  <c r="X76" i="3"/>
  <c r="Z76" i="3"/>
  <c r="AB76" i="3"/>
  <c r="AD76" i="3"/>
  <c r="AF76" i="3"/>
  <c r="AH76" i="3"/>
  <c r="AJ76" i="3"/>
  <c r="AL76" i="3"/>
  <c r="AN76" i="3"/>
  <c r="AP76" i="3"/>
  <c r="AR76" i="3"/>
  <c r="AT76" i="3"/>
  <c r="AV76" i="3"/>
  <c r="AX76" i="3"/>
  <c r="BD76" i="3"/>
  <c r="BF76" i="3"/>
  <c r="BH76" i="3"/>
  <c r="BJ76" i="3"/>
  <c r="BL76" i="3"/>
  <c r="BN76" i="3"/>
  <c r="BP76" i="3"/>
  <c r="BR76" i="3"/>
  <c r="BT76" i="3"/>
  <c r="BV76" i="3"/>
  <c r="BX76" i="3"/>
  <c r="BZ76" i="3"/>
  <c r="CB76" i="3"/>
  <c r="CD76" i="3"/>
  <c r="CF76" i="3"/>
  <c r="CH76" i="3"/>
  <c r="CJ76" i="3"/>
  <c r="CL76" i="3"/>
  <c r="CN76" i="3"/>
  <c r="BH49" i="2"/>
  <c r="BV49" i="2"/>
  <c r="BT53" i="2"/>
  <c r="BV158" i="2"/>
  <c r="BW158" i="2" s="1"/>
  <c r="DX199" i="2"/>
  <c r="R49" i="2"/>
  <c r="AF49" i="2"/>
  <c r="AT49" i="2"/>
  <c r="CB49" i="2"/>
  <c r="BP52" i="2"/>
  <c r="P53" i="2"/>
  <c r="AV53" i="2"/>
  <c r="BL53" i="2"/>
  <c r="CN53" i="2"/>
  <c r="M100" i="2"/>
  <c r="O100" i="2"/>
  <c r="Q100" i="2"/>
  <c r="S100" i="2"/>
  <c r="U100" i="2"/>
  <c r="W100" i="2"/>
  <c r="Y100" i="2"/>
  <c r="AA100" i="2"/>
  <c r="AC100" i="2"/>
  <c r="AE100" i="2"/>
  <c r="AG100" i="2"/>
  <c r="AI100" i="2"/>
  <c r="AK100" i="2"/>
  <c r="AM100" i="2"/>
  <c r="AO100" i="2"/>
  <c r="AQ100" i="2"/>
  <c r="AS100" i="2"/>
  <c r="AU100" i="2"/>
  <c r="AW100" i="2"/>
  <c r="AY100" i="2"/>
  <c r="BA100" i="2"/>
  <c r="BC100" i="2"/>
  <c r="BE100" i="2"/>
  <c r="BG100" i="2"/>
  <c r="BI100" i="2"/>
  <c r="BK100" i="2"/>
  <c r="BM100" i="2"/>
  <c r="BO100" i="2"/>
  <c r="BQ100" i="2"/>
  <c r="BS100" i="2"/>
  <c r="BU100" i="2"/>
  <c r="BW100" i="2"/>
  <c r="BY100" i="2"/>
  <c r="CA100" i="2"/>
  <c r="CG100" i="2"/>
  <c r="CI100" i="2"/>
  <c r="FB21" i="2"/>
  <c r="CL93" i="2"/>
  <c r="CL94" i="2" s="1"/>
  <c r="T49" i="2"/>
  <c r="AB49" i="2"/>
  <c r="AJ49" i="2"/>
  <c r="AR49" i="2"/>
  <c r="AZ49" i="2"/>
  <c r="BX49" i="2"/>
  <c r="CF49" i="2"/>
  <c r="BR51" i="2"/>
  <c r="BR50" i="2" s="1"/>
  <c r="BW51" i="2"/>
  <c r="BW50" i="2" s="1"/>
  <c r="CE51" i="2"/>
  <c r="CE50" i="2" s="1"/>
  <c r="BQ53" i="2"/>
  <c r="CN83" i="2"/>
  <c r="CN248" i="2" s="1"/>
  <c r="CK98" i="2"/>
  <c r="CO98" i="2"/>
  <c r="CE120" i="2"/>
  <c r="CG120" i="2"/>
  <c r="CK123" i="2"/>
  <c r="CD235" i="2"/>
  <c r="DV224" i="2"/>
  <c r="DV212" i="2"/>
  <c r="DV213" i="2"/>
  <c r="DV214" i="2"/>
  <c r="AZ76" i="3"/>
  <c r="BB76" i="3"/>
  <c r="CP93" i="2"/>
  <c r="CP94" i="2" s="1"/>
  <c r="BZ145" i="2"/>
  <c r="CA145" i="2" s="1"/>
  <c r="CB145" i="2" s="1"/>
  <c r="CC224" i="2" s="1"/>
  <c r="BA76" i="3"/>
  <c r="BC76" i="3"/>
  <c r="I21" i="80"/>
  <c r="N5" i="79"/>
  <c r="P5" i="79"/>
  <c r="P7" i="79" s="1"/>
  <c r="I6" i="80"/>
  <c r="M6" i="80"/>
  <c r="Q6" i="80"/>
  <c r="K8" i="80"/>
  <c r="O8" i="80"/>
  <c r="Q8" i="80"/>
  <c r="K10" i="80"/>
  <c r="M10" i="80"/>
  <c r="Q10" i="80"/>
  <c r="F24" i="80"/>
  <c r="H24" i="80"/>
  <c r="D35" i="79"/>
  <c r="D33" i="79" s="1"/>
  <c r="D37" i="79" s="1"/>
  <c r="K30" i="79"/>
  <c r="F12" i="80"/>
  <c r="E5" i="79"/>
  <c r="J12" i="80"/>
  <c r="I5" i="79"/>
  <c r="I7" i="79" s="1"/>
  <c r="K5" i="79"/>
  <c r="P15" i="80"/>
  <c r="N12" i="80"/>
  <c r="M5" i="79"/>
  <c r="F14" i="80"/>
  <c r="J14" i="80"/>
  <c r="N14" i="80"/>
  <c r="F35" i="80"/>
  <c r="F41" i="80" s="1"/>
  <c r="E4" i="79" s="1"/>
  <c r="E19" i="79" s="1"/>
  <c r="F21" i="80"/>
  <c r="K21" i="80"/>
  <c r="J21" i="80"/>
  <c r="J37" i="80"/>
  <c r="J24" i="80"/>
  <c r="K24" i="80"/>
  <c r="N28" i="80"/>
  <c r="M4" i="79"/>
  <c r="M19" i="79" s="1"/>
  <c r="D18" i="79"/>
  <c r="D7" i="79"/>
  <c r="F6" i="80"/>
  <c r="L6" i="80"/>
  <c r="N6" i="80"/>
  <c r="J8" i="80"/>
  <c r="L8" i="80"/>
  <c r="N8" i="80"/>
  <c r="F8" i="80"/>
  <c r="L12" i="80"/>
  <c r="AI13" i="80"/>
  <c r="G14" i="80"/>
  <c r="I15" i="80"/>
  <c r="K14" i="80"/>
  <c r="M15" i="80"/>
  <c r="O14" i="80"/>
  <c r="Q15" i="80"/>
  <c r="Q14" i="80"/>
  <c r="I14" i="80"/>
  <c r="M14" i="80"/>
  <c r="L15" i="80"/>
  <c r="G24" i="80"/>
  <c r="F5" i="79"/>
  <c r="H5" i="79"/>
  <c r="H7" i="79" s="1"/>
  <c r="L5" i="79"/>
  <c r="L7" i="79" s="1"/>
  <c r="E30" i="79"/>
  <c r="I30" i="79"/>
  <c r="G21" i="80"/>
  <c r="N36" i="80"/>
  <c r="N40" i="80"/>
  <c r="M66" i="80"/>
  <c r="M67" i="80" s="1"/>
  <c r="L27" i="79" s="1"/>
  <c r="L35" i="79" s="1"/>
  <c r="L33" i="79" s="1"/>
  <c r="AJ58" i="80"/>
  <c r="AJ59" i="80" s="1"/>
  <c r="G35" i="79"/>
  <c r="G33" i="79" s="1"/>
  <c r="F30" i="79"/>
  <c r="H30" i="79"/>
  <c r="J30" i="79"/>
  <c r="L30" i="79"/>
  <c r="BI53" i="2"/>
  <c r="V49" i="79"/>
  <c r="W49" i="79"/>
  <c r="U49" i="79"/>
  <c r="T49" i="80"/>
  <c r="S51" i="80"/>
  <c r="R30" i="79" s="1"/>
  <c r="R38" i="79" s="1"/>
  <c r="R28" i="79"/>
  <c r="T52" i="80"/>
  <c r="T54" i="80" s="1"/>
  <c r="AL72" i="80"/>
  <c r="S29" i="79"/>
  <c r="T29" i="79"/>
  <c r="EA84" i="3"/>
  <c r="Q73" i="2"/>
  <c r="AG73" i="2"/>
  <c r="DG15" i="2"/>
  <c r="DG24" i="2" s="1"/>
  <c r="DG71" i="3" s="1"/>
  <c r="DG164" i="3"/>
  <c r="DG60" i="3"/>
  <c r="DI15" i="2"/>
  <c r="DI164" i="3"/>
  <c r="DI60" i="3"/>
  <c r="DK15" i="2"/>
  <c r="DK164" i="3"/>
  <c r="DK60" i="3"/>
  <c r="DM15" i="2"/>
  <c r="DM24" i="2" s="1"/>
  <c r="DM71" i="3" s="1"/>
  <c r="DM164" i="3"/>
  <c r="DM60" i="3"/>
  <c r="DO15" i="2"/>
  <c r="DO24" i="2" s="1"/>
  <c r="DO71" i="3" s="1"/>
  <c r="DO164" i="3"/>
  <c r="DO60" i="3"/>
  <c r="DQ15" i="2"/>
  <c r="DQ164" i="3"/>
  <c r="DQ60" i="3"/>
  <c r="DS15" i="2"/>
  <c r="DS164" i="3"/>
  <c r="DS60" i="3"/>
  <c r="DU15" i="2"/>
  <c r="DU164" i="3"/>
  <c r="DU60" i="3"/>
  <c r="DW15" i="2"/>
  <c r="DW24" i="2" s="1"/>
  <c r="DW71" i="3" s="1"/>
  <c r="DW164" i="3"/>
  <c r="DW60" i="3"/>
  <c r="DY15" i="2"/>
  <c r="DY164" i="3"/>
  <c r="DY60" i="3"/>
  <c r="EA13" i="2"/>
  <c r="EH15" i="2"/>
  <c r="EH164" i="3"/>
  <c r="EH60" i="3"/>
  <c r="EJ164" i="3"/>
  <c r="EJ60" i="3"/>
  <c r="EL15" i="2"/>
  <c r="EL164" i="3"/>
  <c r="EL60" i="3"/>
  <c r="EN164" i="3"/>
  <c r="EN60" i="3"/>
  <c r="EP15" i="2"/>
  <c r="EP24" i="2" s="1"/>
  <c r="EP71" i="3" s="1"/>
  <c r="EP164" i="3"/>
  <c r="EP60" i="3"/>
  <c r="ER164" i="3"/>
  <c r="ER60" i="3"/>
  <c r="ET15" i="2"/>
  <c r="ET164" i="3"/>
  <c r="ET60" i="3"/>
  <c r="EV164" i="3"/>
  <c r="EV60" i="3"/>
  <c r="EX15" i="2"/>
  <c r="EX164" i="3"/>
  <c r="EX60" i="3"/>
  <c r="CF100" i="2"/>
  <c r="CN15" i="2"/>
  <c r="EA19" i="2"/>
  <c r="L24" i="2"/>
  <c r="L71" i="3" s="1"/>
  <c r="T24" i="2"/>
  <c r="T71" i="3" s="1"/>
  <c r="AB24" i="2"/>
  <c r="AB71" i="3" s="1"/>
  <c r="AJ24" i="2"/>
  <c r="AJ71" i="3" s="1"/>
  <c r="AR24" i="2"/>
  <c r="AR71" i="3" s="1"/>
  <c r="AZ24" i="2"/>
  <c r="AZ71" i="3" s="1"/>
  <c r="BH24" i="2"/>
  <c r="BH71" i="3" s="1"/>
  <c r="BP24" i="2"/>
  <c r="BP71" i="3" s="1"/>
  <c r="CF24" i="2"/>
  <c r="CF71" i="3" s="1"/>
  <c r="EA28" i="2"/>
  <c r="DG64" i="2"/>
  <c r="DI64" i="2"/>
  <c r="DM64" i="2"/>
  <c r="DQ64" i="2"/>
  <c r="DQ70" i="2" s="1"/>
  <c r="DU64" i="2"/>
  <c r="BM70" i="2"/>
  <c r="BM73" i="2" s="1"/>
  <c r="M73" i="2"/>
  <c r="U73" i="2"/>
  <c r="AC73" i="2"/>
  <c r="AK73" i="2"/>
  <c r="AS73" i="2"/>
  <c r="AW73" i="2"/>
  <c r="BA73" i="2"/>
  <c r="BI73" i="2"/>
  <c r="BQ73" i="2"/>
  <c r="CG73" i="2"/>
  <c r="CO73" i="2"/>
  <c r="CF88" i="2"/>
  <c r="CF89" i="2" s="1"/>
  <c r="DX189" i="2"/>
  <c r="CE169" i="2"/>
  <c r="DX169" i="2" s="1"/>
  <c r="FB13" i="2"/>
  <c r="DH15" i="2"/>
  <c r="DH164" i="3"/>
  <c r="DH60" i="3"/>
  <c r="DJ15" i="2"/>
  <c r="DJ24" i="2" s="1"/>
  <c r="DJ71" i="3" s="1"/>
  <c r="DJ164" i="3"/>
  <c r="DJ60" i="3"/>
  <c r="DL15" i="2"/>
  <c r="DL24" i="2" s="1"/>
  <c r="DL71" i="3" s="1"/>
  <c r="DL164" i="3"/>
  <c r="DL60" i="3"/>
  <c r="DN15" i="2"/>
  <c r="DN24" i="2" s="1"/>
  <c r="DN71" i="3" s="1"/>
  <c r="DN164" i="3"/>
  <c r="DN60" i="3"/>
  <c r="DP15" i="2"/>
  <c r="DP164" i="3"/>
  <c r="DP60" i="3"/>
  <c r="DR15" i="2"/>
  <c r="DR164" i="3"/>
  <c r="DR60" i="3"/>
  <c r="DT15" i="2"/>
  <c r="DT24" i="2" s="1"/>
  <c r="DT71" i="3" s="1"/>
  <c r="DT164" i="3"/>
  <c r="DT60" i="3"/>
  <c r="DV15" i="2"/>
  <c r="DV164" i="3"/>
  <c r="DV60" i="3"/>
  <c r="DX15" i="2"/>
  <c r="DX164" i="3"/>
  <c r="DX60" i="3"/>
  <c r="DZ15" i="2"/>
  <c r="DZ24" i="2" s="1"/>
  <c r="DZ71" i="3" s="1"/>
  <c r="DZ164" i="3"/>
  <c r="DZ60" i="3"/>
  <c r="EG15" i="2"/>
  <c r="EG24" i="2" s="1"/>
  <c r="EI164" i="3"/>
  <c r="EI60" i="3"/>
  <c r="EK15" i="2"/>
  <c r="EK100" i="2" s="1"/>
  <c r="EK164" i="3"/>
  <c r="EK60" i="3"/>
  <c r="EM164" i="3"/>
  <c r="EM60" i="3"/>
  <c r="EO15" i="2"/>
  <c r="EO164" i="3"/>
  <c r="EO60" i="3"/>
  <c r="EQ164" i="3"/>
  <c r="EQ60" i="3"/>
  <c r="ES15" i="2"/>
  <c r="ES164" i="3"/>
  <c r="ES60" i="3"/>
  <c r="EU164" i="3"/>
  <c r="EU60" i="3"/>
  <c r="EW15" i="2"/>
  <c r="EW164" i="3"/>
  <c r="EW60" i="3"/>
  <c r="EY164" i="3"/>
  <c r="EY60" i="3"/>
  <c r="FA15" i="2"/>
  <c r="FA24" i="2" s="1"/>
  <c r="FA71" i="3" s="1"/>
  <c r="FA60" i="3"/>
  <c r="EJ15" i="2"/>
  <c r="EN15" i="2"/>
  <c r="ER15" i="2"/>
  <c r="EV15" i="2"/>
  <c r="EV24" i="2" s="1"/>
  <c r="EV71" i="3" s="1"/>
  <c r="EZ15" i="2"/>
  <c r="EZ24" i="2" s="1"/>
  <c r="EZ71" i="3" s="1"/>
  <c r="CP81" i="2"/>
  <c r="CR82" i="2"/>
  <c r="P24" i="2"/>
  <c r="P71" i="3" s="1"/>
  <c r="X24" i="2"/>
  <c r="X71" i="3" s="1"/>
  <c r="AF24" i="2"/>
  <c r="AF71" i="3" s="1"/>
  <c r="AN24" i="2"/>
  <c r="AN71" i="3" s="1"/>
  <c r="AV24" i="2"/>
  <c r="AV71" i="3" s="1"/>
  <c r="BD24" i="2"/>
  <c r="BD71" i="3" s="1"/>
  <c r="BL24" i="2"/>
  <c r="BL71" i="3" s="1"/>
  <c r="BX24" i="2"/>
  <c r="BX71" i="3" s="1"/>
  <c r="CJ24" i="2"/>
  <c r="CJ71" i="3" s="1"/>
  <c r="EA29" i="2"/>
  <c r="EZ33" i="2"/>
  <c r="CC33" i="2"/>
  <c r="CC43" i="2" s="1"/>
  <c r="FB39" i="2"/>
  <c r="EJ64" i="2"/>
  <c r="ER64" i="2"/>
  <c r="BW88" i="2"/>
  <c r="BW89" i="2" s="1"/>
  <c r="BW119" i="2"/>
  <c r="BW124" i="2" s="1"/>
  <c r="DV124" i="2" s="1"/>
  <c r="DX142" i="2"/>
  <c r="DX120" i="2" s="1"/>
  <c r="BY144" i="2"/>
  <c r="CB88" i="2"/>
  <c r="CB89" i="2" s="1"/>
  <c r="CK88" i="2"/>
  <c r="CK99" i="2" s="1"/>
  <c r="DV107" i="2"/>
  <c r="EA147" i="2"/>
  <c r="BV156" i="2"/>
  <c r="BV193" i="2" s="1"/>
  <c r="BV160" i="2"/>
  <c r="BW160" i="2" s="1"/>
  <c r="BY175" i="2"/>
  <c r="BZ175" i="2" s="1"/>
  <c r="CA175" i="2" s="1"/>
  <c r="DW175" i="2" s="1"/>
  <c r="BY176" i="2"/>
  <c r="BZ176" i="2" s="1"/>
  <c r="CA176" i="2" s="1"/>
  <c r="CB176" i="2" s="1"/>
  <c r="CC176" i="2" s="1"/>
  <c r="CD176" i="2" s="1"/>
  <c r="CE176" i="2" s="1"/>
  <c r="BY177" i="2"/>
  <c r="BZ177" i="2" s="1"/>
  <c r="CA177" i="2" s="1"/>
  <c r="CB177" i="2" s="1"/>
  <c r="CC177" i="2" s="1"/>
  <c r="CD177" i="2" s="1"/>
  <c r="CE177" i="2" s="1"/>
  <c r="BY178" i="2"/>
  <c r="BZ178" i="2" s="1"/>
  <c r="CA178" i="2" s="1"/>
  <c r="DW178" i="2" s="1"/>
  <c r="BY179" i="2"/>
  <c r="BZ179" i="2" s="1"/>
  <c r="CA179" i="2" s="1"/>
  <c r="DW179" i="2" s="1"/>
  <c r="BY180" i="2"/>
  <c r="BZ180" i="2" s="1"/>
  <c r="CA180" i="2" s="1"/>
  <c r="CB180" i="2" s="1"/>
  <c r="CC180" i="2" s="1"/>
  <c r="CD180" i="2" s="1"/>
  <c r="CE180" i="2" s="1"/>
  <c r="BF159" i="3"/>
  <c r="BE159" i="3"/>
  <c r="S49" i="2"/>
  <c r="W49" i="2"/>
  <c r="AI49" i="2"/>
  <c r="AM49" i="2"/>
  <c r="CE49" i="2"/>
  <c r="R51" i="2"/>
  <c r="R50" i="2" s="1"/>
  <c r="Z51" i="2"/>
  <c r="Z50" i="2" s="1"/>
  <c r="BU53" i="2"/>
  <c r="BY53" i="2"/>
  <c r="CC53" i="2"/>
  <c r="CG53" i="2"/>
  <c r="CK53" i="2"/>
  <c r="Q53" i="2"/>
  <c r="Y53" i="2"/>
  <c r="AG53" i="2"/>
  <c r="AO53" i="2"/>
  <c r="AW53" i="2"/>
  <c r="BE53" i="2"/>
  <c r="BM53" i="2"/>
  <c r="M53" i="2"/>
  <c r="U53" i="2"/>
  <c r="AC53" i="2"/>
  <c r="AK53" i="2"/>
  <c r="AS53" i="2"/>
  <c r="BA53" i="2"/>
  <c r="EF255" i="2"/>
  <c r="EF179" i="3"/>
  <c r="N49" i="2"/>
  <c r="N53" i="2"/>
  <c r="V49" i="2"/>
  <c r="V53" i="2"/>
  <c r="Z53" i="2"/>
  <c r="Z49" i="2"/>
  <c r="AD53" i="2"/>
  <c r="AD49" i="2"/>
  <c r="AH53" i="2"/>
  <c r="AH49" i="2"/>
  <c r="AL49" i="2"/>
  <c r="AL53" i="2"/>
  <c r="AP49" i="2"/>
  <c r="AP53" i="2"/>
  <c r="AX49" i="2"/>
  <c r="AX53" i="2"/>
  <c r="BB49" i="2"/>
  <c r="BB53" i="2"/>
  <c r="BF53" i="2"/>
  <c r="BF49" i="2"/>
  <c r="BJ53" i="2"/>
  <c r="BJ49" i="2"/>
  <c r="BN53" i="2"/>
  <c r="BN49" i="2"/>
  <c r="BZ49" i="2"/>
  <c r="CA49" i="2" s="1"/>
  <c r="BZ53" i="2"/>
  <c r="CD49" i="2"/>
  <c r="CD53" i="2"/>
  <c r="CH49" i="2"/>
  <c r="CH53" i="2"/>
  <c r="O51" i="2"/>
  <c r="O50" i="2" s="1"/>
  <c r="O52" i="2"/>
  <c r="S51" i="2"/>
  <c r="S50" i="2" s="1"/>
  <c r="S52" i="2"/>
  <c r="W52" i="2"/>
  <c r="W51" i="2"/>
  <c r="W50" i="2" s="1"/>
  <c r="AA52" i="2"/>
  <c r="AA51" i="2"/>
  <c r="AA50" i="2" s="1"/>
  <c r="AE51" i="2"/>
  <c r="AE50" i="2" s="1"/>
  <c r="AE52" i="2"/>
  <c r="AI51" i="2"/>
  <c r="AI50" i="2" s="1"/>
  <c r="AI52" i="2"/>
  <c r="AQ52" i="2"/>
  <c r="AQ51" i="2"/>
  <c r="AQ50" i="2" s="1"/>
  <c r="AU51" i="2"/>
  <c r="AU50" i="2" s="1"/>
  <c r="AU52" i="2"/>
  <c r="AY52" i="2"/>
  <c r="AY51" i="2"/>
  <c r="AY50" i="2" s="1"/>
  <c r="BC52" i="2"/>
  <c r="BC51" i="2"/>
  <c r="BC50" i="2" s="1"/>
  <c r="BG52" i="2"/>
  <c r="BG51" i="2"/>
  <c r="BG50" i="2" s="1"/>
  <c r="BK51" i="2"/>
  <c r="BK50" i="2" s="1"/>
  <c r="BK52" i="2"/>
  <c r="CI52" i="2"/>
  <c r="CI51" i="2"/>
  <c r="CI50" i="2" s="1"/>
  <c r="AM51" i="2"/>
  <c r="AM50" i="2" s="1"/>
  <c r="BR49" i="2"/>
  <c r="BR53" i="2"/>
  <c r="CL53" i="2"/>
  <c r="O53" i="2"/>
  <c r="AA53" i="2"/>
  <c r="AE53" i="2"/>
  <c r="AQ53" i="2"/>
  <c r="AU53" i="2"/>
  <c r="BG53" i="2"/>
  <c r="BK53" i="2"/>
  <c r="BW53" i="2"/>
  <c r="CI53" i="2"/>
  <c r="O94" i="2"/>
  <c r="AE94" i="2"/>
  <c r="AK48" i="2"/>
  <c r="AK59" i="2" s="1"/>
  <c r="AK76" i="2" s="1"/>
  <c r="DH48" i="2"/>
  <c r="DH59" i="2" s="1"/>
  <c r="DH76" i="2" s="1"/>
  <c r="CB51" i="2"/>
  <c r="CB50" i="2" s="1"/>
  <c r="BO92" i="2"/>
  <c r="BO94" i="2"/>
  <c r="CM92" i="2"/>
  <c r="CM94" i="2"/>
  <c r="N94" i="2"/>
  <c r="R94" i="2"/>
  <c r="V94" i="2"/>
  <c r="Z94" i="2"/>
  <c r="AD94" i="2"/>
  <c r="AH94" i="2"/>
  <c r="AL94" i="2"/>
  <c r="AP94" i="2"/>
  <c r="AT94" i="2"/>
  <c r="Q48" i="2"/>
  <c r="Q59" i="2" s="1"/>
  <c r="Q76" i="2" s="1"/>
  <c r="Q6" i="3"/>
  <c r="Q110" i="3" s="1"/>
  <c r="Y48" i="2"/>
  <c r="Y59" i="2" s="1"/>
  <c r="Y76" i="2" s="1"/>
  <c r="Y6" i="3"/>
  <c r="AO48" i="2"/>
  <c r="AO59" i="2" s="1"/>
  <c r="AO76" i="2" s="1"/>
  <c r="AO6" i="3"/>
  <c r="AO110" i="3" s="1"/>
  <c r="AW48" i="2"/>
  <c r="AW59" i="2" s="1"/>
  <c r="AW76" i="2" s="1"/>
  <c r="AW6" i="3"/>
  <c r="BM48" i="2"/>
  <c r="BM59" i="2" s="1"/>
  <c r="BM76" i="2" s="1"/>
  <c r="BM6" i="3"/>
  <c r="BM110" i="3" s="1"/>
  <c r="CC48" i="2"/>
  <c r="CC59" i="2" s="1"/>
  <c r="CC76" i="2" s="1"/>
  <c r="CC6" i="3"/>
  <c r="CK48" i="2"/>
  <c r="CK59" i="2" s="1"/>
  <c r="CK76" i="2" s="1"/>
  <c r="CK6" i="3"/>
  <c r="CK110" i="3" s="1"/>
  <c r="BA48" i="2"/>
  <c r="BA59" i="2" s="1"/>
  <c r="BA76" i="2" s="1"/>
  <c r="DX48" i="2"/>
  <c r="DX59" i="2" s="1"/>
  <c r="DX76" i="2" s="1"/>
  <c r="CM53" i="2"/>
  <c r="X92" i="2"/>
  <c r="X94" i="2"/>
  <c r="AN92" i="2"/>
  <c r="AN94" i="2"/>
  <c r="BD92" i="2"/>
  <c r="BD94" i="2"/>
  <c r="BT92" i="2"/>
  <c r="BT94" i="2"/>
  <c r="CK89" i="2"/>
  <c r="J6" i="3"/>
  <c r="J110" i="3" s="1"/>
  <c r="J103" i="2"/>
  <c r="AP103" i="2"/>
  <c r="AP6" i="3"/>
  <c r="AP110" i="3" s="1"/>
  <c r="DW103" i="2"/>
  <c r="DW6" i="3"/>
  <c r="DW65" i="3" s="1"/>
  <c r="DW80" i="3" s="1"/>
  <c r="DW95" i="3" s="1"/>
  <c r="E48" i="2"/>
  <c r="E59" i="2" s="1"/>
  <c r="E76" i="2" s="1"/>
  <c r="BQ48" i="2"/>
  <c r="BQ59" i="2" s="1"/>
  <c r="BQ76" i="2" s="1"/>
  <c r="M92" i="2"/>
  <c r="M94" i="2"/>
  <c r="AC92" i="2"/>
  <c r="AC94" i="2"/>
  <c r="AS92" i="2"/>
  <c r="AS94" i="2"/>
  <c r="BI92" i="2"/>
  <c r="BI94" i="2"/>
  <c r="BY92" i="2"/>
  <c r="BY94" i="2"/>
  <c r="L94" i="2"/>
  <c r="P94" i="2"/>
  <c r="T94" i="2"/>
  <c r="AB94" i="2"/>
  <c r="AF94" i="2"/>
  <c r="AJ94" i="2"/>
  <c r="AR94" i="2"/>
  <c r="AV94" i="2"/>
  <c r="AZ94" i="2"/>
  <c r="U48" i="2"/>
  <c r="U59" i="2" s="1"/>
  <c r="U76" i="2" s="1"/>
  <c r="CG48" i="2"/>
  <c r="CG59" i="2" s="1"/>
  <c r="CG76" i="2" s="1"/>
  <c r="Q94" i="2"/>
  <c r="U94" i="2"/>
  <c r="Y94" i="2"/>
  <c r="AG94" i="2"/>
  <c r="AK94" i="2"/>
  <c r="AO94" i="2"/>
  <c r="AW94" i="2"/>
  <c r="BA94" i="2"/>
  <c r="AU94" i="2"/>
  <c r="BK94" i="2"/>
  <c r="CA94" i="2"/>
  <c r="CF94" i="2"/>
  <c r="CJ94" i="2"/>
  <c r="BH94" i="2"/>
  <c r="BL94" i="2"/>
  <c r="BP94" i="2"/>
  <c r="BX94" i="2"/>
  <c r="CB94" i="2"/>
  <c r="L42" i="79"/>
  <c r="P42" i="79"/>
  <c r="BE94" i="2"/>
  <c r="BM94" i="2"/>
  <c r="BQ94" i="2"/>
  <c r="BU94" i="2"/>
  <c r="CD94" i="2"/>
  <c r="CH94" i="2"/>
  <c r="AX94" i="2"/>
  <c r="BB94" i="2"/>
  <c r="BF94" i="2"/>
  <c r="BJ94" i="2"/>
  <c r="BN94" i="2"/>
  <c r="BR94" i="2"/>
  <c r="BV94" i="2"/>
  <c r="BZ94" i="2"/>
  <c r="CN94" i="2"/>
  <c r="N255" i="2"/>
  <c r="R255" i="2"/>
  <c r="V255" i="2"/>
  <c r="Z255" i="2"/>
  <c r="AD255" i="2"/>
  <c r="AH255" i="2"/>
  <c r="AL255" i="2"/>
  <c r="AP255" i="2"/>
  <c r="AT255" i="2"/>
  <c r="AX255" i="2"/>
  <c r="BB255" i="2"/>
  <c r="BF255" i="2"/>
  <c r="BJ255" i="2"/>
  <c r="BN255" i="2"/>
  <c r="BR255" i="2"/>
  <c r="BV255" i="2"/>
  <c r="BZ255" i="2"/>
  <c r="CD255" i="2"/>
  <c r="CH255" i="2"/>
  <c r="CL255" i="2"/>
  <c r="CP255" i="2"/>
  <c r="CT255" i="2"/>
  <c r="DG255" i="2"/>
  <c r="DK255" i="2"/>
  <c r="DO255" i="2"/>
  <c r="DS255" i="2"/>
  <c r="DW255" i="2"/>
  <c r="EA255" i="2"/>
  <c r="EG255" i="2"/>
  <c r="EK255" i="2"/>
  <c r="EO255" i="2"/>
  <c r="ES255" i="2"/>
  <c r="EW255" i="2"/>
  <c r="M179" i="3"/>
  <c r="Q179" i="3"/>
  <c r="U179" i="3"/>
  <c r="Y179" i="3"/>
  <c r="AC179" i="3"/>
  <c r="AG179" i="3"/>
  <c r="AK179" i="3"/>
  <c r="AO179" i="3"/>
  <c r="AS179" i="3"/>
  <c r="AW179" i="3"/>
  <c r="BA179" i="3"/>
  <c r="BE179" i="3"/>
  <c r="BI179" i="3"/>
  <c r="BM179" i="3"/>
  <c r="BQ179" i="3"/>
  <c r="BU179" i="3"/>
  <c r="BY179" i="3"/>
  <c r="CC179" i="3"/>
  <c r="CG179" i="3"/>
  <c r="CK179" i="3"/>
  <c r="CS179" i="3"/>
  <c r="DJ179" i="3"/>
  <c r="DN179" i="3"/>
  <c r="DR179" i="3"/>
  <c r="DV179" i="3"/>
  <c r="DZ179" i="3"/>
  <c r="EJ179" i="3"/>
  <c r="EN179" i="3"/>
  <c r="ER179" i="3"/>
  <c r="O255" i="2"/>
  <c r="S255" i="2"/>
  <c r="W255" i="2"/>
  <c r="AA255" i="2"/>
  <c r="AE255" i="2"/>
  <c r="AI255" i="2"/>
  <c r="AM255" i="2"/>
  <c r="AQ255" i="2"/>
  <c r="AU255" i="2"/>
  <c r="AY255" i="2"/>
  <c r="BC255" i="2"/>
  <c r="BG255" i="2"/>
  <c r="BK255" i="2"/>
  <c r="BO255" i="2"/>
  <c r="BS255" i="2"/>
  <c r="BW255" i="2"/>
  <c r="CA255" i="2"/>
  <c r="CE255" i="2"/>
  <c r="CI255" i="2"/>
  <c r="CM255" i="2"/>
  <c r="CQ255" i="2"/>
  <c r="CU255" i="2"/>
  <c r="DH255" i="2"/>
  <c r="DL255" i="2"/>
  <c r="DP255" i="2"/>
  <c r="DT255" i="2"/>
  <c r="DX255" i="2"/>
  <c r="EB255" i="2"/>
  <c r="EH255" i="2"/>
  <c r="EL255" i="2"/>
  <c r="EP255" i="2"/>
  <c r="ET255" i="2"/>
  <c r="EX255" i="2"/>
  <c r="DG179" i="3"/>
  <c r="DK179" i="3"/>
  <c r="DO179" i="3"/>
  <c r="DS179" i="3"/>
  <c r="DW179" i="3"/>
  <c r="EA179" i="3"/>
  <c r="L255" i="2"/>
  <c r="P255" i="2"/>
  <c r="T255" i="2"/>
  <c r="X255" i="2"/>
  <c r="AB255" i="2"/>
  <c r="AF255" i="2"/>
  <c r="AJ255" i="2"/>
  <c r="AN255" i="2"/>
  <c r="AR255" i="2"/>
  <c r="AV255" i="2"/>
  <c r="AZ255" i="2"/>
  <c r="BD255" i="2"/>
  <c r="BH255" i="2"/>
  <c r="BL255" i="2"/>
  <c r="BP255" i="2"/>
  <c r="BT255" i="2"/>
  <c r="BX255" i="2"/>
  <c r="CF255" i="2"/>
  <c r="CJ255" i="2"/>
  <c r="CN255" i="2"/>
  <c r="CR255" i="2"/>
  <c r="DI255" i="2"/>
  <c r="DM255" i="2"/>
  <c r="DQ255" i="2"/>
  <c r="DU255" i="2"/>
  <c r="DY255" i="2"/>
  <c r="EC255" i="2"/>
  <c r="EI255" i="2"/>
  <c r="EM255" i="2"/>
  <c r="EQ255" i="2"/>
  <c r="EU255" i="2"/>
  <c r="EY255" i="2"/>
  <c r="DH179" i="3"/>
  <c r="DL179" i="3"/>
  <c r="DP179" i="3"/>
  <c r="DT179" i="3"/>
  <c r="DX179" i="3"/>
  <c r="EB179" i="3"/>
  <c r="DJ255" i="2"/>
  <c r="DN255" i="2"/>
  <c r="DR255" i="2"/>
  <c r="DI179" i="3"/>
  <c r="DM179" i="3"/>
  <c r="DQ179" i="3"/>
  <c r="DU179" i="3"/>
  <c r="DY179" i="3"/>
  <c r="G38" i="79"/>
  <c r="K38" i="79"/>
  <c r="K33" i="79"/>
  <c r="D38" i="79"/>
  <c r="H38" i="79"/>
  <c r="H39" i="79" s="1"/>
  <c r="H33" i="79"/>
  <c r="H37" i="79" s="1"/>
  <c r="L38" i="79"/>
  <c r="G7" i="79"/>
  <c r="K7" i="79"/>
  <c r="O7" i="79"/>
  <c r="E35" i="79"/>
  <c r="I35" i="79"/>
  <c r="F35" i="79"/>
  <c r="F38" i="79" s="1"/>
  <c r="J35" i="79"/>
  <c r="J33" i="79" s="1"/>
  <c r="E7" i="79"/>
  <c r="M7" i="79"/>
  <c r="F7" i="79"/>
  <c r="J7" i="79"/>
  <c r="N7" i="79"/>
  <c r="I41" i="80"/>
  <c r="H4" i="79" s="1"/>
  <c r="G12" i="80"/>
  <c r="K12" i="80"/>
  <c r="O12" i="80"/>
  <c r="H14" i="80"/>
  <c r="L14" i="80"/>
  <c r="P14" i="80"/>
  <c r="J15" i="80"/>
  <c r="N15" i="80"/>
  <c r="H21" i="80"/>
  <c r="I24" i="80"/>
  <c r="L41" i="80"/>
  <c r="P41" i="80"/>
  <c r="N34" i="80"/>
  <c r="N38" i="80"/>
  <c r="M41" i="80"/>
  <c r="N42" i="80" s="1"/>
  <c r="G60" i="80"/>
  <c r="F31" i="79" s="1"/>
  <c r="G68" i="80"/>
  <c r="K60" i="80"/>
  <c r="J31" i="79" s="1"/>
  <c r="K69" i="80"/>
  <c r="K68" i="80"/>
  <c r="R13" i="80"/>
  <c r="Q5" i="79" s="1"/>
  <c r="AJ13" i="80"/>
  <c r="AJ15" i="80" s="1"/>
  <c r="K15" i="80"/>
  <c r="O15" i="80"/>
  <c r="J35" i="80"/>
  <c r="J41" i="80" s="1"/>
  <c r="Q41" i="80"/>
  <c r="P4" i="79" s="1"/>
  <c r="U29" i="79"/>
  <c r="H68" i="80"/>
  <c r="H60" i="80"/>
  <c r="G31" i="79" s="1"/>
  <c r="L60" i="80"/>
  <c r="K31" i="79" s="1"/>
  <c r="L69" i="80"/>
  <c r="L68" i="80"/>
  <c r="AK13" i="80"/>
  <c r="R33" i="80"/>
  <c r="G35" i="80"/>
  <c r="H37" i="80"/>
  <c r="E60" i="80"/>
  <c r="D31" i="79" s="1"/>
  <c r="AI67" i="80"/>
  <c r="I69" i="80"/>
  <c r="I68" i="80"/>
  <c r="AJ67" i="80"/>
  <c r="I60" i="80"/>
  <c r="H31" i="79" s="1"/>
  <c r="M68" i="80"/>
  <c r="N58" i="80"/>
  <c r="G6" i="80"/>
  <c r="K6" i="80"/>
  <c r="O6" i="80"/>
  <c r="K41" i="80"/>
  <c r="J4" i="79" s="1"/>
  <c r="O41" i="80"/>
  <c r="N4" i="79" s="1"/>
  <c r="I34" i="80"/>
  <c r="E41" i="80"/>
  <c r="F68" i="80"/>
  <c r="F60" i="80"/>
  <c r="J69" i="80"/>
  <c r="J68" i="80"/>
  <c r="J60" i="80"/>
  <c r="I31" i="79" s="1"/>
  <c r="O53" i="80"/>
  <c r="T65" i="80"/>
  <c r="S34" i="79" s="1"/>
  <c r="S33" i="79" s="1"/>
  <c r="N54" i="80"/>
  <c r="R54" i="80"/>
  <c r="T51" i="80"/>
  <c r="N51" i="80"/>
  <c r="AK52" i="80"/>
  <c r="AK54" i="80" s="1"/>
  <c r="AC91" i="3"/>
  <c r="AD10" i="3"/>
  <c r="BY91" i="3"/>
  <c r="BZ10" i="3"/>
  <c r="N12" i="3"/>
  <c r="O12" i="3" s="1"/>
  <c r="DG12" i="3"/>
  <c r="DG116" i="3" s="1"/>
  <c r="AT12" i="3"/>
  <c r="AU12" i="3" s="1"/>
  <c r="BZ12" i="3"/>
  <c r="CA12" i="3" s="1"/>
  <c r="BC13" i="3"/>
  <c r="ER13" i="3" s="1"/>
  <c r="AH11" i="3"/>
  <c r="AI11" i="3" s="1"/>
  <c r="EM11" i="3" s="1"/>
  <c r="EM115" i="3" s="1"/>
  <c r="BN11" i="3"/>
  <c r="BO11" i="3" s="1"/>
  <c r="DT11" i="3" s="1"/>
  <c r="DT115" i="3" s="1"/>
  <c r="BS13" i="3"/>
  <c r="EV13" i="3" s="1"/>
  <c r="S17" i="3"/>
  <c r="EI17" i="3" s="1"/>
  <c r="EI121" i="3" s="1"/>
  <c r="AI17" i="3"/>
  <c r="EM17" i="3" s="1"/>
  <c r="EM121" i="3" s="1"/>
  <c r="AY17" i="3"/>
  <c r="EQ17" i="3" s="1"/>
  <c r="EQ121" i="3" s="1"/>
  <c r="CE17" i="3"/>
  <c r="EY17" i="3" s="1"/>
  <c r="EY121" i="3" s="1"/>
  <c r="DX17" i="3"/>
  <c r="DX121" i="3" s="1"/>
  <c r="W13" i="3"/>
  <c r="EJ13" i="3" s="1"/>
  <c r="W17" i="3"/>
  <c r="EJ17" i="3" s="1"/>
  <c r="EJ121" i="3" s="1"/>
  <c r="BC17" i="3"/>
  <c r="ER17" i="3" s="1"/>
  <c r="ER121" i="3" s="1"/>
  <c r="CI17" i="3"/>
  <c r="EZ17" i="3" s="1"/>
  <c r="EZ121" i="3" s="1"/>
  <c r="AM13" i="3"/>
  <c r="EN13" i="3" s="1"/>
  <c r="L110" i="3"/>
  <c r="L65" i="3"/>
  <c r="L80" i="3" s="1"/>
  <c r="L95" i="3" s="1"/>
  <c r="X110" i="3"/>
  <c r="X65" i="3"/>
  <c r="X80" i="3" s="1"/>
  <c r="X95" i="3" s="1"/>
  <c r="AJ110" i="3"/>
  <c r="AJ65" i="3"/>
  <c r="AJ80" i="3" s="1"/>
  <c r="AJ95" i="3" s="1"/>
  <c r="AV110" i="3"/>
  <c r="AV65" i="3"/>
  <c r="AV80" i="3" s="1"/>
  <c r="AV95" i="3" s="1"/>
  <c r="BH110" i="3"/>
  <c r="BH65" i="3"/>
  <c r="BH80" i="3" s="1"/>
  <c r="BH95" i="3" s="1"/>
  <c r="BT110" i="3"/>
  <c r="BT65" i="3"/>
  <c r="BT80" i="3" s="1"/>
  <c r="BT95" i="3" s="1"/>
  <c r="CF110" i="3"/>
  <c r="CF65" i="3"/>
  <c r="CF80" i="3" s="1"/>
  <c r="CF95" i="3" s="1"/>
  <c r="CR110" i="3"/>
  <c r="CR65" i="3"/>
  <c r="CR80" i="3" s="1"/>
  <c r="CR95" i="3" s="1"/>
  <c r="DE110" i="3"/>
  <c r="DE65" i="3"/>
  <c r="DE80" i="3" s="1"/>
  <c r="DE95" i="3" s="1"/>
  <c r="T89" i="3"/>
  <c r="T84" i="3" s="1"/>
  <c r="T92" i="3" s="1"/>
  <c r="AR91" i="3"/>
  <c r="BH91" i="3"/>
  <c r="CF92" i="3"/>
  <c r="CF89" i="3"/>
  <c r="CN91" i="3"/>
  <c r="AL11" i="3"/>
  <c r="AM11" i="3" s="1"/>
  <c r="EN11" i="3"/>
  <c r="EN115" i="3" s="1"/>
  <c r="BR11" i="3"/>
  <c r="BS11" i="3" s="1"/>
  <c r="CH11" i="3"/>
  <c r="EP11" i="3"/>
  <c r="EP115" i="3" s="1"/>
  <c r="CO69" i="3"/>
  <c r="CO70" i="3" s="1"/>
  <c r="CP13" i="3"/>
  <c r="Y15" i="3"/>
  <c r="CK15" i="3"/>
  <c r="DP14" i="3"/>
  <c r="DP118" i="3" s="1"/>
  <c r="AC66" i="3"/>
  <c r="AC68" i="3" s="1"/>
  <c r="AD31" i="3"/>
  <c r="BY66" i="3"/>
  <c r="BZ31" i="3"/>
  <c r="O37" i="3"/>
  <c r="DG37" i="3"/>
  <c r="DG141" i="3" s="1"/>
  <c r="AU37" i="3"/>
  <c r="DO37" i="3" s="1"/>
  <c r="DO141" i="3" s="1"/>
  <c r="E110" i="3"/>
  <c r="E65" i="3"/>
  <c r="E80" i="3" s="1"/>
  <c r="E95" i="3" s="1"/>
  <c r="I110" i="3"/>
  <c r="I65" i="3"/>
  <c r="I80" i="3" s="1"/>
  <c r="I95" i="3" s="1"/>
  <c r="M110" i="3"/>
  <c r="M65" i="3"/>
  <c r="M80" i="3" s="1"/>
  <c r="M95" i="3" s="1"/>
  <c r="U110" i="3"/>
  <c r="U65" i="3"/>
  <c r="U80" i="3" s="1"/>
  <c r="U95" i="3" s="1"/>
  <c r="AC110" i="3"/>
  <c r="AC65" i="3"/>
  <c r="AC80" i="3" s="1"/>
  <c r="AC95" i="3" s="1"/>
  <c r="AG110" i="3"/>
  <c r="AG65" i="3"/>
  <c r="AG80" i="3" s="1"/>
  <c r="AG95" i="3" s="1"/>
  <c r="AK110" i="3"/>
  <c r="AK65" i="3"/>
  <c r="AK80" i="3" s="1"/>
  <c r="AK95" i="3" s="1"/>
  <c r="AS110" i="3"/>
  <c r="AS65" i="3"/>
  <c r="AS80" i="3" s="1"/>
  <c r="AS95" i="3" s="1"/>
  <c r="BA110" i="3"/>
  <c r="BA65" i="3"/>
  <c r="BA80" i="3" s="1"/>
  <c r="BA95" i="3" s="1"/>
  <c r="BE110" i="3"/>
  <c r="BE65" i="3"/>
  <c r="BE80" i="3" s="1"/>
  <c r="BE95" i="3" s="1"/>
  <c r="BI110" i="3"/>
  <c r="BI65" i="3"/>
  <c r="BI80" i="3" s="1"/>
  <c r="BI95" i="3" s="1"/>
  <c r="BQ110" i="3"/>
  <c r="BQ65" i="3"/>
  <c r="BQ80" i="3" s="1"/>
  <c r="BQ95" i="3" s="1"/>
  <c r="BU110" i="3"/>
  <c r="BU65" i="3"/>
  <c r="BU80" i="3" s="1"/>
  <c r="BU95" i="3" s="1"/>
  <c r="BY110" i="3"/>
  <c r="BY65" i="3"/>
  <c r="BY80" i="3" s="1"/>
  <c r="BY95" i="3" s="1"/>
  <c r="CG110" i="3"/>
  <c r="CG65" i="3"/>
  <c r="CG80" i="3" s="1"/>
  <c r="CG95" i="3" s="1"/>
  <c r="CK65" i="3"/>
  <c r="CK80" i="3" s="1"/>
  <c r="CK95" i="3" s="1"/>
  <c r="CO110" i="3"/>
  <c r="CO65" i="3"/>
  <c r="CO80" i="3" s="1"/>
  <c r="CO95" i="3" s="1"/>
  <c r="CS110" i="3"/>
  <c r="CS65" i="3"/>
  <c r="CS80" i="3" s="1"/>
  <c r="CS95" i="3" s="1"/>
  <c r="DF110" i="3"/>
  <c r="DF65" i="3"/>
  <c r="DF80" i="3" s="1"/>
  <c r="DF95" i="3" s="1"/>
  <c r="DJ110" i="3"/>
  <c r="DJ65" i="3"/>
  <c r="DJ80" i="3" s="1"/>
  <c r="DJ95" i="3" s="1"/>
  <c r="DN110" i="3"/>
  <c r="DN65" i="3"/>
  <c r="DN80" i="3" s="1"/>
  <c r="DN95" i="3" s="1"/>
  <c r="DR110" i="3"/>
  <c r="DR65" i="3"/>
  <c r="DR80" i="3" s="1"/>
  <c r="DR95" i="3" s="1"/>
  <c r="DV110" i="3"/>
  <c r="DV65" i="3"/>
  <c r="DV80" i="3" s="1"/>
  <c r="DV95" i="3" s="1"/>
  <c r="DZ110" i="3"/>
  <c r="DZ65" i="3"/>
  <c r="DZ80" i="3" s="1"/>
  <c r="DZ95" i="3" s="1"/>
  <c r="E10" i="3"/>
  <c r="F10" i="3" s="1"/>
  <c r="G10" i="3" s="1"/>
  <c r="J10" i="3"/>
  <c r="K10" i="3" s="1"/>
  <c r="P91" i="3"/>
  <c r="U10" i="3"/>
  <c r="AK10" i="3"/>
  <c r="AS10" i="3"/>
  <c r="BA10" i="3"/>
  <c r="BI10" i="3"/>
  <c r="BQ10" i="3"/>
  <c r="CG10" i="3"/>
  <c r="CO10" i="3"/>
  <c r="DG11" i="3"/>
  <c r="DG115" i="3" s="1"/>
  <c r="DO11" i="3"/>
  <c r="DO115" i="3" s="1"/>
  <c r="DW11" i="3"/>
  <c r="DW115" i="3" s="1"/>
  <c r="DJ12" i="3"/>
  <c r="DJ116" i="3" s="1"/>
  <c r="DR12" i="3"/>
  <c r="DR116" i="3" s="1"/>
  <c r="DZ12" i="3"/>
  <c r="DZ116" i="3" s="1"/>
  <c r="J13" i="3"/>
  <c r="K13" i="3" s="1"/>
  <c r="Z13" i="3"/>
  <c r="AA13" i="3" s="1"/>
  <c r="BF13" i="3"/>
  <c r="BG13" i="3" s="1"/>
  <c r="BV13" i="3"/>
  <c r="M15" i="3"/>
  <c r="AC15" i="3"/>
  <c r="AS15" i="3"/>
  <c r="BI15" i="3"/>
  <c r="BY15" i="3"/>
  <c r="CO15" i="3"/>
  <c r="J16" i="3"/>
  <c r="K16" i="3" s="1"/>
  <c r="R16" i="3"/>
  <c r="S16" i="3" s="1"/>
  <c r="Z16" i="3"/>
  <c r="AH16" i="3"/>
  <c r="AI16" i="3" s="1"/>
  <c r="AP16" i="3"/>
  <c r="AX16" i="3"/>
  <c r="BF16" i="3"/>
  <c r="BN16" i="3"/>
  <c r="BO16" i="3" s="1"/>
  <c r="BV16" i="3"/>
  <c r="CD16" i="3"/>
  <c r="CE16" i="3" s="1"/>
  <c r="CL16" i="3"/>
  <c r="F17" i="3"/>
  <c r="G17" i="3" s="1"/>
  <c r="AL17" i="3"/>
  <c r="AM17" i="3" s="1"/>
  <c r="BR17" i="3"/>
  <c r="BS17" i="3" s="1"/>
  <c r="DT14" i="3"/>
  <c r="DT118" i="3" s="1"/>
  <c r="DT16" i="3"/>
  <c r="DT120" i="3" s="1"/>
  <c r="N19" i="3"/>
  <c r="O19" i="3" s="1"/>
  <c r="V19" i="3"/>
  <c r="W19" i="3" s="1"/>
  <c r="AD19" i="3"/>
  <c r="AE19" i="3" s="1"/>
  <c r="EL19" i="3"/>
  <c r="EL123" i="3" s="1"/>
  <c r="AL19" i="3"/>
  <c r="AM19" i="3" s="1"/>
  <c r="AT19" i="3"/>
  <c r="AU19" i="3" s="1"/>
  <c r="EP19" i="3"/>
  <c r="EP123" i="3" s="1"/>
  <c r="BB19" i="3"/>
  <c r="BC19" i="3" s="1"/>
  <c r="BJ19" i="3"/>
  <c r="BK19" i="3" s="1"/>
  <c r="Q66" i="3"/>
  <c r="Q68" i="3" s="1"/>
  <c r="Q39" i="3"/>
  <c r="R31" i="3"/>
  <c r="AG66" i="3"/>
  <c r="AG68" i="3" s="1"/>
  <c r="AG39" i="3"/>
  <c r="AH31" i="3"/>
  <c r="AW66" i="3"/>
  <c r="AW39" i="3"/>
  <c r="AX31" i="3"/>
  <c r="BM66" i="3"/>
  <c r="BN31" i="3"/>
  <c r="CC66" i="3"/>
  <c r="CD31" i="3"/>
  <c r="BO42" i="3"/>
  <c r="D110" i="3"/>
  <c r="D65" i="3"/>
  <c r="D80" i="3" s="1"/>
  <c r="D95" i="3" s="1"/>
  <c r="T110" i="3"/>
  <c r="T65" i="3"/>
  <c r="T80" i="3" s="1"/>
  <c r="T95" i="3" s="1"/>
  <c r="AB110" i="3"/>
  <c r="AB65" i="3"/>
  <c r="AB80" i="3" s="1"/>
  <c r="AB95" i="3" s="1"/>
  <c r="AN110" i="3"/>
  <c r="AN65" i="3"/>
  <c r="AN80" i="3" s="1"/>
  <c r="AN95" i="3" s="1"/>
  <c r="AZ110" i="3"/>
  <c r="AZ65" i="3"/>
  <c r="AZ80" i="3" s="1"/>
  <c r="AZ95" i="3" s="1"/>
  <c r="BP110" i="3"/>
  <c r="BP65" i="3"/>
  <c r="BP80" i="3" s="1"/>
  <c r="BP95" i="3" s="1"/>
  <c r="CB110" i="3"/>
  <c r="CB65" i="3"/>
  <c r="CB80" i="3" s="1"/>
  <c r="CB95" i="3" s="1"/>
  <c r="CN110" i="3"/>
  <c r="CN65" i="3"/>
  <c r="CN80" i="3" s="1"/>
  <c r="CN95" i="3" s="1"/>
  <c r="AJ89" i="3"/>
  <c r="AJ84" i="3" s="1"/>
  <c r="AJ92" i="3" s="1"/>
  <c r="BP92" i="3"/>
  <c r="BP89" i="3"/>
  <c r="CS92" i="3"/>
  <c r="BB11" i="3"/>
  <c r="BC11" i="3" s="1"/>
  <c r="DM13" i="3"/>
  <c r="BZ69" i="3"/>
  <c r="CA13" i="3"/>
  <c r="CA69" i="3" s="1"/>
  <c r="AO15" i="3"/>
  <c r="BU15" i="3"/>
  <c r="DI19" i="3"/>
  <c r="DI123" i="3" s="1"/>
  <c r="DS19" i="3"/>
  <c r="DS123" i="3" s="1"/>
  <c r="M66" i="3"/>
  <c r="M68" i="3" s="1"/>
  <c r="N31" i="3"/>
  <c r="CP31" i="3"/>
  <c r="CP34" i="3"/>
  <c r="W35" i="3"/>
  <c r="EJ35" i="3" s="1"/>
  <c r="EJ139" i="3" s="1"/>
  <c r="CI35" i="3"/>
  <c r="EZ35" i="3" s="1"/>
  <c r="EZ139" i="3" s="1"/>
  <c r="CA37" i="3"/>
  <c r="DW37" i="3" s="1"/>
  <c r="DW141" i="3" s="1"/>
  <c r="F110" i="3"/>
  <c r="F65" i="3"/>
  <c r="F80" i="3" s="1"/>
  <c r="F95" i="3" s="1"/>
  <c r="N110" i="3"/>
  <c r="N65" i="3"/>
  <c r="N80" i="3" s="1"/>
  <c r="N95" i="3" s="1"/>
  <c r="R110" i="3"/>
  <c r="R65" i="3"/>
  <c r="R80" i="3" s="1"/>
  <c r="R95" i="3" s="1"/>
  <c r="V110" i="3"/>
  <c r="V65" i="3"/>
  <c r="V80" i="3" s="1"/>
  <c r="V95" i="3" s="1"/>
  <c r="Z110" i="3"/>
  <c r="Z65" i="3"/>
  <c r="Z80" i="3" s="1"/>
  <c r="Z95" i="3" s="1"/>
  <c r="AD110" i="3"/>
  <c r="AD65" i="3"/>
  <c r="AD80" i="3" s="1"/>
  <c r="AD95" i="3" s="1"/>
  <c r="AH110" i="3"/>
  <c r="AH65" i="3"/>
  <c r="AH80" i="3" s="1"/>
  <c r="AH95" i="3" s="1"/>
  <c r="AL110" i="3"/>
  <c r="AL65" i="3"/>
  <c r="AL80" i="3" s="1"/>
  <c r="AL95" i="3" s="1"/>
  <c r="AT110" i="3"/>
  <c r="AT65" i="3"/>
  <c r="AT80" i="3" s="1"/>
  <c r="AT95" i="3" s="1"/>
  <c r="AX110" i="3"/>
  <c r="AX65" i="3"/>
  <c r="AX80" i="3" s="1"/>
  <c r="AX95" i="3" s="1"/>
  <c r="BB110" i="3"/>
  <c r="BB65" i="3"/>
  <c r="BB80" i="3" s="1"/>
  <c r="BB95" i="3" s="1"/>
  <c r="BF110" i="3"/>
  <c r="BF65" i="3"/>
  <c r="BF80" i="3" s="1"/>
  <c r="BF95" i="3" s="1"/>
  <c r="BJ110" i="3"/>
  <c r="BJ65" i="3"/>
  <c r="BJ80" i="3" s="1"/>
  <c r="BJ95" i="3" s="1"/>
  <c r="BN110" i="3"/>
  <c r="BN65" i="3"/>
  <c r="BN80" i="3" s="1"/>
  <c r="BN95" i="3" s="1"/>
  <c r="BR110" i="3"/>
  <c r="BR65" i="3"/>
  <c r="BR80" i="3" s="1"/>
  <c r="BR95" i="3" s="1"/>
  <c r="BV110" i="3"/>
  <c r="BV65" i="3"/>
  <c r="BV80" i="3" s="1"/>
  <c r="BV95" i="3" s="1"/>
  <c r="BZ110" i="3"/>
  <c r="BZ65" i="3"/>
  <c r="BZ80" i="3" s="1"/>
  <c r="BZ95" i="3" s="1"/>
  <c r="CD110" i="3"/>
  <c r="CD65" i="3"/>
  <c r="CD80" i="3" s="1"/>
  <c r="CD95" i="3" s="1"/>
  <c r="CH110" i="3"/>
  <c r="CH65" i="3"/>
  <c r="CH80" i="3" s="1"/>
  <c r="CH95" i="3" s="1"/>
  <c r="CL110" i="3"/>
  <c r="CL65" i="3"/>
  <c r="CL80" i="3" s="1"/>
  <c r="CL95" i="3" s="1"/>
  <c r="CP110" i="3"/>
  <c r="CP65" i="3"/>
  <c r="CP80" i="3" s="1"/>
  <c r="CP95" i="3" s="1"/>
  <c r="CT110" i="3"/>
  <c r="CT65" i="3"/>
  <c r="CT80" i="3" s="1"/>
  <c r="CT95" i="3" s="1"/>
  <c r="DG110" i="3"/>
  <c r="DG65" i="3"/>
  <c r="DG80" i="3" s="1"/>
  <c r="DG95" i="3" s="1"/>
  <c r="DK110" i="3"/>
  <c r="DK65" i="3"/>
  <c r="DK80" i="3" s="1"/>
  <c r="DK95" i="3" s="1"/>
  <c r="DO110" i="3"/>
  <c r="DO65" i="3"/>
  <c r="DO80" i="3" s="1"/>
  <c r="DO95" i="3" s="1"/>
  <c r="DS110" i="3"/>
  <c r="DS65" i="3"/>
  <c r="DS80" i="3" s="1"/>
  <c r="DS95" i="3" s="1"/>
  <c r="EA110" i="3"/>
  <c r="EA65" i="3"/>
  <c r="EA80" i="3" s="1"/>
  <c r="EA95" i="3" s="1"/>
  <c r="L91" i="3"/>
  <c r="Q10" i="3"/>
  <c r="X89" i="3"/>
  <c r="X84" i="3" s="1"/>
  <c r="X92" i="3"/>
  <c r="AF91" i="3"/>
  <c r="AN89" i="3"/>
  <c r="AN84" i="3" s="1"/>
  <c r="AN92" i="3" s="1"/>
  <c r="AV91" i="3"/>
  <c r="BD89" i="3"/>
  <c r="BD84" i="3" s="1"/>
  <c r="BD92" i="3" s="1"/>
  <c r="BL91" i="3"/>
  <c r="BT89" i="3"/>
  <c r="CB91" i="3"/>
  <c r="CJ89" i="3"/>
  <c r="CJ92" i="3"/>
  <c r="I11" i="3"/>
  <c r="J11" i="3" s="1"/>
  <c r="K11" i="3" s="1"/>
  <c r="Q11" i="3"/>
  <c r="Y11" i="3"/>
  <c r="AO11" i="3"/>
  <c r="AW11" i="3"/>
  <c r="BE11" i="3"/>
  <c r="BU11" i="3"/>
  <c r="CC11" i="3"/>
  <c r="CK11" i="3"/>
  <c r="EL11" i="3"/>
  <c r="EL115" i="3" s="1"/>
  <c r="ET11" i="3"/>
  <c r="ET115" i="3" s="1"/>
  <c r="EO12" i="3"/>
  <c r="EO116" i="3" s="1"/>
  <c r="EW12" i="3"/>
  <c r="EW116" i="3" s="1"/>
  <c r="EM14" i="3"/>
  <c r="EM118" i="3" s="1"/>
  <c r="EU14" i="3"/>
  <c r="EU118" i="3" s="1"/>
  <c r="EV17" i="3"/>
  <c r="EV121" i="3" s="1"/>
  <c r="E12" i="3"/>
  <c r="F12" i="3" s="1"/>
  <c r="G12" i="3" s="1"/>
  <c r="U12" i="3"/>
  <c r="AC12" i="3"/>
  <c r="AK12" i="3"/>
  <c r="BA12" i="3"/>
  <c r="BI12" i="3"/>
  <c r="BQ12" i="3"/>
  <c r="CG12" i="3"/>
  <c r="CO12" i="3"/>
  <c r="CC69" i="3"/>
  <c r="CD13" i="3"/>
  <c r="CK69" i="3"/>
  <c r="CL13" i="3"/>
  <c r="V14" i="3"/>
  <c r="W14" i="3" s="1"/>
  <c r="AL14" i="3"/>
  <c r="AM14" i="3" s="1"/>
  <c r="BB14" i="3"/>
  <c r="BC14" i="3" s="1"/>
  <c r="BR14" i="3"/>
  <c r="BS14" i="3" s="1"/>
  <c r="CH14" i="3"/>
  <c r="CI14" i="3" s="1"/>
  <c r="R15" i="3"/>
  <c r="AH15" i="3"/>
  <c r="AI15" i="3" s="1"/>
  <c r="EM15" i="3"/>
  <c r="EM119" i="3" s="1"/>
  <c r="AX15" i="3"/>
  <c r="AY15" i="3" s="1"/>
  <c r="EQ15" i="3"/>
  <c r="EQ119" i="3" s="1"/>
  <c r="BN15" i="3"/>
  <c r="BO15" i="3" s="1"/>
  <c r="EU15" i="3"/>
  <c r="EU119" i="3" s="1"/>
  <c r="CD15" i="3"/>
  <c r="DH14" i="3"/>
  <c r="DH118" i="3" s="1"/>
  <c r="DX14" i="3"/>
  <c r="DX118" i="3" s="1"/>
  <c r="DP15" i="3"/>
  <c r="DP119" i="3" s="1"/>
  <c r="DH16" i="3"/>
  <c r="DH120" i="3" s="1"/>
  <c r="DX16" i="3"/>
  <c r="DX120" i="3" s="1"/>
  <c r="DP17" i="3"/>
  <c r="DP121" i="3" s="1"/>
  <c r="U66" i="3"/>
  <c r="U68" i="3" s="1"/>
  <c r="U39" i="3"/>
  <c r="V31" i="3"/>
  <c r="AK66" i="3"/>
  <c r="AK39" i="3"/>
  <c r="AL31" i="3"/>
  <c r="BA66" i="3"/>
  <c r="BA39" i="3"/>
  <c r="BB31" i="3"/>
  <c r="CG66" i="3"/>
  <c r="CH31" i="3"/>
  <c r="BZ34" i="3"/>
  <c r="CA34" i="3" s="1"/>
  <c r="EX34" i="3"/>
  <c r="EX138" i="3" s="1"/>
  <c r="AM35" i="3"/>
  <c r="EN35" i="3"/>
  <c r="EN139" i="3" s="1"/>
  <c r="BS35" i="3"/>
  <c r="EV35" i="3"/>
  <c r="EV139" i="3" s="1"/>
  <c r="W37" i="3"/>
  <c r="EJ37" i="3"/>
  <c r="EJ141" i="3" s="1"/>
  <c r="AM37" i="3"/>
  <c r="EN37" i="3"/>
  <c r="EN141" i="3" s="1"/>
  <c r="BC37" i="3"/>
  <c r="ER37" i="3"/>
  <c r="ER141" i="3" s="1"/>
  <c r="BS37" i="3"/>
  <c r="EV37" i="3"/>
  <c r="EV141" i="3" s="1"/>
  <c r="CI37" i="3"/>
  <c r="EZ37" i="3"/>
  <c r="EZ141" i="3" s="1"/>
  <c r="P110" i="3"/>
  <c r="P65" i="3"/>
  <c r="P80" i="3" s="1"/>
  <c r="P95" i="3" s="1"/>
  <c r="AF110" i="3"/>
  <c r="AF65" i="3"/>
  <c r="AF80" i="3" s="1"/>
  <c r="AF95" i="3" s="1"/>
  <c r="AR110" i="3"/>
  <c r="AR65" i="3"/>
  <c r="AR80" i="3" s="1"/>
  <c r="AR95" i="3" s="1"/>
  <c r="BD110" i="3"/>
  <c r="BD65" i="3"/>
  <c r="BD80" i="3" s="1"/>
  <c r="BD95" i="3" s="1"/>
  <c r="BL110" i="3"/>
  <c r="BL65" i="3"/>
  <c r="BL80" i="3" s="1"/>
  <c r="BL95" i="3" s="1"/>
  <c r="BX110" i="3"/>
  <c r="BX65" i="3"/>
  <c r="BX80" i="3" s="1"/>
  <c r="BX95" i="3" s="1"/>
  <c r="CJ110" i="3"/>
  <c r="CJ65" i="3"/>
  <c r="CJ80" i="3" s="1"/>
  <c r="CJ95" i="3" s="1"/>
  <c r="AB91" i="3"/>
  <c r="AZ89" i="3"/>
  <c r="AZ84" i="3" s="1"/>
  <c r="AZ92" i="3" s="1"/>
  <c r="BX91" i="3"/>
  <c r="V11" i="3"/>
  <c r="W11" i="3" s="1"/>
  <c r="EH11" i="3"/>
  <c r="EH115" i="3" s="1"/>
  <c r="EX11" i="3"/>
  <c r="EX115" i="3" s="1"/>
  <c r="EK12" i="3"/>
  <c r="EK116" i="3" s="1"/>
  <c r="R12" i="3"/>
  <c r="S12" i="3" s="1"/>
  <c r="AH12" i="3"/>
  <c r="AI12" i="3" s="1"/>
  <c r="AX12" i="3"/>
  <c r="AY12" i="3" s="1"/>
  <c r="BN12" i="3"/>
  <c r="BO12" i="3" s="1"/>
  <c r="CD12" i="3"/>
  <c r="CE12" i="3" s="1"/>
  <c r="DE13" i="3"/>
  <c r="DE117" i="3" s="1"/>
  <c r="EO13" i="3"/>
  <c r="ES13" i="3"/>
  <c r="BU69" i="3"/>
  <c r="CG69" i="3"/>
  <c r="CH13" i="3"/>
  <c r="DN13" i="3"/>
  <c r="I15" i="3"/>
  <c r="J15" i="3" s="1"/>
  <c r="K15" i="3" s="1"/>
  <c r="BE15" i="3"/>
  <c r="DI17" i="3"/>
  <c r="DI121" i="3" s="1"/>
  <c r="DQ17" i="3"/>
  <c r="DQ121" i="3" s="1"/>
  <c r="DY17" i="3"/>
  <c r="DY121" i="3" s="1"/>
  <c r="DK19" i="3"/>
  <c r="DK123" i="3" s="1"/>
  <c r="BI66" i="3"/>
  <c r="BJ31" i="3"/>
  <c r="G110" i="3"/>
  <c r="G65" i="3"/>
  <c r="G80" i="3" s="1"/>
  <c r="G95" i="3" s="1"/>
  <c r="K110" i="3"/>
  <c r="K65" i="3"/>
  <c r="K80" i="3" s="1"/>
  <c r="K95" i="3" s="1"/>
  <c r="O110" i="3"/>
  <c r="O65" i="3"/>
  <c r="O80" i="3" s="1"/>
  <c r="O95" i="3" s="1"/>
  <c r="S110" i="3"/>
  <c r="S65" i="3"/>
  <c r="S80" i="3" s="1"/>
  <c r="S95" i="3" s="1"/>
  <c r="W110" i="3"/>
  <c r="W65" i="3"/>
  <c r="W80" i="3" s="1"/>
  <c r="W95" i="3" s="1"/>
  <c r="AA110" i="3"/>
  <c r="AA65" i="3"/>
  <c r="AA80" i="3" s="1"/>
  <c r="AA95" i="3" s="1"/>
  <c r="AE110" i="3"/>
  <c r="AE65" i="3"/>
  <c r="AE80" i="3" s="1"/>
  <c r="AE95" i="3" s="1"/>
  <c r="AI110" i="3"/>
  <c r="AI65" i="3"/>
  <c r="AI80" i="3" s="1"/>
  <c r="AI95" i="3" s="1"/>
  <c r="AM110" i="3"/>
  <c r="AM65" i="3"/>
  <c r="AM80" i="3" s="1"/>
  <c r="AM95" i="3" s="1"/>
  <c r="AQ110" i="3"/>
  <c r="AQ65" i="3"/>
  <c r="AQ80" i="3" s="1"/>
  <c r="AQ95" i="3" s="1"/>
  <c r="AU110" i="3"/>
  <c r="AU65" i="3"/>
  <c r="AU80" i="3" s="1"/>
  <c r="AU95" i="3" s="1"/>
  <c r="AY110" i="3"/>
  <c r="AY65" i="3"/>
  <c r="AY80" i="3" s="1"/>
  <c r="AY95" i="3" s="1"/>
  <c r="BC110" i="3"/>
  <c r="BC65" i="3"/>
  <c r="BC80" i="3" s="1"/>
  <c r="BC95" i="3" s="1"/>
  <c r="BG110" i="3"/>
  <c r="BG65" i="3"/>
  <c r="BG80" i="3" s="1"/>
  <c r="BG95" i="3" s="1"/>
  <c r="BK110" i="3"/>
  <c r="BK65" i="3"/>
  <c r="BK80" i="3" s="1"/>
  <c r="BK95" i="3" s="1"/>
  <c r="BO110" i="3"/>
  <c r="BO65" i="3"/>
  <c r="BO80" i="3" s="1"/>
  <c r="BO95" i="3" s="1"/>
  <c r="BS110" i="3"/>
  <c r="BS65" i="3"/>
  <c r="BS80" i="3" s="1"/>
  <c r="BS95" i="3" s="1"/>
  <c r="BW110" i="3"/>
  <c r="BW65" i="3"/>
  <c r="BW80" i="3" s="1"/>
  <c r="BW95" i="3" s="1"/>
  <c r="CA110" i="3"/>
  <c r="CA65" i="3"/>
  <c r="CA80" i="3" s="1"/>
  <c r="CA95" i="3" s="1"/>
  <c r="CE110" i="3"/>
  <c r="CE65" i="3"/>
  <c r="CE80" i="3" s="1"/>
  <c r="CE95" i="3" s="1"/>
  <c r="CI110" i="3"/>
  <c r="CI65" i="3"/>
  <c r="CI80" i="3" s="1"/>
  <c r="CI95" i="3" s="1"/>
  <c r="CM110" i="3"/>
  <c r="CM65" i="3"/>
  <c r="CM80" i="3" s="1"/>
  <c r="CM95" i="3" s="1"/>
  <c r="CQ110" i="3"/>
  <c r="CQ65" i="3"/>
  <c r="CQ80" i="3" s="1"/>
  <c r="CQ95" i="3" s="1"/>
  <c r="CU110" i="3"/>
  <c r="CU65" i="3"/>
  <c r="CU80" i="3" s="1"/>
  <c r="CU95" i="3" s="1"/>
  <c r="DH110" i="3"/>
  <c r="DH65" i="3"/>
  <c r="DH80" i="3" s="1"/>
  <c r="DH95" i="3" s="1"/>
  <c r="DL110" i="3"/>
  <c r="DL65" i="3"/>
  <c r="DL80" i="3" s="1"/>
  <c r="DL95" i="3" s="1"/>
  <c r="DP110" i="3"/>
  <c r="DP65" i="3"/>
  <c r="DP80" i="3" s="1"/>
  <c r="DP95" i="3" s="1"/>
  <c r="DT110" i="3"/>
  <c r="DT65" i="3"/>
  <c r="DT80" i="3" s="1"/>
  <c r="DT95" i="3" s="1"/>
  <c r="DX110" i="3"/>
  <c r="DX65" i="3"/>
  <c r="DX80" i="3" s="1"/>
  <c r="DX95" i="3" s="1"/>
  <c r="EB110" i="3"/>
  <c r="EB65" i="3"/>
  <c r="EB80" i="3" s="1"/>
  <c r="EB95" i="3" s="1"/>
  <c r="M10" i="3"/>
  <c r="Y10" i="3"/>
  <c r="AG10" i="3"/>
  <c r="AO10" i="3"/>
  <c r="AW10" i="3"/>
  <c r="BE10" i="3"/>
  <c r="BM10" i="3"/>
  <c r="BU10" i="3"/>
  <c r="CC10" i="3"/>
  <c r="E49" i="79" s="1"/>
  <c r="CK10" i="3"/>
  <c r="CT114" i="3"/>
  <c r="CU114" i="3" s="1"/>
  <c r="CR91" i="3"/>
  <c r="EB10" i="3"/>
  <c r="DE11" i="3"/>
  <c r="DE115" i="3" s="1"/>
  <c r="DM11" i="3"/>
  <c r="DM115" i="3" s="1"/>
  <c r="DQ11" i="3"/>
  <c r="DQ115" i="3" s="1"/>
  <c r="DU11" i="3"/>
  <c r="DU115" i="3" s="1"/>
  <c r="DH12" i="3"/>
  <c r="DH116" i="3" s="1"/>
  <c r="DP12" i="3"/>
  <c r="DP116" i="3" s="1"/>
  <c r="DX12" i="3"/>
  <c r="DX116" i="3" s="1"/>
  <c r="DG13" i="3"/>
  <c r="EH13" i="3"/>
  <c r="R13" i="3"/>
  <c r="DK13" i="3"/>
  <c r="EL13" i="3"/>
  <c r="AH13" i="3"/>
  <c r="AI13" i="3" s="1"/>
  <c r="DO13" i="3"/>
  <c r="EP13" i="3"/>
  <c r="AX13" i="3"/>
  <c r="DS13" i="3"/>
  <c r="ET13" i="3"/>
  <c r="BN13" i="3"/>
  <c r="BO13" i="3" s="1"/>
  <c r="BY69" i="3"/>
  <c r="DW13" i="3"/>
  <c r="EX13" i="3"/>
  <c r="CS69" i="3"/>
  <c r="EB13" i="3"/>
  <c r="DJ13" i="3"/>
  <c r="E15" i="3"/>
  <c r="F15" i="3" s="1"/>
  <c r="G15" i="3" s="1"/>
  <c r="U15" i="3"/>
  <c r="AK15" i="3"/>
  <c r="BA15" i="3"/>
  <c r="BQ15" i="3"/>
  <c r="CG15" i="3"/>
  <c r="DE16" i="3"/>
  <c r="DE120" i="3" s="1"/>
  <c r="F16" i="3"/>
  <c r="G16" i="3" s="1"/>
  <c r="EH16" i="3"/>
  <c r="EH120" i="3" s="1"/>
  <c r="N16" i="3"/>
  <c r="O16" i="3" s="1"/>
  <c r="V16" i="3"/>
  <c r="AD16" i="3"/>
  <c r="AE16" i="3" s="1"/>
  <c r="AL16" i="3"/>
  <c r="EP16" i="3"/>
  <c r="EP120" i="3" s="1"/>
  <c r="AT16" i="3"/>
  <c r="AU16" i="3" s="1"/>
  <c r="BB16" i="3"/>
  <c r="BJ16" i="3"/>
  <c r="BK16" i="3" s="1"/>
  <c r="BR16" i="3"/>
  <c r="EX16" i="3"/>
  <c r="EX120" i="3" s="1"/>
  <c r="BZ16" i="3"/>
  <c r="CA16" i="3" s="1"/>
  <c r="CH16" i="3"/>
  <c r="CP16" i="3"/>
  <c r="CQ16" i="3" s="1"/>
  <c r="BN17" i="3"/>
  <c r="DL14" i="3"/>
  <c r="DL118" i="3" s="1"/>
  <c r="DT15" i="3"/>
  <c r="DT119" i="3" s="1"/>
  <c r="DL16" i="3"/>
  <c r="DL120" i="3" s="1"/>
  <c r="J19" i="3"/>
  <c r="K19" i="3" s="1"/>
  <c r="R19" i="3"/>
  <c r="S19" i="3" s="1"/>
  <c r="Z19" i="3"/>
  <c r="AA19" i="3" s="1"/>
  <c r="AH19" i="3"/>
  <c r="AI19" i="3" s="1"/>
  <c r="AP19" i="3"/>
  <c r="AQ19" i="3" s="1"/>
  <c r="AX19" i="3"/>
  <c r="AY19" i="3" s="1"/>
  <c r="ES19" i="3"/>
  <c r="ES123" i="3" s="1"/>
  <c r="BF19" i="3"/>
  <c r="BG19" i="3" s="1"/>
  <c r="DR19" i="3"/>
  <c r="DR123" i="3" s="1"/>
  <c r="DE20" i="3"/>
  <c r="DE124" i="3" s="1"/>
  <c r="DG20" i="3"/>
  <c r="DG124" i="3" s="1"/>
  <c r="DK20" i="3"/>
  <c r="DK124" i="3" s="1"/>
  <c r="DO20" i="3"/>
  <c r="DO124" i="3" s="1"/>
  <c r="DS20" i="3"/>
  <c r="DS124" i="3" s="1"/>
  <c r="DW20" i="3"/>
  <c r="DW124" i="3" s="1"/>
  <c r="DF22" i="3"/>
  <c r="DF126" i="3" s="1"/>
  <c r="DG24" i="3"/>
  <c r="DG128" i="3" s="1"/>
  <c r="DK24" i="3"/>
  <c r="DK128" i="3" s="1"/>
  <c r="DO24" i="3"/>
  <c r="DO128" i="3" s="1"/>
  <c r="DS24" i="3"/>
  <c r="DS128" i="3" s="1"/>
  <c r="DW24" i="3"/>
  <c r="DW128" i="3" s="1"/>
  <c r="AO66" i="3"/>
  <c r="AO39" i="3"/>
  <c r="AP31" i="3"/>
  <c r="BE66" i="3"/>
  <c r="BE39" i="3"/>
  <c r="BF31" i="3"/>
  <c r="BU66" i="3"/>
  <c r="BU39" i="3"/>
  <c r="BV31" i="3"/>
  <c r="O35" i="3"/>
  <c r="DG35" i="3" s="1"/>
  <c r="DG139" i="3" s="1"/>
  <c r="EH35" i="3"/>
  <c r="EH139" i="3" s="1"/>
  <c r="AU35" i="3"/>
  <c r="DO35" i="3" s="1"/>
  <c r="DO139" i="3" s="1"/>
  <c r="EP35" i="3"/>
  <c r="EP139" i="3" s="1"/>
  <c r="CA35" i="3"/>
  <c r="EX35" i="3" s="1"/>
  <c r="EX139" i="3" s="1"/>
  <c r="K37" i="3"/>
  <c r="DF37" i="3"/>
  <c r="DF141" i="3" s="1"/>
  <c r="H110" i="3"/>
  <c r="H65" i="3"/>
  <c r="H80" i="3" s="1"/>
  <c r="H95" i="3" s="1"/>
  <c r="DI110" i="3"/>
  <c r="DI65" i="3"/>
  <c r="DI80" i="3" s="1"/>
  <c r="DI95" i="3" s="1"/>
  <c r="DM110" i="3"/>
  <c r="DM65" i="3"/>
  <c r="DM80" i="3" s="1"/>
  <c r="DM95" i="3" s="1"/>
  <c r="DQ110" i="3"/>
  <c r="DQ65" i="3"/>
  <c r="DQ80" i="3" s="1"/>
  <c r="DQ95" i="3" s="1"/>
  <c r="DU110" i="3"/>
  <c r="DU65" i="3"/>
  <c r="DU80" i="3" s="1"/>
  <c r="DU95" i="3" s="1"/>
  <c r="DY110" i="3"/>
  <c r="DY65" i="3"/>
  <c r="DY80" i="3" s="1"/>
  <c r="DY95" i="3" s="1"/>
  <c r="CU92" i="3"/>
  <c r="CS117" i="3"/>
  <c r="CT117" i="3" s="1"/>
  <c r="CU117" i="3" s="1"/>
  <c r="I17" i="3"/>
  <c r="J17" i="3" s="1"/>
  <c r="K17" i="3" s="1"/>
  <c r="M17" i="3"/>
  <c r="Y17" i="3"/>
  <c r="AC17" i="3"/>
  <c r="AO17" i="3"/>
  <c r="AS17" i="3"/>
  <c r="BE17" i="3"/>
  <c r="BI17" i="3"/>
  <c r="BU17" i="3"/>
  <c r="BY17" i="3"/>
  <c r="CK17" i="3"/>
  <c r="CO17" i="3"/>
  <c r="DG14" i="3"/>
  <c r="DG118" i="3" s="1"/>
  <c r="DK14" i="3"/>
  <c r="DK118" i="3" s="1"/>
  <c r="DO14" i="3"/>
  <c r="DO118" i="3" s="1"/>
  <c r="DS14" i="3"/>
  <c r="DS118" i="3" s="1"/>
  <c r="DW14" i="3"/>
  <c r="DW118" i="3" s="1"/>
  <c r="EA14" i="3"/>
  <c r="EA118" i="3" s="1"/>
  <c r="EX19" i="3"/>
  <c r="EX123" i="3" s="1"/>
  <c r="EK20" i="3"/>
  <c r="EK124" i="3" s="1"/>
  <c r="EO20" i="3"/>
  <c r="EO124" i="3" s="1"/>
  <c r="ES20" i="3"/>
  <c r="ES124" i="3" s="1"/>
  <c r="EW20" i="3"/>
  <c r="EW124" i="3" s="1"/>
  <c r="FA20" i="3"/>
  <c r="FA124" i="3" s="1"/>
  <c r="EJ21" i="3"/>
  <c r="EJ125" i="3" s="1"/>
  <c r="EN21" i="3"/>
  <c r="EN125" i="3" s="1"/>
  <c r="ER21" i="3"/>
  <c r="ER125" i="3" s="1"/>
  <c r="EV21" i="3"/>
  <c r="EV125" i="3" s="1"/>
  <c r="EZ21" i="3"/>
  <c r="EZ125" i="3" s="1"/>
  <c r="EI22" i="3"/>
  <c r="EI126" i="3" s="1"/>
  <c r="EM22" i="3"/>
  <c r="EM126" i="3" s="1"/>
  <c r="EQ22" i="3"/>
  <c r="EQ126" i="3" s="1"/>
  <c r="EU22" i="3"/>
  <c r="EU126" i="3" s="1"/>
  <c r="EY22" i="3"/>
  <c r="EY126" i="3" s="1"/>
  <c r="EK24" i="3"/>
  <c r="EK128" i="3" s="1"/>
  <c r="EO24" i="3"/>
  <c r="EO128" i="3" s="1"/>
  <c r="ES24" i="3"/>
  <c r="ES128" i="3" s="1"/>
  <c r="EJ25" i="3"/>
  <c r="EJ129" i="3" s="1"/>
  <c r="EN25" i="3"/>
  <c r="EN129" i="3" s="1"/>
  <c r="ER25" i="3"/>
  <c r="ER129" i="3" s="1"/>
  <c r="EV25" i="3"/>
  <c r="EV129" i="3" s="1"/>
  <c r="EZ25" i="3"/>
  <c r="EZ129" i="3" s="1"/>
  <c r="EI26" i="3"/>
  <c r="EI130" i="3" s="1"/>
  <c r="EM26" i="3"/>
  <c r="EM130" i="3" s="1"/>
  <c r="EQ26" i="3"/>
  <c r="EQ130" i="3" s="1"/>
  <c r="EU26" i="3"/>
  <c r="EU130" i="3" s="1"/>
  <c r="EY26" i="3"/>
  <c r="EY130" i="3" s="1"/>
  <c r="E31" i="3"/>
  <c r="I31" i="3"/>
  <c r="Y31" i="3"/>
  <c r="AS31" i="3"/>
  <c r="BQ31" i="3"/>
  <c r="CK31" i="3"/>
  <c r="EW34" i="3"/>
  <c r="EW138" i="3" s="1"/>
  <c r="ER35" i="3"/>
  <c r="ER139" i="3" s="1"/>
  <c r="EW35" i="3"/>
  <c r="EW139" i="3" s="1"/>
  <c r="EZ36" i="3"/>
  <c r="EZ140" i="3" s="1"/>
  <c r="EX32" i="3"/>
  <c r="EX136" i="3" s="1"/>
  <c r="DT34" i="3"/>
  <c r="DT138" i="3" s="1"/>
  <c r="DX34" i="3"/>
  <c r="DX138" i="3" s="1"/>
  <c r="DW32" i="3"/>
  <c r="DW136" i="3" s="1"/>
  <c r="DW33" i="3"/>
  <c r="DW137" i="3" s="1"/>
  <c r="DW34" i="3"/>
  <c r="DW138" i="3" s="1"/>
  <c r="DK37" i="3"/>
  <c r="DK141" i="3" s="1"/>
  <c r="DS37" i="3"/>
  <c r="DS141" i="3" s="1"/>
  <c r="EA37" i="3"/>
  <c r="EA141" i="3" s="1"/>
  <c r="DH35" i="3"/>
  <c r="DH139" i="3" s="1"/>
  <c r="EI35" i="3"/>
  <c r="EI139" i="3" s="1"/>
  <c r="DL35" i="3"/>
  <c r="DL139" i="3" s="1"/>
  <c r="EM35" i="3"/>
  <c r="EM139" i="3" s="1"/>
  <c r="DP35" i="3"/>
  <c r="DP139" i="3" s="1"/>
  <c r="EQ35" i="3"/>
  <c r="EQ139" i="3" s="1"/>
  <c r="DT35" i="3"/>
  <c r="DT139" i="3" s="1"/>
  <c r="EU35" i="3"/>
  <c r="EU139" i="3" s="1"/>
  <c r="DX35" i="3"/>
  <c r="DX139" i="3" s="1"/>
  <c r="EY35" i="3"/>
  <c r="EY139" i="3" s="1"/>
  <c r="EX36" i="3"/>
  <c r="EX140" i="3" s="1"/>
  <c r="DY36" i="3"/>
  <c r="DY140" i="3" s="1"/>
  <c r="CD42" i="3"/>
  <c r="BV44" i="3"/>
  <c r="BW44" i="3" s="1"/>
  <c r="DZ44" i="3"/>
  <c r="DZ148" i="3" s="1"/>
  <c r="CL44" i="3"/>
  <c r="CM44" i="3" s="1"/>
  <c r="BV45" i="3"/>
  <c r="BW45" i="3" s="1"/>
  <c r="CL45" i="3"/>
  <c r="CM45" i="3" s="1"/>
  <c r="BR46" i="3"/>
  <c r="BS46" i="3" s="1"/>
  <c r="CH46" i="3"/>
  <c r="CI46" i="3" s="1"/>
  <c r="W47" i="3"/>
  <c r="EJ47" i="3" s="1"/>
  <c r="EJ151" i="3" s="1"/>
  <c r="AM47" i="3"/>
  <c r="EN47" i="3"/>
  <c r="EN151" i="3" s="1"/>
  <c r="BC47" i="3"/>
  <c r="ER47" i="3" s="1"/>
  <c r="ER151" i="3" s="1"/>
  <c r="BS47" i="3"/>
  <c r="EV47" i="3" s="1"/>
  <c r="EV151" i="3" s="1"/>
  <c r="CI47" i="3"/>
  <c r="EZ47" i="3" s="1"/>
  <c r="EZ151" i="3" s="1"/>
  <c r="N49" i="3"/>
  <c r="O49" i="3" s="1"/>
  <c r="AD49" i="3"/>
  <c r="AE49" i="3" s="1"/>
  <c r="AT49" i="3"/>
  <c r="AU49" i="3" s="1"/>
  <c r="EP49" i="3"/>
  <c r="EP153" i="3" s="1"/>
  <c r="BF49" i="3"/>
  <c r="BG49" i="3" s="1"/>
  <c r="ES49" i="3"/>
  <c r="ES153" i="3" s="1"/>
  <c r="K50" i="3"/>
  <c r="DF50" i="3"/>
  <c r="DF154" i="3" s="1"/>
  <c r="S50" i="3"/>
  <c r="EI50" i="3"/>
  <c r="EI154" i="3" s="1"/>
  <c r="AU50" i="3"/>
  <c r="EP50" i="3"/>
  <c r="EP154" i="3" s="1"/>
  <c r="BW50" i="3"/>
  <c r="DV50" i="3"/>
  <c r="DV154" i="3" s="1"/>
  <c r="EW50" i="3"/>
  <c r="EW154" i="3" s="1"/>
  <c r="CE50" i="3"/>
  <c r="EY50" i="3" s="1"/>
  <c r="EY154" i="3" s="1"/>
  <c r="DT20" i="3"/>
  <c r="DT124" i="3" s="1"/>
  <c r="DF21" i="3"/>
  <c r="DF125" i="3" s="1"/>
  <c r="DJ21" i="3"/>
  <c r="DJ125" i="3" s="1"/>
  <c r="DN21" i="3"/>
  <c r="DN125" i="3" s="1"/>
  <c r="DR21" i="3"/>
  <c r="DR125" i="3" s="1"/>
  <c r="DV21" i="3"/>
  <c r="DV125" i="3" s="1"/>
  <c r="DZ21" i="3"/>
  <c r="DZ125" i="3" s="1"/>
  <c r="DH22" i="3"/>
  <c r="DH126" i="3" s="1"/>
  <c r="DL22" i="3"/>
  <c r="DL126" i="3" s="1"/>
  <c r="DP22" i="3"/>
  <c r="DP126" i="3" s="1"/>
  <c r="DT22" i="3"/>
  <c r="DT126" i="3" s="1"/>
  <c r="DX22" i="3"/>
  <c r="DX126" i="3" s="1"/>
  <c r="DF23" i="3"/>
  <c r="DF127" i="3" s="1"/>
  <c r="DF25" i="3"/>
  <c r="DF129" i="3" s="1"/>
  <c r="DJ25" i="3"/>
  <c r="DJ129" i="3" s="1"/>
  <c r="DN25" i="3"/>
  <c r="DN129" i="3" s="1"/>
  <c r="DR25" i="3"/>
  <c r="DR129" i="3" s="1"/>
  <c r="DV25" i="3"/>
  <c r="DV129" i="3" s="1"/>
  <c r="DZ25" i="3"/>
  <c r="DZ129" i="3" s="1"/>
  <c r="DH26" i="3"/>
  <c r="DH130" i="3" s="1"/>
  <c r="DL26" i="3"/>
  <c r="DL130" i="3" s="1"/>
  <c r="DP26" i="3"/>
  <c r="DP130" i="3" s="1"/>
  <c r="DT26" i="3"/>
  <c r="DT130" i="3" s="1"/>
  <c r="DX26" i="3"/>
  <c r="DX130" i="3" s="1"/>
  <c r="DF27" i="3"/>
  <c r="DF131" i="3" s="1"/>
  <c r="EU19" i="3"/>
  <c r="EU123" i="3" s="1"/>
  <c r="EY19" i="3"/>
  <c r="EY123" i="3" s="1"/>
  <c r="EH20" i="3"/>
  <c r="EH124" i="3" s="1"/>
  <c r="EL20" i="3"/>
  <c r="EL124" i="3" s="1"/>
  <c r="EP20" i="3"/>
  <c r="EP124" i="3" s="1"/>
  <c r="ET20" i="3"/>
  <c r="ET124" i="3" s="1"/>
  <c r="EX20" i="3"/>
  <c r="EX124" i="3" s="1"/>
  <c r="EK21" i="3"/>
  <c r="EK125" i="3" s="1"/>
  <c r="EO21" i="3"/>
  <c r="EO125" i="3" s="1"/>
  <c r="ES21" i="3"/>
  <c r="ES125" i="3" s="1"/>
  <c r="EW21" i="3"/>
  <c r="EW125" i="3" s="1"/>
  <c r="FA21" i="3"/>
  <c r="FA125" i="3" s="1"/>
  <c r="EI23" i="3"/>
  <c r="EI127" i="3" s="1"/>
  <c r="EM23" i="3"/>
  <c r="EM127" i="3" s="1"/>
  <c r="EQ23" i="3"/>
  <c r="EQ127" i="3" s="1"/>
  <c r="EU23" i="3"/>
  <c r="EU127" i="3" s="1"/>
  <c r="EY23" i="3"/>
  <c r="EY127" i="3" s="1"/>
  <c r="EH24" i="3"/>
  <c r="EH128" i="3" s="1"/>
  <c r="EL24" i="3"/>
  <c r="EL128" i="3" s="1"/>
  <c r="EP24" i="3"/>
  <c r="EP128" i="3" s="1"/>
  <c r="ET24" i="3"/>
  <c r="ET128" i="3" s="1"/>
  <c r="EX24" i="3"/>
  <c r="EX128" i="3" s="1"/>
  <c r="EK25" i="3"/>
  <c r="EK129" i="3" s="1"/>
  <c r="EO25" i="3"/>
  <c r="EO129" i="3" s="1"/>
  <c r="ES25" i="3"/>
  <c r="ES129" i="3" s="1"/>
  <c r="EW25" i="3"/>
  <c r="EW129" i="3" s="1"/>
  <c r="FA25" i="3"/>
  <c r="FA129" i="3" s="1"/>
  <c r="EN26" i="3"/>
  <c r="EN130" i="3" s="1"/>
  <c r="BM33" i="3"/>
  <c r="BM39" i="3" s="1"/>
  <c r="BV33" i="3"/>
  <c r="BW33" i="3" s="1"/>
  <c r="CC33" i="3"/>
  <c r="CC39" i="3" s="1"/>
  <c r="CL33" i="3"/>
  <c r="DZ32" i="3"/>
  <c r="DZ136" i="3" s="1"/>
  <c r="DZ34" i="3"/>
  <c r="DZ138" i="3" s="1"/>
  <c r="G36" i="3"/>
  <c r="DE36" i="3" s="1"/>
  <c r="DE140" i="3" s="1"/>
  <c r="W36" i="3"/>
  <c r="EJ36" i="3" s="1"/>
  <c r="EJ140" i="3" s="1"/>
  <c r="AM36" i="3"/>
  <c r="EN36" i="3" s="1"/>
  <c r="EN140" i="3" s="1"/>
  <c r="BC36" i="3"/>
  <c r="ER36" i="3" s="1"/>
  <c r="ER140" i="3" s="1"/>
  <c r="BS36" i="3"/>
  <c r="EV36" i="3" s="1"/>
  <c r="EV140" i="3" s="1"/>
  <c r="V38" i="3"/>
  <c r="W38" i="3" s="1"/>
  <c r="AL38" i="3"/>
  <c r="AM38" i="3" s="1"/>
  <c r="BB38" i="3"/>
  <c r="BC38" i="3" s="1"/>
  <c r="EV38" i="3"/>
  <c r="EV142" i="3" s="1"/>
  <c r="BR38" i="3"/>
  <c r="BS38" i="3" s="1"/>
  <c r="CH38" i="3"/>
  <c r="CI38" i="3" s="1"/>
  <c r="DQ38" i="3"/>
  <c r="DQ142" i="3" s="1"/>
  <c r="BQ51" i="3"/>
  <c r="BR42" i="3"/>
  <c r="CG51" i="3"/>
  <c r="CH42" i="3"/>
  <c r="BZ44" i="3"/>
  <c r="CA44" i="3" s="1"/>
  <c r="CP44" i="3"/>
  <c r="CQ44" i="3" s="1"/>
  <c r="BV46" i="3"/>
  <c r="BW46" i="3" s="1"/>
  <c r="CL46" i="3"/>
  <c r="CM46" i="3" s="1"/>
  <c r="S48" i="3"/>
  <c r="EI48" i="3"/>
  <c r="EI152" i="3" s="1"/>
  <c r="AI48" i="3"/>
  <c r="EM48" i="3" s="1"/>
  <c r="EM152" i="3" s="1"/>
  <c r="AY48" i="3"/>
  <c r="EQ48" i="3" s="1"/>
  <c r="EQ152" i="3" s="1"/>
  <c r="BO48" i="3"/>
  <c r="EU48" i="3" s="1"/>
  <c r="EU152" i="3" s="1"/>
  <c r="CE48" i="3"/>
  <c r="EY48" i="3"/>
  <c r="EY152" i="3" s="1"/>
  <c r="R49" i="3"/>
  <c r="S49" i="3" s="1"/>
  <c r="AX49" i="3"/>
  <c r="AY49" i="3" s="1"/>
  <c r="EQ49" i="3"/>
  <c r="EQ153" i="3" s="1"/>
  <c r="BJ49" i="3"/>
  <c r="BK49" i="3" s="1"/>
  <c r="ET49" i="3"/>
  <c r="ET153" i="3" s="1"/>
  <c r="BV49" i="3"/>
  <c r="BW49" i="3" s="1"/>
  <c r="EW49" i="3"/>
  <c r="EW153" i="3" s="1"/>
  <c r="AI50" i="3"/>
  <c r="EM50" i="3" s="1"/>
  <c r="EM154" i="3" s="1"/>
  <c r="BK50" i="3"/>
  <c r="ET50" i="3" s="1"/>
  <c r="ET154" i="3" s="1"/>
  <c r="DE14" i="3"/>
  <c r="DE118" i="3" s="1"/>
  <c r="DI14" i="3"/>
  <c r="DI118" i="3" s="1"/>
  <c r="DM14" i="3"/>
  <c r="DM118" i="3" s="1"/>
  <c r="DQ14" i="3"/>
  <c r="DQ118" i="3" s="1"/>
  <c r="DU14" i="3"/>
  <c r="DU118" i="3" s="1"/>
  <c r="DY14" i="3"/>
  <c r="DY118" i="3" s="1"/>
  <c r="BR19" i="3"/>
  <c r="BS19" i="3" s="1"/>
  <c r="BV19" i="3"/>
  <c r="BW19" i="3" s="1"/>
  <c r="CH19" i="3"/>
  <c r="CI19" i="3" s="1"/>
  <c r="CL19" i="3"/>
  <c r="CM19" i="3" s="1"/>
  <c r="R20" i="3"/>
  <c r="S20" i="3" s="1"/>
  <c r="V20" i="3"/>
  <c r="W20" i="3" s="1"/>
  <c r="AH20" i="3"/>
  <c r="AI20" i="3" s="1"/>
  <c r="AL20" i="3"/>
  <c r="AM20" i="3" s="1"/>
  <c r="AX20" i="3"/>
  <c r="AY20" i="3" s="1"/>
  <c r="BB20" i="3"/>
  <c r="BC20" i="3" s="1"/>
  <c r="BN20" i="3"/>
  <c r="BO20" i="3" s="1"/>
  <c r="BR20" i="3"/>
  <c r="BS20" i="3" s="1"/>
  <c r="CD20" i="3"/>
  <c r="CE20" i="3" s="1"/>
  <c r="CH20" i="3"/>
  <c r="CI20" i="3" s="1"/>
  <c r="N21" i="3"/>
  <c r="O21" i="3" s="1"/>
  <c r="R21" i="3"/>
  <c r="S21" i="3" s="1"/>
  <c r="AD21" i="3"/>
  <c r="AE21" i="3" s="1"/>
  <c r="AH21" i="3"/>
  <c r="AI21" i="3" s="1"/>
  <c r="AT21" i="3"/>
  <c r="AU21" i="3" s="1"/>
  <c r="AX21" i="3"/>
  <c r="AY21" i="3" s="1"/>
  <c r="BJ21" i="3"/>
  <c r="BK21" i="3" s="1"/>
  <c r="BN21" i="3"/>
  <c r="BO21" i="3" s="1"/>
  <c r="BZ21" i="3"/>
  <c r="CA21" i="3" s="1"/>
  <c r="CD21" i="3"/>
  <c r="CE21" i="3" s="1"/>
  <c r="CP21" i="3"/>
  <c r="CQ21" i="3" s="1"/>
  <c r="F22" i="3"/>
  <c r="G22" i="3" s="1"/>
  <c r="N22" i="3"/>
  <c r="O22" i="3" s="1"/>
  <c r="V22" i="3"/>
  <c r="W22" i="3" s="1"/>
  <c r="Z22" i="3"/>
  <c r="AA22" i="3" s="1"/>
  <c r="AD22" i="3"/>
  <c r="AE22" i="3" s="1"/>
  <c r="AL22" i="3"/>
  <c r="AM22" i="3" s="1"/>
  <c r="AP22" i="3"/>
  <c r="AQ22" i="3" s="1"/>
  <c r="AT22" i="3"/>
  <c r="AU22" i="3" s="1"/>
  <c r="BB22" i="3"/>
  <c r="BC22" i="3" s="1"/>
  <c r="BF22" i="3"/>
  <c r="BG22" i="3" s="1"/>
  <c r="BJ22" i="3"/>
  <c r="BK22" i="3" s="1"/>
  <c r="BR22" i="3"/>
  <c r="BS22" i="3" s="1"/>
  <c r="BV22" i="3"/>
  <c r="BW22" i="3" s="1"/>
  <c r="BZ22" i="3"/>
  <c r="CA22" i="3" s="1"/>
  <c r="CH22" i="3"/>
  <c r="CI22" i="3" s="1"/>
  <c r="CL22" i="3"/>
  <c r="CM22" i="3" s="1"/>
  <c r="CP22" i="3"/>
  <c r="CQ22" i="3" s="1"/>
  <c r="N23" i="3"/>
  <c r="O23" i="3" s="1"/>
  <c r="V23" i="3"/>
  <c r="W23" i="3" s="1"/>
  <c r="Z23" i="3"/>
  <c r="AA23" i="3" s="1"/>
  <c r="AD23" i="3"/>
  <c r="AE23" i="3" s="1"/>
  <c r="AL23" i="3"/>
  <c r="AM23" i="3" s="1"/>
  <c r="AP23" i="3"/>
  <c r="AQ23" i="3" s="1"/>
  <c r="AT23" i="3"/>
  <c r="AU23" i="3" s="1"/>
  <c r="BB23" i="3"/>
  <c r="BC23" i="3" s="1"/>
  <c r="BF23" i="3"/>
  <c r="BG23" i="3" s="1"/>
  <c r="BJ23" i="3"/>
  <c r="BK23" i="3" s="1"/>
  <c r="BR23" i="3"/>
  <c r="BS23" i="3" s="1"/>
  <c r="BV23" i="3"/>
  <c r="BW23" i="3" s="1"/>
  <c r="BZ23" i="3"/>
  <c r="CA23" i="3" s="1"/>
  <c r="CH23" i="3"/>
  <c r="CI23" i="3" s="1"/>
  <c r="CL23" i="3"/>
  <c r="CM23" i="3" s="1"/>
  <c r="CP23" i="3"/>
  <c r="CQ23" i="3" s="1"/>
  <c r="F24" i="3"/>
  <c r="G24" i="3" s="1"/>
  <c r="R24" i="3"/>
  <c r="S24" i="3" s="1"/>
  <c r="V24" i="3"/>
  <c r="W24" i="3" s="1"/>
  <c r="AH24" i="3"/>
  <c r="AI24" i="3" s="1"/>
  <c r="AL24" i="3"/>
  <c r="AM24" i="3" s="1"/>
  <c r="AX24" i="3"/>
  <c r="AY24" i="3" s="1"/>
  <c r="BB24" i="3"/>
  <c r="BC24" i="3" s="1"/>
  <c r="BN24" i="3"/>
  <c r="BO24" i="3" s="1"/>
  <c r="BR24" i="3"/>
  <c r="BS24" i="3" s="1"/>
  <c r="BV24" i="3"/>
  <c r="BW24" i="3" s="1"/>
  <c r="CD24" i="3"/>
  <c r="CE24" i="3" s="1"/>
  <c r="CH24" i="3"/>
  <c r="CI24" i="3" s="1"/>
  <c r="CL24" i="3"/>
  <c r="CM24" i="3" s="1"/>
  <c r="N25" i="3"/>
  <c r="O25" i="3" s="1"/>
  <c r="R25" i="3"/>
  <c r="S25" i="3" s="1"/>
  <c r="AD25" i="3"/>
  <c r="AE25" i="3" s="1"/>
  <c r="AH25" i="3"/>
  <c r="AI25" i="3" s="1"/>
  <c r="AT25" i="3"/>
  <c r="AU25" i="3" s="1"/>
  <c r="AX25" i="3"/>
  <c r="AY25" i="3" s="1"/>
  <c r="BJ25" i="3"/>
  <c r="BK25" i="3" s="1"/>
  <c r="BN25" i="3"/>
  <c r="BO25" i="3" s="1"/>
  <c r="BZ25" i="3"/>
  <c r="CA25" i="3" s="1"/>
  <c r="CD25" i="3"/>
  <c r="CE25" i="3" s="1"/>
  <c r="CP25" i="3"/>
  <c r="CQ25" i="3" s="1"/>
  <c r="F26" i="3"/>
  <c r="G26" i="3" s="1"/>
  <c r="J26" i="3"/>
  <c r="K26" i="3" s="1"/>
  <c r="N26" i="3"/>
  <c r="O26" i="3" s="1"/>
  <c r="V26" i="3"/>
  <c r="W26" i="3" s="1"/>
  <c r="Z26" i="3"/>
  <c r="AA26" i="3" s="1"/>
  <c r="AD26" i="3"/>
  <c r="AE26" i="3" s="1"/>
  <c r="AL26" i="3"/>
  <c r="AM26" i="3" s="1"/>
  <c r="AP26" i="3"/>
  <c r="AQ26" i="3" s="1"/>
  <c r="AT26" i="3"/>
  <c r="AU26" i="3" s="1"/>
  <c r="BB26" i="3"/>
  <c r="BC26" i="3" s="1"/>
  <c r="BF26" i="3"/>
  <c r="BG26" i="3" s="1"/>
  <c r="BJ26" i="3"/>
  <c r="BK26" i="3" s="1"/>
  <c r="BR26" i="3"/>
  <c r="BS26" i="3" s="1"/>
  <c r="BV26" i="3"/>
  <c r="BW26" i="3" s="1"/>
  <c r="BZ26" i="3"/>
  <c r="CA26" i="3" s="1"/>
  <c r="CH26" i="3"/>
  <c r="CI26" i="3" s="1"/>
  <c r="CL26" i="3"/>
  <c r="CM26" i="3" s="1"/>
  <c r="CP26" i="3"/>
  <c r="CQ26" i="3" s="1"/>
  <c r="N27" i="3"/>
  <c r="O27" i="3" s="1"/>
  <c r="R27" i="3"/>
  <c r="S27" i="3" s="1"/>
  <c r="V27" i="3"/>
  <c r="W27" i="3" s="1"/>
  <c r="Z27" i="3"/>
  <c r="AA27" i="3" s="1"/>
  <c r="AD27" i="3"/>
  <c r="AE27" i="3" s="1"/>
  <c r="AH27" i="3"/>
  <c r="AI27" i="3" s="1"/>
  <c r="AL27" i="3"/>
  <c r="AM27" i="3" s="1"/>
  <c r="AP27" i="3"/>
  <c r="AQ27" i="3" s="1"/>
  <c r="AT27" i="3"/>
  <c r="AU27" i="3" s="1"/>
  <c r="AX27" i="3"/>
  <c r="AY27" i="3" s="1"/>
  <c r="BB27" i="3"/>
  <c r="BC27" i="3" s="1"/>
  <c r="BF27" i="3"/>
  <c r="BG27" i="3" s="1"/>
  <c r="BJ27" i="3"/>
  <c r="BK27" i="3" s="1"/>
  <c r="BN27" i="3"/>
  <c r="BO27" i="3" s="1"/>
  <c r="BR27" i="3"/>
  <c r="BS27" i="3" s="1"/>
  <c r="BV27" i="3"/>
  <c r="BW27" i="3" s="1"/>
  <c r="BZ27" i="3"/>
  <c r="CA27" i="3" s="1"/>
  <c r="CD27" i="3"/>
  <c r="CE27" i="3" s="1"/>
  <c r="CH27" i="3"/>
  <c r="CI27" i="3" s="1"/>
  <c r="CL27" i="3"/>
  <c r="CM27" i="3" s="1"/>
  <c r="DG21" i="3"/>
  <c r="DG125" i="3" s="1"/>
  <c r="DK21" i="3"/>
  <c r="DK125" i="3" s="1"/>
  <c r="DO21" i="3"/>
  <c r="DO125" i="3" s="1"/>
  <c r="DS21" i="3"/>
  <c r="DS125" i="3" s="1"/>
  <c r="DW21" i="3"/>
  <c r="DW125" i="3" s="1"/>
  <c r="DI24" i="3"/>
  <c r="DI128" i="3" s="1"/>
  <c r="DM24" i="3"/>
  <c r="DM128" i="3" s="1"/>
  <c r="DQ24" i="3"/>
  <c r="DQ128" i="3" s="1"/>
  <c r="DU24" i="3"/>
  <c r="DU128" i="3" s="1"/>
  <c r="DG25" i="3"/>
  <c r="DG129" i="3" s="1"/>
  <c r="DW25" i="3"/>
  <c r="DW129" i="3" s="1"/>
  <c r="EK26" i="3"/>
  <c r="EK130" i="3" s="1"/>
  <c r="ES26" i="3"/>
  <c r="ES130" i="3" s="1"/>
  <c r="FA26" i="3"/>
  <c r="FA130" i="3" s="1"/>
  <c r="EY34" i="3"/>
  <c r="EY138" i="3" s="1"/>
  <c r="DT32" i="3"/>
  <c r="DT136" i="3" s="1"/>
  <c r="DU32" i="3"/>
  <c r="DU136" i="3" s="1"/>
  <c r="DX32" i="3"/>
  <c r="DX136" i="3" s="1"/>
  <c r="DY32" i="3"/>
  <c r="DY136" i="3" s="1"/>
  <c r="EA33" i="3"/>
  <c r="EA137" i="3" s="1"/>
  <c r="DW36" i="3"/>
  <c r="DW140" i="3" s="1"/>
  <c r="AD35" i="3"/>
  <c r="AE35" i="3" s="1"/>
  <c r="BJ35" i="3"/>
  <c r="CP35" i="3"/>
  <c r="S36" i="3"/>
  <c r="EI36" i="3" s="1"/>
  <c r="EI140" i="3" s="1"/>
  <c r="AI36" i="3"/>
  <c r="EM36" i="3" s="1"/>
  <c r="EM140" i="3" s="1"/>
  <c r="AY36" i="3"/>
  <c r="EQ36" i="3" s="1"/>
  <c r="EQ140" i="3" s="1"/>
  <c r="BO36" i="3"/>
  <c r="EU36" i="3" s="1"/>
  <c r="EU140" i="3" s="1"/>
  <c r="DX36" i="3"/>
  <c r="DX140" i="3" s="1"/>
  <c r="EY36" i="3"/>
  <c r="EY140" i="3" s="1"/>
  <c r="R37" i="3"/>
  <c r="Z37" i="3"/>
  <c r="AA37" i="3" s="1"/>
  <c r="AH37" i="3"/>
  <c r="AI37" i="3" s="1"/>
  <c r="AP37" i="3"/>
  <c r="AX37" i="3"/>
  <c r="BF37" i="3"/>
  <c r="BN37" i="3"/>
  <c r="BO37" i="3" s="1"/>
  <c r="BV37" i="3"/>
  <c r="CD37" i="3"/>
  <c r="CL37" i="3"/>
  <c r="DE38" i="3"/>
  <c r="DE142" i="3" s="1"/>
  <c r="DU38" i="3"/>
  <c r="DU142" i="3" s="1"/>
  <c r="BU51" i="3"/>
  <c r="BV42" i="3"/>
  <c r="CK51" i="3"/>
  <c r="CL42" i="3"/>
  <c r="BZ46" i="3"/>
  <c r="CA46" i="3" s="1"/>
  <c r="CP46" i="3"/>
  <c r="AA47" i="3"/>
  <c r="EK47" i="3"/>
  <c r="EK151" i="3" s="1"/>
  <c r="AQ47" i="3"/>
  <c r="EO47" i="3" s="1"/>
  <c r="EO151" i="3" s="1"/>
  <c r="BG47" i="3"/>
  <c r="ES47" i="3" s="1"/>
  <c r="ES151" i="3" s="1"/>
  <c r="BW47" i="3"/>
  <c r="EW47" i="3" s="1"/>
  <c r="EW151" i="3" s="1"/>
  <c r="CM47" i="3"/>
  <c r="FA47" i="3"/>
  <c r="FA151" i="3" s="1"/>
  <c r="BZ49" i="3"/>
  <c r="CA49" i="3" s="1"/>
  <c r="CL49" i="3"/>
  <c r="CM49" i="3" s="1"/>
  <c r="O50" i="3"/>
  <c r="EH50" i="3" s="1"/>
  <c r="EH154" i="3" s="1"/>
  <c r="AQ50" i="3"/>
  <c r="EO50" i="3" s="1"/>
  <c r="EO154" i="3" s="1"/>
  <c r="AY50" i="3"/>
  <c r="EQ50" i="3"/>
  <c r="EQ154" i="3" s="1"/>
  <c r="CA50" i="3"/>
  <c r="DW50" i="3" s="1"/>
  <c r="DW154" i="3" s="1"/>
  <c r="EX50" i="3"/>
  <c r="EX154" i="3" s="1"/>
  <c r="CT92" i="3"/>
  <c r="I14" i="3"/>
  <c r="J14" i="3" s="1"/>
  <c r="K14" i="3" s="1"/>
  <c r="Y14" i="3"/>
  <c r="AO14" i="3"/>
  <c r="BE14" i="3"/>
  <c r="BU14" i="3"/>
  <c r="CK14" i="3"/>
  <c r="DH25" i="3"/>
  <c r="DH129" i="3" s="1"/>
  <c r="DL25" i="3"/>
  <c r="DL129" i="3" s="1"/>
  <c r="DP25" i="3"/>
  <c r="DP129" i="3" s="1"/>
  <c r="DT25" i="3"/>
  <c r="DT129" i="3" s="1"/>
  <c r="DX25" i="3"/>
  <c r="DX129" i="3" s="1"/>
  <c r="L66" i="3"/>
  <c r="L68" i="3" s="1"/>
  <c r="L39" i="3"/>
  <c r="P66" i="3"/>
  <c r="P68" i="3" s="1"/>
  <c r="P39" i="3"/>
  <c r="T66" i="3"/>
  <c r="T68" i="3" s="1"/>
  <c r="T39" i="3"/>
  <c r="X66" i="3"/>
  <c r="X68" i="3" s="1"/>
  <c r="X39" i="3"/>
  <c r="AB66" i="3"/>
  <c r="AB68" i="3" s="1"/>
  <c r="AB39" i="3"/>
  <c r="AF66" i="3"/>
  <c r="AF68" i="3" s="1"/>
  <c r="AF39" i="3"/>
  <c r="AJ66" i="3"/>
  <c r="AJ68" i="3" s="1"/>
  <c r="AJ39" i="3"/>
  <c r="AN66" i="3"/>
  <c r="AN39" i="3"/>
  <c r="AR66" i="3"/>
  <c r="AR39" i="3"/>
  <c r="AV66" i="3"/>
  <c r="AV39" i="3"/>
  <c r="AZ66" i="3"/>
  <c r="AZ39" i="3"/>
  <c r="BD66" i="3"/>
  <c r="BD39" i="3"/>
  <c r="BH66" i="3"/>
  <c r="BH39" i="3"/>
  <c r="BL66" i="3"/>
  <c r="BL39" i="3"/>
  <c r="BP66" i="3"/>
  <c r="BP39" i="3"/>
  <c r="BT66" i="3"/>
  <c r="BT39" i="3"/>
  <c r="BX66" i="3"/>
  <c r="BX39" i="3"/>
  <c r="CB66" i="3"/>
  <c r="CB39" i="3"/>
  <c r="CF66" i="3"/>
  <c r="CF39" i="3"/>
  <c r="CJ66" i="3"/>
  <c r="CJ39" i="3"/>
  <c r="CN66" i="3"/>
  <c r="CN39" i="3"/>
  <c r="EB31" i="3"/>
  <c r="EW32" i="3"/>
  <c r="EW136" i="3" s="1"/>
  <c r="ET33" i="3"/>
  <c r="ET137" i="3" s="1"/>
  <c r="EU34" i="3"/>
  <c r="EU138" i="3" s="1"/>
  <c r="FA34" i="3"/>
  <c r="FA138" i="3" s="1"/>
  <c r="BQ33" i="3"/>
  <c r="CG33" i="3"/>
  <c r="BQ34" i="3"/>
  <c r="CG34" i="3"/>
  <c r="DV34" i="3"/>
  <c r="DV138" i="3" s="1"/>
  <c r="DE35" i="3"/>
  <c r="DE139" i="3" s="1"/>
  <c r="DI35" i="3"/>
  <c r="DI139" i="3" s="1"/>
  <c r="DM35" i="3"/>
  <c r="DM139" i="3" s="1"/>
  <c r="DQ35" i="3"/>
  <c r="DQ139" i="3" s="1"/>
  <c r="DU35" i="3"/>
  <c r="DU139" i="3" s="1"/>
  <c r="DY35" i="3"/>
  <c r="DY139" i="3" s="1"/>
  <c r="O36" i="3"/>
  <c r="DG36" i="3" s="1"/>
  <c r="DG140" i="3" s="1"/>
  <c r="AE36" i="3"/>
  <c r="DK36" i="3" s="1"/>
  <c r="DK140" i="3" s="1"/>
  <c r="AU36" i="3"/>
  <c r="DO36" i="3" s="1"/>
  <c r="DO140" i="3" s="1"/>
  <c r="BK36" i="3"/>
  <c r="DS36" i="3" s="1"/>
  <c r="DS140" i="3" s="1"/>
  <c r="DE37" i="3"/>
  <c r="DE141" i="3" s="1"/>
  <c r="EH37" i="3"/>
  <c r="EH141" i="3" s="1"/>
  <c r="DI37" i="3"/>
  <c r="DI141" i="3" s="1"/>
  <c r="EL37" i="3"/>
  <c r="EL141" i="3" s="1"/>
  <c r="DM37" i="3"/>
  <c r="DM141" i="3" s="1"/>
  <c r="EP37" i="3"/>
  <c r="EP141" i="3" s="1"/>
  <c r="DQ37" i="3"/>
  <c r="DQ141" i="3" s="1"/>
  <c r="ET37" i="3"/>
  <c r="ET141" i="3" s="1"/>
  <c r="DU37" i="3"/>
  <c r="DU141" i="3" s="1"/>
  <c r="EX37" i="3"/>
  <c r="EX141" i="3" s="1"/>
  <c r="DY37" i="3"/>
  <c r="DY141" i="3" s="1"/>
  <c r="FB37" i="3"/>
  <c r="FB141" i="3" s="1"/>
  <c r="Z38" i="3"/>
  <c r="AA38" i="3" s="1"/>
  <c r="AP38" i="3"/>
  <c r="AQ38" i="3" s="1"/>
  <c r="BF38" i="3"/>
  <c r="BG38" i="3" s="1"/>
  <c r="BV38" i="3"/>
  <c r="BW38" i="3" s="1"/>
  <c r="CL38" i="3"/>
  <c r="CM38" i="3" s="1"/>
  <c r="DI38" i="3"/>
  <c r="DI142" i="3" s="1"/>
  <c r="DY38" i="3"/>
  <c r="DY142" i="3" s="1"/>
  <c r="EU42" i="3"/>
  <c r="DT42" i="3"/>
  <c r="BS43" i="3"/>
  <c r="DU43" i="3" s="1"/>
  <c r="DU147" i="3" s="1"/>
  <c r="EV43" i="3"/>
  <c r="EV147" i="3" s="1"/>
  <c r="CI43" i="3"/>
  <c r="EZ43" i="3" s="1"/>
  <c r="EZ147" i="3" s="1"/>
  <c r="BR44" i="3"/>
  <c r="BS44" i="3" s="1"/>
  <c r="CH44" i="3"/>
  <c r="CI44" i="3" s="1"/>
  <c r="BR45" i="3"/>
  <c r="BS45" i="3" s="1"/>
  <c r="CH45" i="3"/>
  <c r="CI45" i="3" s="1"/>
  <c r="DI47" i="3"/>
  <c r="DI151" i="3" s="1"/>
  <c r="DM47" i="3"/>
  <c r="DM151" i="3" s="1"/>
  <c r="DQ47" i="3"/>
  <c r="DQ151" i="3" s="1"/>
  <c r="DY47" i="3"/>
  <c r="DY151" i="3" s="1"/>
  <c r="CD49" i="3"/>
  <c r="CE49" i="3" s="1"/>
  <c r="EY49" i="3"/>
  <c r="EY153" i="3" s="1"/>
  <c r="AE50" i="3"/>
  <c r="EL50" i="3" s="1"/>
  <c r="EL154" i="3" s="1"/>
  <c r="BO50" i="3"/>
  <c r="EU50" i="3" s="1"/>
  <c r="EU154" i="3" s="1"/>
  <c r="BZ53" i="3"/>
  <c r="DW53" i="3" s="1"/>
  <c r="DW157" i="3" s="1"/>
  <c r="EX53" i="3"/>
  <c r="EX157" i="3" s="1"/>
  <c r="DH38" i="3"/>
  <c r="DH142" i="3" s="1"/>
  <c r="DL38" i="3"/>
  <c r="DL142" i="3" s="1"/>
  <c r="DP38" i="3"/>
  <c r="DP142" i="3" s="1"/>
  <c r="DT38" i="3"/>
  <c r="DT142" i="3" s="1"/>
  <c r="DX38" i="3"/>
  <c r="DX142" i="3" s="1"/>
  <c r="BY42" i="3"/>
  <c r="CO42" i="3"/>
  <c r="ET44" i="3"/>
  <c r="ET148" i="3" s="1"/>
  <c r="EH48" i="3"/>
  <c r="EH152" i="3" s="1"/>
  <c r="EL48" i="3"/>
  <c r="EL152" i="3" s="1"/>
  <c r="EP48" i="3"/>
  <c r="EP152" i="3" s="1"/>
  <c r="ET48" i="3"/>
  <c r="ET152" i="3" s="1"/>
  <c r="EX48" i="3"/>
  <c r="EX152" i="3" s="1"/>
  <c r="DU46" i="3"/>
  <c r="DU150" i="3" s="1"/>
  <c r="DY46" i="3"/>
  <c r="DY150" i="3" s="1"/>
  <c r="DQ49" i="3"/>
  <c r="DQ153" i="3" s="1"/>
  <c r="DU49" i="3"/>
  <c r="DU153" i="3" s="1"/>
  <c r="DY49" i="3"/>
  <c r="DY153" i="3" s="1"/>
  <c r="DH50" i="3"/>
  <c r="DH154" i="3" s="1"/>
  <c r="Z50" i="3"/>
  <c r="DL50" i="3"/>
  <c r="DL154" i="3" s="1"/>
  <c r="DP50" i="3"/>
  <c r="DP154" i="3" s="1"/>
  <c r="BF50" i="3"/>
  <c r="DX50" i="3"/>
  <c r="DX154" i="3" s="1"/>
  <c r="CL50" i="3"/>
  <c r="DG49" i="3"/>
  <c r="DG153" i="3" s="1"/>
  <c r="DO49" i="3"/>
  <c r="DO153" i="3" s="1"/>
  <c r="DW49" i="3"/>
  <c r="DW153" i="3" s="1"/>
  <c r="E53" i="3"/>
  <c r="F53" i="3" s="1"/>
  <c r="G53" i="3" s="1"/>
  <c r="U53" i="3"/>
  <c r="AK53" i="3"/>
  <c r="BA53" i="3"/>
  <c r="BQ53" i="3"/>
  <c r="FA53" i="3"/>
  <c r="FA157" i="3" s="1"/>
  <c r="CP53" i="3"/>
  <c r="DL53" i="3"/>
  <c r="DL157" i="3" s="1"/>
  <c r="DT53" i="3"/>
  <c r="DT157" i="3" s="1"/>
  <c r="EM53" i="3"/>
  <c r="EM157" i="3" s="1"/>
  <c r="EU53" i="3"/>
  <c r="EU157" i="3" s="1"/>
  <c r="EJ56" i="3"/>
  <c r="EJ160" i="3" s="1"/>
  <c r="EZ56" i="3"/>
  <c r="EZ160" i="3" s="1"/>
  <c r="DQ56" i="3"/>
  <c r="DQ160" i="3" s="1"/>
  <c r="DV43" i="3"/>
  <c r="DV147" i="3" s="1"/>
  <c r="DZ43" i="3"/>
  <c r="DZ147" i="3" s="1"/>
  <c r="DV45" i="3"/>
  <c r="DV149" i="3" s="1"/>
  <c r="DZ45" i="3"/>
  <c r="DZ149" i="3" s="1"/>
  <c r="DF47" i="3"/>
  <c r="DF151" i="3" s="1"/>
  <c r="DJ47" i="3"/>
  <c r="DJ151" i="3" s="1"/>
  <c r="DV47" i="3"/>
  <c r="DV151" i="3" s="1"/>
  <c r="DZ47" i="3"/>
  <c r="DZ151" i="3" s="1"/>
  <c r="DH48" i="3"/>
  <c r="DH152" i="3" s="1"/>
  <c r="DL48" i="3"/>
  <c r="DL152" i="3" s="1"/>
  <c r="DP48" i="3"/>
  <c r="DP152" i="3" s="1"/>
  <c r="DT48" i="3"/>
  <c r="DT152" i="3" s="1"/>
  <c r="DX48" i="3"/>
  <c r="DX152" i="3" s="1"/>
  <c r="DK50" i="3"/>
  <c r="DK154" i="3" s="1"/>
  <c r="DO50" i="3"/>
  <c r="DO154" i="3" s="1"/>
  <c r="EA50" i="3"/>
  <c r="EA154" i="3" s="1"/>
  <c r="DH49" i="3"/>
  <c r="DH153" i="3" s="1"/>
  <c r="DP49" i="3"/>
  <c r="DP153" i="3" s="1"/>
  <c r="DX49" i="3"/>
  <c r="DX153" i="3" s="1"/>
  <c r="DG53" i="3"/>
  <c r="DG157" i="3" s="1"/>
  <c r="DO53" i="3"/>
  <c r="DO157" i="3" s="1"/>
  <c r="CD56" i="3"/>
  <c r="DX56" i="3" s="1"/>
  <c r="DX160" i="3" s="1"/>
  <c r="DU56" i="3"/>
  <c r="DU160" i="3" s="1"/>
  <c r="DF38" i="3"/>
  <c r="DF142" i="3" s="1"/>
  <c r="DJ38" i="3"/>
  <c r="DJ142" i="3" s="1"/>
  <c r="DZ38" i="3"/>
  <c r="DZ142" i="3" s="1"/>
  <c r="DE146" i="3"/>
  <c r="DI146" i="3"/>
  <c r="DM146" i="3"/>
  <c r="DQ146" i="3"/>
  <c r="EW43" i="3"/>
  <c r="EW147" i="3" s="1"/>
  <c r="FA43" i="3"/>
  <c r="FA147" i="3" s="1"/>
  <c r="BN43" i="3"/>
  <c r="BO43" i="3" s="1"/>
  <c r="BZ43" i="3"/>
  <c r="CA43" i="3" s="1"/>
  <c r="CD43" i="3"/>
  <c r="CE43" i="3" s="1"/>
  <c r="CP43" i="3"/>
  <c r="BM45" i="3"/>
  <c r="BY45" i="3"/>
  <c r="CC45" i="3"/>
  <c r="CO45" i="3"/>
  <c r="DW44" i="3"/>
  <c r="DW148" i="3" s="1"/>
  <c r="EA44" i="3"/>
  <c r="EA148" i="3" s="1"/>
  <c r="E46" i="3"/>
  <c r="I46" i="3"/>
  <c r="M46" i="3"/>
  <c r="Q46" i="3"/>
  <c r="U46" i="3"/>
  <c r="Y46" i="3"/>
  <c r="AC46" i="3"/>
  <c r="AG46" i="3"/>
  <c r="AK46" i="3"/>
  <c r="AO46" i="3"/>
  <c r="AS46" i="3"/>
  <c r="AW46" i="3"/>
  <c r="BA46" i="3"/>
  <c r="BE46" i="3"/>
  <c r="BI46" i="3"/>
  <c r="BM46" i="3"/>
  <c r="CC46" i="3"/>
  <c r="N47" i="3"/>
  <c r="O47" i="3" s="1"/>
  <c r="R47" i="3"/>
  <c r="S47" i="3" s="1"/>
  <c r="AD47" i="3"/>
  <c r="AE47" i="3" s="1"/>
  <c r="AH47" i="3"/>
  <c r="AI47" i="3" s="1"/>
  <c r="AT47" i="3"/>
  <c r="AU47" i="3" s="1"/>
  <c r="AX47" i="3"/>
  <c r="AY47" i="3" s="1"/>
  <c r="BJ47" i="3"/>
  <c r="BK47" i="3" s="1"/>
  <c r="BN47" i="3"/>
  <c r="BO47" i="3" s="1"/>
  <c r="BZ47" i="3"/>
  <c r="CA47" i="3" s="1"/>
  <c r="CD47" i="3"/>
  <c r="CE47" i="3" s="1"/>
  <c r="CP47" i="3"/>
  <c r="CQ47" i="3" s="1"/>
  <c r="F48" i="3"/>
  <c r="G48" i="3" s="1"/>
  <c r="J48" i="3"/>
  <c r="K48" i="3" s="1"/>
  <c r="V48" i="3"/>
  <c r="Z48" i="3"/>
  <c r="AA48" i="3" s="1"/>
  <c r="AL48" i="3"/>
  <c r="AP48" i="3"/>
  <c r="AQ48" i="3" s="1"/>
  <c r="BB48" i="3"/>
  <c r="BF48" i="3"/>
  <c r="BG48" i="3" s="1"/>
  <c r="BR48" i="3"/>
  <c r="BV48" i="3"/>
  <c r="CH48" i="3"/>
  <c r="CL48" i="3"/>
  <c r="DK47" i="3"/>
  <c r="DK151" i="3" s="1"/>
  <c r="DO47" i="3"/>
  <c r="DO151" i="3" s="1"/>
  <c r="DS47" i="3"/>
  <c r="DS151" i="3" s="1"/>
  <c r="BM49" i="3"/>
  <c r="CO49" i="3"/>
  <c r="DK49" i="3"/>
  <c r="DK153" i="3" s="1"/>
  <c r="DS49" i="3"/>
  <c r="DS153" i="3" s="1"/>
  <c r="DI50" i="3"/>
  <c r="DI154" i="3" s="1"/>
  <c r="DQ50" i="3"/>
  <c r="DQ154" i="3" s="1"/>
  <c r="DY50" i="3"/>
  <c r="DY154" i="3" s="1"/>
  <c r="I53" i="3"/>
  <c r="J53" i="3" s="1"/>
  <c r="K53" i="3" s="1"/>
  <c r="DF53" i="3"/>
  <c r="DF157" i="3" s="1"/>
  <c r="Y53" i="3"/>
  <c r="AO53" i="3"/>
  <c r="BE53" i="3"/>
  <c r="BU53" i="3"/>
  <c r="CH53" i="3"/>
  <c r="CI53" i="3" s="1"/>
  <c r="DH53" i="3"/>
  <c r="DH157" i="3" s="1"/>
  <c r="DP53" i="3"/>
  <c r="DP157" i="3" s="1"/>
  <c r="DX53" i="3"/>
  <c r="DX157" i="3" s="1"/>
  <c r="EI53" i="3"/>
  <c r="EI157" i="3" s="1"/>
  <c r="EQ53" i="3"/>
  <c r="EQ157" i="3" s="1"/>
  <c r="EY53" i="3"/>
  <c r="EY157" i="3" s="1"/>
  <c r="R56" i="3"/>
  <c r="S56" i="3" s="1"/>
  <c r="EK56" i="3"/>
  <c r="EK160" i="3" s="1"/>
  <c r="Z56" i="3"/>
  <c r="AA56" i="3" s="1"/>
  <c r="AH56" i="3"/>
  <c r="AI56" i="3" s="1"/>
  <c r="AP56" i="3"/>
  <c r="AQ56" i="3" s="1"/>
  <c r="AX56" i="3"/>
  <c r="AY56" i="3" s="1"/>
  <c r="BF56" i="3"/>
  <c r="BG56" i="3" s="1"/>
  <c r="BN56" i="3"/>
  <c r="BO56" i="3" s="1"/>
  <c r="BV56" i="3"/>
  <c r="EW56" i="3" s="1"/>
  <c r="EW160" i="3" s="1"/>
  <c r="M38" i="3"/>
  <c r="AC38" i="3"/>
  <c r="AS38" i="3"/>
  <c r="BI38" i="3"/>
  <c r="BI39" i="3" s="1"/>
  <c r="BY38" i="3"/>
  <c r="BY39" i="3" s="1"/>
  <c r="CO38" i="3"/>
  <c r="BL51" i="3"/>
  <c r="BP51" i="3"/>
  <c r="BT51" i="3"/>
  <c r="BX51" i="3"/>
  <c r="CB51" i="3"/>
  <c r="CF51" i="3"/>
  <c r="CJ51" i="3"/>
  <c r="CN51" i="3"/>
  <c r="DF146" i="3"/>
  <c r="DJ146" i="3"/>
  <c r="DN146" i="3"/>
  <c r="DR146" i="3"/>
  <c r="EK48" i="3"/>
  <c r="EK152" i="3" s="1"/>
  <c r="ES48" i="3"/>
  <c r="ES152" i="3" s="1"/>
  <c r="BM44" i="3"/>
  <c r="CC44" i="3"/>
  <c r="E49" i="3"/>
  <c r="F49" i="3" s="1"/>
  <c r="G49" i="3" s="1"/>
  <c r="I49" i="3"/>
  <c r="J49" i="3" s="1"/>
  <c r="K49" i="3" s="1"/>
  <c r="U49" i="3"/>
  <c r="Y49" i="3"/>
  <c r="AG49" i="3"/>
  <c r="AK49" i="3"/>
  <c r="AO49" i="3"/>
  <c r="DR49" i="3"/>
  <c r="DR153" i="3" s="1"/>
  <c r="DV49" i="3"/>
  <c r="DV153" i="3" s="1"/>
  <c r="DZ49" i="3"/>
  <c r="DZ153" i="3" s="1"/>
  <c r="EB153" i="3"/>
  <c r="DZ53" i="3"/>
  <c r="DZ157" i="3" s="1"/>
  <c r="DK53" i="3"/>
  <c r="DK157" i="3" s="1"/>
  <c r="DS53" i="3"/>
  <c r="DS157" i="3" s="1"/>
  <c r="BY56" i="3"/>
  <c r="CL56" i="3"/>
  <c r="DZ56" i="3" s="1"/>
  <c r="FA56" i="3"/>
  <c r="FA160" i="3" s="1"/>
  <c r="CP56" i="3"/>
  <c r="FB56" i="3" s="1"/>
  <c r="FB160" i="3" s="1"/>
  <c r="DL56" i="3"/>
  <c r="DL160" i="3" s="1"/>
  <c r="DP56" i="3"/>
  <c r="DP160" i="3" s="1"/>
  <c r="DZ73" i="3"/>
  <c r="DZ76" i="3" s="1"/>
  <c r="DY76" i="3"/>
  <c r="EJ76" i="3"/>
  <c r="EN76" i="3"/>
  <c r="ER76" i="3"/>
  <c r="EV76" i="3"/>
  <c r="EZ76" i="3"/>
  <c r="DJ76" i="3"/>
  <c r="DN76" i="3"/>
  <c r="DR76" i="3"/>
  <c r="DF56" i="3"/>
  <c r="DF160" i="3" s="1"/>
  <c r="DJ56" i="3"/>
  <c r="DJ160" i="3" s="1"/>
  <c r="DN56" i="3"/>
  <c r="DN160" i="3" s="1"/>
  <c r="DV56" i="3"/>
  <c r="DV160" i="3" s="1"/>
  <c r="EL73" i="3"/>
  <c r="ET73" i="3"/>
  <c r="ET76" i="3" s="1"/>
  <c r="DR73" i="3"/>
  <c r="EH76" i="3"/>
  <c r="EL76" i="3"/>
  <c r="EP76" i="3"/>
  <c r="EX76" i="3"/>
  <c r="M56" i="3"/>
  <c r="AC56" i="3"/>
  <c r="AS56" i="3"/>
  <c r="BI56" i="3"/>
  <c r="EM73" i="3"/>
  <c r="EM76" i="3" s="1"/>
  <c r="EU73" i="3"/>
  <c r="EU76" i="3" s="1"/>
  <c r="DK73" i="3"/>
  <c r="DK76" i="3" s="1"/>
  <c r="DO73" i="3"/>
  <c r="DO76" i="3" s="1"/>
  <c r="DS73" i="3"/>
  <c r="DS76" i="3" s="1"/>
  <c r="DW73" i="3"/>
  <c r="DW76" i="3" s="1"/>
  <c r="DG73" i="3"/>
  <c r="DG76" i="3" s="1"/>
  <c r="DV73" i="3"/>
  <c r="DV76" i="3" s="1"/>
  <c r="DH76" i="3"/>
  <c r="DL76" i="3"/>
  <c r="DP76" i="3"/>
  <c r="DT76" i="3"/>
  <c r="DX76" i="3"/>
  <c r="EI76" i="3"/>
  <c r="EQ76" i="3"/>
  <c r="EY76" i="3"/>
  <c r="EK73" i="3"/>
  <c r="EK76" i="3" s="1"/>
  <c r="EO73" i="3"/>
  <c r="EO76" i="3" s="1"/>
  <c r="ES73" i="3"/>
  <c r="ES76" i="3" s="1"/>
  <c r="EW73" i="3"/>
  <c r="EW76" i="3" s="1"/>
  <c r="FA73" i="3"/>
  <c r="FA76" i="3" s="1"/>
  <c r="DI73" i="3"/>
  <c r="DI76" i="3" s="1"/>
  <c r="DM73" i="3"/>
  <c r="DM76" i="3" s="1"/>
  <c r="DQ73" i="3"/>
  <c r="DQ76" i="3" s="1"/>
  <c r="DU73" i="3"/>
  <c r="DU76" i="3" s="1"/>
  <c r="DX81" i="3"/>
  <c r="DX84" i="3" s="1"/>
  <c r="BT84" i="3"/>
  <c r="BT92" i="3" s="1"/>
  <c r="CN84" i="3"/>
  <c r="BW81" i="3"/>
  <c r="EB84" i="3"/>
  <c r="EZ81" i="3"/>
  <c r="CL84" i="3"/>
  <c r="FA81" i="3"/>
  <c r="CE84" i="3"/>
  <c r="CI84" i="3"/>
  <c r="CM84" i="3"/>
  <c r="AK143" i="3"/>
  <c r="AO143" i="3"/>
  <c r="AS143" i="3"/>
  <c r="AW143" i="3"/>
  <c r="BA143" i="3"/>
  <c r="L143" i="3"/>
  <c r="AB143" i="3"/>
  <c r="AG143" i="3"/>
  <c r="CG143" i="3"/>
  <c r="CK143" i="3"/>
  <c r="CO143" i="3"/>
  <c r="CU146" i="3"/>
  <c r="CP143" i="3"/>
  <c r="BI143" i="3"/>
  <c r="DR24" i="2"/>
  <c r="DR71" i="3" s="1"/>
  <c r="EI24" i="2"/>
  <c r="EI71" i="3" s="1"/>
  <c r="EU24" i="2"/>
  <c r="EU71" i="3" s="1"/>
  <c r="DK24" i="2"/>
  <c r="DK71" i="3" s="1"/>
  <c r="DS24" i="2"/>
  <c r="DS71" i="3" s="1"/>
  <c r="EK24" i="2"/>
  <c r="EK71" i="3" s="1"/>
  <c r="EO24" i="2"/>
  <c r="EO71" i="3" s="1"/>
  <c r="ES24" i="2"/>
  <c r="ES71" i="3" s="1"/>
  <c r="EW24" i="2"/>
  <c r="EW71" i="3" s="1"/>
  <c r="FA100" i="2"/>
  <c r="EJ24" i="2"/>
  <c r="EJ71" i="3" s="1"/>
  <c r="EN24" i="2"/>
  <c r="EN71" i="3" s="1"/>
  <c r="ER24" i="2"/>
  <c r="ER71" i="3" s="1"/>
  <c r="EZ100" i="2"/>
  <c r="DH24" i="2"/>
  <c r="DH71" i="3" s="1"/>
  <c r="DP24" i="2"/>
  <c r="DP71" i="3" s="1"/>
  <c r="DT100" i="2"/>
  <c r="DX24" i="2"/>
  <c r="DX71" i="3" s="1"/>
  <c r="EH24" i="2"/>
  <c r="EH71" i="3" s="1"/>
  <c r="EL24" i="2"/>
  <c r="EL71" i="3" s="1"/>
  <c r="ET24" i="2"/>
  <c r="ET71" i="3" s="1"/>
  <c r="EX24" i="2"/>
  <c r="EX71" i="3" s="1"/>
  <c r="CC97" i="2"/>
  <c r="DI24" i="2"/>
  <c r="DI71" i="3" s="1"/>
  <c r="DQ24" i="2"/>
  <c r="DQ71" i="3" s="1"/>
  <c r="DU24" i="2"/>
  <c r="DU71" i="3" s="1"/>
  <c r="DY24" i="2"/>
  <c r="DY71" i="3" s="1"/>
  <c r="EA18" i="2"/>
  <c r="CM247" i="2"/>
  <c r="CN250" i="2" s="1"/>
  <c r="CL248" i="2"/>
  <c r="FB30" i="2"/>
  <c r="CK97" i="2"/>
  <c r="EA38" i="2"/>
  <c r="EJ70" i="2"/>
  <c r="ER70" i="2"/>
  <c r="CT10" i="2"/>
  <c r="CU10" i="2" s="1"/>
  <c r="FB10" i="2"/>
  <c r="DV24" i="2"/>
  <c r="DV71" i="3" s="1"/>
  <c r="EY24" i="2"/>
  <c r="EY71" i="3" s="1"/>
  <c r="DZ33" i="2"/>
  <c r="DZ43" i="2" s="1"/>
  <c r="CT36" i="2"/>
  <c r="CU36" i="2" s="1"/>
  <c r="FB36" i="2"/>
  <c r="P246" i="2"/>
  <c r="P103" i="2"/>
  <c r="P48" i="2"/>
  <c r="P59" i="2" s="1"/>
  <c r="P76" i="2" s="1"/>
  <c r="AB246" i="2"/>
  <c r="AB103" i="2"/>
  <c r="AB48" i="2"/>
  <c r="AB59" i="2" s="1"/>
  <c r="AB76" i="2" s="1"/>
  <c r="AN246" i="2"/>
  <c r="AN103" i="2"/>
  <c r="AN48" i="2"/>
  <c r="AN59" i="2" s="1"/>
  <c r="AN76" i="2" s="1"/>
  <c r="BD246" i="2"/>
  <c r="BD103" i="2"/>
  <c r="BD48" i="2"/>
  <c r="BD59" i="2" s="1"/>
  <c r="BD76" i="2" s="1"/>
  <c r="BX246" i="2"/>
  <c r="BX103" i="2"/>
  <c r="BX48" i="2"/>
  <c r="BX59" i="2" s="1"/>
  <c r="BX76" i="2" s="1"/>
  <c r="CJ246" i="2"/>
  <c r="CJ103" i="2"/>
  <c r="CJ48" i="2"/>
  <c r="CJ59" i="2" s="1"/>
  <c r="CJ76" i="2" s="1"/>
  <c r="DI246" i="2"/>
  <c r="DI103" i="2"/>
  <c r="DI48" i="2"/>
  <c r="DI59" i="2" s="1"/>
  <c r="DI76" i="2" s="1"/>
  <c r="DQ246" i="2"/>
  <c r="DQ103" i="2"/>
  <c r="DQ48" i="2"/>
  <c r="DQ59" i="2" s="1"/>
  <c r="DQ76" i="2" s="1"/>
  <c r="BT24" i="2"/>
  <c r="BT71" i="3" s="1"/>
  <c r="DH33" i="2"/>
  <c r="DH43" i="2" s="1"/>
  <c r="EH33" i="2"/>
  <c r="EH43" i="2" s="1"/>
  <c r="EX33" i="2"/>
  <c r="EX43" i="2" s="1"/>
  <c r="EX45" i="2" s="1"/>
  <c r="DK93" i="2"/>
  <c r="EG93" i="2"/>
  <c r="I246" i="2"/>
  <c r="I103" i="2"/>
  <c r="U246" i="2"/>
  <c r="U103" i="2"/>
  <c r="AG246" i="2"/>
  <c r="AG103" i="2"/>
  <c r="AS246" i="2"/>
  <c r="AS103" i="2"/>
  <c r="BE246" i="2"/>
  <c r="BE103" i="2"/>
  <c r="BQ246" i="2"/>
  <c r="BQ103" i="2"/>
  <c r="CS246" i="2"/>
  <c r="CS103" i="2"/>
  <c r="G246" i="2"/>
  <c r="G103" i="2"/>
  <c r="G48" i="2"/>
  <c r="G59" i="2" s="1"/>
  <c r="G76" i="2" s="1"/>
  <c r="K246" i="2"/>
  <c r="K103" i="2"/>
  <c r="K48" i="2"/>
  <c r="K59" i="2" s="1"/>
  <c r="K76" i="2" s="1"/>
  <c r="O246" i="2"/>
  <c r="O103" i="2"/>
  <c r="O48" i="2"/>
  <c r="O59" i="2" s="1"/>
  <c r="O76" i="2" s="1"/>
  <c r="S246" i="2"/>
  <c r="S103" i="2"/>
  <c r="S48" i="2"/>
  <c r="S59" i="2" s="1"/>
  <c r="S76" i="2" s="1"/>
  <c r="W246" i="2"/>
  <c r="W103" i="2"/>
  <c r="W48" i="2"/>
  <c r="W59" i="2" s="1"/>
  <c r="W76" i="2" s="1"/>
  <c r="AA246" i="2"/>
  <c r="AA103" i="2"/>
  <c r="AA48" i="2"/>
  <c r="AA59" i="2" s="1"/>
  <c r="AA76" i="2" s="1"/>
  <c r="AE246" i="2"/>
  <c r="AE103" i="2"/>
  <c r="AE48" i="2"/>
  <c r="AE59" i="2" s="1"/>
  <c r="AE76" i="2" s="1"/>
  <c r="AI246" i="2"/>
  <c r="AI103" i="2"/>
  <c r="AI48" i="2"/>
  <c r="AI59" i="2" s="1"/>
  <c r="AI76" i="2" s="1"/>
  <c r="AM246" i="2"/>
  <c r="AM103" i="2"/>
  <c r="AM48" i="2"/>
  <c r="AM59" i="2" s="1"/>
  <c r="AM76" i="2" s="1"/>
  <c r="AQ246" i="2"/>
  <c r="AQ103" i="2"/>
  <c r="AQ48" i="2"/>
  <c r="AQ59" i="2" s="1"/>
  <c r="AQ76" i="2" s="1"/>
  <c r="AU246" i="2"/>
  <c r="AU103" i="2"/>
  <c r="AU48" i="2"/>
  <c r="AU59" i="2" s="1"/>
  <c r="AU76" i="2" s="1"/>
  <c r="AY246" i="2"/>
  <c r="AY103" i="2"/>
  <c r="AY48" i="2"/>
  <c r="AY59" i="2" s="1"/>
  <c r="AY76" i="2" s="1"/>
  <c r="BC246" i="2"/>
  <c r="BC103" i="2"/>
  <c r="BC48" i="2"/>
  <c r="BC59" i="2" s="1"/>
  <c r="BC76" i="2" s="1"/>
  <c r="BG246" i="2"/>
  <c r="BG103" i="2"/>
  <c r="BG48" i="2"/>
  <c r="BG59" i="2" s="1"/>
  <c r="BG76" i="2" s="1"/>
  <c r="BK246" i="2"/>
  <c r="BK103" i="2"/>
  <c r="BK48" i="2"/>
  <c r="BK59" i="2" s="1"/>
  <c r="BK76" i="2" s="1"/>
  <c r="BO246" i="2"/>
  <c r="BO103" i="2"/>
  <c r="BO48" i="2"/>
  <c r="BO59" i="2" s="1"/>
  <c r="BO76" i="2" s="1"/>
  <c r="BS246" i="2"/>
  <c r="BS103" i="2"/>
  <c r="BS48" i="2"/>
  <c r="BS59" i="2" s="1"/>
  <c r="BS76" i="2" s="1"/>
  <c r="BW246" i="2"/>
  <c r="BW103" i="2"/>
  <c r="BW48" i="2"/>
  <c r="BW59" i="2" s="1"/>
  <c r="BW76" i="2" s="1"/>
  <c r="CA246" i="2"/>
  <c r="CA103" i="2"/>
  <c r="CA48" i="2"/>
  <c r="CA59" i="2" s="1"/>
  <c r="CA76" i="2" s="1"/>
  <c r="CE246" i="2"/>
  <c r="CE103" i="2"/>
  <c r="CE48" i="2"/>
  <c r="CE59" i="2" s="1"/>
  <c r="CE76" i="2" s="1"/>
  <c r="CI246" i="2"/>
  <c r="CI103" i="2"/>
  <c r="CI48" i="2"/>
  <c r="CI59" i="2" s="1"/>
  <c r="CI76" i="2" s="1"/>
  <c r="CM246" i="2"/>
  <c r="CM103" i="2"/>
  <c r="CM48" i="2"/>
  <c r="CM59" i="2" s="1"/>
  <c r="CM76" i="2" s="1"/>
  <c r="CQ246" i="2"/>
  <c r="CQ103" i="2"/>
  <c r="CQ48" i="2"/>
  <c r="CQ59" i="2" s="1"/>
  <c r="CQ76" i="2" s="1"/>
  <c r="CU246" i="2"/>
  <c r="CU103" i="2"/>
  <c r="DH246" i="2"/>
  <c r="DH103" i="2"/>
  <c r="DL246" i="2"/>
  <c r="DL103" i="2"/>
  <c r="DP246" i="2"/>
  <c r="DP103" i="2"/>
  <c r="DT246" i="2"/>
  <c r="DT103" i="2"/>
  <c r="DX246" i="2"/>
  <c r="DX103" i="2"/>
  <c r="EB246" i="2"/>
  <c r="EB103" i="2"/>
  <c r="CC100" i="2"/>
  <c r="CK100" i="2"/>
  <c r="EA22" i="2"/>
  <c r="O24" i="2"/>
  <c r="S24" i="2"/>
  <c r="W24" i="2"/>
  <c r="AA24" i="2"/>
  <c r="AE24" i="2"/>
  <c r="AI24" i="2"/>
  <c r="AM24" i="2"/>
  <c r="AQ24" i="2"/>
  <c r="AU24" i="2"/>
  <c r="AY24" i="2"/>
  <c r="BC24" i="2"/>
  <c r="BG24" i="2"/>
  <c r="BK24" i="2"/>
  <c r="BO24" i="2"/>
  <c r="BS24" i="2"/>
  <c r="BW24" i="2"/>
  <c r="CA24" i="2"/>
  <c r="CE24" i="2"/>
  <c r="CE71" i="3" s="1"/>
  <c r="CI24" i="2"/>
  <c r="CI71" i="3" s="1"/>
  <c r="EA30" i="2"/>
  <c r="EA32" i="2"/>
  <c r="DG33" i="2"/>
  <c r="DG100" i="2" s="1"/>
  <c r="DK33" i="2"/>
  <c r="DO33" i="2"/>
  <c r="DO100" i="2" s="1"/>
  <c r="DS33" i="2"/>
  <c r="DS43" i="2" s="1"/>
  <c r="DW33" i="2"/>
  <c r="DW100" i="2" s="1"/>
  <c r="EG33" i="2"/>
  <c r="EO33" i="2"/>
  <c r="ES33" i="2"/>
  <c r="ES43" i="2" s="1"/>
  <c r="EW33" i="2"/>
  <c r="EW100" i="2" s="1"/>
  <c r="CT37" i="2"/>
  <c r="CU37" i="2" s="1"/>
  <c r="DJ93" i="2"/>
  <c r="DN93" i="2"/>
  <c r="DR93" i="2"/>
  <c r="DV93" i="2"/>
  <c r="DZ93" i="2"/>
  <c r="EJ93" i="2"/>
  <c r="EN93" i="2"/>
  <c r="ER93" i="2"/>
  <c r="EV93" i="2"/>
  <c r="EZ43" i="2"/>
  <c r="AG48" i="2"/>
  <c r="AG59" i="2" s="1"/>
  <c r="AG76" i="2" s="1"/>
  <c r="CS48" i="2"/>
  <c r="CS59" i="2" s="1"/>
  <c r="CS76" i="2" s="1"/>
  <c r="DT48" i="2"/>
  <c r="DT59" i="2" s="1"/>
  <c r="DT76" i="2" s="1"/>
  <c r="CM52" i="2"/>
  <c r="M52" i="2"/>
  <c r="M51" i="2"/>
  <c r="M50" i="2" s="1"/>
  <c r="Q52" i="2"/>
  <c r="Q51" i="2"/>
  <c r="Q50" i="2" s="1"/>
  <c r="U52" i="2"/>
  <c r="U51" i="2"/>
  <c r="U50" i="2" s="1"/>
  <c r="Y52" i="2"/>
  <c r="Y51" i="2"/>
  <c r="Y50" i="2" s="1"/>
  <c r="AC52" i="2"/>
  <c r="AC51" i="2"/>
  <c r="AC50" i="2" s="1"/>
  <c r="AG52" i="2"/>
  <c r="AG51" i="2"/>
  <c r="AG50" i="2" s="1"/>
  <c r="AK52" i="2"/>
  <c r="AK51" i="2"/>
  <c r="AK50" i="2" s="1"/>
  <c r="AO52" i="2"/>
  <c r="AO51" i="2"/>
  <c r="AO50" i="2" s="1"/>
  <c r="AS52" i="2"/>
  <c r="AS51" i="2"/>
  <c r="AS50" i="2" s="1"/>
  <c r="AW52" i="2"/>
  <c r="AW51" i="2"/>
  <c r="AW50" i="2" s="1"/>
  <c r="BA52" i="2"/>
  <c r="BA51" i="2"/>
  <c r="BA50" i="2" s="1"/>
  <c r="BE52" i="2"/>
  <c r="BE51" i="2"/>
  <c r="BE50" i="2" s="1"/>
  <c r="BI52" i="2"/>
  <c r="BI51" i="2"/>
  <c r="BI50" i="2" s="1"/>
  <c r="BM52" i="2"/>
  <c r="BM51" i="2"/>
  <c r="BM50" i="2" s="1"/>
  <c r="BQ52" i="2"/>
  <c r="BQ51" i="2"/>
  <c r="BQ50" i="2" s="1"/>
  <c r="BU52" i="2"/>
  <c r="BU51" i="2"/>
  <c r="BU50" i="2" s="1"/>
  <c r="BY52" i="2"/>
  <c r="BY51" i="2"/>
  <c r="BY50" i="2" s="1"/>
  <c r="CC52" i="2"/>
  <c r="CC51" i="2"/>
  <c r="CC50" i="2" s="1"/>
  <c r="CG52" i="2"/>
  <c r="CG51" i="2"/>
  <c r="CG50" i="2" s="1"/>
  <c r="CK52" i="2"/>
  <c r="CK51" i="2"/>
  <c r="CK50" i="2" s="1"/>
  <c r="EA62" i="2"/>
  <c r="DY70" i="2"/>
  <c r="EA66" i="2"/>
  <c r="Y73" i="2"/>
  <c r="AO73" i="2"/>
  <c r="BE73" i="2"/>
  <c r="BU73" i="2"/>
  <c r="CK73" i="2"/>
  <c r="O248" i="2"/>
  <c r="P247" i="2"/>
  <c r="S248" i="2"/>
  <c r="T247" i="2"/>
  <c r="AA248" i="2"/>
  <c r="AB247" i="2"/>
  <c r="AE248" i="2"/>
  <c r="AF247" i="2"/>
  <c r="AI248" i="2"/>
  <c r="AJ247" i="2"/>
  <c r="AQ248" i="2"/>
  <c r="AR247" i="2"/>
  <c r="AU248" i="2"/>
  <c r="AV247" i="2"/>
  <c r="AY248" i="2"/>
  <c r="AZ247" i="2"/>
  <c r="BG248" i="2"/>
  <c r="BH247" i="2"/>
  <c r="BK248" i="2"/>
  <c r="BL247" i="2"/>
  <c r="BO248" i="2"/>
  <c r="BP247" i="2"/>
  <c r="BW248" i="2"/>
  <c r="BX247" i="2"/>
  <c r="BY250" i="2" s="1"/>
  <c r="CA248" i="2"/>
  <c r="CB247" i="2"/>
  <c r="CC250" i="2" s="1"/>
  <c r="CE248" i="2"/>
  <c r="CF247" i="2"/>
  <c r="CG250" i="2" s="1"/>
  <c r="CM248" i="2"/>
  <c r="CN247" i="2"/>
  <c r="CO250" i="2" s="1"/>
  <c r="H246" i="2"/>
  <c r="H103" i="2"/>
  <c r="H48" i="2"/>
  <c r="H59" i="2" s="1"/>
  <c r="H76" i="2" s="1"/>
  <c r="X246" i="2"/>
  <c r="X103" i="2"/>
  <c r="X48" i="2"/>
  <c r="X59" i="2" s="1"/>
  <c r="X76" i="2" s="1"/>
  <c r="AR246" i="2"/>
  <c r="AR103" i="2"/>
  <c r="AR48" i="2"/>
  <c r="AR59" i="2" s="1"/>
  <c r="AR76" i="2" s="1"/>
  <c r="BP246" i="2"/>
  <c r="BP103" i="2"/>
  <c r="BP48" i="2"/>
  <c r="BP59" i="2" s="1"/>
  <c r="BP76" i="2" s="1"/>
  <c r="CB246" i="2"/>
  <c r="CB103" i="2"/>
  <c r="CB48" i="2"/>
  <c r="CB59" i="2" s="1"/>
  <c r="CB76" i="2" s="1"/>
  <c r="CN246" i="2"/>
  <c r="CN103" i="2"/>
  <c r="CN48" i="2"/>
  <c r="CN59" i="2" s="1"/>
  <c r="CN76" i="2" s="1"/>
  <c r="DE246" i="2"/>
  <c r="DE103" i="2"/>
  <c r="DE48" i="2"/>
  <c r="DE59" i="2" s="1"/>
  <c r="DE76" i="2" s="1"/>
  <c r="EA10" i="2"/>
  <c r="CB24" i="2"/>
  <c r="CB71" i="3" s="1"/>
  <c r="FB29" i="2"/>
  <c r="EP33" i="2"/>
  <c r="EP43" i="2" s="1"/>
  <c r="EA36" i="2"/>
  <c r="DW93" i="2"/>
  <c r="ES93" i="2"/>
  <c r="DG70" i="2"/>
  <c r="EN70" i="2"/>
  <c r="EN73" i="2" s="1"/>
  <c r="EV70" i="2"/>
  <c r="EV73" i="2" s="1"/>
  <c r="CH70" i="2"/>
  <c r="CH73" i="2" s="1"/>
  <c r="CL70" i="2"/>
  <c r="CL73" i="2" s="1"/>
  <c r="AQ247" i="2"/>
  <c r="AP248" i="2"/>
  <c r="BW247" i="2"/>
  <c r="BX250" i="2" s="1"/>
  <c r="BV248" i="2"/>
  <c r="CJ98" i="2"/>
  <c r="CJ88" i="2"/>
  <c r="CN98" i="2"/>
  <c r="CN97" i="2"/>
  <c r="CF99" i="2"/>
  <c r="L246" i="2"/>
  <c r="L103" i="2"/>
  <c r="L48" i="2"/>
  <c r="L59" i="2" s="1"/>
  <c r="L76" i="2" s="1"/>
  <c r="AF246" i="2"/>
  <c r="AF103" i="2"/>
  <c r="AF48" i="2"/>
  <c r="AF59" i="2" s="1"/>
  <c r="AF76" i="2" s="1"/>
  <c r="AV246" i="2"/>
  <c r="AV103" i="2"/>
  <c r="AV48" i="2"/>
  <c r="AV59" i="2" s="1"/>
  <c r="AV76" i="2" s="1"/>
  <c r="BH246" i="2"/>
  <c r="BH103" i="2"/>
  <c r="BH48" i="2"/>
  <c r="BH59" i="2" s="1"/>
  <c r="BH76" i="2" s="1"/>
  <c r="BT246" i="2"/>
  <c r="BT103" i="2"/>
  <c r="BT48" i="2"/>
  <c r="BT59" i="2" s="1"/>
  <c r="BT76" i="2" s="1"/>
  <c r="CF246" i="2"/>
  <c r="CF103" i="2"/>
  <c r="CF48" i="2"/>
  <c r="CF59" i="2" s="1"/>
  <c r="CF76" i="2" s="1"/>
  <c r="CR246" i="2"/>
  <c r="CR103" i="2"/>
  <c r="CR48" i="2"/>
  <c r="CR59" i="2" s="1"/>
  <c r="CR76" i="2" s="1"/>
  <c r="DM246" i="2"/>
  <c r="DM103" i="2"/>
  <c r="DM48" i="2"/>
  <c r="DM59" i="2" s="1"/>
  <c r="DM76" i="2" s="1"/>
  <c r="DY246" i="2"/>
  <c r="DY103" i="2"/>
  <c r="DY48" i="2"/>
  <c r="DY59" i="2" s="1"/>
  <c r="DY76" i="2" s="1"/>
  <c r="DL33" i="2"/>
  <c r="DL100" i="2" s="1"/>
  <c r="EL33" i="2"/>
  <c r="DS93" i="2"/>
  <c r="EK93" i="2"/>
  <c r="EK43" i="2"/>
  <c r="FA43" i="2"/>
  <c r="M246" i="2"/>
  <c r="M103" i="2"/>
  <c r="AC246" i="2"/>
  <c r="AC103" i="2"/>
  <c r="AK246" i="2"/>
  <c r="AK103" i="2"/>
  <c r="AW246" i="2"/>
  <c r="AW103" i="2"/>
  <c r="BI246" i="2"/>
  <c r="BI103" i="2"/>
  <c r="BU246" i="2"/>
  <c r="BU103" i="2"/>
  <c r="BY246" i="2"/>
  <c r="BY103" i="2"/>
  <c r="CC246" i="2"/>
  <c r="CC103" i="2"/>
  <c r="CG246" i="2"/>
  <c r="CG103" i="2"/>
  <c r="CO246" i="2"/>
  <c r="CO103" i="2"/>
  <c r="DF246" i="2"/>
  <c r="DF103" i="2"/>
  <c r="DF48" i="2"/>
  <c r="DF59" i="2" s="1"/>
  <c r="DF76" i="2" s="1"/>
  <c r="DJ246" i="2"/>
  <c r="DJ103" i="2"/>
  <c r="DJ48" i="2"/>
  <c r="DJ59" i="2" s="1"/>
  <c r="DJ76" i="2" s="1"/>
  <c r="DN246" i="2"/>
  <c r="DN103" i="2"/>
  <c r="DN48" i="2"/>
  <c r="DN59" i="2" s="1"/>
  <c r="DN76" i="2" s="1"/>
  <c r="DR246" i="2"/>
  <c r="DR103" i="2"/>
  <c r="DR48" i="2"/>
  <c r="DR59" i="2" s="1"/>
  <c r="DR76" i="2" s="1"/>
  <c r="DV246" i="2"/>
  <c r="DV103" i="2"/>
  <c r="DV48" i="2"/>
  <c r="DV59" i="2" s="1"/>
  <c r="DV76" i="2" s="1"/>
  <c r="DZ246" i="2"/>
  <c r="DZ103" i="2"/>
  <c r="DZ48" i="2"/>
  <c r="DZ59" i="2" s="1"/>
  <c r="DZ76" i="2" s="1"/>
  <c r="FB22" i="2"/>
  <c r="M24" i="2"/>
  <c r="Q24" i="2"/>
  <c r="U24" i="2"/>
  <c r="Y24" i="2"/>
  <c r="AC24" i="2"/>
  <c r="AG24" i="2"/>
  <c r="AK24" i="2"/>
  <c r="AO24" i="2"/>
  <c r="AS24" i="2"/>
  <c r="AW24" i="2"/>
  <c r="BA24" i="2"/>
  <c r="BE24" i="2"/>
  <c r="BI24" i="2"/>
  <c r="BM24" i="2"/>
  <c r="BQ24" i="2"/>
  <c r="BU24" i="2"/>
  <c r="BY24" i="2"/>
  <c r="CC24" i="2"/>
  <c r="CG24" i="2"/>
  <c r="CK24" i="2"/>
  <c r="CO24" i="2"/>
  <c r="CO45" i="2" s="1"/>
  <c r="DI33" i="2"/>
  <c r="DI43" i="2" s="1"/>
  <c r="DI45" i="2" s="1"/>
  <c r="DM33" i="2"/>
  <c r="DM100" i="2" s="1"/>
  <c r="DQ33" i="2"/>
  <c r="DQ43" i="2" s="1"/>
  <c r="DU33" i="2"/>
  <c r="DY33" i="2"/>
  <c r="EI33" i="2"/>
  <c r="EI43" i="2" s="1"/>
  <c r="EM33" i="2"/>
  <c r="EQ33" i="2"/>
  <c r="EQ43" i="2" s="1"/>
  <c r="EU33" i="2"/>
  <c r="EU100" i="2" s="1"/>
  <c r="EY33" i="2"/>
  <c r="EY43" i="2" s="1"/>
  <c r="CE43" i="2"/>
  <c r="CE97" i="2" s="1"/>
  <c r="CI43" i="2"/>
  <c r="CI45" i="2" s="1"/>
  <c r="CM33" i="2"/>
  <c r="CM43" i="2" s="1"/>
  <c r="CM45" i="2" s="1"/>
  <c r="DH93" i="2"/>
  <c r="DL93" i="2"/>
  <c r="DP93" i="2"/>
  <c r="DT93" i="2"/>
  <c r="DX93" i="2"/>
  <c r="EH93" i="2"/>
  <c r="EL93" i="2"/>
  <c r="EP93" i="2"/>
  <c r="ET93" i="2"/>
  <c r="EX93" i="2"/>
  <c r="EL43" i="2"/>
  <c r="I48" i="2"/>
  <c r="I59" i="2" s="1"/>
  <c r="I76" i="2" s="1"/>
  <c r="BE48" i="2"/>
  <c r="BE59" i="2" s="1"/>
  <c r="BE76" i="2" s="1"/>
  <c r="BU48" i="2"/>
  <c r="BU59" i="2" s="1"/>
  <c r="BU76" i="2" s="1"/>
  <c r="DL48" i="2"/>
  <c r="DL59" i="2" s="1"/>
  <c r="DL76" i="2" s="1"/>
  <c r="EB48" i="2"/>
  <c r="EB59" i="2" s="1"/>
  <c r="EB76" i="2" s="1"/>
  <c r="DH64" i="2"/>
  <c r="DL64" i="2"/>
  <c r="DP64" i="2"/>
  <c r="DT64" i="2"/>
  <c r="D246" i="2"/>
  <c r="D103" i="2"/>
  <c r="D48" i="2"/>
  <c r="D59" i="2" s="1"/>
  <c r="D76" i="2" s="1"/>
  <c r="T246" i="2"/>
  <c r="T103" i="2"/>
  <c r="T48" i="2"/>
  <c r="T59" i="2" s="1"/>
  <c r="T76" i="2" s="1"/>
  <c r="AJ246" i="2"/>
  <c r="AJ103" i="2"/>
  <c r="AJ48" i="2"/>
  <c r="AJ59" i="2" s="1"/>
  <c r="AJ76" i="2" s="1"/>
  <c r="AZ246" i="2"/>
  <c r="AZ103" i="2"/>
  <c r="AZ48" i="2"/>
  <c r="AZ59" i="2" s="1"/>
  <c r="AZ76" i="2" s="1"/>
  <c r="BL246" i="2"/>
  <c r="BL103" i="2"/>
  <c r="BL48" i="2"/>
  <c r="BL59" i="2" s="1"/>
  <c r="BL76" i="2" s="1"/>
  <c r="DU246" i="2"/>
  <c r="DU103" i="2"/>
  <c r="DU48" i="2"/>
  <c r="DU59" i="2" s="1"/>
  <c r="DU76" i="2" s="1"/>
  <c r="DP33" i="2"/>
  <c r="DP43" i="2" s="1"/>
  <c r="ET33" i="2"/>
  <c r="ET43" i="2" s="1"/>
  <c r="ET45" i="2" s="1"/>
  <c r="DG93" i="2"/>
  <c r="DO93" i="2"/>
  <c r="EO93" i="2"/>
  <c r="EW93" i="2"/>
  <c r="EW43" i="2"/>
  <c r="EW45" i="2" s="1"/>
  <c r="E246" i="2"/>
  <c r="E103" i="2"/>
  <c r="Q246" i="2"/>
  <c r="Q103" i="2"/>
  <c r="Y246" i="2"/>
  <c r="Y103" i="2"/>
  <c r="AO246" i="2"/>
  <c r="AO103" i="2"/>
  <c r="BA246" i="2"/>
  <c r="BA103" i="2"/>
  <c r="BM246" i="2"/>
  <c r="BM103" i="2"/>
  <c r="CK246" i="2"/>
  <c r="CK103" i="2"/>
  <c r="F246" i="2"/>
  <c r="F103" i="2"/>
  <c r="F48" i="2"/>
  <c r="F59" i="2" s="1"/>
  <c r="F76" i="2" s="1"/>
  <c r="J246" i="2"/>
  <c r="J48" i="2"/>
  <c r="J59" i="2" s="1"/>
  <c r="J76" i="2" s="1"/>
  <c r="N246" i="2"/>
  <c r="N103" i="2"/>
  <c r="N48" i="2"/>
  <c r="N59" i="2" s="1"/>
  <c r="N76" i="2" s="1"/>
  <c r="R246" i="2"/>
  <c r="R103" i="2"/>
  <c r="R48" i="2"/>
  <c r="R59" i="2" s="1"/>
  <c r="R76" i="2" s="1"/>
  <c r="V246" i="2"/>
  <c r="V103" i="2"/>
  <c r="V48" i="2"/>
  <c r="V59" i="2" s="1"/>
  <c r="V76" i="2" s="1"/>
  <c r="Z246" i="2"/>
  <c r="Z103" i="2"/>
  <c r="Z48" i="2"/>
  <c r="Z59" i="2" s="1"/>
  <c r="Z76" i="2" s="1"/>
  <c r="AD246" i="2"/>
  <c r="AD103" i="2"/>
  <c r="AD48" i="2"/>
  <c r="AD59" i="2" s="1"/>
  <c r="AD76" i="2" s="1"/>
  <c r="AH246" i="2"/>
  <c r="AH48" i="2"/>
  <c r="AH59" i="2" s="1"/>
  <c r="AH76" i="2" s="1"/>
  <c r="AH103" i="2"/>
  <c r="AL246" i="2"/>
  <c r="AL103" i="2"/>
  <c r="AL48" i="2"/>
  <c r="AL59" i="2" s="1"/>
  <c r="AL76" i="2" s="1"/>
  <c r="AP246" i="2"/>
  <c r="AP48" i="2"/>
  <c r="AP59" i="2" s="1"/>
  <c r="AP76" i="2" s="1"/>
  <c r="AT246" i="2"/>
  <c r="AT103" i="2"/>
  <c r="AT48" i="2"/>
  <c r="AT59" i="2" s="1"/>
  <c r="AT76" i="2" s="1"/>
  <c r="AX246" i="2"/>
  <c r="AX103" i="2"/>
  <c r="AX48" i="2"/>
  <c r="AX59" i="2" s="1"/>
  <c r="AX76" i="2" s="1"/>
  <c r="BB246" i="2"/>
  <c r="BB103" i="2"/>
  <c r="BB48" i="2"/>
  <c r="BB59" i="2" s="1"/>
  <c r="BB76" i="2" s="1"/>
  <c r="BF246" i="2"/>
  <c r="BF103" i="2"/>
  <c r="BF48" i="2"/>
  <c r="BF59" i="2" s="1"/>
  <c r="BF76" i="2" s="1"/>
  <c r="BJ246" i="2"/>
  <c r="BJ103" i="2"/>
  <c r="BJ48" i="2"/>
  <c r="BJ59" i="2" s="1"/>
  <c r="BJ76" i="2" s="1"/>
  <c r="BN246" i="2"/>
  <c r="BN48" i="2"/>
  <c r="BN59" i="2" s="1"/>
  <c r="BN76" i="2" s="1"/>
  <c r="BN103" i="2"/>
  <c r="BR246" i="2"/>
  <c r="BR103" i="2"/>
  <c r="BR48" i="2"/>
  <c r="BR59" i="2" s="1"/>
  <c r="BR76" i="2" s="1"/>
  <c r="BV246" i="2"/>
  <c r="BV48" i="2"/>
  <c r="BV59" i="2" s="1"/>
  <c r="BV76" i="2" s="1"/>
  <c r="BZ246" i="2"/>
  <c r="BZ103" i="2"/>
  <c r="BZ48" i="2"/>
  <c r="BZ59" i="2" s="1"/>
  <c r="BZ76" i="2" s="1"/>
  <c r="CD246" i="2"/>
  <c r="CD103" i="2"/>
  <c r="CD48" i="2"/>
  <c r="CD59" i="2" s="1"/>
  <c r="CD76" i="2" s="1"/>
  <c r="CH246" i="2"/>
  <c r="CH103" i="2"/>
  <c r="CH48" i="2"/>
  <c r="CH59" i="2" s="1"/>
  <c r="CH76" i="2" s="1"/>
  <c r="CL246" i="2"/>
  <c r="CL103" i="2"/>
  <c r="CL48" i="2"/>
  <c r="CL59" i="2" s="1"/>
  <c r="CL76" i="2" s="1"/>
  <c r="CP246" i="2"/>
  <c r="CP103" i="2"/>
  <c r="CP48" i="2"/>
  <c r="CP59" i="2" s="1"/>
  <c r="CP76" i="2" s="1"/>
  <c r="CT246" i="2"/>
  <c r="CT103" i="2"/>
  <c r="CT48" i="2"/>
  <c r="CT59" i="2" s="1"/>
  <c r="CT76" i="2" s="1"/>
  <c r="DG246" i="2"/>
  <c r="DG103" i="2"/>
  <c r="DG48" i="2"/>
  <c r="DG59" i="2" s="1"/>
  <c r="DG76" i="2" s="1"/>
  <c r="DK246" i="2"/>
  <c r="DK103" i="2"/>
  <c r="DK48" i="2"/>
  <c r="DK59" i="2" s="1"/>
  <c r="DK76" i="2" s="1"/>
  <c r="DO246" i="2"/>
  <c r="DO103" i="2"/>
  <c r="DO48" i="2"/>
  <c r="DO59" i="2" s="1"/>
  <c r="DO76" i="2" s="1"/>
  <c r="DS246" i="2"/>
  <c r="DS103" i="2"/>
  <c r="DS48" i="2"/>
  <c r="DS59" i="2" s="1"/>
  <c r="DS76" i="2" s="1"/>
  <c r="DW246" i="2"/>
  <c r="DW48" i="2"/>
  <c r="DW59" i="2" s="1"/>
  <c r="DW76" i="2" s="1"/>
  <c r="EA246" i="2"/>
  <c r="EA103" i="2"/>
  <c r="EA48" i="2"/>
  <c r="EA59" i="2" s="1"/>
  <c r="EA76" i="2" s="1"/>
  <c r="N24" i="2"/>
  <c r="R24" i="2"/>
  <c r="V24" i="2"/>
  <c r="Z24" i="2"/>
  <c r="AD24" i="2"/>
  <c r="AH24" i="2"/>
  <c r="AL24" i="2"/>
  <c r="AP24" i="2"/>
  <c r="AT24" i="2"/>
  <c r="AX24" i="2"/>
  <c r="BB24" i="2"/>
  <c r="BF24" i="2"/>
  <c r="BJ24" i="2"/>
  <c r="BN24" i="2"/>
  <c r="BR24" i="2"/>
  <c r="BV24" i="2"/>
  <c r="BZ24" i="2"/>
  <c r="CD24" i="2"/>
  <c r="CH24" i="2"/>
  <c r="DJ33" i="2"/>
  <c r="DJ100" i="2" s="1"/>
  <c r="DN33" i="2"/>
  <c r="DN43" i="2" s="1"/>
  <c r="DR33" i="2"/>
  <c r="DR43" i="2" s="1"/>
  <c r="DV33" i="2"/>
  <c r="EJ33" i="2"/>
  <c r="EJ100" i="2" s="1"/>
  <c r="EN33" i="2"/>
  <c r="EN100" i="2" s="1"/>
  <c r="ER33" i="2"/>
  <c r="ER43" i="2" s="1"/>
  <c r="ER45" i="2" s="1"/>
  <c r="EV33" i="2"/>
  <c r="CJ43" i="2"/>
  <c r="CI98" i="2"/>
  <c r="DY35" i="2"/>
  <c r="DI93" i="2"/>
  <c r="DM93" i="2"/>
  <c r="DQ93" i="2"/>
  <c r="DU93" i="2"/>
  <c r="DY93" i="2"/>
  <c r="EI93" i="2"/>
  <c r="EM93" i="2"/>
  <c r="EQ93" i="2"/>
  <c r="EU93" i="2"/>
  <c r="EY93" i="2"/>
  <c r="M48" i="2"/>
  <c r="M59" i="2" s="1"/>
  <c r="M76" i="2" s="1"/>
  <c r="AC48" i="2"/>
  <c r="AC59" i="2" s="1"/>
  <c r="AC76" i="2" s="1"/>
  <c r="AS48" i="2"/>
  <c r="AS59" i="2" s="1"/>
  <c r="AS76" i="2" s="1"/>
  <c r="BI48" i="2"/>
  <c r="BI59" i="2" s="1"/>
  <c r="BI76" i="2" s="1"/>
  <c r="BY48" i="2"/>
  <c r="BY59" i="2" s="1"/>
  <c r="BY76" i="2" s="1"/>
  <c r="CO48" i="2"/>
  <c r="CO59" i="2" s="1"/>
  <c r="CO76" i="2" s="1"/>
  <c r="DP48" i="2"/>
  <c r="DP59" i="2" s="1"/>
  <c r="DP76" i="2" s="1"/>
  <c r="CU48" i="2"/>
  <c r="CU59" i="2" s="1"/>
  <c r="CU76" i="2" s="1"/>
  <c r="DI70" i="2"/>
  <c r="DM70" i="2"/>
  <c r="DU70" i="2"/>
  <c r="EH70" i="2"/>
  <c r="EP70" i="2"/>
  <c r="EP73" i="2" s="1"/>
  <c r="ET70" i="2"/>
  <c r="ET73" i="2" s="1"/>
  <c r="EX70" i="2"/>
  <c r="EX73" i="2" s="1"/>
  <c r="DK70" i="2"/>
  <c r="N70" i="2"/>
  <c r="N73" i="2" s="1"/>
  <c r="R70" i="2"/>
  <c r="R73" i="2" s="1"/>
  <c r="V70" i="2"/>
  <c r="V73" i="2" s="1"/>
  <c r="Z70" i="2"/>
  <c r="Z73" i="2" s="1"/>
  <c r="AD70" i="2"/>
  <c r="AD73" i="2" s="1"/>
  <c r="AH70" i="2"/>
  <c r="AH73" i="2" s="1"/>
  <c r="AL70" i="2"/>
  <c r="AL73" i="2" s="1"/>
  <c r="AP70" i="2"/>
  <c r="AT70" i="2"/>
  <c r="AT73" i="2" s="1"/>
  <c r="AX70" i="2"/>
  <c r="AX73" i="2" s="1"/>
  <c r="BB70" i="2"/>
  <c r="BB73" i="2" s="1"/>
  <c r="BF70" i="2"/>
  <c r="BF73" i="2" s="1"/>
  <c r="BJ70" i="2"/>
  <c r="BJ73" i="2" s="1"/>
  <c r="BN70" i="2"/>
  <c r="BN73" i="2" s="1"/>
  <c r="BR70" i="2"/>
  <c r="BR73" i="2" s="1"/>
  <c r="EL70" i="2"/>
  <c r="R248" i="2"/>
  <c r="V248" i="2"/>
  <c r="W247" i="2"/>
  <c r="AI247" i="2"/>
  <c r="AM247" i="2"/>
  <c r="AL248" i="2"/>
  <c r="AY247" i="2"/>
  <c r="BC247" i="2"/>
  <c r="BB248" i="2"/>
  <c r="BO247" i="2"/>
  <c r="BS247" i="2"/>
  <c r="BR248" i="2"/>
  <c r="CE247" i="2"/>
  <c r="CF250" i="2" s="1"/>
  <c r="CI247" i="2"/>
  <c r="CJ250" i="2" s="1"/>
  <c r="CH248" i="2"/>
  <c r="Z248" i="2"/>
  <c r="AA247" i="2"/>
  <c r="BG247" i="2"/>
  <c r="BF248" i="2"/>
  <c r="BV103" i="2"/>
  <c r="DO64" i="2"/>
  <c r="DS64" i="2"/>
  <c r="DW64" i="2"/>
  <c r="EG64" i="2"/>
  <c r="EK64" i="2"/>
  <c r="EO64" i="2"/>
  <c r="ES64" i="2"/>
  <c r="EW64" i="2"/>
  <c r="CC64" i="2"/>
  <c r="CD60" i="2"/>
  <c r="BV70" i="2"/>
  <c r="BV73" i="2" s="1"/>
  <c r="EJ73" i="2"/>
  <c r="ER73" i="2"/>
  <c r="BV88" i="2"/>
  <c r="BV89" i="2" s="1"/>
  <c r="BZ88" i="2"/>
  <c r="CH88" i="2"/>
  <c r="S94" i="2"/>
  <c r="CE94" i="2"/>
  <c r="CI108" i="2"/>
  <c r="EI64" i="2"/>
  <c r="EM64" i="2"/>
  <c r="EQ64" i="2"/>
  <c r="EU64" i="2"/>
  <c r="EY64" i="2"/>
  <c r="AP73" i="2"/>
  <c r="EH73" i="2"/>
  <c r="L248" i="2"/>
  <c r="M247" i="2"/>
  <c r="P248" i="2"/>
  <c r="Q247" i="2"/>
  <c r="T248" i="2"/>
  <c r="U247" i="2"/>
  <c r="X248" i="2"/>
  <c r="Y247" i="2"/>
  <c r="AB248" i="2"/>
  <c r="AC247" i="2"/>
  <c r="AF248" i="2"/>
  <c r="AG247" i="2"/>
  <c r="AJ248" i="2"/>
  <c r="AK247" i="2"/>
  <c r="AN248" i="2"/>
  <c r="AO247" i="2"/>
  <c r="AR248" i="2"/>
  <c r="AS247" i="2"/>
  <c r="AV248" i="2"/>
  <c r="AW247" i="2"/>
  <c r="AZ248" i="2"/>
  <c r="BA247" i="2"/>
  <c r="BD248" i="2"/>
  <c r="BE247" i="2"/>
  <c r="BH248" i="2"/>
  <c r="BI247" i="2"/>
  <c r="BL248" i="2"/>
  <c r="BM247" i="2"/>
  <c r="BP248" i="2"/>
  <c r="BQ247" i="2"/>
  <c r="BT248" i="2"/>
  <c r="BU247" i="2"/>
  <c r="BX248" i="2"/>
  <c r="BY247" i="2"/>
  <c r="BZ250" i="2" s="1"/>
  <c r="CB248" i="2"/>
  <c r="CC247" i="2"/>
  <c r="CD250" i="2" s="1"/>
  <c r="CF248" i="2"/>
  <c r="CG247" i="2"/>
  <c r="CH250" i="2" s="1"/>
  <c r="CJ248" i="2"/>
  <c r="CK247" i="2"/>
  <c r="CL250" i="2" s="1"/>
  <c r="N248" i="2"/>
  <c r="O247" i="2"/>
  <c r="AE247" i="2"/>
  <c r="AD248" i="2"/>
  <c r="AU247" i="2"/>
  <c r="AT248" i="2"/>
  <c r="BK247" i="2"/>
  <c r="BJ248" i="2"/>
  <c r="CA247" i="2"/>
  <c r="CB250" i="2" s="1"/>
  <c r="BZ248" i="2"/>
  <c r="BX98" i="2"/>
  <c r="BX97" i="2"/>
  <c r="CB98" i="2"/>
  <c r="CB97" i="2"/>
  <c r="CF98" i="2"/>
  <c r="CF97" i="2"/>
  <c r="AY94" i="2"/>
  <c r="DJ70" i="2"/>
  <c r="DJ73" i="2" s="1"/>
  <c r="DR70" i="2"/>
  <c r="DR73" i="2" s="1"/>
  <c r="DZ70" i="2"/>
  <c r="DZ73" i="2" s="1"/>
  <c r="BZ60" i="2"/>
  <c r="BZ64" i="2" s="1"/>
  <c r="BY64" i="2"/>
  <c r="EL73" i="2"/>
  <c r="W92" i="2"/>
  <c r="W94" i="2"/>
  <c r="AA94" i="2"/>
  <c r="AA92" i="2"/>
  <c r="AM92" i="2"/>
  <c r="AM94" i="2"/>
  <c r="AQ94" i="2"/>
  <c r="AQ92" i="2"/>
  <c r="BC92" i="2"/>
  <c r="BC94" i="2"/>
  <c r="BG94" i="2"/>
  <c r="BG92" i="2"/>
  <c r="BS92" i="2"/>
  <c r="BS94" i="2"/>
  <c r="BW94" i="2"/>
  <c r="BW92" i="2"/>
  <c r="CI94" i="2"/>
  <c r="CI92" i="2"/>
  <c r="Q248" i="2"/>
  <c r="R247" i="2"/>
  <c r="U248" i="2"/>
  <c r="V247" i="2"/>
  <c r="Z247" i="2"/>
  <c r="Y248" i="2"/>
  <c r="AG248" i="2"/>
  <c r="AH247" i="2"/>
  <c r="AK248" i="2"/>
  <c r="AL247" i="2"/>
  <c r="AO248" i="2"/>
  <c r="AP247" i="2"/>
  <c r="AW248" i="2"/>
  <c r="AX247" i="2"/>
  <c r="BA248" i="2"/>
  <c r="BB247" i="2"/>
  <c r="BE248" i="2"/>
  <c r="BF247" i="2"/>
  <c r="BN247" i="2"/>
  <c r="BM248" i="2"/>
  <c r="BR247" i="2"/>
  <c r="BQ248" i="2"/>
  <c r="BV247" i="2"/>
  <c r="BW250" i="2" s="1"/>
  <c r="BU248" i="2"/>
  <c r="CD247" i="2"/>
  <c r="CE250" i="2" s="1"/>
  <c r="CC248" i="2"/>
  <c r="CH247" i="2"/>
  <c r="CI250" i="2" s="1"/>
  <c r="CG248" i="2"/>
  <c r="CL247" i="2"/>
  <c r="CM250" i="2" s="1"/>
  <c r="CK248" i="2"/>
  <c r="CC88" i="2"/>
  <c r="CL88" i="2"/>
  <c r="BX88" i="2"/>
  <c r="AI94" i="2"/>
  <c r="CI142" i="2"/>
  <c r="CH120" i="2"/>
  <c r="L70" i="2"/>
  <c r="P70" i="2"/>
  <c r="P73" i="2" s="1"/>
  <c r="T70" i="2"/>
  <c r="T73" i="2" s="1"/>
  <c r="X70" i="2"/>
  <c r="X73" i="2" s="1"/>
  <c r="AB70" i="2"/>
  <c r="AB73" i="2" s="1"/>
  <c r="AF70" i="2"/>
  <c r="AF73" i="2" s="1"/>
  <c r="AJ70" i="2"/>
  <c r="AJ73" i="2" s="1"/>
  <c r="AN70" i="2"/>
  <c r="AN73" i="2" s="1"/>
  <c r="AR70" i="2"/>
  <c r="AR73" i="2" s="1"/>
  <c r="AV70" i="2"/>
  <c r="AV73" i="2" s="1"/>
  <c r="AZ70" i="2"/>
  <c r="AZ73" i="2" s="1"/>
  <c r="BD70" i="2"/>
  <c r="BH70" i="2"/>
  <c r="BH73" i="2" s="1"/>
  <c r="BL70" i="2"/>
  <c r="BL73" i="2" s="1"/>
  <c r="BP70" i="2"/>
  <c r="BP73" i="2" s="1"/>
  <c r="BT70" i="2"/>
  <c r="BT73" i="2" s="1"/>
  <c r="BX70" i="2"/>
  <c r="CB70" i="2"/>
  <c r="CB73" i="2" s="1"/>
  <c r="CJ70" i="2"/>
  <c r="CJ73" i="2" s="1"/>
  <c r="CN70" i="2"/>
  <c r="CN73" i="2" s="1"/>
  <c r="L73" i="2"/>
  <c r="BD73" i="2"/>
  <c r="BX73" i="2"/>
  <c r="CF73" i="2"/>
  <c r="DG72" i="2"/>
  <c r="DG73" i="2" s="1"/>
  <c r="DK72" i="2"/>
  <c r="DO72" i="2"/>
  <c r="DS72" i="2"/>
  <c r="DW72" i="2"/>
  <c r="CA98" i="2"/>
  <c r="CA97" i="2"/>
  <c r="CE98" i="2"/>
  <c r="CM98" i="2"/>
  <c r="CA88" i="2"/>
  <c r="CE88" i="2"/>
  <c r="CM88" i="2"/>
  <c r="CG94" i="2"/>
  <c r="CK94" i="2"/>
  <c r="BZ97" i="2"/>
  <c r="CH97" i="2"/>
  <c r="CP97" i="2"/>
  <c r="BZ98" i="2"/>
  <c r="CH98" i="2"/>
  <c r="CP98" i="2"/>
  <c r="BZ110" i="2"/>
  <c r="DV106" i="2"/>
  <c r="CF140" i="2"/>
  <c r="CG118" i="2"/>
  <c r="CG140" i="2" s="1"/>
  <c r="EA139" i="2"/>
  <c r="CR139" i="2"/>
  <c r="CS139" i="2" s="1"/>
  <c r="CT139" i="2" s="1"/>
  <c r="CU139" i="2" s="1"/>
  <c r="DI72" i="2"/>
  <c r="DI73" i="2" s="1"/>
  <c r="DM72" i="2"/>
  <c r="DQ72" i="2"/>
  <c r="DU72" i="2"/>
  <c r="DY72" i="2"/>
  <c r="DY73" i="2" s="1"/>
  <c r="CG88" i="2"/>
  <c r="CD97" i="2"/>
  <c r="CL97" i="2"/>
  <c r="CD98" i="2"/>
  <c r="CL98" i="2"/>
  <c r="CI111" i="2"/>
  <c r="DV111" i="2"/>
  <c r="BX111" i="2"/>
  <c r="BY111" i="2" s="1"/>
  <c r="BZ144" i="2"/>
  <c r="CA122" i="2"/>
  <c r="O70" i="2"/>
  <c r="O73" i="2" s="1"/>
  <c r="S70" i="2"/>
  <c r="S73" i="2" s="1"/>
  <c r="W70" i="2"/>
  <c r="W73" i="2" s="1"/>
  <c r="AA70" i="2"/>
  <c r="AE70" i="2"/>
  <c r="AE73" i="2" s="1"/>
  <c r="AI70" i="2"/>
  <c r="AI73" i="2" s="1"/>
  <c r="AM70" i="2"/>
  <c r="AM73" i="2" s="1"/>
  <c r="AQ70" i="2"/>
  <c r="AQ73" i="2" s="1"/>
  <c r="AU70" i="2"/>
  <c r="AU73" i="2" s="1"/>
  <c r="AY70" i="2"/>
  <c r="AY73" i="2" s="1"/>
  <c r="BC70" i="2"/>
  <c r="BC73" i="2" s="1"/>
  <c r="BG70" i="2"/>
  <c r="BG73" i="2" s="1"/>
  <c r="BK70" i="2"/>
  <c r="BK73" i="2" s="1"/>
  <c r="BO70" i="2"/>
  <c r="BO73" i="2" s="1"/>
  <c r="BS70" i="2"/>
  <c r="BS73" i="2" s="1"/>
  <c r="BW70" i="2"/>
  <c r="BW73" i="2" s="1"/>
  <c r="CA70" i="2"/>
  <c r="CA73" i="2" s="1"/>
  <c r="CI70" i="2"/>
  <c r="CI73" i="2" s="1"/>
  <c r="CM70" i="2"/>
  <c r="CM73" i="2" s="1"/>
  <c r="AA73" i="2"/>
  <c r="CO94" i="2"/>
  <c r="BY97" i="2"/>
  <c r="CG97" i="2"/>
  <c r="CO97" i="2"/>
  <c r="BY106" i="2"/>
  <c r="BZ107" i="2"/>
  <c r="BY143" i="2"/>
  <c r="BZ121" i="2"/>
  <c r="CO145" i="2"/>
  <c r="CN123" i="2"/>
  <c r="BV197" i="2"/>
  <c r="BV233" i="2" s="1"/>
  <c r="BX109" i="2"/>
  <c r="BY109" i="2" s="1"/>
  <c r="BY112" i="2"/>
  <c r="CO116" i="2"/>
  <c r="CO117" i="2"/>
  <c r="CJ118" i="2"/>
  <c r="CR138" i="2"/>
  <c r="CS138" i="2" s="1"/>
  <c r="CT138" i="2" s="1"/>
  <c r="CU138" i="2" s="1"/>
  <c r="BU192" i="2"/>
  <c r="BV155" i="2"/>
  <c r="CB187" i="2"/>
  <c r="CC187" i="2" s="1"/>
  <c r="CD187" i="2" s="1"/>
  <c r="CE187" i="2" s="1"/>
  <c r="DW187" i="2"/>
  <c r="CB216" i="2"/>
  <c r="DW133" i="2"/>
  <c r="CB133" i="2"/>
  <c r="BW156" i="2"/>
  <c r="DW161" i="2"/>
  <c r="CB161" i="2"/>
  <c r="CC161" i="2" s="1"/>
  <c r="CD161" i="2" s="1"/>
  <c r="CE161" i="2" s="1"/>
  <c r="BX108" i="2"/>
  <c r="BY108" i="2" s="1"/>
  <c r="BX216" i="2"/>
  <c r="CN220" i="2"/>
  <c r="CN221" i="2"/>
  <c r="CJ133" i="2"/>
  <c r="CK133" i="2" s="1"/>
  <c r="CL133" i="2" s="1"/>
  <c r="CM133" i="2" s="1"/>
  <c r="BU196" i="2"/>
  <c r="BV159" i="2"/>
  <c r="BV195" i="2"/>
  <c r="BV231" i="2" s="1"/>
  <c r="BV206" i="2"/>
  <c r="CB175" i="2"/>
  <c r="CC175" i="2" s="1"/>
  <c r="CD175" i="2" s="1"/>
  <c r="CE175" i="2" s="1"/>
  <c r="CB188" i="2"/>
  <c r="CC188" i="2" s="1"/>
  <c r="CD188" i="2" s="1"/>
  <c r="CE188" i="2" s="1"/>
  <c r="DW188" i="2"/>
  <c r="BV157" i="2"/>
  <c r="BY204" i="2"/>
  <c r="BY222" i="2" s="1"/>
  <c r="BW206" i="2"/>
  <c r="BZ167" i="2"/>
  <c r="BY205" i="2"/>
  <c r="BY223" i="2" s="1"/>
  <c r="DV169" i="2"/>
  <c r="DW177" i="2"/>
  <c r="DW181" i="2"/>
  <c r="CB181" i="2"/>
  <c r="CC181" i="2" s="1"/>
  <c r="CD181" i="2" s="1"/>
  <c r="CE181" i="2" s="1"/>
  <c r="DV141" i="2"/>
  <c r="BZ168" i="2"/>
  <c r="DW169" i="2"/>
  <c r="BY206" i="2"/>
  <c r="DW176" i="2"/>
  <c r="BX206" i="2"/>
  <c r="CF235" i="2"/>
  <c r="DY235" i="2" s="1"/>
  <c r="DY217" i="2"/>
  <c r="CJ217" i="2"/>
  <c r="DZ199" i="2"/>
  <c r="CB237" i="2"/>
  <c r="DX237" i="2" s="1"/>
  <c r="DX219" i="2"/>
  <c r="CF237" i="2"/>
  <c r="DY237" i="2" s="1"/>
  <c r="DY219" i="2"/>
  <c r="CJ219" i="2"/>
  <c r="DZ201" i="2"/>
  <c r="CN235" i="2"/>
  <c r="EA235" i="2" s="1"/>
  <c r="EA217" i="2"/>
  <c r="CR235" i="2"/>
  <c r="EB235" i="2" s="1"/>
  <c r="EB217" i="2"/>
  <c r="CN236" i="2"/>
  <c r="EA236" i="2" s="1"/>
  <c r="EA218" i="2"/>
  <c r="CR218" i="2"/>
  <c r="EB200" i="2"/>
  <c r="CN237" i="2"/>
  <c r="EA237" i="2" s="1"/>
  <c r="EA219" i="2"/>
  <c r="CR237" i="2"/>
  <c r="EB237" i="2" s="1"/>
  <c r="EB219" i="2"/>
  <c r="DY199" i="2"/>
  <c r="DY200" i="2"/>
  <c r="DX201" i="2"/>
  <c r="EA199" i="2"/>
  <c r="DZ200" i="2"/>
  <c r="DY201" i="2"/>
  <c r="CF189" i="2"/>
  <c r="CB218" i="2"/>
  <c r="DX200" i="2"/>
  <c r="CF236" i="2"/>
  <c r="DY236" i="2" s="1"/>
  <c r="DY218" i="2"/>
  <c r="CJ236" i="2"/>
  <c r="DZ236" i="2" s="1"/>
  <c r="DZ218" i="2"/>
  <c r="EB199" i="2"/>
  <c r="EA200" i="2"/>
  <c r="EA201" i="2"/>
  <c r="EB201" i="2"/>
  <c r="DV210" i="2"/>
  <c r="BW225" i="2"/>
  <c r="DV215" i="2"/>
  <c r="CB235" i="2"/>
  <c r="CC235" i="2"/>
  <c r="DX217" i="2"/>
  <c r="CE235" i="2"/>
  <c r="BV225" i="2"/>
  <c r="DY77" i="2"/>
  <c r="DY92" i="2" s="1"/>
  <c r="DW77" i="2"/>
  <c r="DW92" i="2" s="1"/>
  <c r="DU77" i="2"/>
  <c r="DU92" i="2" s="1"/>
  <c r="DS77" i="2"/>
  <c r="DS92" i="2" s="1"/>
  <c r="DQ77" i="2"/>
  <c r="DQ92" i="2" s="1"/>
  <c r="DO77" i="2"/>
  <c r="DO92" i="2" s="1"/>
  <c r="DM77" i="2"/>
  <c r="DM92" i="2" s="1"/>
  <c r="DK77" i="2"/>
  <c r="DK92" i="2" s="1"/>
  <c r="DI77" i="2"/>
  <c r="DI92" i="2" s="1"/>
  <c r="DG77" i="2"/>
  <c r="DG92" i="2" s="1"/>
  <c r="EY77" i="2"/>
  <c r="EY92" i="2" s="1"/>
  <c r="EX77" i="2"/>
  <c r="EX92" i="2" s="1"/>
  <c r="EU77" i="2"/>
  <c r="EU92" i="2" s="1"/>
  <c r="ET77" i="2"/>
  <c r="ET92" i="2" s="1"/>
  <c r="EQ77" i="2"/>
  <c r="EQ92" i="2" s="1"/>
  <c r="EP77" i="2"/>
  <c r="EP92" i="2" s="1"/>
  <c r="EM77" i="2"/>
  <c r="EM92" i="2" s="1"/>
  <c r="EL77" i="2"/>
  <c r="EL92" i="2" s="1"/>
  <c r="EI77" i="2"/>
  <c r="EI92" i="2" s="1"/>
  <c r="EH77" i="2"/>
  <c r="EH92" i="2" s="1"/>
  <c r="CO88" i="2" l="1"/>
  <c r="CO248" i="2"/>
  <c r="BY248" i="2"/>
  <c r="BJ247" i="2"/>
  <c r="AT247" i="2"/>
  <c r="AD247" i="2"/>
  <c r="N247" i="2"/>
  <c r="AV45" i="2"/>
  <c r="CP14" i="2"/>
  <c r="EL45" i="2"/>
  <c r="EO100" i="2"/>
  <c r="CP60" i="3"/>
  <c r="BZ247" i="2"/>
  <c r="CA250" i="2" s="1"/>
  <c r="DM43" i="2"/>
  <c r="DM45" i="2" s="1"/>
  <c r="CI88" i="2"/>
  <c r="P45" i="2"/>
  <c r="DU100" i="2"/>
  <c r="EP45" i="2"/>
  <c r="CJ247" i="2"/>
  <c r="CK250" i="2" s="1"/>
  <c r="BT247" i="2"/>
  <c r="BD247" i="2"/>
  <c r="AN247" i="2"/>
  <c r="X247" i="2"/>
  <c r="EG100" i="2"/>
  <c r="CP164" i="3"/>
  <c r="CD88" i="2"/>
  <c r="EV100" i="2"/>
  <c r="EM100" i="2"/>
  <c r="EN78" i="3" s="1"/>
  <c r="DV119" i="2"/>
  <c r="FC117" i="3"/>
  <c r="P8" i="79"/>
  <c r="EA32" i="3"/>
  <c r="EA136" i="3" s="1"/>
  <c r="DQ73" i="2"/>
  <c r="EO43" i="2"/>
  <c r="EO45" i="2" s="1"/>
  <c r="DH56" i="3"/>
  <c r="DH160" i="3" s="1"/>
  <c r="EO48" i="3"/>
  <c r="EO152" i="3" s="1"/>
  <c r="ES56" i="3"/>
  <c r="ES160" i="3" s="1"/>
  <c r="DW47" i="3"/>
  <c r="DW151" i="3" s="1"/>
  <c r="DG47" i="3"/>
  <c r="DG151" i="3" s="1"/>
  <c r="DW43" i="3"/>
  <c r="DW147" i="3" s="1"/>
  <c r="DR38" i="3"/>
  <c r="DR142" i="3" s="1"/>
  <c r="DG50" i="3"/>
  <c r="DG154" i="3" s="1"/>
  <c r="DR47" i="3"/>
  <c r="DR151" i="3" s="1"/>
  <c r="DY44" i="3"/>
  <c r="DY148" i="3" s="1"/>
  <c r="DU47" i="3"/>
  <c r="DU151" i="3" s="1"/>
  <c r="DJ37" i="3"/>
  <c r="DJ141" i="3" s="1"/>
  <c r="FA46" i="3"/>
  <c r="FA150" i="3" s="1"/>
  <c r="EY27" i="3"/>
  <c r="EY131" i="3" s="1"/>
  <c r="DR23" i="3"/>
  <c r="DR127" i="3" s="1"/>
  <c r="EX23" i="3"/>
  <c r="EX127" i="3" s="1"/>
  <c r="DK16" i="3"/>
  <c r="DK120" i="3" s="1"/>
  <c r="EN17" i="3"/>
  <c r="EN121" i="3" s="1"/>
  <c r="FB31" i="3"/>
  <c r="CQ31" i="3"/>
  <c r="ER11" i="3"/>
  <c r="ER115" i="3" s="1"/>
  <c r="ET19" i="3"/>
  <c r="ET123" i="3" s="1"/>
  <c r="EU16" i="3"/>
  <c r="EU120" i="3" s="1"/>
  <c r="EI16" i="3"/>
  <c r="EI120" i="3" s="1"/>
  <c r="I16" i="79"/>
  <c r="I49" i="79"/>
  <c r="DU13" i="3"/>
  <c r="CI11" i="3"/>
  <c r="EU11" i="3"/>
  <c r="EU115" i="3" s="1"/>
  <c r="DO12" i="3"/>
  <c r="DO116" i="3" s="1"/>
  <c r="CS60" i="2"/>
  <c r="CT60" i="2" s="1"/>
  <c r="FB60" i="2"/>
  <c r="EC147" i="2"/>
  <c r="CZ147" i="2"/>
  <c r="DA147" i="2" s="1"/>
  <c r="DB147" i="2" s="1"/>
  <c r="DC147" i="2" s="1"/>
  <c r="ED147" i="2" s="1"/>
  <c r="DP23" i="3"/>
  <c r="DP127" i="3" s="1"/>
  <c r="DT19" i="3"/>
  <c r="DT123" i="3" s="1"/>
  <c r="DN12" i="3"/>
  <c r="DN116" i="3" s="1"/>
  <c r="EZ50" i="3"/>
  <c r="EZ154" i="3" s="1"/>
  <c r="EJ50" i="3"/>
  <c r="EJ154" i="3" s="1"/>
  <c r="FA35" i="3"/>
  <c r="FA139" i="3" s="1"/>
  <c r="ES35" i="3"/>
  <c r="ES139" i="3" s="1"/>
  <c r="CS67" i="2"/>
  <c r="CT67" i="2" s="1"/>
  <c r="CU67" i="2" s="1"/>
  <c r="EB67" i="2" s="1"/>
  <c r="FB67" i="2"/>
  <c r="EM43" i="2"/>
  <c r="EM45" i="2" s="1"/>
  <c r="FA78" i="3"/>
  <c r="DR56" i="3"/>
  <c r="DR160" i="3" s="1"/>
  <c r="DW46" i="3"/>
  <c r="DW150" i="3" s="1"/>
  <c r="CQ43" i="3"/>
  <c r="FB43" i="3" s="1"/>
  <c r="FB147" i="3" s="1"/>
  <c r="DS50" i="3"/>
  <c r="DS154" i="3" s="1"/>
  <c r="DN47" i="3"/>
  <c r="DN151" i="3" s="1"/>
  <c r="EA56" i="3"/>
  <c r="EA160" i="3" s="1"/>
  <c r="FB53" i="3"/>
  <c r="FB157" i="3" s="1"/>
  <c r="CQ53" i="3"/>
  <c r="EA53" i="3" s="1"/>
  <c r="EA157" i="3" s="1"/>
  <c r="DT50" i="3"/>
  <c r="DT154" i="3" s="1"/>
  <c r="DU44" i="3"/>
  <c r="DU148" i="3" s="1"/>
  <c r="EV44" i="3"/>
  <c r="EV148" i="3" s="1"/>
  <c r="EP36" i="3"/>
  <c r="EP140" i="3" s="1"/>
  <c r="EH36" i="3"/>
  <c r="EH140" i="3" s="1"/>
  <c r="DZ46" i="3"/>
  <c r="DZ150" i="3" s="1"/>
  <c r="FB44" i="3"/>
  <c r="FB148" i="3" s="1"/>
  <c r="EI27" i="3"/>
  <c r="EI131" i="3" s="1"/>
  <c r="DJ23" i="3"/>
  <c r="DJ127" i="3" s="1"/>
  <c r="EV46" i="3"/>
  <c r="EV150" i="3" s="1"/>
  <c r="EW44" i="3"/>
  <c r="EW148" i="3" s="1"/>
  <c r="EH23" i="3"/>
  <c r="EH127" i="3" s="1"/>
  <c r="DJ19" i="3"/>
  <c r="DJ123" i="3" s="1"/>
  <c r="ET16" i="3"/>
  <c r="ET120" i="3" s="1"/>
  <c r="DL12" i="3"/>
  <c r="DL116" i="3" s="1"/>
  <c r="DG19" i="3"/>
  <c r="DG123" i="3" s="1"/>
  <c r="EU12" i="3"/>
  <c r="EU116" i="3" s="1"/>
  <c r="EM12" i="3"/>
  <c r="EM116" i="3" s="1"/>
  <c r="EA31" i="3"/>
  <c r="EH19" i="3"/>
  <c r="EH123" i="3" s="1"/>
  <c r="EY16" i="3"/>
  <c r="EY120" i="3" s="1"/>
  <c r="EM16" i="3"/>
  <c r="EM120" i="3" s="1"/>
  <c r="CQ13" i="3"/>
  <c r="FB13" i="3" s="1"/>
  <c r="CP69" i="3"/>
  <c r="DQ13" i="3"/>
  <c r="EV11" i="3"/>
  <c r="EV115" i="3" s="1"/>
  <c r="L39" i="79"/>
  <c r="AL52" i="80"/>
  <c r="CW62" i="2"/>
  <c r="CX62" i="2" s="1"/>
  <c r="CY62" i="2" s="1"/>
  <c r="FC62" i="2"/>
  <c r="DU50" i="3"/>
  <c r="DU154" i="3" s="1"/>
  <c r="DL23" i="3"/>
  <c r="DL127" i="3" s="1"/>
  <c r="DF12" i="3"/>
  <c r="DF116" i="3" s="1"/>
  <c r="DV35" i="3"/>
  <c r="DV139" i="3" s="1"/>
  <c r="DN35" i="3"/>
  <c r="DN139" i="3" s="1"/>
  <c r="DZ35" i="3"/>
  <c r="DZ139" i="3" s="1"/>
  <c r="CS66" i="2"/>
  <c r="CT66" i="2" s="1"/>
  <c r="CU66" i="2" s="1"/>
  <c r="CV66" i="2" s="1"/>
  <c r="FB66" i="2"/>
  <c r="CQ46" i="3"/>
  <c r="EA46" i="3" s="1"/>
  <c r="EA150" i="3" s="1"/>
  <c r="ER22" i="3"/>
  <c r="ER126" i="3" s="1"/>
  <c r="ET27" i="3"/>
  <c r="ET131" i="3" s="1"/>
  <c r="DE50" i="3"/>
  <c r="DE154" i="3" s="1"/>
  <c r="DX23" i="3"/>
  <c r="DX127" i="3" s="1"/>
  <c r="DH23" i="3"/>
  <c r="DH127" i="3" s="1"/>
  <c r="CQ11" i="3"/>
  <c r="EV50" i="3"/>
  <c r="EV154" i="3" s="1"/>
  <c r="EK36" i="3"/>
  <c r="EK140" i="3" s="1"/>
  <c r="DN36" i="3"/>
  <c r="DN140" i="3" s="1"/>
  <c r="DV225" i="2"/>
  <c r="EH45" i="2"/>
  <c r="EO56" i="3"/>
  <c r="EO160" i="3" s="1"/>
  <c r="EZ53" i="3"/>
  <c r="EZ157" i="3" s="1"/>
  <c r="EZ44" i="3"/>
  <c r="EZ148" i="3" s="1"/>
  <c r="ET36" i="3"/>
  <c r="ET140" i="3" s="1"/>
  <c r="EL36" i="3"/>
  <c r="EL140" i="3" s="1"/>
  <c r="CQ35" i="3"/>
  <c r="FB35" i="3" s="1"/>
  <c r="FB139" i="3" s="1"/>
  <c r="EI49" i="3"/>
  <c r="EI153" i="3" s="1"/>
  <c r="EW46" i="3"/>
  <c r="EW150" i="3" s="1"/>
  <c r="EX44" i="3"/>
  <c r="EX148" i="3" s="1"/>
  <c r="EN38" i="3"/>
  <c r="EN142" i="3" s="1"/>
  <c r="DL24" i="3"/>
  <c r="DL128" i="3" s="1"/>
  <c r="DL20" i="3"/>
  <c r="DL124" i="3" s="1"/>
  <c r="EZ46" i="3"/>
  <c r="EZ150" i="3" s="1"/>
  <c r="FA44" i="3"/>
  <c r="FA148" i="3" s="1"/>
  <c r="EL21" i="3"/>
  <c r="EL125" i="3" s="1"/>
  <c r="EM19" i="3"/>
  <c r="EM123" i="3" s="1"/>
  <c r="EK19" i="3"/>
  <c r="EK123" i="3" s="1"/>
  <c r="FB16" i="3"/>
  <c r="FB120" i="3" s="1"/>
  <c r="EL16" i="3"/>
  <c r="EL120" i="3" s="1"/>
  <c r="DE15" i="3"/>
  <c r="DE119" i="3" s="1"/>
  <c r="DT12" i="3"/>
  <c r="DT116" i="3" s="1"/>
  <c r="M16" i="79"/>
  <c r="M49" i="79"/>
  <c r="DQ19" i="3"/>
  <c r="DQ123" i="3" s="1"/>
  <c r="DF15" i="3"/>
  <c r="DF119" i="3" s="1"/>
  <c r="EY12" i="3"/>
  <c r="EY116" i="3" s="1"/>
  <c r="EQ12" i="3"/>
  <c r="EQ116" i="3" s="1"/>
  <c r="EI12" i="3"/>
  <c r="EI116" i="3" s="1"/>
  <c r="EA16" i="3"/>
  <c r="EA120" i="3" s="1"/>
  <c r="FB34" i="3"/>
  <c r="FB138" i="3" s="1"/>
  <c r="CQ34" i="3"/>
  <c r="EA34" i="3" s="1"/>
  <c r="EA138" i="3" s="1"/>
  <c r="DI13" i="3"/>
  <c r="Q16" i="79"/>
  <c r="Q49" i="79"/>
  <c r="EH12" i="3"/>
  <c r="EH116" i="3" s="1"/>
  <c r="CS61" i="2"/>
  <c r="CT61" i="2" s="1"/>
  <c r="CU61" i="2" s="1"/>
  <c r="EB61" i="2" s="1"/>
  <c r="FB61" i="2"/>
  <c r="DT23" i="3"/>
  <c r="DT127" i="3" s="1"/>
  <c r="DX19" i="3"/>
  <c r="DX123" i="3" s="1"/>
  <c r="FB32" i="3"/>
  <c r="FB136" i="3" s="1"/>
  <c r="CQ32" i="3"/>
  <c r="ED110" i="3"/>
  <c r="ED65" i="3"/>
  <c r="ED80" i="3" s="1"/>
  <c r="ED95" i="3" s="1"/>
  <c r="CA51" i="2"/>
  <c r="CA50" i="2" s="1"/>
  <c r="J65" i="3"/>
  <c r="J80" i="3" s="1"/>
  <c r="J95" i="3" s="1"/>
  <c r="M60" i="80"/>
  <c r="L31" i="79" s="1"/>
  <c r="M69" i="80"/>
  <c r="AJ69" i="80"/>
  <c r="L37" i="79"/>
  <c r="I38" i="80"/>
  <c r="I36" i="80"/>
  <c r="AA57" i="80"/>
  <c r="CB45" i="2"/>
  <c r="CB179" i="2"/>
  <c r="CC179" i="2" s="1"/>
  <c r="CD179" i="2" s="1"/>
  <c r="CE179" i="2" s="1"/>
  <c r="CJ45" i="2"/>
  <c r="BL45" i="2"/>
  <c r="AF45" i="2"/>
  <c r="CB99" i="2"/>
  <c r="CM97" i="2"/>
  <c r="FB135" i="3"/>
  <c r="FB66" i="3"/>
  <c r="FC114" i="3"/>
  <c r="FC91" i="3"/>
  <c r="DU43" i="2"/>
  <c r="DU45" i="2" s="1"/>
  <c r="DR45" i="2"/>
  <c r="DO43" i="2"/>
  <c r="DO45" i="2" s="1"/>
  <c r="DG43" i="2"/>
  <c r="DL43" i="2"/>
  <c r="DL45" i="2" s="1"/>
  <c r="DQ45" i="2"/>
  <c r="EC65" i="3"/>
  <c r="EC80" i="3" s="1"/>
  <c r="EC95" i="3" s="1"/>
  <c r="EC110" i="3"/>
  <c r="EB138" i="2"/>
  <c r="CV138" i="2"/>
  <c r="CW138" i="2" s="1"/>
  <c r="CX138" i="2" s="1"/>
  <c r="CY138" i="2" s="1"/>
  <c r="EK78" i="3"/>
  <c r="DG45" i="2"/>
  <c r="FA45" i="2"/>
  <c r="EZ45" i="2"/>
  <c r="EB36" i="2"/>
  <c r="CV36" i="2"/>
  <c r="DW180" i="2"/>
  <c r="CB178" i="2"/>
  <c r="CC178" i="2" s="1"/>
  <c r="CD178" i="2" s="1"/>
  <c r="CE178" i="2" s="1"/>
  <c r="DX178" i="2" s="1"/>
  <c r="DU73" i="2"/>
  <c r="DM73" i="2"/>
  <c r="EB139" i="2"/>
  <c r="CV139" i="2"/>
  <c r="CW139" i="2" s="1"/>
  <c r="CX139" i="2" s="1"/>
  <c r="CY139" i="2" s="1"/>
  <c r="CV67" i="2"/>
  <c r="CO247" i="2"/>
  <c r="CP250" i="2" s="1"/>
  <c r="CF45" i="2"/>
  <c r="BX45" i="2"/>
  <c r="BD45" i="2"/>
  <c r="AR45" i="2"/>
  <c r="X45" i="2"/>
  <c r="EW78" i="3"/>
  <c r="EO78" i="3"/>
  <c r="DV100" i="2"/>
  <c r="DN45" i="2"/>
  <c r="DP45" i="2"/>
  <c r="DT45" i="2"/>
  <c r="EY45" i="2"/>
  <c r="EQ45" i="2"/>
  <c r="EI45" i="2"/>
  <c r="EK45" i="2"/>
  <c r="DS45" i="2"/>
  <c r="EL100" i="2"/>
  <c r="EM78" i="3" s="1"/>
  <c r="CN88" i="2"/>
  <c r="CN99" i="2" s="1"/>
  <c r="ES45" i="2"/>
  <c r="DW43" i="2"/>
  <c r="DW45" i="2" s="1"/>
  <c r="EB66" i="2"/>
  <c r="DZ45" i="2"/>
  <c r="EB37" i="2"/>
  <c r="CV37" i="2"/>
  <c r="ES100" i="2"/>
  <c r="DS100" i="2"/>
  <c r="DK100" i="2"/>
  <c r="DH45" i="2"/>
  <c r="DZ100" i="2"/>
  <c r="CS25" i="3"/>
  <c r="DX100" i="2"/>
  <c r="EA24" i="3"/>
  <c r="EA128" i="3" s="1"/>
  <c r="CV61" i="2"/>
  <c r="EB10" i="2"/>
  <c r="CV10" i="2"/>
  <c r="CO51" i="2"/>
  <c r="CO50" i="2" s="1"/>
  <c r="DK73" i="2"/>
  <c r="EU43" i="2"/>
  <c r="EU45" i="2" s="1"/>
  <c r="CQ15" i="2"/>
  <c r="CQ24" i="2" s="1"/>
  <c r="CT21" i="2"/>
  <c r="CU21" i="2" s="1"/>
  <c r="AO65" i="3"/>
  <c r="AO80" i="3" s="1"/>
  <c r="AO95" i="3" s="1"/>
  <c r="CI97" i="2"/>
  <c r="BT45" i="2"/>
  <c r="BH45" i="2"/>
  <c r="AN45" i="2"/>
  <c r="AB45" i="2"/>
  <c r="CE45" i="2"/>
  <c r="AP65" i="3"/>
  <c r="AP80" i="3" s="1"/>
  <c r="AP95" i="3" s="1"/>
  <c r="BM65" i="3"/>
  <c r="BM80" i="3" s="1"/>
  <c r="BM95" i="3" s="1"/>
  <c r="Q65" i="3"/>
  <c r="Q80" i="3" s="1"/>
  <c r="Q95" i="3" s="1"/>
  <c r="BP45" i="2"/>
  <c r="AZ45" i="2"/>
  <c r="AJ45" i="2"/>
  <c r="T45" i="2"/>
  <c r="DW110" i="3"/>
  <c r="CA224" i="2"/>
  <c r="DW224" i="2" s="1"/>
  <c r="BZ123" i="2"/>
  <c r="BZ206" i="2" s="1"/>
  <c r="E18" i="79"/>
  <c r="E21" i="79" s="1"/>
  <c r="O36" i="80"/>
  <c r="F36" i="80"/>
  <c r="S28" i="79"/>
  <c r="P19" i="79"/>
  <c r="P38" i="80"/>
  <c r="O4" i="79"/>
  <c r="P40" i="80"/>
  <c r="N8" i="79"/>
  <c r="F8" i="79"/>
  <c r="I8" i="79"/>
  <c r="N66" i="80"/>
  <c r="N67" i="80" s="1"/>
  <c r="M27" i="79" s="1"/>
  <c r="M35" i="79" s="1"/>
  <c r="M33" i="79" s="1"/>
  <c r="M30" i="79"/>
  <c r="F61" i="80"/>
  <c r="E31" i="79"/>
  <c r="O58" i="80"/>
  <c r="J38" i="80"/>
  <c r="I4" i="79"/>
  <c r="AK15" i="80"/>
  <c r="J19" i="79"/>
  <c r="J43" i="79" s="1"/>
  <c r="J45" i="79" s="1"/>
  <c r="K8" i="79"/>
  <c r="L8" i="79"/>
  <c r="M9" i="79"/>
  <c r="E40" i="80"/>
  <c r="D4" i="79"/>
  <c r="H61" i="80"/>
  <c r="M34" i="80"/>
  <c r="L4" i="79"/>
  <c r="L38" i="80"/>
  <c r="K4" i="79"/>
  <c r="N19" i="79"/>
  <c r="J8" i="79"/>
  <c r="M8" i="79"/>
  <c r="E8" i="79"/>
  <c r="J38" i="79"/>
  <c r="H19" i="79"/>
  <c r="O8" i="79"/>
  <c r="G8" i="79"/>
  <c r="K39" i="79"/>
  <c r="H8" i="79"/>
  <c r="D8" i="79"/>
  <c r="U52" i="80"/>
  <c r="U54" i="80" s="1"/>
  <c r="S30" i="79"/>
  <c r="S38" i="79" s="1"/>
  <c r="S39" i="79" s="1"/>
  <c r="U49" i="80"/>
  <c r="U65" i="80"/>
  <c r="T34" i="79" s="1"/>
  <c r="T33" i="79" s="1"/>
  <c r="EA21" i="3"/>
  <c r="EA125" i="3" s="1"/>
  <c r="FB26" i="3"/>
  <c r="FB130" i="3" s="1"/>
  <c r="FB25" i="3"/>
  <c r="FB129" i="3" s="1"/>
  <c r="DV206" i="2"/>
  <c r="CD45" i="2"/>
  <c r="CD71" i="3"/>
  <c r="BV45" i="2"/>
  <c r="BV71" i="3"/>
  <c r="BN45" i="2"/>
  <c r="BN71" i="3"/>
  <c r="BF45" i="2"/>
  <c r="BF71" i="3"/>
  <c r="AX45" i="2"/>
  <c r="AX71" i="3"/>
  <c r="AP45" i="2"/>
  <c r="AP71" i="3"/>
  <c r="AH45" i="2"/>
  <c r="AH71" i="3"/>
  <c r="Z45" i="2"/>
  <c r="Z71" i="3"/>
  <c r="R45" i="2"/>
  <c r="R71" i="3"/>
  <c r="CP15" i="2"/>
  <c r="CP100" i="2" s="1"/>
  <c r="CT39" i="2"/>
  <c r="CS43" i="3"/>
  <c r="CG45" i="2"/>
  <c r="CG71" i="3"/>
  <c r="BY45" i="2"/>
  <c r="BY71" i="3"/>
  <c r="BQ45" i="2"/>
  <c r="BQ71" i="3"/>
  <c r="BI45" i="2"/>
  <c r="BI71" i="3"/>
  <c r="BA45" i="2"/>
  <c r="BA71" i="3"/>
  <c r="AS45" i="2"/>
  <c r="AS71" i="3"/>
  <c r="AK45" i="2"/>
  <c r="AK71" i="3"/>
  <c r="AC45" i="2"/>
  <c r="AC71" i="3"/>
  <c r="U45" i="2"/>
  <c r="U71" i="3"/>
  <c r="M45" i="2"/>
  <c r="M71" i="3"/>
  <c r="BW45" i="2"/>
  <c r="BW71" i="3"/>
  <c r="BO45" i="2"/>
  <c r="BO71" i="3"/>
  <c r="BG45" i="2"/>
  <c r="BG71" i="3"/>
  <c r="AY45" i="2"/>
  <c r="AY71" i="3"/>
  <c r="AQ45" i="2"/>
  <c r="AQ71" i="3"/>
  <c r="AI45" i="2"/>
  <c r="AI71" i="3"/>
  <c r="AA45" i="2"/>
  <c r="AA71" i="3"/>
  <c r="S45" i="2"/>
  <c r="S71" i="3"/>
  <c r="DX45" i="2"/>
  <c r="EH100" i="2"/>
  <c r="FB24" i="3"/>
  <c r="FB128" i="3" s="1"/>
  <c r="CB224" i="2"/>
  <c r="DW145" i="2"/>
  <c r="CA123" i="2"/>
  <c r="CS21" i="3"/>
  <c r="L45" i="2"/>
  <c r="CT29" i="2"/>
  <c r="CS26" i="3"/>
  <c r="CN100" i="2"/>
  <c r="CN24" i="2"/>
  <c r="CP83" i="2"/>
  <c r="CH45" i="2"/>
  <c r="CH71" i="3"/>
  <c r="BZ45" i="2"/>
  <c r="BZ71" i="3"/>
  <c r="BR45" i="2"/>
  <c r="BR71" i="3"/>
  <c r="BJ45" i="2"/>
  <c r="BJ71" i="3"/>
  <c r="BB45" i="2"/>
  <c r="BB71" i="3"/>
  <c r="AT45" i="2"/>
  <c r="AT71" i="3"/>
  <c r="AL45" i="2"/>
  <c r="AL71" i="3"/>
  <c r="AD45" i="2"/>
  <c r="AD71" i="3"/>
  <c r="V45" i="2"/>
  <c r="V71" i="3"/>
  <c r="N45" i="2"/>
  <c r="N71" i="3"/>
  <c r="EV78" i="3"/>
  <c r="CK45" i="2"/>
  <c r="CK71" i="3"/>
  <c r="CC45" i="2"/>
  <c r="CC71" i="3"/>
  <c r="BU45" i="2"/>
  <c r="BU71" i="3"/>
  <c r="BM45" i="2"/>
  <c r="BM71" i="3"/>
  <c r="BE45" i="2"/>
  <c r="BE71" i="3"/>
  <c r="AW45" i="2"/>
  <c r="AW71" i="3"/>
  <c r="AO45" i="2"/>
  <c r="AO71" i="3"/>
  <c r="AG45" i="2"/>
  <c r="AG71" i="3"/>
  <c r="Y45" i="2"/>
  <c r="Y71" i="3"/>
  <c r="Q45" i="2"/>
  <c r="Q71" i="3"/>
  <c r="CA45" i="2"/>
  <c r="CA71" i="3"/>
  <c r="BS45" i="2"/>
  <c r="BS71" i="3"/>
  <c r="BK45" i="2"/>
  <c r="BK71" i="3"/>
  <c r="BC45" i="2"/>
  <c r="BC71" i="3"/>
  <c r="AU45" i="2"/>
  <c r="AU71" i="3"/>
  <c r="AM45" i="2"/>
  <c r="AM71" i="3"/>
  <c r="AE45" i="2"/>
  <c r="AE71" i="3"/>
  <c r="W45" i="2"/>
  <c r="W71" i="3"/>
  <c r="O45" i="2"/>
  <c r="O71" i="3"/>
  <c r="CT30" i="2"/>
  <c r="CT31" i="2"/>
  <c r="CU31" i="2" s="1"/>
  <c r="FB31" i="2"/>
  <c r="DY94" i="2"/>
  <c r="DI94" i="2"/>
  <c r="DS94" i="2"/>
  <c r="Q7" i="79"/>
  <c r="Q8" i="79" s="1"/>
  <c r="ET94" i="2"/>
  <c r="DO94" i="2"/>
  <c r="EL94" i="2"/>
  <c r="DQ94" i="2"/>
  <c r="DH77" i="2"/>
  <c r="DH92" i="2" s="1"/>
  <c r="DL77" i="2"/>
  <c r="DL92" i="2" s="1"/>
  <c r="DP77" i="2"/>
  <c r="DP92" i="2" s="1"/>
  <c r="DT77" i="2"/>
  <c r="DT92" i="2" s="1"/>
  <c r="DX77" i="2"/>
  <c r="DX92" i="2" s="1"/>
  <c r="EM94" i="2"/>
  <c r="EJ77" i="2"/>
  <c r="EJ92" i="2" s="1"/>
  <c r="EN77" i="2"/>
  <c r="EN92" i="2" s="1"/>
  <c r="ER77" i="2"/>
  <c r="ER92" i="2" s="1"/>
  <c r="EV77" i="2"/>
  <c r="EV92" i="2" s="1"/>
  <c r="EU94" i="2"/>
  <c r="EI94" i="2"/>
  <c r="DX94" i="2"/>
  <c r="EV94" i="2"/>
  <c r="DK94" i="2"/>
  <c r="EG77" i="2"/>
  <c r="EG92" i="2" s="1"/>
  <c r="EK77" i="2"/>
  <c r="EK92" i="2" s="1"/>
  <c r="EO77" i="2"/>
  <c r="EO92" i="2" s="1"/>
  <c r="ES77" i="2"/>
  <c r="ES92" i="2" s="1"/>
  <c r="EW77" i="2"/>
  <c r="EW92" i="2" s="1"/>
  <c r="CQ77" i="2"/>
  <c r="DJ77" i="2"/>
  <c r="DJ92" i="2" s="1"/>
  <c r="DN77" i="2"/>
  <c r="DN92" i="2" s="1"/>
  <c r="DR77" i="2"/>
  <c r="DR92" i="2" s="1"/>
  <c r="DV77" i="2"/>
  <c r="DV92" i="2" s="1"/>
  <c r="DZ77" i="2"/>
  <c r="DZ92" i="2" s="1"/>
  <c r="EY94" i="2"/>
  <c r="EQ94" i="2"/>
  <c r="DU94" i="2"/>
  <c r="DM94" i="2"/>
  <c r="EX94" i="2"/>
  <c r="EP94" i="2"/>
  <c r="EH94" i="2"/>
  <c r="DG94" i="2"/>
  <c r="DW94" i="2"/>
  <c r="CC65" i="3"/>
  <c r="CC80" i="3" s="1"/>
  <c r="CC95" i="3" s="1"/>
  <c r="CC110" i="3"/>
  <c r="AW65" i="3"/>
  <c r="AW80" i="3" s="1"/>
  <c r="AW95" i="3" s="1"/>
  <c r="AW110" i="3"/>
  <c r="Y65" i="3"/>
  <c r="Y80" i="3" s="1"/>
  <c r="Y95" i="3" s="1"/>
  <c r="Y110" i="3"/>
  <c r="J23" i="79"/>
  <c r="H23" i="79"/>
  <c r="M38" i="79"/>
  <c r="M39" i="79" s="1"/>
  <c r="F33" i="79"/>
  <c r="K37" i="79"/>
  <c r="J37" i="79"/>
  <c r="E23" i="79"/>
  <c r="I38" i="79"/>
  <c r="I39" i="79" s="1"/>
  <c r="I33" i="79"/>
  <c r="P23" i="79"/>
  <c r="E38" i="79"/>
  <c r="E39" i="79" s="1"/>
  <c r="E33" i="79"/>
  <c r="H43" i="79"/>
  <c r="H45" i="79" s="1"/>
  <c r="H50" i="79" s="1"/>
  <c r="G37" i="79"/>
  <c r="N23" i="79"/>
  <c r="M23" i="79"/>
  <c r="G39" i="79"/>
  <c r="N68" i="80"/>
  <c r="K73" i="80"/>
  <c r="K42" i="80"/>
  <c r="K28" i="80"/>
  <c r="K34" i="80"/>
  <c r="K40" i="80"/>
  <c r="G61" i="80"/>
  <c r="J62" i="80"/>
  <c r="J61" i="80"/>
  <c r="E73" i="80"/>
  <c r="E34" i="80"/>
  <c r="E28" i="80"/>
  <c r="D9" i="79" s="1"/>
  <c r="E38" i="80"/>
  <c r="N43" i="80"/>
  <c r="L62" i="80"/>
  <c r="L61" i="80"/>
  <c r="V65" i="80"/>
  <c r="V49" i="80"/>
  <c r="W50" i="80"/>
  <c r="V29" i="79" s="1"/>
  <c r="J36" i="80"/>
  <c r="R12" i="80"/>
  <c r="R14" i="80"/>
  <c r="S13" i="80"/>
  <c r="R5" i="79" s="1"/>
  <c r="R10" i="80"/>
  <c r="R8" i="80"/>
  <c r="R15" i="80"/>
  <c r="M73" i="80"/>
  <c r="AK41" i="80"/>
  <c r="M40" i="80"/>
  <c r="M36" i="80"/>
  <c r="M38" i="80"/>
  <c r="M43" i="80"/>
  <c r="M42" i="80"/>
  <c r="M28" i="80"/>
  <c r="P43" i="80"/>
  <c r="P42" i="80"/>
  <c r="P28" i="80"/>
  <c r="P34" i="80"/>
  <c r="P36" i="80"/>
  <c r="I73" i="80"/>
  <c r="AJ41" i="80"/>
  <c r="I43" i="80"/>
  <c r="I28" i="80"/>
  <c r="R6" i="80"/>
  <c r="R41" i="80"/>
  <c r="J43" i="80"/>
  <c r="J42" i="80"/>
  <c r="J73" i="80"/>
  <c r="J28" i="80"/>
  <c r="Q36" i="80"/>
  <c r="Q43" i="80"/>
  <c r="Q42" i="80"/>
  <c r="Q40" i="80"/>
  <c r="Q38" i="80"/>
  <c r="Q28" i="80"/>
  <c r="K62" i="80"/>
  <c r="K61" i="80"/>
  <c r="L73" i="80"/>
  <c r="L42" i="80"/>
  <c r="L28" i="80"/>
  <c r="L34" i="80"/>
  <c r="L36" i="80"/>
  <c r="L40" i="80"/>
  <c r="J34" i="80"/>
  <c r="K38" i="80"/>
  <c r="J40" i="80"/>
  <c r="H41" i="80"/>
  <c r="G4" i="79" s="1"/>
  <c r="AL54" i="80"/>
  <c r="O43" i="80"/>
  <c r="O42" i="80"/>
  <c r="O38" i="80"/>
  <c r="O28" i="80"/>
  <c r="O34" i="80"/>
  <c r="M62" i="80"/>
  <c r="M61" i="80"/>
  <c r="I62" i="80"/>
  <c r="I61" i="80"/>
  <c r="F42" i="80"/>
  <c r="F73" i="80"/>
  <c r="F28" i="80"/>
  <c r="O40" i="80"/>
  <c r="G41" i="80"/>
  <c r="E36" i="80"/>
  <c r="K36" i="80"/>
  <c r="F34" i="80"/>
  <c r="Q34" i="80"/>
  <c r="F40" i="80"/>
  <c r="I40" i="80"/>
  <c r="F38" i="80"/>
  <c r="EJ117" i="3"/>
  <c r="EJ69" i="3"/>
  <c r="ER117" i="3"/>
  <c r="ER69" i="3"/>
  <c r="AT56" i="3"/>
  <c r="AU56" i="3" s="1"/>
  <c r="AL49" i="3"/>
  <c r="AM49" i="3" s="1"/>
  <c r="CP38" i="3"/>
  <c r="CQ38" i="3" s="1"/>
  <c r="AD38" i="3"/>
  <c r="AE38" i="3" s="1"/>
  <c r="BV53" i="3"/>
  <c r="DV53" i="3" s="1"/>
  <c r="DV157" i="3" s="1"/>
  <c r="AP53" i="3"/>
  <c r="CP49" i="3"/>
  <c r="CQ49" i="3" s="1"/>
  <c r="FB49" i="3"/>
  <c r="FB153" i="3" s="1"/>
  <c r="BW48" i="3"/>
  <c r="EW48" i="3" s="1"/>
  <c r="EW152" i="3" s="1"/>
  <c r="BE51" i="3"/>
  <c r="BF46" i="3"/>
  <c r="AO51" i="3"/>
  <c r="AP46" i="3"/>
  <c r="Y51" i="3"/>
  <c r="Z46" i="3"/>
  <c r="I51" i="3"/>
  <c r="J46" i="3"/>
  <c r="BZ45" i="3"/>
  <c r="CA45" i="3" s="1"/>
  <c r="DN38" i="3"/>
  <c r="DN142" i="3" s="1"/>
  <c r="BG50" i="3"/>
  <c r="DR50" i="3" s="1"/>
  <c r="DR154" i="3" s="1"/>
  <c r="DU45" i="3"/>
  <c r="DU149" i="3" s="1"/>
  <c r="EY47" i="3"/>
  <c r="EY151" i="3" s="1"/>
  <c r="EI47" i="3"/>
  <c r="EI151" i="3" s="1"/>
  <c r="BY51" i="3"/>
  <c r="BZ42" i="3"/>
  <c r="DE48" i="3"/>
  <c r="DE152" i="3" s="1"/>
  <c r="EZ45" i="3"/>
  <c r="EZ149" i="3" s="1"/>
  <c r="EX43" i="3"/>
  <c r="EX147" i="3" s="1"/>
  <c r="EW38" i="3"/>
  <c r="EW142" i="3" s="1"/>
  <c r="EO38" i="3"/>
  <c r="EO142" i="3" s="1"/>
  <c r="DV33" i="3"/>
  <c r="DV137" i="3" s="1"/>
  <c r="CH33" i="3"/>
  <c r="BH68" i="3"/>
  <c r="AZ68" i="3"/>
  <c r="BV14" i="3"/>
  <c r="BW14" i="3" s="1"/>
  <c r="DN50" i="3"/>
  <c r="DN154" i="3" s="1"/>
  <c r="FA49" i="3"/>
  <c r="FA153" i="3" s="1"/>
  <c r="DL47" i="3"/>
  <c r="DL151" i="3" s="1"/>
  <c r="FB46" i="3"/>
  <c r="FB150" i="3" s="1"/>
  <c r="DY43" i="3"/>
  <c r="DY147" i="3" s="1"/>
  <c r="BW37" i="3"/>
  <c r="DV37" i="3" s="1"/>
  <c r="DV141" i="3" s="1"/>
  <c r="AQ37" i="3"/>
  <c r="DN37" i="3" s="1"/>
  <c r="DN141" i="3" s="1"/>
  <c r="DT36" i="3"/>
  <c r="DT140" i="3" s="1"/>
  <c r="DL36" i="3"/>
  <c r="DL140" i="3" s="1"/>
  <c r="BK35" i="3"/>
  <c r="ET35" i="3" s="1"/>
  <c r="ET139" i="3" s="1"/>
  <c r="EW26" i="3"/>
  <c r="EW130" i="3" s="1"/>
  <c r="EA25" i="3"/>
  <c r="EA129" i="3" s="1"/>
  <c r="DK25" i="3"/>
  <c r="DK129" i="3" s="1"/>
  <c r="DR48" i="3"/>
  <c r="DR152" i="3" s="1"/>
  <c r="DT43" i="3"/>
  <c r="DT147" i="3" s="1"/>
  <c r="EZ38" i="3"/>
  <c r="EZ142" i="3" s="1"/>
  <c r="EJ38" i="3"/>
  <c r="EJ142" i="3" s="1"/>
  <c r="EW37" i="3"/>
  <c r="EW141" i="3" s="1"/>
  <c r="EO37" i="3"/>
  <c r="EO141" i="3" s="1"/>
  <c r="DU36" i="3"/>
  <c r="DU140" i="3" s="1"/>
  <c r="DM36" i="3"/>
  <c r="DM140" i="3" s="1"/>
  <c r="EM27" i="3"/>
  <c r="EM131" i="3" s="1"/>
  <c r="ER26" i="3"/>
  <c r="ER130" i="3" s="1"/>
  <c r="EV22" i="3"/>
  <c r="EV126" i="3" s="1"/>
  <c r="DN27" i="3"/>
  <c r="DN131" i="3" s="1"/>
  <c r="DP24" i="3"/>
  <c r="DP128" i="3" s="1"/>
  <c r="DV23" i="3"/>
  <c r="DV127" i="3" s="1"/>
  <c r="DX20" i="3"/>
  <c r="DX124" i="3" s="1"/>
  <c r="DH20" i="3"/>
  <c r="DH124" i="3" s="1"/>
  <c r="EL49" i="3"/>
  <c r="EL153" i="3" s="1"/>
  <c r="EP47" i="3"/>
  <c r="EP151" i="3" s="1"/>
  <c r="FA45" i="3"/>
  <c r="FA149" i="3" s="1"/>
  <c r="DV44" i="3"/>
  <c r="DV148" i="3" s="1"/>
  <c r="Y66" i="3"/>
  <c r="Y68" i="3" s="1"/>
  <c r="Y39" i="3"/>
  <c r="Z31" i="3"/>
  <c r="EX27" i="3"/>
  <c r="EX131" i="3" s="1"/>
  <c r="EH27" i="3"/>
  <c r="EH131" i="3" s="1"/>
  <c r="EW24" i="3"/>
  <c r="EW128" i="3" s="1"/>
  <c r="EL23" i="3"/>
  <c r="EL127" i="3" s="1"/>
  <c r="BZ17" i="3"/>
  <c r="CA17" i="3" s="1"/>
  <c r="EX17" i="3" s="1"/>
  <c r="EX121" i="3" s="1"/>
  <c r="AT17" i="3"/>
  <c r="AU17" i="3" s="1"/>
  <c r="N17" i="3"/>
  <c r="O17" i="3" s="1"/>
  <c r="DW35" i="3"/>
  <c r="DW139" i="3" s="1"/>
  <c r="FA27" i="3"/>
  <c r="FA131" i="3" s="1"/>
  <c r="ES27" i="3"/>
  <c r="ES131" i="3" s="1"/>
  <c r="EK27" i="3"/>
  <c r="EK131" i="3" s="1"/>
  <c r="ET25" i="3"/>
  <c r="ET129" i="3" s="1"/>
  <c r="ES23" i="3"/>
  <c r="ES127" i="3" s="1"/>
  <c r="DV22" i="3"/>
  <c r="DV126" i="3" s="1"/>
  <c r="EP21" i="3"/>
  <c r="EP125" i="3" s="1"/>
  <c r="DY20" i="3"/>
  <c r="DY124" i="3" s="1"/>
  <c r="DQ20" i="3"/>
  <c r="DQ124" i="3" s="1"/>
  <c r="DI20" i="3"/>
  <c r="DI124" i="3" s="1"/>
  <c r="EW19" i="3"/>
  <c r="EW123" i="3" s="1"/>
  <c r="EQ19" i="3"/>
  <c r="EQ123" i="3" s="1"/>
  <c r="EO19" i="3"/>
  <c r="EO123" i="3" s="1"/>
  <c r="DF19" i="3"/>
  <c r="DF123" i="3" s="1"/>
  <c r="CI16" i="3"/>
  <c r="DY16" i="3" s="1"/>
  <c r="DY120" i="3" s="1"/>
  <c r="BS16" i="3"/>
  <c r="DU16" i="3" s="1"/>
  <c r="DU120" i="3" s="1"/>
  <c r="BC16" i="3"/>
  <c r="DQ16" i="3" s="1"/>
  <c r="DQ120" i="3" s="1"/>
  <c r="AM16" i="3"/>
  <c r="DM16" i="3" s="1"/>
  <c r="DM120" i="3" s="1"/>
  <c r="EN16" i="3"/>
  <c r="EN120" i="3" s="1"/>
  <c r="W16" i="3"/>
  <c r="DI16" i="3" s="1"/>
  <c r="DI120" i="3" s="1"/>
  <c r="BR15" i="3"/>
  <c r="AL15" i="3"/>
  <c r="EB117" i="3"/>
  <c r="EB69" i="3"/>
  <c r="AY13" i="3"/>
  <c r="EQ13" i="3" s="1"/>
  <c r="EL117" i="3"/>
  <c r="EL69" i="3"/>
  <c r="DG117" i="3"/>
  <c r="DG69" i="3"/>
  <c r="DI11" i="3"/>
  <c r="DI115" i="3" s="1"/>
  <c r="BM91" i="3"/>
  <c r="BN10" i="3"/>
  <c r="AG91" i="3"/>
  <c r="AH10" i="3"/>
  <c r="DU27" i="3"/>
  <c r="DU131" i="3" s="1"/>
  <c r="EV24" i="3"/>
  <c r="EV128" i="3" s="1"/>
  <c r="DU23" i="3"/>
  <c r="DU127" i="3" s="1"/>
  <c r="DL21" i="3"/>
  <c r="DL125" i="3" s="1"/>
  <c r="BF15" i="3"/>
  <c r="DF14" i="3"/>
  <c r="DF118" i="3" s="1"/>
  <c r="BB66" i="3"/>
  <c r="BB39" i="3"/>
  <c r="BC31" i="3"/>
  <c r="BA68" i="3"/>
  <c r="EX26" i="3"/>
  <c r="EX130" i="3" s="1"/>
  <c r="EP26" i="3"/>
  <c r="EP130" i="3" s="1"/>
  <c r="EH26" i="3"/>
  <c r="EH130" i="3" s="1"/>
  <c r="DV24" i="3"/>
  <c r="DV128" i="3" s="1"/>
  <c r="EI24" i="3"/>
  <c r="EI128" i="3" s="1"/>
  <c r="DU22" i="3"/>
  <c r="DU126" i="3" s="1"/>
  <c r="DM22" i="3"/>
  <c r="DM126" i="3" s="1"/>
  <c r="DE22" i="3"/>
  <c r="DE126" i="3" s="1"/>
  <c r="EM20" i="3"/>
  <c r="EM124" i="3" s="1"/>
  <c r="DH19" i="3"/>
  <c r="DH123" i="3" s="1"/>
  <c r="DF17" i="3"/>
  <c r="DF121" i="3" s="1"/>
  <c r="DO16" i="3"/>
  <c r="DO120" i="3" s="1"/>
  <c r="CE15" i="3"/>
  <c r="EY15" i="3" s="1"/>
  <c r="EY119" i="3" s="1"/>
  <c r="S15" i="3"/>
  <c r="EI15" i="3" s="1"/>
  <c r="EI119" i="3" s="1"/>
  <c r="EV14" i="3"/>
  <c r="EV118" i="3" s="1"/>
  <c r="EN14" i="3"/>
  <c r="EN118" i="3" s="1"/>
  <c r="BJ12" i="3"/>
  <c r="BK12" i="3" s="1"/>
  <c r="V12" i="3"/>
  <c r="W12" i="3" s="1"/>
  <c r="BV11" i="3"/>
  <c r="BW11" i="3" s="1"/>
  <c r="EW11" i="3"/>
  <c r="EW115" i="3" s="1"/>
  <c r="Z11" i="3"/>
  <c r="AA11" i="3" s="1"/>
  <c r="N66" i="3"/>
  <c r="N68" i="3" s="1"/>
  <c r="O31" i="3"/>
  <c r="DM27" i="3"/>
  <c r="DM131" i="3" s="1"/>
  <c r="DJ26" i="3"/>
  <c r="DJ130" i="3" s="1"/>
  <c r="DP21" i="3"/>
  <c r="DP125" i="3" s="1"/>
  <c r="DM19" i="3"/>
  <c r="DM123" i="3" s="1"/>
  <c r="BV15" i="3"/>
  <c r="DI117" i="3"/>
  <c r="DI69" i="3"/>
  <c r="CD66" i="3"/>
  <c r="CE31" i="3"/>
  <c r="BN66" i="3"/>
  <c r="BO31" i="3"/>
  <c r="AX66" i="3"/>
  <c r="AX39" i="3"/>
  <c r="AY31" i="3"/>
  <c r="AH66" i="3"/>
  <c r="AH68" i="3" s="1"/>
  <c r="AH39" i="3"/>
  <c r="AI31" i="3"/>
  <c r="R66" i="3"/>
  <c r="R68" i="3" s="1"/>
  <c r="R39" i="3"/>
  <c r="S31" i="3"/>
  <c r="EV27" i="3"/>
  <c r="EV131" i="3" s="1"/>
  <c r="EN27" i="3"/>
  <c r="EN131" i="3" s="1"/>
  <c r="EA26" i="3"/>
  <c r="EA130" i="3" s="1"/>
  <c r="DK26" i="3"/>
  <c r="DK130" i="3" s="1"/>
  <c r="EQ25" i="3"/>
  <c r="EQ129" i="3" s="1"/>
  <c r="EZ23" i="3"/>
  <c r="EZ127" i="3" s="1"/>
  <c r="ER23" i="3"/>
  <c r="ER127" i="3" s="1"/>
  <c r="EJ23" i="3"/>
  <c r="EJ127" i="3" s="1"/>
  <c r="DS22" i="3"/>
  <c r="DS126" i="3" s="1"/>
  <c r="EY21" i="3"/>
  <c r="EY125" i="3" s="1"/>
  <c r="EI21" i="3"/>
  <c r="EI125" i="3" s="1"/>
  <c r="DF16" i="3"/>
  <c r="DF120" i="3" s="1"/>
  <c r="BZ15" i="3"/>
  <c r="AT15" i="3"/>
  <c r="N15" i="3"/>
  <c r="CO91" i="3"/>
  <c r="CP10" i="3"/>
  <c r="BA91" i="3"/>
  <c r="BB10" i="3"/>
  <c r="DE24" i="3"/>
  <c r="DE128" i="3" s="1"/>
  <c r="EO22" i="3"/>
  <c r="EO126" i="3" s="1"/>
  <c r="EV20" i="3"/>
  <c r="EV124" i="3" s="1"/>
  <c r="DO19" i="3"/>
  <c r="DO123" i="3" s="1"/>
  <c r="DE17" i="3"/>
  <c r="DE121" i="3" s="1"/>
  <c r="CN92" i="3"/>
  <c r="CN89" i="3"/>
  <c r="BH89" i="3"/>
  <c r="BH84" i="3" s="1"/>
  <c r="BH92" i="3" s="1"/>
  <c r="DL17" i="3"/>
  <c r="DL121" i="3" s="1"/>
  <c r="BY92" i="3"/>
  <c r="BY89" i="3"/>
  <c r="BW84" i="3"/>
  <c r="EW81" i="3"/>
  <c r="DV81" i="3"/>
  <c r="AD56" i="3"/>
  <c r="AE56" i="3" s="1"/>
  <c r="AH49" i="3"/>
  <c r="AI49" i="3" s="1"/>
  <c r="EY44" i="3"/>
  <c r="EY148" i="3" s="1"/>
  <c r="CD44" i="3"/>
  <c r="CE44" i="3" s="1"/>
  <c r="BZ38" i="3"/>
  <c r="CA38" i="3" s="1"/>
  <c r="N38" i="3"/>
  <c r="O38" i="3" s="1"/>
  <c r="EH38" i="3"/>
  <c r="EH142" i="3" s="1"/>
  <c r="BN49" i="3"/>
  <c r="BO49" i="3" s="1"/>
  <c r="BS48" i="3"/>
  <c r="DU48" i="3" s="1"/>
  <c r="DU152" i="3" s="1"/>
  <c r="AM48" i="3"/>
  <c r="EN48" i="3" s="1"/>
  <c r="EN152" i="3" s="1"/>
  <c r="CD46" i="3"/>
  <c r="CE46" i="3" s="1"/>
  <c r="EY46" i="3"/>
  <c r="EY150" i="3" s="1"/>
  <c r="BA51" i="3"/>
  <c r="BB46" i="3"/>
  <c r="AK51" i="3"/>
  <c r="AL46" i="3"/>
  <c r="U51" i="3"/>
  <c r="V46" i="3"/>
  <c r="E51" i="3"/>
  <c r="F46" i="3"/>
  <c r="BN45" i="3"/>
  <c r="BO45" i="3" s="1"/>
  <c r="EU45" i="3"/>
  <c r="EU149" i="3" s="1"/>
  <c r="EV53" i="3"/>
  <c r="EV157" i="3" s="1"/>
  <c r="BR53" i="3"/>
  <c r="BS53" i="3" s="1"/>
  <c r="AL53" i="3"/>
  <c r="AM53" i="3" s="1"/>
  <c r="CM50" i="3"/>
  <c r="FA50" i="3" s="1"/>
  <c r="FA154" i="3" s="1"/>
  <c r="EU47" i="3"/>
  <c r="EU151" i="3" s="1"/>
  <c r="CS48" i="3"/>
  <c r="DT146" i="3"/>
  <c r="CH34" i="3"/>
  <c r="CI34" i="3" s="1"/>
  <c r="CB68" i="3"/>
  <c r="BT68" i="3"/>
  <c r="AR68" i="3"/>
  <c r="BF14" i="3"/>
  <c r="BG14" i="3" s="1"/>
  <c r="DP47" i="3"/>
  <c r="DP151" i="3" s="1"/>
  <c r="BW42" i="3"/>
  <c r="EW42" i="3" s="1"/>
  <c r="BV51" i="3"/>
  <c r="DV48" i="3"/>
  <c r="DV152" i="3" s="1"/>
  <c r="DF48" i="3"/>
  <c r="DF152" i="3" s="1"/>
  <c r="DG38" i="3"/>
  <c r="DG142" i="3" s="1"/>
  <c r="DT37" i="3"/>
  <c r="DT141" i="3" s="1"/>
  <c r="DL37" i="3"/>
  <c r="DL141" i="3" s="1"/>
  <c r="CM33" i="3"/>
  <c r="CL18" i="2"/>
  <c r="CL24" i="2" s="1"/>
  <c r="DZ27" i="3"/>
  <c r="DZ131" i="3" s="1"/>
  <c r="DJ27" i="3"/>
  <c r="DJ131" i="3" s="1"/>
  <c r="DZ19" i="3"/>
  <c r="DZ123" i="3" s="1"/>
  <c r="ET47" i="3"/>
  <c r="ET151" i="3" s="1"/>
  <c r="CK66" i="3"/>
  <c r="CK39" i="3"/>
  <c r="CL31" i="3"/>
  <c r="I39" i="3"/>
  <c r="J31" i="3"/>
  <c r="BV17" i="3"/>
  <c r="BW17" i="3" s="1"/>
  <c r="AP17" i="3"/>
  <c r="AQ17" i="3" s="1"/>
  <c r="BV66" i="3"/>
  <c r="BV39" i="3"/>
  <c r="BW31" i="3"/>
  <c r="BU68" i="3"/>
  <c r="DX27" i="3"/>
  <c r="DX131" i="3" s="1"/>
  <c r="DP27" i="3"/>
  <c r="DP131" i="3" s="1"/>
  <c r="DH27" i="3"/>
  <c r="DH131" i="3" s="1"/>
  <c r="EP25" i="3"/>
  <c r="EP129" i="3" s="1"/>
  <c r="EO23" i="3"/>
  <c r="EO127" i="3" s="1"/>
  <c r="DR22" i="3"/>
  <c r="DR126" i="3" s="1"/>
  <c r="BO17" i="3"/>
  <c r="EU17" i="3" s="1"/>
  <c r="EU121" i="3" s="1"/>
  <c r="EP117" i="3"/>
  <c r="EP69" i="3"/>
  <c r="DK117" i="3"/>
  <c r="DK69" i="3"/>
  <c r="CK91" i="3"/>
  <c r="CL10" i="3"/>
  <c r="BE91" i="3"/>
  <c r="BF10" i="3"/>
  <c r="Y91" i="3"/>
  <c r="Z10" i="3"/>
  <c r="DI27" i="3"/>
  <c r="DI131" i="3" s="1"/>
  <c r="ER24" i="3"/>
  <c r="ER128" i="3" s="1"/>
  <c r="DM23" i="3"/>
  <c r="DM127" i="3" s="1"/>
  <c r="DU19" i="3"/>
  <c r="DU123" i="3" s="1"/>
  <c r="DN117" i="3"/>
  <c r="DN69" i="3"/>
  <c r="BX92" i="3"/>
  <c r="BX89" i="3"/>
  <c r="AB89" i="3"/>
  <c r="AB84" i="3" s="1"/>
  <c r="AB92" i="3" s="1"/>
  <c r="CG39" i="3"/>
  <c r="AK68" i="3"/>
  <c r="DU26" i="3"/>
  <c r="DU130" i="3" s="1"/>
  <c r="DM26" i="3"/>
  <c r="DM130" i="3" s="1"/>
  <c r="DE26" i="3"/>
  <c r="DE130" i="3" s="1"/>
  <c r="EU24" i="3"/>
  <c r="EU128" i="3" s="1"/>
  <c r="ET22" i="3"/>
  <c r="ET126" i="3" s="1"/>
  <c r="EL22" i="3"/>
  <c r="EL126" i="3" s="1"/>
  <c r="EY20" i="3"/>
  <c r="EY124" i="3" s="1"/>
  <c r="EI20" i="3"/>
  <c r="EI124" i="3" s="1"/>
  <c r="DT13" i="3"/>
  <c r="CP12" i="3"/>
  <c r="BB12" i="3"/>
  <c r="BC12" i="3" s="1"/>
  <c r="ER12" i="3"/>
  <c r="ER116" i="3" s="1"/>
  <c r="BF11" i="3"/>
  <c r="BG11" i="3" s="1"/>
  <c r="R11" i="3"/>
  <c r="S11" i="3" s="1"/>
  <c r="Q91" i="3"/>
  <c r="R10" i="3"/>
  <c r="CP64" i="2"/>
  <c r="CO39" i="3"/>
  <c r="DV26" i="3"/>
  <c r="DV130" i="3" s="1"/>
  <c r="DF26" i="3"/>
  <c r="DF130" i="3" s="1"/>
  <c r="DH21" i="3"/>
  <c r="DH125" i="3" s="1"/>
  <c r="DO17" i="3"/>
  <c r="DO121" i="3" s="1"/>
  <c r="DM38" i="3"/>
  <c r="DM142" i="3" s="1"/>
  <c r="EA35" i="3"/>
  <c r="EA139" i="3" s="1"/>
  <c r="DS27" i="3"/>
  <c r="DS131" i="3" s="1"/>
  <c r="DK27" i="3"/>
  <c r="DK131" i="3" s="1"/>
  <c r="DW26" i="3"/>
  <c r="DW130" i="3" s="1"/>
  <c r="DG26" i="3"/>
  <c r="DG130" i="3" s="1"/>
  <c r="EM25" i="3"/>
  <c r="EM129" i="3" s="1"/>
  <c r="DW23" i="3"/>
  <c r="DW127" i="3" s="1"/>
  <c r="DO23" i="3"/>
  <c r="DO127" i="3" s="1"/>
  <c r="DG23" i="3"/>
  <c r="DG127" i="3" s="1"/>
  <c r="DO22" i="3"/>
  <c r="DO126" i="3" s="1"/>
  <c r="EU21" i="3"/>
  <c r="EU125" i="3" s="1"/>
  <c r="EZ19" i="3"/>
  <c r="EZ123" i="3" s="1"/>
  <c r="CG91" i="3"/>
  <c r="CH10" i="3"/>
  <c r="AS91" i="3"/>
  <c r="AT10" i="3"/>
  <c r="P89" i="3"/>
  <c r="P84" i="3" s="1"/>
  <c r="P92" i="3" s="1"/>
  <c r="BY68" i="3"/>
  <c r="AC39" i="3"/>
  <c r="DY23" i="3"/>
  <c r="DY127" i="3" s="1"/>
  <c r="EK22" i="3"/>
  <c r="EK126" i="3" s="1"/>
  <c r="ER20" i="3"/>
  <c r="ER124" i="3" s="1"/>
  <c r="CL15" i="3"/>
  <c r="CM15" i="3" s="1"/>
  <c r="DU117" i="3"/>
  <c r="DU69" i="3"/>
  <c r="EN117" i="3"/>
  <c r="EN69" i="3"/>
  <c r="EV117" i="3"/>
  <c r="EV69" i="3"/>
  <c r="DE10" i="3"/>
  <c r="EH56" i="3"/>
  <c r="EH160" i="3" s="1"/>
  <c r="N56" i="3"/>
  <c r="O56" i="3" s="1"/>
  <c r="DT56" i="3"/>
  <c r="DT160" i="3" s="1"/>
  <c r="BZ56" i="3"/>
  <c r="DW56" i="3" s="1"/>
  <c r="DW160" i="3" s="1"/>
  <c r="Z49" i="3"/>
  <c r="AA49" i="3" s="1"/>
  <c r="BN44" i="3"/>
  <c r="BO44" i="3" s="1"/>
  <c r="BJ38" i="3"/>
  <c r="BK38" i="3" s="1"/>
  <c r="EU56" i="3"/>
  <c r="EU160" i="3" s="1"/>
  <c r="EQ56" i="3"/>
  <c r="EQ160" i="3" s="1"/>
  <c r="EM56" i="3"/>
  <c r="EM160" i="3" s="1"/>
  <c r="EI56" i="3"/>
  <c r="EI160" i="3" s="1"/>
  <c r="BF53" i="3"/>
  <c r="Z53" i="3"/>
  <c r="DF49" i="3"/>
  <c r="DF153" i="3" s="1"/>
  <c r="CM48" i="3"/>
  <c r="FA48" i="3"/>
  <c r="FA152" i="3" s="1"/>
  <c r="BN46" i="3"/>
  <c r="BO46" i="3" s="1"/>
  <c r="AW51" i="3"/>
  <c r="AX46" i="3"/>
  <c r="AG51" i="3"/>
  <c r="AH46" i="3"/>
  <c r="Q51" i="3"/>
  <c r="R46" i="3"/>
  <c r="CP45" i="3"/>
  <c r="DV38" i="3"/>
  <c r="DV142" i="3" s="1"/>
  <c r="EY56" i="3"/>
  <c r="EY160" i="3" s="1"/>
  <c r="DY53" i="3"/>
  <c r="DY157" i="3" s="1"/>
  <c r="DG56" i="3"/>
  <c r="DG160" i="3" s="1"/>
  <c r="DU53" i="3"/>
  <c r="DU157" i="3" s="1"/>
  <c r="DM53" i="3"/>
  <c r="DM157" i="3" s="1"/>
  <c r="DE53" i="3"/>
  <c r="DE157" i="3" s="1"/>
  <c r="FB48" i="3"/>
  <c r="FB152" i="3" s="1"/>
  <c r="EQ47" i="3"/>
  <c r="EQ151" i="3" s="1"/>
  <c r="EY43" i="3"/>
  <c r="EY147" i="3" s="1"/>
  <c r="EA49" i="3"/>
  <c r="EA153" i="3" s="1"/>
  <c r="DM48" i="3"/>
  <c r="DM152" i="3" s="1"/>
  <c r="DX46" i="3"/>
  <c r="DX150" i="3" s="1"/>
  <c r="EV45" i="3"/>
  <c r="EV149" i="3" s="1"/>
  <c r="EU146" i="3"/>
  <c r="FA38" i="3"/>
  <c r="FA142" i="3" s="1"/>
  <c r="ES38" i="3"/>
  <c r="ES142" i="3" s="1"/>
  <c r="EK38" i="3"/>
  <c r="EK142" i="3" s="1"/>
  <c r="BR34" i="3"/>
  <c r="BS34" i="3" s="1"/>
  <c r="BR33" i="3"/>
  <c r="BL68" i="3"/>
  <c r="BD68" i="3"/>
  <c r="AP14" i="3"/>
  <c r="AQ14" i="3" s="1"/>
  <c r="EX49" i="3"/>
  <c r="EX153" i="3" s="1"/>
  <c r="DT47" i="3"/>
  <c r="DT151" i="3" s="1"/>
  <c r="EX46" i="3"/>
  <c r="EX150" i="3" s="1"/>
  <c r="DX44" i="3"/>
  <c r="DX148" i="3" s="1"/>
  <c r="CM42" i="3"/>
  <c r="CL51" i="3"/>
  <c r="CM37" i="3"/>
  <c r="DZ37" i="3" s="1"/>
  <c r="DZ141" i="3" s="1"/>
  <c r="BG37" i="3"/>
  <c r="DR37" i="3"/>
  <c r="DR141" i="3" s="1"/>
  <c r="DP36" i="3"/>
  <c r="DP140" i="3" s="1"/>
  <c r="DH36" i="3"/>
  <c r="DH140" i="3" s="1"/>
  <c r="EO26" i="3"/>
  <c r="EO130" i="3" s="1"/>
  <c r="DS25" i="3"/>
  <c r="DS129" i="3" s="1"/>
  <c r="DY24" i="3"/>
  <c r="DY128" i="3" s="1"/>
  <c r="DZ48" i="3"/>
  <c r="DZ152" i="3" s="1"/>
  <c r="DJ48" i="3"/>
  <c r="DJ152" i="3" s="1"/>
  <c r="DV46" i="3"/>
  <c r="DV150" i="3" s="1"/>
  <c r="DW45" i="3"/>
  <c r="DW149" i="3" s="1"/>
  <c r="CH51" i="3"/>
  <c r="CI42" i="3"/>
  <c r="BR51" i="3"/>
  <c r="BS42" i="3"/>
  <c r="ER38" i="3"/>
  <c r="ER142" i="3" s="1"/>
  <c r="DK38" i="3"/>
  <c r="DK142" i="3" s="1"/>
  <c r="ES37" i="3"/>
  <c r="ES141" i="3" s="1"/>
  <c r="EK37" i="3"/>
  <c r="EK141" i="3" s="1"/>
  <c r="DQ36" i="3"/>
  <c r="DQ140" i="3" s="1"/>
  <c r="DI36" i="3"/>
  <c r="DI140" i="3" s="1"/>
  <c r="FA33" i="3"/>
  <c r="FA137" i="3" s="1"/>
  <c r="EW33" i="3"/>
  <c r="EW137" i="3" s="1"/>
  <c r="EU27" i="3"/>
  <c r="EU131" i="3" s="1"/>
  <c r="EZ26" i="3"/>
  <c r="EZ130" i="3" s="1"/>
  <c r="EJ26" i="3"/>
  <c r="EJ130" i="3" s="1"/>
  <c r="EN22" i="3"/>
  <c r="EN126" i="3" s="1"/>
  <c r="DV27" i="3"/>
  <c r="DV131" i="3" s="1"/>
  <c r="DX24" i="3"/>
  <c r="DX128" i="3" s="1"/>
  <c r="DH24" i="3"/>
  <c r="DH128" i="3" s="1"/>
  <c r="DN23" i="3"/>
  <c r="DN127" i="3" s="1"/>
  <c r="DP20" i="3"/>
  <c r="DP124" i="3" s="1"/>
  <c r="DV19" i="3"/>
  <c r="DV123" i="3" s="1"/>
  <c r="EH49" i="3"/>
  <c r="EH153" i="3" s="1"/>
  <c r="EX47" i="3"/>
  <c r="EX151" i="3" s="1"/>
  <c r="EH47" i="3"/>
  <c r="EH151" i="3" s="1"/>
  <c r="EW45" i="3"/>
  <c r="EW149" i="3" s="1"/>
  <c r="CC51" i="3"/>
  <c r="EL35" i="3"/>
  <c r="EL139" i="3" s="1"/>
  <c r="BQ66" i="3"/>
  <c r="BQ39" i="3"/>
  <c r="BR31" i="3"/>
  <c r="E39" i="3"/>
  <c r="F31" i="3"/>
  <c r="EP27" i="3"/>
  <c r="EP131" i="3" s="1"/>
  <c r="ET23" i="3"/>
  <c r="ET127" i="3" s="1"/>
  <c r="CP17" i="3"/>
  <c r="CQ17" i="3" s="1"/>
  <c r="BJ17" i="3"/>
  <c r="BK17" i="3" s="1"/>
  <c r="EL17" i="3"/>
  <c r="EL121" i="3" s="1"/>
  <c r="AD17" i="3"/>
  <c r="AE17" i="3" s="1"/>
  <c r="DV31" i="3"/>
  <c r="BE68" i="3"/>
  <c r="AO68" i="3"/>
  <c r="EW27" i="3"/>
  <c r="EW131" i="3" s="1"/>
  <c r="EO27" i="3"/>
  <c r="EO131" i="3" s="1"/>
  <c r="EL25" i="3"/>
  <c r="EL129" i="3" s="1"/>
  <c r="FA23" i="3"/>
  <c r="FA127" i="3" s="1"/>
  <c r="EK23" i="3"/>
  <c r="EK127" i="3" s="1"/>
  <c r="DN22" i="3"/>
  <c r="DN126" i="3" s="1"/>
  <c r="EX21" i="3"/>
  <c r="EX125" i="3" s="1"/>
  <c r="EH21" i="3"/>
  <c r="EH125" i="3" s="1"/>
  <c r="DU20" i="3"/>
  <c r="DU124" i="3" s="1"/>
  <c r="DM20" i="3"/>
  <c r="DM124" i="3" s="1"/>
  <c r="DN19" i="3"/>
  <c r="DN123" i="3" s="1"/>
  <c r="EI19" i="3"/>
  <c r="EI123" i="3" s="1"/>
  <c r="CH15" i="3"/>
  <c r="BB15" i="3"/>
  <c r="V15" i="3"/>
  <c r="EX117" i="3"/>
  <c r="EX69" i="3"/>
  <c r="ET117" i="3"/>
  <c r="ET69" i="3"/>
  <c r="DO117" i="3"/>
  <c r="DO69" i="3"/>
  <c r="S13" i="3"/>
  <c r="EI13" i="3" s="1"/>
  <c r="EU13" i="3"/>
  <c r="EB91" i="3"/>
  <c r="EB114" i="3"/>
  <c r="CC91" i="3"/>
  <c r="CD10" i="3"/>
  <c r="F49" i="79" s="1"/>
  <c r="AW91" i="3"/>
  <c r="AX10" i="3"/>
  <c r="M91" i="3"/>
  <c r="N10" i="3"/>
  <c r="BI68" i="3"/>
  <c r="DZ26" i="3"/>
  <c r="DZ130" i="3" s="1"/>
  <c r="EN24" i="3"/>
  <c r="EN128" i="3" s="1"/>
  <c r="FA22" i="3"/>
  <c r="FA126" i="3" s="1"/>
  <c r="DN14" i="3"/>
  <c r="DN118" i="3" s="1"/>
  <c r="CH69" i="3"/>
  <c r="CI13" i="3"/>
  <c r="ES117" i="3"/>
  <c r="ES69" i="3"/>
  <c r="EJ11" i="3"/>
  <c r="EJ115" i="3" s="1"/>
  <c r="AL66" i="3"/>
  <c r="AL39" i="3"/>
  <c r="AM31" i="3"/>
  <c r="V66" i="3"/>
  <c r="V68" i="3" s="1"/>
  <c r="V39" i="3"/>
  <c r="W31" i="3"/>
  <c r="ET26" i="3"/>
  <c r="ET130" i="3" s="1"/>
  <c r="EL26" i="3"/>
  <c r="EL130" i="3" s="1"/>
  <c r="DZ24" i="3"/>
  <c r="DZ128" i="3" s="1"/>
  <c r="EQ24" i="3"/>
  <c r="EQ128" i="3" s="1"/>
  <c r="DY22" i="3"/>
  <c r="DY126" i="3" s="1"/>
  <c r="DQ22" i="3"/>
  <c r="DQ126" i="3" s="1"/>
  <c r="DI22" i="3"/>
  <c r="DI126" i="3" s="1"/>
  <c r="EU20" i="3"/>
  <c r="EU124" i="3" s="1"/>
  <c r="DP19" i="3"/>
  <c r="DP123" i="3" s="1"/>
  <c r="DN17" i="3"/>
  <c r="DN121" i="3" s="1"/>
  <c r="DW16" i="3"/>
  <c r="DW120" i="3" s="1"/>
  <c r="DG16" i="3"/>
  <c r="DG120" i="3" s="1"/>
  <c r="EZ14" i="3"/>
  <c r="EZ118" i="3" s="1"/>
  <c r="ER14" i="3"/>
  <c r="ER118" i="3" s="1"/>
  <c r="EJ14" i="3"/>
  <c r="EJ118" i="3" s="1"/>
  <c r="CD69" i="3"/>
  <c r="CE13" i="3"/>
  <c r="EY13" i="3" s="1"/>
  <c r="DP13" i="3"/>
  <c r="CH12" i="3"/>
  <c r="CI12" i="3" s="1"/>
  <c r="DY12" i="3" s="1"/>
  <c r="DY116" i="3" s="1"/>
  <c r="AL12" i="3"/>
  <c r="AM12" i="3" s="1"/>
  <c r="CL11" i="3"/>
  <c r="AX11" i="3"/>
  <c r="AY11" i="3" s="1"/>
  <c r="CB89" i="3"/>
  <c r="CB92" i="3"/>
  <c r="BL89" i="3"/>
  <c r="BL84" i="3" s="1"/>
  <c r="BL92" i="3" s="1"/>
  <c r="AV89" i="3"/>
  <c r="AV84" i="3" s="1"/>
  <c r="AV92" i="3" s="1"/>
  <c r="AF89" i="3"/>
  <c r="AF84" i="3" s="1"/>
  <c r="AF92" i="3" s="1"/>
  <c r="CP39" i="3"/>
  <c r="M39" i="3"/>
  <c r="DR26" i="3"/>
  <c r="DR130" i="3" s="1"/>
  <c r="DQ23" i="3"/>
  <c r="DQ127" i="3" s="1"/>
  <c r="DY19" i="3"/>
  <c r="DY123" i="3" s="1"/>
  <c r="EA17" i="3"/>
  <c r="EA121" i="3" s="1"/>
  <c r="DK17" i="3"/>
  <c r="DK121" i="3" s="1"/>
  <c r="AP15" i="3"/>
  <c r="EU37" i="3"/>
  <c r="EU141" i="3" s="1"/>
  <c r="DS35" i="3"/>
  <c r="DS139" i="3" s="1"/>
  <c r="EZ27" i="3"/>
  <c r="EZ131" i="3" s="1"/>
  <c r="ER27" i="3"/>
  <c r="ER131" i="3" s="1"/>
  <c r="EJ27" i="3"/>
  <c r="EJ131" i="3" s="1"/>
  <c r="DS26" i="3"/>
  <c r="DS130" i="3" s="1"/>
  <c r="EY25" i="3"/>
  <c r="EY129" i="3" s="1"/>
  <c r="EI25" i="3"/>
  <c r="EI129" i="3" s="1"/>
  <c r="EV23" i="3"/>
  <c r="EV127" i="3" s="1"/>
  <c r="EN23" i="3"/>
  <c r="EN127" i="3" s="1"/>
  <c r="DK22" i="3"/>
  <c r="DK126" i="3" s="1"/>
  <c r="EQ21" i="3"/>
  <c r="EQ125" i="3" s="1"/>
  <c r="EV19" i="3"/>
  <c r="EV123" i="3" s="1"/>
  <c r="ER19" i="3"/>
  <c r="ER123" i="3" s="1"/>
  <c r="EN19" i="3"/>
  <c r="EN123" i="3" s="1"/>
  <c r="EJ19" i="3"/>
  <c r="EJ123" i="3" s="1"/>
  <c r="DL15" i="3"/>
  <c r="DL119" i="3" s="1"/>
  <c r="AY16" i="3"/>
  <c r="EQ16" i="3" s="1"/>
  <c r="EQ120" i="3" s="1"/>
  <c r="CP15" i="3"/>
  <c r="BJ15" i="3"/>
  <c r="AD15" i="3"/>
  <c r="DI12" i="3"/>
  <c r="DI116" i="3" s="1"/>
  <c r="DJ11" i="3"/>
  <c r="DJ115" i="3" s="1"/>
  <c r="BQ91" i="3"/>
  <c r="BR10" i="3"/>
  <c r="AK91" i="3"/>
  <c r="AL10" i="3"/>
  <c r="BZ66" i="3"/>
  <c r="BZ39" i="3"/>
  <c r="CA31" i="3"/>
  <c r="AD66" i="3"/>
  <c r="AD68" i="3" s="1"/>
  <c r="AD39" i="3"/>
  <c r="AE31" i="3"/>
  <c r="EL31" i="3" s="1"/>
  <c r="EW22" i="3"/>
  <c r="EW126" i="3" s="1"/>
  <c r="DT21" i="3"/>
  <c r="DT125" i="3" s="1"/>
  <c r="EN20" i="3"/>
  <c r="EN124" i="3" s="1"/>
  <c r="DU17" i="3"/>
  <c r="DU121" i="3" s="1"/>
  <c r="DZ15" i="3"/>
  <c r="DZ119" i="3" s="1"/>
  <c r="DQ117" i="3"/>
  <c r="DQ69" i="3"/>
  <c r="AR89" i="3"/>
  <c r="AR84" i="3" s="1"/>
  <c r="AR92" i="3" s="1"/>
  <c r="DH11" i="3"/>
  <c r="DH115" i="3" s="1"/>
  <c r="EZ13" i="3"/>
  <c r="DH17" i="3"/>
  <c r="DH121" i="3" s="1"/>
  <c r="DL11" i="3"/>
  <c r="DL115" i="3" s="1"/>
  <c r="DW12" i="3"/>
  <c r="DW116" i="3" s="1"/>
  <c r="EP12" i="3"/>
  <c r="EP116" i="3" s="1"/>
  <c r="AD91" i="3"/>
  <c r="AE10" i="3"/>
  <c r="BJ56" i="3"/>
  <c r="BK56" i="3" s="1"/>
  <c r="AP49" i="3"/>
  <c r="AQ49" i="3" s="1"/>
  <c r="V49" i="3"/>
  <c r="AT38" i="3"/>
  <c r="AU38" i="3" s="1"/>
  <c r="DM49" i="3"/>
  <c r="DM153" i="3" s="1"/>
  <c r="DE49" i="3"/>
  <c r="DE153" i="3" s="1"/>
  <c r="CI48" i="3"/>
  <c r="EZ48" i="3" s="1"/>
  <c r="EZ152" i="3" s="1"/>
  <c r="BC48" i="3"/>
  <c r="DQ48" i="3" s="1"/>
  <c r="DQ152" i="3" s="1"/>
  <c r="W48" i="3"/>
  <c r="DI48" i="3" s="1"/>
  <c r="DI152" i="3" s="1"/>
  <c r="EJ48" i="3"/>
  <c r="EJ152" i="3" s="1"/>
  <c r="BI51" i="3"/>
  <c r="BJ46" i="3"/>
  <c r="AS51" i="3"/>
  <c r="AT46" i="3"/>
  <c r="AC51" i="3"/>
  <c r="AD46" i="3"/>
  <c r="M51" i="3"/>
  <c r="N46" i="3"/>
  <c r="CD45" i="3"/>
  <c r="CE45" i="3" s="1"/>
  <c r="EY45" i="3"/>
  <c r="EY149" i="3" s="1"/>
  <c r="CO72" i="3"/>
  <c r="CO71" i="3"/>
  <c r="DS56" i="3"/>
  <c r="DS160" i="3" s="1"/>
  <c r="BB53" i="3"/>
  <c r="BC53" i="3" s="1"/>
  <c r="V53" i="3"/>
  <c r="W53" i="3" s="1"/>
  <c r="AA50" i="3"/>
  <c r="DJ50" i="3" s="1"/>
  <c r="DJ154" i="3" s="1"/>
  <c r="EK50" i="3"/>
  <c r="EK154" i="3" s="1"/>
  <c r="DY45" i="3"/>
  <c r="DY149" i="3" s="1"/>
  <c r="EM47" i="3"/>
  <c r="EM151" i="3" s="1"/>
  <c r="EU43" i="3"/>
  <c r="EU147" i="3" s="1"/>
  <c r="CO51" i="3"/>
  <c r="CP42" i="3"/>
  <c r="DY48" i="3"/>
  <c r="DY152" i="3" s="1"/>
  <c r="DT46" i="3"/>
  <c r="DT150" i="3" s="1"/>
  <c r="BM51" i="3"/>
  <c r="EB135" i="3"/>
  <c r="EB66" i="3"/>
  <c r="BX68" i="3"/>
  <c r="BP68" i="3"/>
  <c r="AV68" i="3"/>
  <c r="AN68" i="3"/>
  <c r="CL14" i="3"/>
  <c r="CM14" i="3" s="1"/>
  <c r="Z14" i="3"/>
  <c r="AA14" i="3" s="1"/>
  <c r="EK14" i="3"/>
  <c r="EK118" i="3" s="1"/>
  <c r="DX47" i="3"/>
  <c r="DX151" i="3" s="1"/>
  <c r="DH47" i="3"/>
  <c r="DH151" i="3" s="1"/>
  <c r="DT44" i="3"/>
  <c r="DT148" i="3" s="1"/>
  <c r="CE37" i="3"/>
  <c r="EY37" i="3" s="1"/>
  <c r="EY141" i="3" s="1"/>
  <c r="AY37" i="3"/>
  <c r="DP37" i="3" s="1"/>
  <c r="DP141" i="3" s="1"/>
  <c r="EQ37" i="3"/>
  <c r="EQ141" i="3" s="1"/>
  <c r="S37" i="3"/>
  <c r="DH37" i="3" s="1"/>
  <c r="DH141" i="3" s="1"/>
  <c r="DO25" i="3"/>
  <c r="DO129" i="3" s="1"/>
  <c r="DZ50" i="3"/>
  <c r="DZ154" i="3" s="1"/>
  <c r="DL49" i="3"/>
  <c r="DL153" i="3" s="1"/>
  <c r="DN48" i="3"/>
  <c r="DN152" i="3" s="1"/>
  <c r="DX43" i="3"/>
  <c r="DX147" i="3" s="1"/>
  <c r="DZ33" i="3"/>
  <c r="DZ137" i="3" s="1"/>
  <c r="CD33" i="3"/>
  <c r="CE33" i="3" s="1"/>
  <c r="BN33" i="3"/>
  <c r="BO33" i="3" s="1"/>
  <c r="EQ27" i="3"/>
  <c r="EQ131" i="3" s="1"/>
  <c r="EV26" i="3"/>
  <c r="EV130" i="3" s="1"/>
  <c r="EZ22" i="3"/>
  <c r="EZ126" i="3" s="1"/>
  <c r="EJ22" i="3"/>
  <c r="EJ126" i="3" s="1"/>
  <c r="DR27" i="3"/>
  <c r="DR131" i="3" s="1"/>
  <c r="DT24" i="3"/>
  <c r="DT128" i="3" s="1"/>
  <c r="DZ23" i="3"/>
  <c r="DZ127" i="3" s="1"/>
  <c r="EL47" i="3"/>
  <c r="EL151" i="3" s="1"/>
  <c r="CE42" i="3"/>
  <c r="DX42" i="3" s="1"/>
  <c r="CD51" i="3"/>
  <c r="AS66" i="3"/>
  <c r="AS39" i="3"/>
  <c r="AT31" i="3"/>
  <c r="EL27" i="3"/>
  <c r="EL131" i="3" s="1"/>
  <c r="FA24" i="3"/>
  <c r="FA128" i="3" s="1"/>
  <c r="EP23" i="3"/>
  <c r="EP127" i="3" s="1"/>
  <c r="CL17" i="3"/>
  <c r="CM17" i="3" s="1"/>
  <c r="BF17" i="3"/>
  <c r="BG17" i="3" s="1"/>
  <c r="Z17" i="3"/>
  <c r="AA17" i="3" s="1"/>
  <c r="EW31" i="3"/>
  <c r="BF66" i="3"/>
  <c r="BF39" i="3"/>
  <c r="BG31" i="3"/>
  <c r="AP66" i="3"/>
  <c r="AP39" i="3"/>
  <c r="AQ31" i="3"/>
  <c r="DT27" i="3"/>
  <c r="DT131" i="3" s="1"/>
  <c r="DL27" i="3"/>
  <c r="DL131" i="3" s="1"/>
  <c r="EX25" i="3"/>
  <c r="EX129" i="3" s="1"/>
  <c r="EH25" i="3"/>
  <c r="EH129" i="3" s="1"/>
  <c r="EW23" i="3"/>
  <c r="EW127" i="3" s="1"/>
  <c r="DZ22" i="3"/>
  <c r="DZ126" i="3" s="1"/>
  <c r="DJ22" i="3"/>
  <c r="DJ126" i="3" s="1"/>
  <c r="ET21" i="3"/>
  <c r="ET125" i="3" s="1"/>
  <c r="FA19" i="3"/>
  <c r="FA123" i="3" s="1"/>
  <c r="DJ117" i="3"/>
  <c r="DJ69" i="3"/>
  <c r="DW117" i="3"/>
  <c r="DW69" i="3"/>
  <c r="DS117" i="3"/>
  <c r="DS69" i="3"/>
  <c r="EH117" i="3"/>
  <c r="EH69" i="3"/>
  <c r="EM13" i="3"/>
  <c r="CR92" i="3"/>
  <c r="BU91" i="3"/>
  <c r="BV10" i="3"/>
  <c r="AO91" i="3"/>
  <c r="AP10" i="3"/>
  <c r="BJ66" i="3"/>
  <c r="BJ39" i="3"/>
  <c r="BK31" i="3"/>
  <c r="ET31" i="3" s="1"/>
  <c r="DY27" i="3"/>
  <c r="DY131" i="3" s="1"/>
  <c r="EZ24" i="3"/>
  <c r="EZ128" i="3" s="1"/>
  <c r="EJ24" i="3"/>
  <c r="EJ128" i="3" s="1"/>
  <c r="DX21" i="3"/>
  <c r="DX125" i="3" s="1"/>
  <c r="DJ14" i="3"/>
  <c r="DJ118" i="3" s="1"/>
  <c r="EO117" i="3"/>
  <c r="EO69" i="3"/>
  <c r="CH66" i="3"/>
  <c r="CH39" i="3"/>
  <c r="CI31" i="3"/>
  <c r="DY26" i="3"/>
  <c r="DY130" i="3" s="1"/>
  <c r="DQ26" i="3"/>
  <c r="DQ130" i="3" s="1"/>
  <c r="DI26" i="3"/>
  <c r="DI130" i="3" s="1"/>
  <c r="EY24" i="3"/>
  <c r="EY128" i="3" s="1"/>
  <c r="EM24" i="3"/>
  <c r="EM128" i="3" s="1"/>
  <c r="EX22" i="3"/>
  <c r="EX126" i="3" s="1"/>
  <c r="EP22" i="3"/>
  <c r="EP126" i="3" s="1"/>
  <c r="EH22" i="3"/>
  <c r="EH126" i="3" s="1"/>
  <c r="EQ20" i="3"/>
  <c r="EQ124" i="3" s="1"/>
  <c r="DL19" i="3"/>
  <c r="DL123" i="3" s="1"/>
  <c r="DS16" i="3"/>
  <c r="DS120" i="3" s="1"/>
  <c r="CL69" i="3"/>
  <c r="CM13" i="3"/>
  <c r="DL13" i="3"/>
  <c r="BR12" i="3"/>
  <c r="BS12" i="3" s="1"/>
  <c r="EV12" i="3"/>
  <c r="EV116" i="3" s="1"/>
  <c r="AD12" i="3"/>
  <c r="CD11" i="3"/>
  <c r="AP11" i="3"/>
  <c r="AQ11" i="3" s="1"/>
  <c r="L89" i="3"/>
  <c r="L84" i="3" s="1"/>
  <c r="L92" i="3" s="1"/>
  <c r="EA135" i="3"/>
  <c r="EA66" i="3"/>
  <c r="DN26" i="3"/>
  <c r="DN130" i="3" s="1"/>
  <c r="DI23" i="3"/>
  <c r="DI127" i="3" s="1"/>
  <c r="DW17" i="3"/>
  <c r="DW121" i="3" s="1"/>
  <c r="DG17" i="3"/>
  <c r="DG121" i="3" s="1"/>
  <c r="DM117" i="3"/>
  <c r="DM69" i="3"/>
  <c r="BN51" i="3"/>
  <c r="EM37" i="3"/>
  <c r="EM141" i="3" s="1"/>
  <c r="DK35" i="3"/>
  <c r="DK139" i="3" s="1"/>
  <c r="CC68" i="3"/>
  <c r="BM68" i="3"/>
  <c r="AW68" i="3"/>
  <c r="DW27" i="3"/>
  <c r="DW131" i="3" s="1"/>
  <c r="DO27" i="3"/>
  <c r="DO131" i="3" s="1"/>
  <c r="DG27" i="3"/>
  <c r="DG131" i="3" s="1"/>
  <c r="DO26" i="3"/>
  <c r="DO130" i="3" s="1"/>
  <c r="EU25" i="3"/>
  <c r="EU129" i="3" s="1"/>
  <c r="DS23" i="3"/>
  <c r="DS127" i="3" s="1"/>
  <c r="DK23" i="3"/>
  <c r="DK127" i="3" s="1"/>
  <c r="DW22" i="3"/>
  <c r="DW126" i="3" s="1"/>
  <c r="DG22" i="3"/>
  <c r="DG126" i="3" s="1"/>
  <c r="EM21" i="3"/>
  <c r="EM125" i="3" s="1"/>
  <c r="CM16" i="3"/>
  <c r="FA16" i="3" s="1"/>
  <c r="FA120" i="3" s="1"/>
  <c r="BW16" i="3"/>
  <c r="DV16" i="3" s="1"/>
  <c r="DV120" i="3" s="1"/>
  <c r="BG16" i="3"/>
  <c r="ES16" i="3" s="1"/>
  <c r="ES120" i="3" s="1"/>
  <c r="AQ16" i="3"/>
  <c r="DN16" i="3" s="1"/>
  <c r="DN120" i="3" s="1"/>
  <c r="EO16" i="3"/>
  <c r="EO120" i="3" s="1"/>
  <c r="AA16" i="3"/>
  <c r="EK16" i="3" s="1"/>
  <c r="EK120" i="3" s="1"/>
  <c r="BV69" i="3"/>
  <c r="BW13" i="3"/>
  <c r="DU12" i="3"/>
  <c r="DU116" i="3" s="1"/>
  <c r="DE12" i="3"/>
  <c r="DE116" i="3" s="1"/>
  <c r="DV11" i="3"/>
  <c r="DV115" i="3" s="1"/>
  <c r="DF11" i="3"/>
  <c r="DF115" i="3" s="1"/>
  <c r="BI91" i="3"/>
  <c r="BJ10" i="3"/>
  <c r="U91" i="3"/>
  <c r="V10" i="3"/>
  <c r="DQ27" i="3"/>
  <c r="DQ131" i="3" s="1"/>
  <c r="ES22" i="3"/>
  <c r="ES126" i="3" s="1"/>
  <c r="EZ20" i="3"/>
  <c r="EZ124" i="3" s="1"/>
  <c r="EJ20" i="3"/>
  <c r="EJ124" i="3" s="1"/>
  <c r="DM17" i="3"/>
  <c r="DM121" i="3" s="1"/>
  <c r="Z15" i="3"/>
  <c r="AA15" i="3" s="1"/>
  <c r="EK15" i="3"/>
  <c r="EK119" i="3" s="1"/>
  <c r="EK13" i="3"/>
  <c r="DF13" i="3"/>
  <c r="DF117" i="3" s="1"/>
  <c r="DF10" i="3"/>
  <c r="DF114" i="3" s="1"/>
  <c r="DR13" i="3"/>
  <c r="DS12" i="3"/>
  <c r="DS116" i="3" s="1"/>
  <c r="EX12" i="3"/>
  <c r="EX116" i="3" s="1"/>
  <c r="BZ91" i="3"/>
  <c r="CA10" i="3"/>
  <c r="EX10" i="3" s="1"/>
  <c r="AC89" i="3"/>
  <c r="AC84" i="3" s="1"/>
  <c r="AC92" i="3" s="1"/>
  <c r="BZ205" i="2"/>
  <c r="BZ223" i="2" s="1"/>
  <c r="CA168" i="2"/>
  <c r="CF178" i="2"/>
  <c r="CG178" i="2" s="1"/>
  <c r="CH178" i="2" s="1"/>
  <c r="CI178" i="2" s="1"/>
  <c r="CC145" i="2"/>
  <c r="CB123" i="2"/>
  <c r="CB206" i="2" s="1"/>
  <c r="BW193" i="2"/>
  <c r="BW229" i="2" s="1"/>
  <c r="DV229" i="2" s="1"/>
  <c r="DV156" i="2"/>
  <c r="BX156" i="2"/>
  <c r="BV192" i="2"/>
  <c r="BW155" i="2"/>
  <c r="CO202" i="2"/>
  <c r="CP116" i="2"/>
  <c r="BY119" i="2"/>
  <c r="BY124" i="2" s="1"/>
  <c r="BZ106" i="2"/>
  <c r="BZ111" i="2"/>
  <c r="CO99" i="2"/>
  <c r="CO89" i="2"/>
  <c r="CA110" i="2"/>
  <c r="CA99" i="2"/>
  <c r="CA89" i="2"/>
  <c r="CC89" i="2"/>
  <c r="CC99" i="2"/>
  <c r="EQ70" i="2"/>
  <c r="EQ73" i="2" s="1"/>
  <c r="CD99" i="2"/>
  <c r="CD89" i="2"/>
  <c r="EW70" i="2"/>
  <c r="EW73" i="2" s="1"/>
  <c r="EG70" i="2"/>
  <c r="EG73" i="2" s="1"/>
  <c r="DP70" i="2"/>
  <c r="DP73" i="2" s="1"/>
  <c r="FB19" i="2"/>
  <c r="EV43" i="2"/>
  <c r="EV45" i="2" s="1"/>
  <c r="DV43" i="2"/>
  <c r="DV45" i="2" s="1"/>
  <c r="DJ43" i="2"/>
  <c r="DJ45" i="2" s="1"/>
  <c r="CR87" i="2"/>
  <c r="FB32" i="2"/>
  <c r="DK43" i="2"/>
  <c r="DK45" i="2" s="1"/>
  <c r="DN100" i="2"/>
  <c r="CT38" i="2"/>
  <c r="CU38" i="2" s="1"/>
  <c r="FB38" i="2"/>
  <c r="CR236" i="2"/>
  <c r="EB236" i="2" s="1"/>
  <c r="EB218" i="2"/>
  <c r="DX235" i="2"/>
  <c r="CF177" i="2"/>
  <c r="DX177" i="2"/>
  <c r="CF175" i="2"/>
  <c r="CG175" i="2" s="1"/>
  <c r="CH175" i="2" s="1"/>
  <c r="CI175" i="2" s="1"/>
  <c r="DX175" i="2"/>
  <c r="BZ108" i="2"/>
  <c r="BU207" i="2"/>
  <c r="BY198" i="2"/>
  <c r="BZ112" i="2"/>
  <c r="CA107" i="2"/>
  <c r="CG99" i="2"/>
  <c r="CG89" i="2"/>
  <c r="BX99" i="2"/>
  <c r="BX89" i="2"/>
  <c r="EM70" i="2"/>
  <c r="EM73" i="2" s="1"/>
  <c r="BZ99" i="2"/>
  <c r="BZ89" i="2"/>
  <c r="ES70" i="2"/>
  <c r="ES73" i="2" s="1"/>
  <c r="DW70" i="2"/>
  <c r="DW73" i="2" s="1"/>
  <c r="CI99" i="2"/>
  <c r="CI89" i="2"/>
  <c r="DL70" i="2"/>
  <c r="DL73" i="2" s="1"/>
  <c r="CM100" i="2"/>
  <c r="CJ99" i="2"/>
  <c r="CJ89" i="2"/>
  <c r="EJ43" i="2"/>
  <c r="EJ45" i="2" s="1"/>
  <c r="FB28" i="2"/>
  <c r="EG43" i="2"/>
  <c r="EG45" i="2" s="1"/>
  <c r="FB18" i="2"/>
  <c r="ET100" i="2"/>
  <c r="EU78" i="3" s="1"/>
  <c r="DP100" i="2"/>
  <c r="DH100" i="2"/>
  <c r="ER100" i="2"/>
  <c r="EI100" i="2"/>
  <c r="EJ78" i="3" s="1"/>
  <c r="DR100" i="2"/>
  <c r="DZ219" i="2"/>
  <c r="CJ237" i="2"/>
  <c r="DZ237" i="2" s="1"/>
  <c r="CF180" i="2"/>
  <c r="CG180" i="2" s="1"/>
  <c r="CH180" i="2" s="1"/>
  <c r="CI180" i="2" s="1"/>
  <c r="DX180" i="2"/>
  <c r="BX225" i="2"/>
  <c r="DZ217" i="2"/>
  <c r="CJ235" i="2"/>
  <c r="DZ235" i="2" s="1"/>
  <c r="CF176" i="2"/>
  <c r="CG176" i="2" s="1"/>
  <c r="CH176" i="2" s="1"/>
  <c r="CI176" i="2" s="1"/>
  <c r="DX176" i="2"/>
  <c r="BZ204" i="2"/>
  <c r="BZ222" i="2" s="1"/>
  <c r="CA167" i="2"/>
  <c r="BV194" i="2"/>
  <c r="BW157" i="2"/>
  <c r="DX188" i="2"/>
  <c r="CF188" i="2"/>
  <c r="CG188" i="2" s="1"/>
  <c r="CH188" i="2" s="1"/>
  <c r="CI188" i="2" s="1"/>
  <c r="BW195" i="2"/>
  <c r="DV158" i="2"/>
  <c r="BX158" i="2"/>
  <c r="DZ133" i="2"/>
  <c r="CN133" i="2"/>
  <c r="CO133" i="2" s="1"/>
  <c r="CP133" i="2" s="1"/>
  <c r="CQ133" i="2" s="1"/>
  <c r="DX161" i="2"/>
  <c r="CF161" i="2"/>
  <c r="CG161" i="2" s="1"/>
  <c r="CH161" i="2" s="1"/>
  <c r="CI161" i="2" s="1"/>
  <c r="CJ140" i="2"/>
  <c r="CK118" i="2"/>
  <c r="BZ109" i="2"/>
  <c r="CP145" i="2"/>
  <c r="CO123" i="2"/>
  <c r="CA144" i="2"/>
  <c r="DW144" i="2" s="1"/>
  <c r="DW122" i="2"/>
  <c r="CB122" i="2"/>
  <c r="DY111" i="2"/>
  <c r="CJ111" i="2"/>
  <c r="CK111" i="2" s="1"/>
  <c r="CL111" i="2" s="1"/>
  <c r="CM111" i="2" s="1"/>
  <c r="BY99" i="2"/>
  <c r="BY89" i="2"/>
  <c r="CM99" i="2"/>
  <c r="CM89" i="2"/>
  <c r="BY70" i="2"/>
  <c r="BY73" i="2" s="1"/>
  <c r="EY70" i="2"/>
  <c r="EY73" i="2" s="1"/>
  <c r="EI70" i="2"/>
  <c r="EI73" i="2" s="1"/>
  <c r="CD64" i="2"/>
  <c r="CE60" i="2"/>
  <c r="EO70" i="2"/>
  <c r="EO73" i="2" s="1"/>
  <c r="DS70" i="2"/>
  <c r="DS73" i="2" s="1"/>
  <c r="DH70" i="2"/>
  <c r="DH73" i="2" s="1"/>
  <c r="CS82" i="2"/>
  <c r="CT22" i="2"/>
  <c r="CN89" i="2"/>
  <c r="CJ97" i="2"/>
  <c r="EN43" i="2"/>
  <c r="EN45" i="2" s="1"/>
  <c r="EY100" i="2"/>
  <c r="EZ78" i="3" s="1"/>
  <c r="CG189" i="2"/>
  <c r="CF169" i="2"/>
  <c r="CB236" i="2"/>
  <c r="DX236" i="2" s="1"/>
  <c r="DX218" i="2"/>
  <c r="CF181" i="2"/>
  <c r="CG181" i="2" s="1"/>
  <c r="CH181" i="2" s="1"/>
  <c r="CI181" i="2" s="1"/>
  <c r="DX181" i="2"/>
  <c r="CF179" i="2"/>
  <c r="CG179" i="2" s="1"/>
  <c r="CH179" i="2" s="1"/>
  <c r="CI179" i="2" s="1"/>
  <c r="DX179" i="2"/>
  <c r="BV196" i="2"/>
  <c r="BV232" i="2" s="1"/>
  <c r="BW159" i="2"/>
  <c r="CC216" i="2"/>
  <c r="CC133" i="2"/>
  <c r="DX187" i="2"/>
  <c r="CF187" i="2"/>
  <c r="CG187" i="2" s="1"/>
  <c r="CH187" i="2" s="1"/>
  <c r="CI187" i="2" s="1"/>
  <c r="CO203" i="2"/>
  <c r="CP117" i="2"/>
  <c r="BW197" i="2"/>
  <c r="BW233" i="2" s="1"/>
  <c r="DV233" i="2" s="1"/>
  <c r="DV160" i="2"/>
  <c r="BX160" i="2"/>
  <c r="CA121" i="2"/>
  <c r="BZ143" i="2"/>
  <c r="BX119" i="2"/>
  <c r="BX124" i="2" s="1"/>
  <c r="CE99" i="2"/>
  <c r="CE89" i="2"/>
  <c r="DY142" i="2"/>
  <c r="DY120" i="2" s="1"/>
  <c r="CJ142" i="2"/>
  <c r="CI120" i="2"/>
  <c r="CL99" i="2"/>
  <c r="CL89" i="2"/>
  <c r="BZ70" i="2"/>
  <c r="BZ73" i="2" s="1"/>
  <c r="EU70" i="2"/>
  <c r="EU73" i="2" s="1"/>
  <c r="CJ108" i="2"/>
  <c r="CK108" i="2" s="1"/>
  <c r="CL108" i="2" s="1"/>
  <c r="CM108" i="2" s="1"/>
  <c r="DY108" i="2"/>
  <c r="CH99" i="2"/>
  <c r="CH89" i="2"/>
  <c r="CC70" i="2"/>
  <c r="CC73" i="2" s="1"/>
  <c r="EK70" i="2"/>
  <c r="EK73" i="2" s="1"/>
  <c r="DO70" i="2"/>
  <c r="DO73" i="2" s="1"/>
  <c r="CP53" i="2"/>
  <c r="DT70" i="2"/>
  <c r="DT73" i="2" s="1"/>
  <c r="CU60" i="2"/>
  <c r="CV60" i="2" s="1"/>
  <c r="DY43" i="2"/>
  <c r="DY45" i="2" s="1"/>
  <c r="EA20" i="2"/>
  <c r="CQ81" i="2"/>
  <c r="EA9" i="2"/>
  <c r="DY100" i="2"/>
  <c r="DQ100" i="2"/>
  <c r="DI100" i="2"/>
  <c r="EX100" i="2"/>
  <c r="EY78" i="3" s="1"/>
  <c r="EP100" i="2"/>
  <c r="EL95" i="2"/>
  <c r="EQ100" i="2"/>
  <c r="ER78" i="3" s="1"/>
  <c r="EA77" i="2"/>
  <c r="ES78" i="3" l="1"/>
  <c r="EL78" i="3"/>
  <c r="U34" i="79"/>
  <c r="U33" i="79" s="1"/>
  <c r="U51" i="80"/>
  <c r="T30" i="79" s="1"/>
  <c r="T38" i="79" s="1"/>
  <c r="T39" i="79" s="1"/>
  <c r="V52" i="80"/>
  <c r="V51" i="80" s="1"/>
  <c r="U30" i="79" s="1"/>
  <c r="U38" i="79" s="1"/>
  <c r="CW66" i="2"/>
  <c r="CX66" i="2" s="1"/>
  <c r="CY66" i="2" s="1"/>
  <c r="FC66" i="2"/>
  <c r="FB69" i="3"/>
  <c r="FB117" i="3"/>
  <c r="FB45" i="3"/>
  <c r="FB149" i="3" s="1"/>
  <c r="EW16" i="3"/>
  <c r="EW120" i="3" s="1"/>
  <c r="EO11" i="3"/>
  <c r="EO115" i="3" s="1"/>
  <c r="EU33" i="3"/>
  <c r="EU137" i="3" s="1"/>
  <c r="CP51" i="3"/>
  <c r="CQ42" i="3"/>
  <c r="EJ53" i="3"/>
  <c r="EJ157" i="3" s="1"/>
  <c r="DP16" i="3"/>
  <c r="DP120" i="3" s="1"/>
  <c r="BO51" i="3"/>
  <c r="DT45" i="3"/>
  <c r="DT149" i="3" s="1"/>
  <c r="DK56" i="3"/>
  <c r="DK160" i="3" s="1"/>
  <c r="EL56" i="3"/>
  <c r="EL160" i="3" s="1"/>
  <c r="ET12" i="3"/>
  <c r="ET116" i="3" s="1"/>
  <c r="DH15" i="3"/>
  <c r="DH119" i="3" s="1"/>
  <c r="DV14" i="3"/>
  <c r="DV118" i="3" s="1"/>
  <c r="EV16" i="3"/>
  <c r="EV120" i="3" s="1"/>
  <c r="EP17" i="3"/>
  <c r="EP121" i="3" s="1"/>
  <c r="DO56" i="3"/>
  <c r="DO160" i="3" s="1"/>
  <c r="EN49" i="3"/>
  <c r="EN153" i="3" s="1"/>
  <c r="CW61" i="2"/>
  <c r="CX61" i="2" s="1"/>
  <c r="CY61" i="2" s="1"/>
  <c r="FC61" i="2"/>
  <c r="EC62" i="2"/>
  <c r="CZ62" i="2"/>
  <c r="DX37" i="3"/>
  <c r="DX141" i="3" s="1"/>
  <c r="CM11" i="3"/>
  <c r="EA45" i="3"/>
  <c r="EA149" i="3" s="1"/>
  <c r="CQ45" i="3"/>
  <c r="FB12" i="3"/>
  <c r="FB116" i="3" s="1"/>
  <c r="CQ12" i="3"/>
  <c r="EA12" i="3" s="1"/>
  <c r="EA116" i="3" s="1"/>
  <c r="DY34" i="3"/>
  <c r="DY138" i="3" s="1"/>
  <c r="CQ10" i="3"/>
  <c r="R49" i="79"/>
  <c r="F18" i="79"/>
  <c r="G18" i="79" s="1"/>
  <c r="H18" i="79" s="1"/>
  <c r="EC139" i="2"/>
  <c r="CZ139" i="2"/>
  <c r="DA139" i="2" s="1"/>
  <c r="DB139" i="2" s="1"/>
  <c r="DC139" i="2" s="1"/>
  <c r="ED139" i="2" s="1"/>
  <c r="EA43" i="3"/>
  <c r="EA147" i="3" s="1"/>
  <c r="EZ11" i="3"/>
  <c r="EZ115" i="3" s="1"/>
  <c r="DY11" i="3"/>
  <c r="DY115" i="3" s="1"/>
  <c r="CQ39" i="3"/>
  <c r="CQ66" i="3"/>
  <c r="EA11" i="3"/>
  <c r="EA115" i="3" s="1"/>
  <c r="CE11" i="3"/>
  <c r="ES17" i="3"/>
  <c r="ES121" i="3" s="1"/>
  <c r="DO38" i="3"/>
  <c r="DO142" i="3" s="1"/>
  <c r="EP38" i="3"/>
  <c r="EP142" i="3" s="1"/>
  <c r="EZ69" i="3"/>
  <c r="EZ117" i="3"/>
  <c r="EN12" i="3"/>
  <c r="EN116" i="3" s="1"/>
  <c r="FB17" i="3"/>
  <c r="FB121" i="3" s="1"/>
  <c r="ET38" i="3"/>
  <c r="ET142" i="3" s="1"/>
  <c r="J16" i="79"/>
  <c r="J49" i="79"/>
  <c r="J50" i="79" s="1"/>
  <c r="DR14" i="3"/>
  <c r="DR118" i="3" s="1"/>
  <c r="EO17" i="3"/>
  <c r="EO121" i="3" s="1"/>
  <c r="DW38" i="3"/>
  <c r="DW142" i="3" s="1"/>
  <c r="ES14" i="3"/>
  <c r="ES118" i="3" s="1"/>
  <c r="EV48" i="3"/>
  <c r="EV152" i="3" s="1"/>
  <c r="EW14" i="3"/>
  <c r="EW118" i="3" s="1"/>
  <c r="EX45" i="3"/>
  <c r="EX149" i="3" s="1"/>
  <c r="EC138" i="2"/>
  <c r="CZ138" i="2"/>
  <c r="DA138" i="2" s="1"/>
  <c r="DB138" i="2" s="1"/>
  <c r="DC138" i="2" s="1"/>
  <c r="ED138" i="2" s="1"/>
  <c r="CW60" i="2"/>
  <c r="CX60" i="2" s="1"/>
  <c r="CY60" i="2" s="1"/>
  <c r="FC60" i="2"/>
  <c r="CQ15" i="3"/>
  <c r="EA15" i="3" s="1"/>
  <c r="EA119" i="3" s="1"/>
  <c r="N16" i="79"/>
  <c r="N49" i="79"/>
  <c r="CW37" i="2"/>
  <c r="CX37" i="2" s="1"/>
  <c r="CY37" i="2" s="1"/>
  <c r="FC37" i="2"/>
  <c r="CW67" i="2"/>
  <c r="CX67" i="2" s="1"/>
  <c r="CY67" i="2" s="1"/>
  <c r="FC67" i="2"/>
  <c r="CW36" i="2"/>
  <c r="CX36" i="2" s="1"/>
  <c r="CY36" i="2" s="1"/>
  <c r="FC36" i="2"/>
  <c r="CQ69" i="3"/>
  <c r="EA13" i="3"/>
  <c r="N73" i="80"/>
  <c r="E17" i="79"/>
  <c r="H17" i="79"/>
  <c r="AB57" i="80"/>
  <c r="AC57" i="80" s="1"/>
  <c r="AD57" i="80" s="1"/>
  <c r="AE57" i="80" s="1"/>
  <c r="AF57" i="80" s="1"/>
  <c r="CP23" i="2"/>
  <c r="CP24" i="2" s="1"/>
  <c r="CP45" i="2" s="1"/>
  <c r="CQ45" i="2"/>
  <c r="CQ71" i="3"/>
  <c r="CW10" i="2"/>
  <c r="CX10" i="2" s="1"/>
  <c r="CY10" i="2" s="1"/>
  <c r="FC10" i="2"/>
  <c r="CS147" i="3"/>
  <c r="A100" i="2"/>
  <c r="EQ78" i="3"/>
  <c r="EB38" i="2"/>
  <c r="CV38" i="2"/>
  <c r="EB31" i="2"/>
  <c r="CV31" i="2"/>
  <c r="FC31" i="2" s="1"/>
  <c r="EB21" i="2"/>
  <c r="CV21" i="2"/>
  <c r="EA38" i="3"/>
  <c r="EA142" i="3" s="1"/>
  <c r="DT94" i="2"/>
  <c r="N24" i="79"/>
  <c r="K43" i="80"/>
  <c r="F4" i="79"/>
  <c r="K9" i="79"/>
  <c r="L9" i="79"/>
  <c r="K19" i="79"/>
  <c r="L19" i="79"/>
  <c r="D19" i="79"/>
  <c r="D21" i="79"/>
  <c r="P58" i="80"/>
  <c r="AK58" i="80" s="1"/>
  <c r="AK59" i="80" s="1"/>
  <c r="O66" i="80"/>
  <c r="O67" i="80" s="1"/>
  <c r="O19" i="79"/>
  <c r="F29" i="80"/>
  <c r="E9" i="79"/>
  <c r="N9" i="79"/>
  <c r="N14" i="79" s="1"/>
  <c r="N15" i="79" s="1"/>
  <c r="G21" i="79"/>
  <c r="G19" i="79"/>
  <c r="P9" i="79"/>
  <c r="I9" i="79"/>
  <c r="H9" i="79"/>
  <c r="H22" i="79" s="1"/>
  <c r="O9" i="79"/>
  <c r="O14" i="79" s="1"/>
  <c r="O15" i="79" s="1"/>
  <c r="J9" i="79"/>
  <c r="N60" i="80"/>
  <c r="M31" i="79" s="1"/>
  <c r="N69" i="80"/>
  <c r="E22" i="79"/>
  <c r="I18" i="79"/>
  <c r="J18" i="79" s="1"/>
  <c r="H21" i="79"/>
  <c r="I19" i="79"/>
  <c r="ES94" i="2"/>
  <c r="ER94" i="2"/>
  <c r="DL94" i="2"/>
  <c r="T28" i="79"/>
  <c r="CT28" i="2"/>
  <c r="CT24" i="3" s="1"/>
  <c r="CS24" i="3"/>
  <c r="CT19" i="2"/>
  <c r="DV193" i="2"/>
  <c r="CS129" i="3"/>
  <c r="ET78" i="3"/>
  <c r="CS125" i="3"/>
  <c r="FB21" i="3"/>
  <c r="FB125" i="3" s="1"/>
  <c r="CN71" i="3"/>
  <c r="CN45" i="2"/>
  <c r="CS130" i="3"/>
  <c r="CT13" i="2"/>
  <c r="CT21" i="3" s="1"/>
  <c r="DW123" i="2"/>
  <c r="CA206" i="2"/>
  <c r="DW206" i="2" s="1"/>
  <c r="EI78" i="3"/>
  <c r="EX78" i="3"/>
  <c r="CU30" i="2"/>
  <c r="CV30" i="2" s="1"/>
  <c r="FC30" i="2" s="1"/>
  <c r="CT25" i="3"/>
  <c r="CP248" i="2"/>
  <c r="CQ247" i="2"/>
  <c r="CR250" i="2" s="1"/>
  <c r="CP88" i="2"/>
  <c r="CU29" i="2"/>
  <c r="CV29" i="2" s="1"/>
  <c r="FC29" i="2" s="1"/>
  <c r="CT26" i="3"/>
  <c r="EA36" i="3"/>
  <c r="EP78" i="3"/>
  <c r="CU39" i="2"/>
  <c r="CV39" i="2" s="1"/>
  <c r="FC39" i="2" s="1"/>
  <c r="CT43" i="3"/>
  <c r="DJ94" i="2"/>
  <c r="EN94" i="2"/>
  <c r="R34" i="80"/>
  <c r="Q4" i="79"/>
  <c r="R7" i="79"/>
  <c r="DZ94" i="2"/>
  <c r="DH94" i="2"/>
  <c r="DP94" i="2"/>
  <c r="DN94" i="2"/>
  <c r="DR94" i="2"/>
  <c r="EO94" i="2"/>
  <c r="EJ94" i="2"/>
  <c r="EG94" i="2"/>
  <c r="CT77" i="2"/>
  <c r="CR77" i="2"/>
  <c r="DV94" i="2"/>
  <c r="EK94" i="2"/>
  <c r="EW94" i="2"/>
  <c r="E43" i="79"/>
  <c r="E45" i="79" s="1"/>
  <c r="E50" i="79" s="1"/>
  <c r="E37" i="79"/>
  <c r="J39" i="79"/>
  <c r="F39" i="79"/>
  <c r="I37" i="79"/>
  <c r="I43" i="79"/>
  <c r="I45" i="79" s="1"/>
  <c r="I50" i="79" s="1"/>
  <c r="F37" i="79"/>
  <c r="M37" i="79"/>
  <c r="M43" i="79"/>
  <c r="M45" i="79" s="1"/>
  <c r="M50" i="79" s="1"/>
  <c r="H73" i="80"/>
  <c r="H28" i="80"/>
  <c r="H42" i="80"/>
  <c r="H34" i="80"/>
  <c r="H36" i="80"/>
  <c r="H40" i="80"/>
  <c r="T13" i="80"/>
  <c r="S5" i="79" s="1"/>
  <c r="S15" i="80"/>
  <c r="W65" i="80"/>
  <c r="V34" i="79" s="1"/>
  <c r="V33" i="79" s="1"/>
  <c r="X50" i="80"/>
  <c r="W49" i="80"/>
  <c r="O29" i="80"/>
  <c r="O30" i="80"/>
  <c r="L43" i="80"/>
  <c r="Q30" i="80"/>
  <c r="Q29" i="80"/>
  <c r="J30" i="80"/>
  <c r="J29" i="80"/>
  <c r="N30" i="80"/>
  <c r="P29" i="80"/>
  <c r="P30" i="80"/>
  <c r="M30" i="80"/>
  <c r="AK28" i="80"/>
  <c r="M29" i="80"/>
  <c r="N29" i="80"/>
  <c r="G73" i="80"/>
  <c r="G42" i="80"/>
  <c r="G28" i="80"/>
  <c r="G34" i="80"/>
  <c r="G40" i="80"/>
  <c r="G38" i="80"/>
  <c r="R43" i="80"/>
  <c r="R42" i="80"/>
  <c r="R40" i="80"/>
  <c r="R28" i="80"/>
  <c r="Q9" i="79" s="1"/>
  <c r="R38" i="80"/>
  <c r="R36" i="80"/>
  <c r="I30" i="80"/>
  <c r="AJ28" i="80"/>
  <c r="AI41" i="80"/>
  <c r="AJ43" i="80" s="1"/>
  <c r="N62" i="80"/>
  <c r="L29" i="80"/>
  <c r="I42" i="80"/>
  <c r="AK43" i="80"/>
  <c r="G36" i="80"/>
  <c r="H38" i="80"/>
  <c r="K29" i="80"/>
  <c r="EX114" i="3"/>
  <c r="EX91" i="3"/>
  <c r="EL135" i="3"/>
  <c r="EL66" i="3"/>
  <c r="DX146" i="3"/>
  <c r="EI117" i="3"/>
  <c r="EI69" i="3"/>
  <c r="ET135" i="3"/>
  <c r="ET143" i="3" s="1"/>
  <c r="ET66" i="3"/>
  <c r="ET39" i="3"/>
  <c r="EQ117" i="3"/>
  <c r="EQ69" i="3"/>
  <c r="U89" i="3"/>
  <c r="U84" i="3" s="1"/>
  <c r="U92" i="3" s="1"/>
  <c r="AE12" i="3"/>
  <c r="CM69" i="3"/>
  <c r="DZ13" i="3"/>
  <c r="DZ17" i="3"/>
  <c r="DZ121" i="3" s="1"/>
  <c r="CI66" i="3"/>
  <c r="DY31" i="3"/>
  <c r="AP91" i="3"/>
  <c r="AQ10" i="3"/>
  <c r="BV91" i="3"/>
  <c r="BW10" i="3"/>
  <c r="EM117" i="3"/>
  <c r="EM69" i="3"/>
  <c r="AP68" i="3"/>
  <c r="EW135" i="3"/>
  <c r="EW143" i="3" s="1"/>
  <c r="EW66" i="3"/>
  <c r="EW39" i="3"/>
  <c r="EY33" i="3"/>
  <c r="EY137" i="3" s="1"/>
  <c r="EI37" i="3"/>
  <c r="EI141" i="3" s="1"/>
  <c r="FA14" i="3"/>
  <c r="FA118" i="3" s="1"/>
  <c r="CO73" i="3"/>
  <c r="CO76" i="3" s="1"/>
  <c r="AT51" i="3"/>
  <c r="AU46" i="3"/>
  <c r="AU51" i="3" s="1"/>
  <c r="AK89" i="3"/>
  <c r="AK84" i="3" s="1"/>
  <c r="AK92" i="3" s="1"/>
  <c r="FB15" i="3"/>
  <c r="FB119" i="3" s="1"/>
  <c r="AQ15" i="3"/>
  <c r="DN15" i="3"/>
  <c r="DN119" i="3" s="1"/>
  <c r="W66" i="3"/>
  <c r="W68" i="3" s="1"/>
  <c r="W39" i="3"/>
  <c r="EJ31" i="3"/>
  <c r="DI31" i="3"/>
  <c r="N91" i="3"/>
  <c r="O10" i="3"/>
  <c r="AW89" i="3"/>
  <c r="AW84" i="3" s="1"/>
  <c r="AW92" i="3" s="1"/>
  <c r="W15" i="3"/>
  <c r="DI15" i="3"/>
  <c r="DI119" i="3" s="1"/>
  <c r="CI15" i="3"/>
  <c r="DY15" i="3" s="1"/>
  <c r="DY119" i="3" s="1"/>
  <c r="BQ68" i="3"/>
  <c r="EO14" i="3"/>
  <c r="EO118" i="3" s="1"/>
  <c r="EV34" i="3"/>
  <c r="EV138" i="3" s="1"/>
  <c r="R51" i="3"/>
  <c r="S46" i="3"/>
  <c r="S51" i="3" s="1"/>
  <c r="EU46" i="3"/>
  <c r="EU150" i="3" s="1"/>
  <c r="EK49" i="3"/>
  <c r="EK153" i="3" s="1"/>
  <c r="EX56" i="3"/>
  <c r="EX160" i="3" s="1"/>
  <c r="AS89" i="3"/>
  <c r="AS84" i="3" s="1"/>
  <c r="AS92" i="3" s="1"/>
  <c r="Q89" i="3"/>
  <c r="Q84" i="3" s="1"/>
  <c r="Q92" i="3" s="1"/>
  <c r="Y89" i="3"/>
  <c r="Y84" i="3" s="1"/>
  <c r="Y92" i="3" s="1"/>
  <c r="BV68" i="3"/>
  <c r="EZ34" i="3"/>
  <c r="EZ138" i="3" s="1"/>
  <c r="CT48" i="3"/>
  <c r="BB51" i="3"/>
  <c r="BC46" i="3"/>
  <c r="EU49" i="3"/>
  <c r="EU153" i="3" s="1"/>
  <c r="EX38" i="3"/>
  <c r="EX142" i="3" s="1"/>
  <c r="BB91" i="3"/>
  <c r="BC10" i="3"/>
  <c r="CP91" i="3"/>
  <c r="S66" i="3"/>
  <c r="S68" i="3" s="1"/>
  <c r="S39" i="3"/>
  <c r="EI31" i="3"/>
  <c r="DH31" i="3"/>
  <c r="AX68" i="3"/>
  <c r="CE66" i="3"/>
  <c r="CE39" i="3"/>
  <c r="EY31" i="3"/>
  <c r="DX31" i="3"/>
  <c r="BW15" i="3"/>
  <c r="DV15" i="3" s="1"/>
  <c r="DV119" i="3" s="1"/>
  <c r="EK11" i="3"/>
  <c r="EK115" i="3" s="1"/>
  <c r="EJ12" i="3"/>
  <c r="EJ116" i="3" s="1"/>
  <c r="DX15" i="3"/>
  <c r="DX119" i="3" s="1"/>
  <c r="AG89" i="3"/>
  <c r="AG84" i="3" s="1"/>
  <c r="AG92" i="3" s="1"/>
  <c r="AM15" i="3"/>
  <c r="DM15" i="3" s="1"/>
  <c r="DM119" i="3" s="1"/>
  <c r="Z66" i="3"/>
  <c r="Z68" i="3" s="1"/>
  <c r="Z39" i="3"/>
  <c r="AA31" i="3"/>
  <c r="DJ31" i="3" s="1"/>
  <c r="DT33" i="3"/>
  <c r="DT137" i="3" s="1"/>
  <c r="ES50" i="3"/>
  <c r="ES154" i="3" s="1"/>
  <c r="DP11" i="3"/>
  <c r="DP115" i="3" s="1"/>
  <c r="DQ53" i="3"/>
  <c r="DQ157" i="3" s="1"/>
  <c r="DJ16" i="3"/>
  <c r="DJ120" i="3" s="1"/>
  <c r="DN49" i="3"/>
  <c r="DN153" i="3" s="1"/>
  <c r="DJ15" i="3"/>
  <c r="DJ119" i="3" s="1"/>
  <c r="BG66" i="3"/>
  <c r="BG39" i="3"/>
  <c r="AS68" i="3"/>
  <c r="EA72" i="3"/>
  <c r="AD51" i="3"/>
  <c r="AE46" i="3"/>
  <c r="AE51" i="3" s="1"/>
  <c r="W49" i="3"/>
  <c r="EJ49" i="3" s="1"/>
  <c r="EJ153" i="3" s="1"/>
  <c r="AE91" i="3"/>
  <c r="EL10" i="3"/>
  <c r="DK10" i="3"/>
  <c r="CA66" i="3"/>
  <c r="CA39" i="3"/>
  <c r="DW31" i="3"/>
  <c r="EX31" i="3"/>
  <c r="BR91" i="3"/>
  <c r="BS10" i="3"/>
  <c r="AE15" i="3"/>
  <c r="EL15" i="3" s="1"/>
  <c r="EL119" i="3" s="1"/>
  <c r="DK15" i="3"/>
  <c r="DK119" i="3" s="1"/>
  <c r="DP117" i="3"/>
  <c r="DP69" i="3"/>
  <c r="AL68" i="3"/>
  <c r="M89" i="3"/>
  <c r="M84" i="3" s="1"/>
  <c r="M92" i="3" s="1"/>
  <c r="EB92" i="3"/>
  <c r="BR66" i="3"/>
  <c r="BR39" i="3"/>
  <c r="BS31" i="3"/>
  <c r="CI51" i="3"/>
  <c r="DY42" i="3"/>
  <c r="EZ42" i="3"/>
  <c r="EZ146" i="3" s="1"/>
  <c r="EZ155" i="3" s="1"/>
  <c r="EW146" i="3"/>
  <c r="EW155" i="3" s="1"/>
  <c r="EW51" i="3"/>
  <c r="AA53" i="3"/>
  <c r="DJ53" i="3" s="1"/>
  <c r="DJ157" i="3" s="1"/>
  <c r="CH91" i="3"/>
  <c r="CI10" i="3"/>
  <c r="EZ10" i="3" s="1"/>
  <c r="CL91" i="3"/>
  <c r="CM10" i="3"/>
  <c r="CL66" i="3"/>
  <c r="CL39" i="3"/>
  <c r="CM31" i="3"/>
  <c r="CL45" i="2"/>
  <c r="CL71" i="3"/>
  <c r="AL51" i="3"/>
  <c r="AM46" i="3"/>
  <c r="AM51" i="3" s="1"/>
  <c r="CO92" i="3"/>
  <c r="CO89" i="3"/>
  <c r="AU15" i="3"/>
  <c r="EP15" i="3" s="1"/>
  <c r="EP119" i="3" s="1"/>
  <c r="DO15" i="3"/>
  <c r="DO119" i="3" s="1"/>
  <c r="BO66" i="3"/>
  <c r="BO39" i="3"/>
  <c r="EU31" i="3"/>
  <c r="DT31" i="3"/>
  <c r="CD39" i="3"/>
  <c r="O66" i="3"/>
  <c r="O68" i="3" s="1"/>
  <c r="O39" i="3"/>
  <c r="EH31" i="3"/>
  <c r="DG31" i="3"/>
  <c r="BC66" i="3"/>
  <c r="BC39" i="3"/>
  <c r="ER31" i="3"/>
  <c r="DQ31" i="3"/>
  <c r="EK31" i="3"/>
  <c r="DX33" i="3"/>
  <c r="DX137" i="3" s="1"/>
  <c r="J51" i="3"/>
  <c r="K46" i="3"/>
  <c r="K51" i="3" s="1"/>
  <c r="Z51" i="3"/>
  <c r="AA46" i="3"/>
  <c r="AA51" i="3" s="1"/>
  <c r="AP51" i="3"/>
  <c r="AQ46" i="3"/>
  <c r="AQ51" i="3" s="1"/>
  <c r="BF51" i="3"/>
  <c r="BG46" i="3"/>
  <c r="BG51" i="3" s="1"/>
  <c r="DK12" i="3"/>
  <c r="DK116" i="3" s="1"/>
  <c r="DZ14" i="3"/>
  <c r="DZ118" i="3" s="1"/>
  <c r="DH13" i="3"/>
  <c r="DR16" i="3"/>
  <c r="DR120" i="3" s="1"/>
  <c r="DT49" i="3"/>
  <c r="DT153" i="3" s="1"/>
  <c r="DT17" i="3"/>
  <c r="DT121" i="3" s="1"/>
  <c r="DR117" i="3"/>
  <c r="DR69" i="3"/>
  <c r="BJ68" i="3"/>
  <c r="BU92" i="3"/>
  <c r="BU89" i="3"/>
  <c r="BJ91" i="3"/>
  <c r="BK10" i="3"/>
  <c r="AQ66" i="3"/>
  <c r="AQ39" i="3"/>
  <c r="DN31" i="3"/>
  <c r="EK17" i="3"/>
  <c r="EK121" i="3" s="1"/>
  <c r="FA17" i="3"/>
  <c r="FA121" i="3" s="1"/>
  <c r="AT66" i="3"/>
  <c r="AT39" i="3"/>
  <c r="AU31" i="3"/>
  <c r="FB42" i="3"/>
  <c r="FB146" i="3" s="1"/>
  <c r="ER53" i="3"/>
  <c r="ER157" i="3" s="1"/>
  <c r="CP73" i="3"/>
  <c r="CP76" i="3" s="1"/>
  <c r="N51" i="3"/>
  <c r="O46" i="3"/>
  <c r="ET56" i="3"/>
  <c r="ET160" i="3" s="1"/>
  <c r="AD89" i="3"/>
  <c r="AD84" i="3" s="1"/>
  <c r="AD92" i="3" s="1"/>
  <c r="AE66" i="3"/>
  <c r="AE68" i="3" s="1"/>
  <c r="AE39" i="3"/>
  <c r="DK31" i="3"/>
  <c r="AL91" i="3"/>
  <c r="AM10" i="3"/>
  <c r="DM10" i="3" s="1"/>
  <c r="EQ11" i="3"/>
  <c r="EQ115" i="3" s="1"/>
  <c r="EY117" i="3"/>
  <c r="EY69" i="3"/>
  <c r="CD91" i="3"/>
  <c r="CE10" i="3"/>
  <c r="G49" i="79" s="1"/>
  <c r="DX10" i="3"/>
  <c r="EU117" i="3"/>
  <c r="EU69" i="3"/>
  <c r="BC15" i="3"/>
  <c r="ER15" i="3" s="1"/>
  <c r="ER119" i="3" s="1"/>
  <c r="DQ15" i="3"/>
  <c r="DQ119" i="3" s="1"/>
  <c r="DV135" i="3"/>
  <c r="DV143" i="3" s="1"/>
  <c r="DV66" i="3"/>
  <c r="DV39" i="3"/>
  <c r="ET17" i="3"/>
  <c r="ET121" i="3" s="1"/>
  <c r="EV31" i="3"/>
  <c r="DU34" i="3"/>
  <c r="DU138" i="3" s="1"/>
  <c r="AX51" i="3"/>
  <c r="AY46" i="3"/>
  <c r="DP46" i="3"/>
  <c r="EK53" i="3"/>
  <c r="EK157" i="3" s="1"/>
  <c r="EI11" i="3"/>
  <c r="EI115" i="3" s="1"/>
  <c r="DT117" i="3"/>
  <c r="DT69" i="3"/>
  <c r="BF91" i="3"/>
  <c r="BG10" i="3"/>
  <c r="DR10" i="3" s="1"/>
  <c r="CK92" i="3"/>
  <c r="CK89" i="3"/>
  <c r="BW66" i="3"/>
  <c r="CK86" i="3" s="1"/>
  <c r="CK85" i="3" s="1"/>
  <c r="BW39" i="3"/>
  <c r="EW17" i="3"/>
  <c r="EW121" i="3" s="1"/>
  <c r="FA31" i="3"/>
  <c r="CS152" i="3"/>
  <c r="V51" i="3"/>
  <c r="W46" i="3"/>
  <c r="BA89" i="3"/>
  <c r="BA84" i="3" s="1"/>
  <c r="BA92" i="3" s="1"/>
  <c r="AY66" i="3"/>
  <c r="AY39" i="3"/>
  <c r="DP31" i="3"/>
  <c r="EQ31" i="3"/>
  <c r="BN39" i="3"/>
  <c r="CK87" i="3"/>
  <c r="CD68" i="3"/>
  <c r="N39" i="3"/>
  <c r="BN91" i="3"/>
  <c r="BO10" i="3"/>
  <c r="DT10" i="3" s="1"/>
  <c r="BS15" i="3"/>
  <c r="DU15" i="3" s="1"/>
  <c r="DU119" i="3" s="1"/>
  <c r="EH17" i="3"/>
  <c r="EH121" i="3" s="1"/>
  <c r="EZ51" i="3"/>
  <c r="CI33" i="3"/>
  <c r="EZ33" i="3" s="1"/>
  <c r="EZ137" i="3" s="1"/>
  <c r="BZ51" i="3"/>
  <c r="CA42" i="3"/>
  <c r="EW53" i="3"/>
  <c r="EW157" i="3" s="1"/>
  <c r="EP56" i="3"/>
  <c r="EP160" i="3" s="1"/>
  <c r="DZ16" i="3"/>
  <c r="DZ120" i="3" s="1"/>
  <c r="ES31" i="3"/>
  <c r="DM46" i="3"/>
  <c r="DR11" i="3"/>
  <c r="DR115" i="3" s="1"/>
  <c r="EO31" i="3"/>
  <c r="FA13" i="3"/>
  <c r="DI53" i="3"/>
  <c r="DI157" i="3" s="1"/>
  <c r="DJ49" i="3"/>
  <c r="DJ153" i="3" s="1"/>
  <c r="DN11" i="3"/>
  <c r="DN115" i="3" s="1"/>
  <c r="DR17" i="3"/>
  <c r="DR121" i="3" s="1"/>
  <c r="BW69" i="3"/>
  <c r="EW13" i="3"/>
  <c r="AO89" i="3"/>
  <c r="AO84" i="3" s="1"/>
  <c r="AO92" i="3" s="1"/>
  <c r="CA91" i="3"/>
  <c r="DW10" i="3"/>
  <c r="EK117" i="3"/>
  <c r="EK69" i="3"/>
  <c r="V91" i="3"/>
  <c r="W10" i="3"/>
  <c r="EJ10" i="3" s="1"/>
  <c r="BZ92" i="3"/>
  <c r="BZ89" i="3"/>
  <c r="BI89" i="3"/>
  <c r="BI84" i="3" s="1"/>
  <c r="BI92" i="3" s="1"/>
  <c r="EL12" i="3"/>
  <c r="EL116" i="3" s="1"/>
  <c r="DL117" i="3"/>
  <c r="DL69" i="3"/>
  <c r="DJ17" i="3"/>
  <c r="DJ121" i="3" s="1"/>
  <c r="BK66" i="3"/>
  <c r="BK87" i="3" s="1"/>
  <c r="BK39" i="3"/>
  <c r="DS31" i="3"/>
  <c r="EO10" i="3"/>
  <c r="EW10" i="3"/>
  <c r="BF68" i="3"/>
  <c r="EP31" i="3"/>
  <c r="CE51" i="3"/>
  <c r="EY42" i="3"/>
  <c r="BJ51" i="3"/>
  <c r="BK46" i="3"/>
  <c r="DS46" i="3" s="1"/>
  <c r="ER48" i="3"/>
  <c r="ER152" i="3" s="1"/>
  <c r="EO49" i="3"/>
  <c r="EO153" i="3" s="1"/>
  <c r="CG87" i="3"/>
  <c r="BZ68" i="3"/>
  <c r="EN10" i="3"/>
  <c r="BQ92" i="3"/>
  <c r="BQ89" i="3"/>
  <c r="BK15" i="3"/>
  <c r="ET15" i="3" s="1"/>
  <c r="ET119" i="3" s="1"/>
  <c r="DS15" i="3"/>
  <c r="DS119" i="3" s="1"/>
  <c r="EO15" i="3"/>
  <c r="EO119" i="3" s="1"/>
  <c r="FA11" i="3"/>
  <c r="FA115" i="3" s="1"/>
  <c r="EZ12" i="3"/>
  <c r="EZ116" i="3" s="1"/>
  <c r="CE69" i="3"/>
  <c r="DX13" i="3"/>
  <c r="AM66" i="3"/>
  <c r="AM39" i="3"/>
  <c r="DM31" i="3"/>
  <c r="EN31" i="3"/>
  <c r="CI69" i="3"/>
  <c r="DY13" i="3"/>
  <c r="EH10" i="3"/>
  <c r="AX91" i="3"/>
  <c r="AY10" i="3"/>
  <c r="DP10" i="3"/>
  <c r="CC92" i="3"/>
  <c r="CC89" i="3"/>
  <c r="EJ15" i="3"/>
  <c r="EJ119" i="3" s="1"/>
  <c r="EZ15" i="3"/>
  <c r="EZ119" i="3" s="1"/>
  <c r="F39" i="3"/>
  <c r="G31" i="3"/>
  <c r="DE31" i="3" s="1"/>
  <c r="FA37" i="3"/>
  <c r="FA141" i="3" s="1"/>
  <c r="BS51" i="3"/>
  <c r="DU42" i="3"/>
  <c r="EV42" i="3"/>
  <c r="CM51" i="3"/>
  <c r="FA51" i="3" s="1"/>
  <c r="FA42" i="3"/>
  <c r="FA146" i="3" s="1"/>
  <c r="FA155" i="3" s="1"/>
  <c r="DZ42" i="3"/>
  <c r="BS33" i="3"/>
  <c r="EV33" i="3" s="1"/>
  <c r="EV137" i="3" s="1"/>
  <c r="AH51" i="3"/>
  <c r="AI46" i="3"/>
  <c r="BG53" i="3"/>
  <c r="ES53" i="3" s="1"/>
  <c r="ES157" i="3" s="1"/>
  <c r="EU44" i="3"/>
  <c r="EU148" i="3" s="1"/>
  <c r="EU155" i="3" s="1"/>
  <c r="DE114" i="3"/>
  <c r="FA15" i="3"/>
  <c r="FA119" i="3" s="1"/>
  <c r="CF87" i="3"/>
  <c r="AT91" i="3"/>
  <c r="AU10" i="3"/>
  <c r="CG92" i="3"/>
  <c r="CG89" i="3"/>
  <c r="FB63" i="2"/>
  <c r="FB64" i="2" s="1"/>
  <c r="EA63" i="2"/>
  <c r="EA64" i="2" s="1"/>
  <c r="CQ64" i="2"/>
  <c r="R91" i="3"/>
  <c r="S10" i="3"/>
  <c r="ES11" i="3"/>
  <c r="ES115" i="3" s="1"/>
  <c r="Z91" i="3"/>
  <c r="AA10" i="3"/>
  <c r="BE89" i="3"/>
  <c r="BE84" i="3" s="1"/>
  <c r="BE92" i="3" s="1"/>
  <c r="J39" i="3"/>
  <c r="K31" i="3"/>
  <c r="DF31" i="3" s="1"/>
  <c r="BW51" i="3"/>
  <c r="DV42" i="3"/>
  <c r="DT155" i="3"/>
  <c r="EN53" i="3"/>
  <c r="EN157" i="3" s="1"/>
  <c r="F51" i="3"/>
  <c r="G46" i="3"/>
  <c r="ER46" i="3"/>
  <c r="EM49" i="3"/>
  <c r="EM153" i="3" s="1"/>
  <c r="FB10" i="3"/>
  <c r="O15" i="3"/>
  <c r="EH15" i="3" s="1"/>
  <c r="EH119" i="3" s="1"/>
  <c r="CA15" i="3"/>
  <c r="EX15" i="3" s="1"/>
  <c r="EX119" i="3" s="1"/>
  <c r="DW15" i="3"/>
  <c r="DW119" i="3" s="1"/>
  <c r="AI66" i="3"/>
  <c r="AI68" i="3" s="1"/>
  <c r="AI39" i="3"/>
  <c r="DL31" i="3"/>
  <c r="EM31" i="3"/>
  <c r="BN68" i="3"/>
  <c r="EW15" i="3"/>
  <c r="EW119" i="3" s="1"/>
  <c r="BI87" i="3"/>
  <c r="BB68" i="3"/>
  <c r="BG15" i="3"/>
  <c r="ES15" i="3" s="1"/>
  <c r="ES119" i="3" s="1"/>
  <c r="AH91" i="3"/>
  <c r="AI10" i="3"/>
  <c r="BM89" i="3"/>
  <c r="BM84" i="3" s="1"/>
  <c r="BM92" i="3" s="1"/>
  <c r="EN15" i="3"/>
  <c r="EN119" i="3" s="1"/>
  <c r="EJ16" i="3"/>
  <c r="EJ120" i="3" s="1"/>
  <c r="ER16" i="3"/>
  <c r="ER120" i="3" s="1"/>
  <c r="EZ16" i="3"/>
  <c r="EZ120" i="3" s="1"/>
  <c r="DR31" i="3"/>
  <c r="DS38" i="3"/>
  <c r="DS142" i="3" s="1"/>
  <c r="EX42" i="3"/>
  <c r="EK46" i="3"/>
  <c r="EO46" i="3"/>
  <c r="ES46" i="3"/>
  <c r="AQ53" i="3"/>
  <c r="EO53" i="3" s="1"/>
  <c r="EO157" i="3" s="1"/>
  <c r="EL38" i="3"/>
  <c r="EL142" i="3" s="1"/>
  <c r="DS17" i="3"/>
  <c r="DS121" i="3" s="1"/>
  <c r="DV13" i="3"/>
  <c r="DM12" i="3"/>
  <c r="DM116" i="3" s="1"/>
  <c r="DV17" i="3"/>
  <c r="DV121" i="3" s="1"/>
  <c r="DQ12" i="3"/>
  <c r="DQ116" i="3" s="1"/>
  <c r="EZ31" i="3"/>
  <c r="DK46" i="3"/>
  <c r="DX11" i="3"/>
  <c r="DX115" i="3" s="1"/>
  <c r="DX45" i="3"/>
  <c r="DX149" i="3" s="1"/>
  <c r="EA14" i="2"/>
  <c r="BX197" i="2"/>
  <c r="BY160" i="2"/>
  <c r="DY179" i="2"/>
  <c r="CJ179" i="2"/>
  <c r="CK179" i="2" s="1"/>
  <c r="CL179" i="2" s="1"/>
  <c r="CM179" i="2" s="1"/>
  <c r="CR81" i="2"/>
  <c r="CS36" i="3"/>
  <c r="FB9" i="2"/>
  <c r="EB60" i="2"/>
  <c r="DY187" i="2"/>
  <c r="CJ187" i="2"/>
  <c r="CK187" i="2" s="1"/>
  <c r="CL187" i="2" s="1"/>
  <c r="CM187" i="2" s="1"/>
  <c r="BW196" i="2"/>
  <c r="BW232" i="2" s="1"/>
  <c r="DV232" i="2" s="1"/>
  <c r="DV159" i="2"/>
  <c r="BX159" i="2"/>
  <c r="CT82" i="2"/>
  <c r="CU22" i="2"/>
  <c r="CV22" i="2" s="1"/>
  <c r="FC22" i="2" s="1"/>
  <c r="CE64" i="2"/>
  <c r="DX60" i="2"/>
  <c r="DX64" i="2" s="1"/>
  <c r="CA109" i="2"/>
  <c r="DY161" i="2"/>
  <c r="CJ161" i="2"/>
  <c r="CK161" i="2" s="1"/>
  <c r="CL161" i="2" s="1"/>
  <c r="CM161" i="2" s="1"/>
  <c r="CJ188" i="2"/>
  <c r="CK188" i="2" s="1"/>
  <c r="CL188" i="2" s="1"/>
  <c r="CM188" i="2" s="1"/>
  <c r="DY188" i="2"/>
  <c r="CA204" i="2"/>
  <c r="CB167" i="2"/>
  <c r="DW167" i="2"/>
  <c r="CT18" i="2"/>
  <c r="CA108" i="2"/>
  <c r="DY175" i="2"/>
  <c r="CJ175" i="2"/>
  <c r="CK175" i="2" s="1"/>
  <c r="CL175" i="2" s="1"/>
  <c r="CM175" i="2" s="1"/>
  <c r="BZ119" i="2"/>
  <c r="BZ124" i="2" s="1"/>
  <c r="CA106" i="2"/>
  <c r="CO220" i="2"/>
  <c r="CD224" i="2"/>
  <c r="CD145" i="2"/>
  <c r="CC123" i="2"/>
  <c r="CC206" i="2" s="1"/>
  <c r="CC242" i="2" s="1"/>
  <c r="EA23" i="2"/>
  <c r="FB20" i="2"/>
  <c r="CT20" i="2"/>
  <c r="CU20" i="2" s="1"/>
  <c r="DY181" i="2"/>
  <c r="CJ181" i="2"/>
  <c r="CK181" i="2" s="1"/>
  <c r="CL181" i="2" s="1"/>
  <c r="CM181" i="2" s="1"/>
  <c r="CD70" i="2"/>
  <c r="CD73" i="2" s="1"/>
  <c r="CN111" i="2"/>
  <c r="CO111" i="2" s="1"/>
  <c r="CP111" i="2" s="1"/>
  <c r="CQ111" i="2" s="1"/>
  <c r="DZ111" i="2"/>
  <c r="BX195" i="2"/>
  <c r="BY158" i="2"/>
  <c r="DW107" i="2"/>
  <c r="CB107" i="2"/>
  <c r="DV197" i="2"/>
  <c r="BW192" i="2"/>
  <c r="DV155" i="2"/>
  <c r="BX155" i="2"/>
  <c r="CA143" i="2"/>
  <c r="DW143" i="2" s="1"/>
  <c r="CB121" i="2"/>
  <c r="DW121" i="2"/>
  <c r="CP203" i="2"/>
  <c r="CP221" i="2" s="1"/>
  <c r="CQ117" i="2"/>
  <c r="EA117" i="2" s="1"/>
  <c r="CD216" i="2"/>
  <c r="CD133" i="2"/>
  <c r="CK140" i="2"/>
  <c r="CL118" i="2"/>
  <c r="BW194" i="2"/>
  <c r="BW230" i="2" s="1"/>
  <c r="DV157" i="2"/>
  <c r="BX157" i="2"/>
  <c r="BZ198" i="2"/>
  <c r="BZ216" i="2" s="1"/>
  <c r="CA112" i="2"/>
  <c r="CS87" i="2"/>
  <c r="CT32" i="2"/>
  <c r="DW110" i="2"/>
  <c r="CB110" i="2"/>
  <c r="CA111" i="2"/>
  <c r="BV207" i="2"/>
  <c r="DY178" i="2"/>
  <c r="CJ178" i="2"/>
  <c r="CK178" i="2" s="1"/>
  <c r="CL178" i="2" s="1"/>
  <c r="CM178" i="2" s="1"/>
  <c r="CN108" i="2"/>
  <c r="CO108" i="2" s="1"/>
  <c r="CP108" i="2" s="1"/>
  <c r="CQ108" i="2" s="1"/>
  <c r="DZ108" i="2"/>
  <c r="CK142" i="2"/>
  <c r="CJ120" i="2"/>
  <c r="CO221" i="2"/>
  <c r="CH189" i="2"/>
  <c r="CG169" i="2"/>
  <c r="CB144" i="2"/>
  <c r="CC122" i="2"/>
  <c r="CP123" i="2"/>
  <c r="CQ145" i="2"/>
  <c r="EA133" i="2"/>
  <c r="CR133" i="2"/>
  <c r="CS133" i="2" s="1"/>
  <c r="CT133" i="2" s="1"/>
  <c r="CU133" i="2" s="1"/>
  <c r="BW231" i="2"/>
  <c r="DV231" i="2" s="1"/>
  <c r="DV195" i="2"/>
  <c r="BV230" i="2"/>
  <c r="DY176" i="2"/>
  <c r="CJ176" i="2"/>
  <c r="CK176" i="2" s="1"/>
  <c r="CL176" i="2" s="1"/>
  <c r="CM176" i="2" s="1"/>
  <c r="DY180" i="2"/>
  <c r="CJ180" i="2"/>
  <c r="CK180" i="2" s="1"/>
  <c r="CL180" i="2" s="1"/>
  <c r="CM180" i="2" s="1"/>
  <c r="BY216" i="2"/>
  <c r="CG212" i="2"/>
  <c r="CG177" i="2"/>
  <c r="CH177" i="2" s="1"/>
  <c r="CI177" i="2" s="1"/>
  <c r="CP202" i="2"/>
  <c r="CP220" i="2" s="1"/>
  <c r="CQ116" i="2"/>
  <c r="EA116" i="2" s="1"/>
  <c r="BX193" i="2"/>
  <c r="BY156" i="2"/>
  <c r="CB242" i="2"/>
  <c r="CA205" i="2"/>
  <c r="CB168" i="2"/>
  <c r="DW168" i="2"/>
  <c r="EY56" i="2"/>
  <c r="EX56" i="2"/>
  <c r="ET56" i="2"/>
  <c r="EP56" i="2"/>
  <c r="EL56" i="2"/>
  <c r="EH56" i="2"/>
  <c r="DZ56" i="2"/>
  <c r="DY56" i="2"/>
  <c r="DV56" i="2"/>
  <c r="DR56" i="2"/>
  <c r="DQ56" i="2"/>
  <c r="DN56" i="2"/>
  <c r="DM56" i="2"/>
  <c r="DJ56" i="2"/>
  <c r="DI56" i="2"/>
  <c r="FB36" i="3" l="1"/>
  <c r="FB140" i="3" s="1"/>
  <c r="V54" i="80"/>
  <c r="U28" i="79"/>
  <c r="U39" i="79"/>
  <c r="W52" i="80"/>
  <c r="W51" i="80" s="1"/>
  <c r="V30" i="79" s="1"/>
  <c r="V38" i="79" s="1"/>
  <c r="V39" i="79" s="1"/>
  <c r="EZ91" i="3"/>
  <c r="EZ114" i="3"/>
  <c r="DY33" i="3"/>
  <c r="DY137" i="3" s="1"/>
  <c r="DT51" i="3"/>
  <c r="W29" i="79"/>
  <c r="Y50" i="80"/>
  <c r="CZ36" i="2"/>
  <c r="EC36" i="2"/>
  <c r="CZ37" i="2"/>
  <c r="EC37" i="2"/>
  <c r="EY11" i="3"/>
  <c r="EY115" i="3" s="1"/>
  <c r="S49" i="79"/>
  <c r="CQ91" i="3"/>
  <c r="CQ92" i="3" s="1"/>
  <c r="EA10" i="3"/>
  <c r="DN53" i="3"/>
  <c r="DN157" i="3" s="1"/>
  <c r="FA66" i="3"/>
  <c r="FA135" i="3"/>
  <c r="FA143" i="3" s="1"/>
  <c r="FA10" i="3"/>
  <c r="O16" i="79"/>
  <c r="O49" i="79"/>
  <c r="EN46" i="3"/>
  <c r="EA117" i="3"/>
  <c r="EA69" i="3"/>
  <c r="FD62" i="2"/>
  <c r="DA62" i="2"/>
  <c r="DB62" i="2" s="1"/>
  <c r="DC62" i="2" s="1"/>
  <c r="ED62" i="2" s="1"/>
  <c r="CQ51" i="3"/>
  <c r="EA42" i="3"/>
  <c r="EA146" i="3" s="1"/>
  <c r="EZ66" i="3"/>
  <c r="EZ135" i="3"/>
  <c r="EZ143" i="3" s="1"/>
  <c r="FA69" i="3"/>
  <c r="FA117" i="3"/>
  <c r="EL39" i="3"/>
  <c r="CW38" i="2"/>
  <c r="CX38" i="2" s="1"/>
  <c r="CY38" i="2" s="1"/>
  <c r="FC38" i="2"/>
  <c r="EC67" i="2"/>
  <c r="CZ67" i="2"/>
  <c r="EC60" i="2"/>
  <c r="CZ60" i="2"/>
  <c r="CX87" i="3"/>
  <c r="CV87" i="3"/>
  <c r="CW87" i="3"/>
  <c r="DC86" i="3"/>
  <c r="DC85" i="3" s="1"/>
  <c r="CU87" i="3"/>
  <c r="K16" i="79"/>
  <c r="K49" i="79"/>
  <c r="EL46" i="3"/>
  <c r="CS11" i="3"/>
  <c r="DZ11" i="3"/>
  <c r="DZ115" i="3" s="1"/>
  <c r="FB11" i="3"/>
  <c r="FB115" i="3" s="1"/>
  <c r="EC61" i="2"/>
  <c r="CZ61" i="2"/>
  <c r="EC66" i="2"/>
  <c r="CZ66" i="2"/>
  <c r="EC10" i="2"/>
  <c r="CZ10" i="2"/>
  <c r="BP87" i="3"/>
  <c r="CP71" i="3"/>
  <c r="CS72" i="3"/>
  <c r="CT72" i="3" s="1"/>
  <c r="CU72" i="3" s="1"/>
  <c r="CV72" i="3" s="1"/>
  <c r="FB72" i="3"/>
  <c r="CW21" i="2"/>
  <c r="CX21" i="2" s="1"/>
  <c r="CY21" i="2" s="1"/>
  <c r="FC21" i="2"/>
  <c r="FB114" i="3"/>
  <c r="FB91" i="3"/>
  <c r="CT147" i="3"/>
  <c r="EB72" i="3"/>
  <c r="EB133" i="2"/>
  <c r="CV133" i="2"/>
  <c r="CW133" i="2" s="1"/>
  <c r="CX133" i="2" s="1"/>
  <c r="CY133" i="2" s="1"/>
  <c r="CV26" i="3"/>
  <c r="CW29" i="2"/>
  <c r="EB20" i="2"/>
  <c r="CV20" i="2"/>
  <c r="CV82" i="2"/>
  <c r="CW22" i="2"/>
  <c r="CV43" i="3"/>
  <c r="CW39" i="2"/>
  <c r="CV25" i="3"/>
  <c r="CW30" i="2"/>
  <c r="CW31" i="2"/>
  <c r="CA87" i="3"/>
  <c r="BG87" i="3"/>
  <c r="BQ86" i="3"/>
  <c r="BQ85" i="3" s="1"/>
  <c r="BL87" i="3"/>
  <c r="K18" i="79"/>
  <c r="K17" i="79" s="1"/>
  <c r="K22" i="79" s="1"/>
  <c r="J17" i="79"/>
  <c r="J22" i="79" s="1"/>
  <c r="J21" i="79"/>
  <c r="G17" i="79"/>
  <c r="G43" i="79"/>
  <c r="G45" i="79" s="1"/>
  <c r="G50" i="79" s="1"/>
  <c r="G23" i="79"/>
  <c r="N27" i="79"/>
  <c r="O69" i="80"/>
  <c r="O73" i="80"/>
  <c r="O60" i="80"/>
  <c r="O68" i="80"/>
  <c r="D17" i="79"/>
  <c r="D22" i="79" s="1"/>
  <c r="D23" i="79"/>
  <c r="E24" i="79" s="1"/>
  <c r="D43" i="79"/>
  <c r="D45" i="79" s="1"/>
  <c r="D50" i="79" s="1"/>
  <c r="L43" i="79"/>
  <c r="L45" i="79" s="1"/>
  <c r="L50" i="79" s="1"/>
  <c r="L23" i="79"/>
  <c r="F21" i="79"/>
  <c r="F19" i="79"/>
  <c r="N61" i="80"/>
  <c r="G29" i="80"/>
  <c r="F9" i="79"/>
  <c r="I29" i="80"/>
  <c r="G9" i="79"/>
  <c r="I17" i="79"/>
  <c r="I22" i="79" s="1"/>
  <c r="I23" i="79"/>
  <c r="I21" i="79"/>
  <c r="O23" i="79"/>
  <c r="Q58" i="80"/>
  <c r="P66" i="80"/>
  <c r="P67" i="80" s="1"/>
  <c r="K43" i="79"/>
  <c r="K23" i="79"/>
  <c r="K24" i="79" s="1"/>
  <c r="CU28" i="2"/>
  <c r="CP99" i="2"/>
  <c r="CP89" i="2"/>
  <c r="EB30" i="2"/>
  <c r="CU25" i="3"/>
  <c r="EB25" i="3" s="1"/>
  <c r="EB129" i="3" s="1"/>
  <c r="FB39" i="3"/>
  <c r="CT130" i="3"/>
  <c r="CT125" i="3"/>
  <c r="CT129" i="3"/>
  <c r="CU19" i="2"/>
  <c r="CV19" i="2" s="1"/>
  <c r="FC19" i="2" s="1"/>
  <c r="CT27" i="3"/>
  <c r="EB39" i="2"/>
  <c r="CU43" i="3"/>
  <c r="EB43" i="3" s="1"/>
  <c r="EB147" i="3" s="1"/>
  <c r="EA140" i="3"/>
  <c r="EA143" i="3" s="1"/>
  <c r="EA39" i="3"/>
  <c r="EB29" i="2"/>
  <c r="CU26" i="3"/>
  <c r="EB26" i="3" s="1"/>
  <c r="EB130" i="3" s="1"/>
  <c r="EA22" i="3"/>
  <c r="EA126" i="3" s="1"/>
  <c r="CU13" i="2"/>
  <c r="CS128" i="3"/>
  <c r="CT128" i="3" s="1"/>
  <c r="AL13" i="80"/>
  <c r="R8" i="79"/>
  <c r="R6" i="79"/>
  <c r="S7" i="79"/>
  <c r="Q19" i="79"/>
  <c r="DT56" i="2"/>
  <c r="DJ52" i="2"/>
  <c r="DJ51" i="2"/>
  <c r="DJ50" i="2" s="1"/>
  <c r="DR52" i="2"/>
  <c r="DR51" i="2"/>
  <c r="DR50" i="2" s="1"/>
  <c r="DW56" i="2"/>
  <c r="EI56" i="2"/>
  <c r="EQ56" i="2"/>
  <c r="DH56" i="2"/>
  <c r="DL56" i="2"/>
  <c r="DP56" i="2"/>
  <c r="DY51" i="2"/>
  <c r="DY50" i="2" s="1"/>
  <c r="DY52" i="2"/>
  <c r="DI51" i="2"/>
  <c r="DI50" i="2" s="1"/>
  <c r="DI52" i="2"/>
  <c r="DM52" i="2"/>
  <c r="DM51" i="2"/>
  <c r="DM50" i="2" s="1"/>
  <c r="DQ51" i="2"/>
  <c r="DQ50" i="2" s="1"/>
  <c r="DQ52" i="2"/>
  <c r="DV51" i="2"/>
  <c r="DV50" i="2" s="1"/>
  <c r="DV52" i="2"/>
  <c r="DZ51" i="2"/>
  <c r="DZ50" i="2" s="1"/>
  <c r="DZ52" i="2"/>
  <c r="EH52" i="2"/>
  <c r="EH51" i="2"/>
  <c r="EH50" i="2" s="1"/>
  <c r="EL52" i="2"/>
  <c r="EL51" i="2"/>
  <c r="EL50" i="2" s="1"/>
  <c r="EP52" i="2"/>
  <c r="EP51" i="2"/>
  <c r="EP50" i="2" s="1"/>
  <c r="ET52" i="2"/>
  <c r="ET51" i="2"/>
  <c r="ET50" i="2" s="1"/>
  <c r="EY51" i="2"/>
  <c r="EY50" i="2" s="1"/>
  <c r="EY52" i="2"/>
  <c r="CS77" i="2"/>
  <c r="BS56" i="2"/>
  <c r="DG56" i="2"/>
  <c r="DK56" i="2"/>
  <c r="DO56" i="2"/>
  <c r="DS56" i="2"/>
  <c r="DX56" i="2"/>
  <c r="EJ56" i="2"/>
  <c r="EN56" i="2"/>
  <c r="ER56" i="2"/>
  <c r="EW56" i="2"/>
  <c r="BO56" i="2"/>
  <c r="DN51" i="2"/>
  <c r="DN50" i="2" s="1"/>
  <c r="DN52" i="2"/>
  <c r="EM56" i="2"/>
  <c r="EG56" i="2"/>
  <c r="EK56" i="2"/>
  <c r="EO56" i="2"/>
  <c r="ES56" i="2"/>
  <c r="EX52" i="2"/>
  <c r="EX51" i="2"/>
  <c r="EX50" i="2" s="1"/>
  <c r="K30" i="80"/>
  <c r="X49" i="80"/>
  <c r="X65" i="80"/>
  <c r="W34" i="79" s="1"/>
  <c r="W33" i="79" s="1"/>
  <c r="T15" i="80"/>
  <c r="T5" i="79"/>
  <c r="R30" i="80"/>
  <c r="S28" i="80"/>
  <c r="R9" i="79" s="1"/>
  <c r="R29" i="80"/>
  <c r="AK30" i="80"/>
  <c r="H29" i="80"/>
  <c r="L30" i="80"/>
  <c r="AI28" i="80"/>
  <c r="AJ30" i="80" s="1"/>
  <c r="DS150" i="3"/>
  <c r="DS155" i="3" s="1"/>
  <c r="DS51" i="3"/>
  <c r="DF135" i="3"/>
  <c r="DF143" i="3" s="1"/>
  <c r="DF39" i="3"/>
  <c r="EJ114" i="3"/>
  <c r="EJ91" i="3"/>
  <c r="EK150" i="3"/>
  <c r="EK155" i="3" s="1"/>
  <c r="EK51" i="3"/>
  <c r="AI91" i="3"/>
  <c r="EM10" i="3"/>
  <c r="EM135" i="3"/>
  <c r="EM143" i="3" s="1"/>
  <c r="EM66" i="3"/>
  <c r="EM39" i="3"/>
  <c r="DP91" i="3"/>
  <c r="DP114" i="3"/>
  <c r="DX117" i="3"/>
  <c r="DX69" i="3"/>
  <c r="BF89" i="3"/>
  <c r="BF84" i="3" s="1"/>
  <c r="BF92" i="3" s="1"/>
  <c r="FB70" i="3"/>
  <c r="EA70" i="3"/>
  <c r="CQ89" i="3"/>
  <c r="DN135" i="3"/>
  <c r="DN143" i="3" s="1"/>
  <c r="DN66" i="3"/>
  <c r="DN39" i="3"/>
  <c r="DH117" i="3"/>
  <c r="DH69" i="3"/>
  <c r="EH135" i="3"/>
  <c r="EH143" i="3" s="1"/>
  <c r="EH66" i="3"/>
  <c r="EH39" i="3"/>
  <c r="CM66" i="3"/>
  <c r="CZ86" i="3" s="1"/>
  <c r="CZ85" i="3" s="1"/>
  <c r="CM39" i="3"/>
  <c r="FA39" i="3" s="1"/>
  <c r="BS91" i="3"/>
  <c r="EL114" i="3"/>
  <c r="EL91" i="3"/>
  <c r="BB89" i="3"/>
  <c r="BB84" i="3" s="1"/>
  <c r="BB92" i="3" s="1"/>
  <c r="DR114" i="3"/>
  <c r="DR91" i="3"/>
  <c r="EL150" i="3"/>
  <c r="EL155" i="3" s="1"/>
  <c r="EL51" i="3"/>
  <c r="DX155" i="3"/>
  <c r="EN150" i="3"/>
  <c r="EN155" i="3" s="1"/>
  <c r="EN51" i="3"/>
  <c r="EO150" i="3"/>
  <c r="EO155" i="3" s="1"/>
  <c r="EO51" i="3"/>
  <c r="DR135" i="3"/>
  <c r="DR143" i="3" s="1"/>
  <c r="DR66" i="3"/>
  <c r="DR39" i="3"/>
  <c r="DL10" i="3"/>
  <c r="DR15" i="3"/>
  <c r="DR119" i="3" s="1"/>
  <c r="DG15" i="3"/>
  <c r="DG119" i="3" s="1"/>
  <c r="G51" i="3"/>
  <c r="DE46" i="3"/>
  <c r="Z89" i="3"/>
  <c r="Z84" i="3" s="1"/>
  <c r="Z92" i="3" s="1"/>
  <c r="S91" i="3"/>
  <c r="EI10" i="3"/>
  <c r="AI51" i="3"/>
  <c r="EM46" i="3"/>
  <c r="DU33" i="3"/>
  <c r="DU137" i="3" s="1"/>
  <c r="AX89" i="3"/>
  <c r="AX84" i="3" s="1"/>
  <c r="AX92" i="3" s="1"/>
  <c r="AM68" i="3"/>
  <c r="EP46" i="3"/>
  <c r="EP135" i="3"/>
  <c r="EP143" i="3" s="1"/>
  <c r="EP66" i="3"/>
  <c r="EP39" i="3"/>
  <c r="EW114" i="3"/>
  <c r="EW91" i="3"/>
  <c r="BR87" i="3"/>
  <c r="BK68" i="3"/>
  <c r="CA51" i="3"/>
  <c r="DW42" i="3"/>
  <c r="BN89" i="3"/>
  <c r="BN84" i="3" s="1"/>
  <c r="BN92" i="3" s="1"/>
  <c r="DP135" i="3"/>
  <c r="DP143" i="3" s="1"/>
  <c r="DP66" i="3"/>
  <c r="DP39" i="3"/>
  <c r="CD87" i="3"/>
  <c r="BW68" i="3"/>
  <c r="CL86" i="3"/>
  <c r="CL85" i="3" s="1"/>
  <c r="CB87" i="3"/>
  <c r="CJ86" i="3"/>
  <c r="CJ85" i="3" s="1"/>
  <c r="BG91" i="3"/>
  <c r="ES10" i="3"/>
  <c r="CD92" i="3"/>
  <c r="CD89" i="3"/>
  <c r="DK135" i="3"/>
  <c r="DK143" i="3" s="1"/>
  <c r="DK66" i="3"/>
  <c r="DK39" i="3"/>
  <c r="AU66" i="3"/>
  <c r="AZ87" i="3" s="1"/>
  <c r="AU39" i="3"/>
  <c r="BQ87" i="3"/>
  <c r="EK135" i="3"/>
  <c r="EK143" i="3" s="1"/>
  <c r="EK66" i="3"/>
  <c r="EK39" i="3"/>
  <c r="DQ135" i="3"/>
  <c r="DQ143" i="3" s="1"/>
  <c r="DQ66" i="3"/>
  <c r="DQ39" i="3"/>
  <c r="DG135" i="3"/>
  <c r="DG143" i="3" s="1"/>
  <c r="DG66" i="3"/>
  <c r="DG39" i="3"/>
  <c r="CH92" i="3"/>
  <c r="CH89" i="3"/>
  <c r="EU51" i="3"/>
  <c r="DY146" i="3"/>
  <c r="DY155" i="3" s="1"/>
  <c r="DY51" i="3"/>
  <c r="BR68" i="3"/>
  <c r="DU10" i="3"/>
  <c r="EX135" i="3"/>
  <c r="EX143" i="3" s="1"/>
  <c r="EX66" i="3"/>
  <c r="EX39" i="3"/>
  <c r="DK114" i="3"/>
  <c r="DK91" i="3"/>
  <c r="DI49" i="3"/>
  <c r="DI153" i="3" s="1"/>
  <c r="BO87" i="3"/>
  <c r="CL87" i="3"/>
  <c r="CT86" i="3"/>
  <c r="CT85" i="3" s="1"/>
  <c r="CQ86" i="3"/>
  <c r="CQ85" i="3" s="1"/>
  <c r="CJ87" i="3"/>
  <c r="CI87" i="3"/>
  <c r="DH135" i="3"/>
  <c r="DH143" i="3" s="1"/>
  <c r="DH66" i="3"/>
  <c r="DH39" i="3"/>
  <c r="BC91" i="3"/>
  <c r="ER10" i="3"/>
  <c r="BC51" i="3"/>
  <c r="DQ46" i="3"/>
  <c r="CU48" i="3"/>
  <c r="DH46" i="3"/>
  <c r="N89" i="3"/>
  <c r="N84" i="3" s="1"/>
  <c r="N92" i="3" s="1"/>
  <c r="EJ135" i="3"/>
  <c r="EJ143" i="3" s="1"/>
  <c r="EJ66" i="3"/>
  <c r="EJ39" i="3"/>
  <c r="DO46" i="3"/>
  <c r="BV92" i="3"/>
  <c r="BV89" i="3"/>
  <c r="EV15" i="3"/>
  <c r="EV119" i="3" s="1"/>
  <c r="DF46" i="3"/>
  <c r="DX51" i="3"/>
  <c r="DH10" i="3"/>
  <c r="EN135" i="3"/>
  <c r="EN143" i="3" s="1"/>
  <c r="EN66" i="3"/>
  <c r="EN39" i="3"/>
  <c r="DW114" i="3"/>
  <c r="DW91" i="3"/>
  <c r="DM150" i="3"/>
  <c r="DM155" i="3" s="1"/>
  <c r="DM51" i="3"/>
  <c r="DT91" i="3"/>
  <c r="DT114" i="3"/>
  <c r="DM114" i="3"/>
  <c r="DM91" i="3"/>
  <c r="ER135" i="3"/>
  <c r="ER143" i="3" s="1"/>
  <c r="ER66" i="3"/>
  <c r="ER39" i="3"/>
  <c r="DT135" i="3"/>
  <c r="DT143" i="3" s="1"/>
  <c r="DT66" i="3"/>
  <c r="DT39" i="3"/>
  <c r="CM91" i="3"/>
  <c r="DZ10" i="3"/>
  <c r="EI135" i="3"/>
  <c r="EI143" i="3" s="1"/>
  <c r="EI66" i="3"/>
  <c r="EI39" i="3"/>
  <c r="CP92" i="3"/>
  <c r="CP89" i="3"/>
  <c r="DY135" i="3"/>
  <c r="DY143" i="3" s="1"/>
  <c r="DY66" i="3"/>
  <c r="DY39" i="3"/>
  <c r="DV117" i="3"/>
  <c r="DV69" i="3"/>
  <c r="EX146" i="3"/>
  <c r="EX155" i="3" s="1"/>
  <c r="EX51" i="3"/>
  <c r="AH89" i="3"/>
  <c r="AH84" i="3" s="1"/>
  <c r="AH92" i="3" s="1"/>
  <c r="DL135" i="3"/>
  <c r="DL143" i="3" s="1"/>
  <c r="DL66" i="3"/>
  <c r="DL39" i="3"/>
  <c r="ER150" i="3"/>
  <c r="ER155" i="3" s="1"/>
  <c r="ER51" i="3"/>
  <c r="K39" i="3"/>
  <c r="CS63" i="2"/>
  <c r="AU91" i="3"/>
  <c r="EP10" i="3"/>
  <c r="DO10" i="3"/>
  <c r="EI46" i="3"/>
  <c r="EV146" i="3"/>
  <c r="EV155" i="3" s="1"/>
  <c r="EV51" i="3"/>
  <c r="DE135" i="3"/>
  <c r="DE143" i="3" s="1"/>
  <c r="DE39" i="3"/>
  <c r="DM135" i="3"/>
  <c r="DM143" i="3" s="1"/>
  <c r="DM66" i="3"/>
  <c r="DM39" i="3"/>
  <c r="BK51" i="3"/>
  <c r="ET46" i="3"/>
  <c r="EY146" i="3"/>
  <c r="EY155" i="3" s="1"/>
  <c r="EY51" i="3"/>
  <c r="DS135" i="3"/>
  <c r="DS143" i="3" s="1"/>
  <c r="DS66" i="3"/>
  <c r="DS39" i="3"/>
  <c r="V89" i="3"/>
  <c r="V84" i="3" s="1"/>
  <c r="V92" i="3" s="1"/>
  <c r="ES135" i="3"/>
  <c r="ES143" i="3" s="1"/>
  <c r="ES66" i="3"/>
  <c r="ES39" i="3"/>
  <c r="AY68" i="3"/>
  <c r="BF87" i="3"/>
  <c r="BN86" i="3"/>
  <c r="BD87" i="3"/>
  <c r="BC87" i="3"/>
  <c r="BK86" i="3"/>
  <c r="BL86" i="3"/>
  <c r="CT152" i="3"/>
  <c r="EZ89" i="3"/>
  <c r="EZ84" i="3" s="1"/>
  <c r="EZ92" i="3" s="1"/>
  <c r="DP150" i="3"/>
  <c r="DP155" i="3" s="1"/>
  <c r="DP51" i="3"/>
  <c r="DX114" i="3"/>
  <c r="DX91" i="3"/>
  <c r="AM91" i="3"/>
  <c r="AT68" i="3"/>
  <c r="BK91" i="3"/>
  <c r="DS10" i="3"/>
  <c r="ET10" i="3"/>
  <c r="BO86" i="3"/>
  <c r="EU135" i="3"/>
  <c r="EU143" i="3" s="1"/>
  <c r="EU66" i="3"/>
  <c r="EU39" i="3"/>
  <c r="CL92" i="3"/>
  <c r="CL89" i="3"/>
  <c r="BS66" i="3"/>
  <c r="BV87" i="3" s="1"/>
  <c r="BS39" i="3"/>
  <c r="DU31" i="3"/>
  <c r="BR92" i="3"/>
  <c r="BR89" i="3"/>
  <c r="BG68" i="3"/>
  <c r="BN87" i="3"/>
  <c r="DJ135" i="3"/>
  <c r="DJ143" i="3" s="1"/>
  <c r="DJ66" i="3"/>
  <c r="DJ39" i="3"/>
  <c r="EY135" i="3"/>
  <c r="EY143" i="3" s="1"/>
  <c r="EY66" i="3"/>
  <c r="EY39" i="3"/>
  <c r="BM86" i="3"/>
  <c r="DQ10" i="3"/>
  <c r="CI86" i="3"/>
  <c r="CI85" i="3" s="1"/>
  <c r="CC87" i="3"/>
  <c r="AQ91" i="3"/>
  <c r="DN10" i="3"/>
  <c r="CI39" i="3"/>
  <c r="EZ39" i="3" s="1"/>
  <c r="DR46" i="3"/>
  <c r="EX89" i="3"/>
  <c r="EX84" i="3" s="1"/>
  <c r="EX92" i="3" s="1"/>
  <c r="DO31" i="3"/>
  <c r="R89" i="3"/>
  <c r="R84" i="3" s="1"/>
  <c r="R92" i="3" s="1"/>
  <c r="EH114" i="3"/>
  <c r="EH91" i="3"/>
  <c r="EN114" i="3"/>
  <c r="EN91" i="3"/>
  <c r="EO114" i="3"/>
  <c r="EO91" i="3"/>
  <c r="W91" i="3"/>
  <c r="O51" i="3"/>
  <c r="EH46" i="3"/>
  <c r="DG46" i="3"/>
  <c r="DW135" i="3"/>
  <c r="DW143" i="3" s="1"/>
  <c r="DW66" i="3"/>
  <c r="DW39" i="3"/>
  <c r="DX135" i="3"/>
  <c r="DX143" i="3" s="1"/>
  <c r="DX66" i="3"/>
  <c r="DX39" i="3"/>
  <c r="DZ117" i="3"/>
  <c r="DZ69" i="3"/>
  <c r="DK150" i="3"/>
  <c r="DK155" i="3" s="1"/>
  <c r="DK51" i="3"/>
  <c r="ES150" i="3"/>
  <c r="ES155" i="3" s="1"/>
  <c r="ES51" i="3"/>
  <c r="CU135" i="3"/>
  <c r="DV146" i="3"/>
  <c r="DV155" i="3" s="1"/>
  <c r="DV51" i="3"/>
  <c r="AA91" i="3"/>
  <c r="EK10" i="3"/>
  <c r="DJ10" i="3"/>
  <c r="AT89" i="3"/>
  <c r="AT84" i="3" s="1"/>
  <c r="AT92" i="3" s="1"/>
  <c r="DR53" i="3"/>
  <c r="DR157" i="3" s="1"/>
  <c r="DL46" i="3"/>
  <c r="DZ146" i="3"/>
  <c r="DZ155" i="3" s="1"/>
  <c r="DZ51" i="3"/>
  <c r="DU146" i="3"/>
  <c r="DU155" i="3" s="1"/>
  <c r="DU51" i="3"/>
  <c r="G39" i="3"/>
  <c r="AY91" i="3"/>
  <c r="EQ10" i="3"/>
  <c r="DY117" i="3"/>
  <c r="DY69" i="3"/>
  <c r="BM87" i="3"/>
  <c r="DI10" i="3"/>
  <c r="CA89" i="3"/>
  <c r="CA92" i="3"/>
  <c r="EW117" i="3"/>
  <c r="EW69" i="3"/>
  <c r="EO135" i="3"/>
  <c r="EO143" i="3" s="1"/>
  <c r="EO66" i="3"/>
  <c r="EO39" i="3"/>
  <c r="BO91" i="3"/>
  <c r="EQ135" i="3"/>
  <c r="EQ143" i="3" s="1"/>
  <c r="EQ66" i="3"/>
  <c r="EQ39" i="3"/>
  <c r="W51" i="3"/>
  <c r="DI46" i="3"/>
  <c r="EJ46" i="3"/>
  <c r="AY51" i="3"/>
  <c r="EQ46" i="3"/>
  <c r="EV135" i="3"/>
  <c r="EV143" i="3" s="1"/>
  <c r="EV66" i="3"/>
  <c r="EV39" i="3"/>
  <c r="CE91" i="3"/>
  <c r="EY10" i="3"/>
  <c r="EV10" i="3"/>
  <c r="AL89" i="3"/>
  <c r="AL84" i="3" s="1"/>
  <c r="AL92" i="3" s="1"/>
  <c r="AQ68" i="3"/>
  <c r="BF86" i="3"/>
  <c r="BJ89" i="3"/>
  <c r="BJ84" i="3" s="1"/>
  <c r="BJ92" i="3" s="1"/>
  <c r="DZ31" i="3"/>
  <c r="BC68" i="3"/>
  <c r="BR86" i="3"/>
  <c r="BR85" i="3" s="1"/>
  <c r="BJ87" i="3"/>
  <c r="BP86" i="3"/>
  <c r="BP85" i="3" s="1"/>
  <c r="BH87" i="3"/>
  <c r="CS87" i="3"/>
  <c r="EA69" i="2"/>
  <c r="CI91" i="3"/>
  <c r="DY10" i="3"/>
  <c r="CH87" i="3"/>
  <c r="CA68" i="3"/>
  <c r="CP86" i="3"/>
  <c r="CP85" i="3" s="1"/>
  <c r="CE87" i="3"/>
  <c r="CM86" i="3"/>
  <c r="CM85" i="3" s="1"/>
  <c r="AE89" i="3"/>
  <c r="AE84" i="3" s="1"/>
  <c r="AE92" i="3" s="1"/>
  <c r="AA66" i="3"/>
  <c r="AA68" i="3" s="1"/>
  <c r="AA39" i="3"/>
  <c r="BE87" i="3"/>
  <c r="CR87" i="3"/>
  <c r="O91" i="3"/>
  <c r="DG10" i="3"/>
  <c r="DI135" i="3"/>
  <c r="DI143" i="3" s="1"/>
  <c r="DI66" i="3"/>
  <c r="DI39" i="3"/>
  <c r="BE86" i="3"/>
  <c r="BW91" i="3"/>
  <c r="DV10" i="3"/>
  <c r="AP89" i="3"/>
  <c r="AP84" i="3" s="1"/>
  <c r="AP92" i="3" s="1"/>
  <c r="CP87" i="3"/>
  <c r="EU10" i="3"/>
  <c r="DN46" i="3"/>
  <c r="CN86" i="3"/>
  <c r="CN85" i="3" s="1"/>
  <c r="DJ46" i="3"/>
  <c r="EL143" i="3"/>
  <c r="EA108" i="2"/>
  <c r="CR108" i="2"/>
  <c r="CS108" i="2" s="1"/>
  <c r="CT108" i="2" s="1"/>
  <c r="CU108" i="2" s="1"/>
  <c r="CC110" i="2"/>
  <c r="CM118" i="2"/>
  <c r="DZ118" i="2" s="1"/>
  <c r="CL140" i="2"/>
  <c r="BW207" i="2"/>
  <c r="DV207" i="2" s="1"/>
  <c r="BW228" i="2"/>
  <c r="DV192" i="2"/>
  <c r="CB108" i="2"/>
  <c r="DW108" i="2"/>
  <c r="BY225" i="2"/>
  <c r="DZ180" i="2"/>
  <c r="CN180" i="2"/>
  <c r="CO180" i="2" s="1"/>
  <c r="CP180" i="2" s="1"/>
  <c r="CQ180" i="2" s="1"/>
  <c r="DV194" i="2"/>
  <c r="CC144" i="2"/>
  <c r="CD122" i="2"/>
  <c r="CA198" i="2"/>
  <c r="CB112" i="2"/>
  <c r="DW112" i="2"/>
  <c r="BX194" i="2"/>
  <c r="BY157" i="2"/>
  <c r="CQ203" i="2"/>
  <c r="CR117" i="2"/>
  <c r="DV196" i="2"/>
  <c r="DZ175" i="2"/>
  <c r="CN175" i="2"/>
  <c r="CO175" i="2" s="1"/>
  <c r="CP175" i="2" s="1"/>
  <c r="CQ175" i="2" s="1"/>
  <c r="DZ188" i="2"/>
  <c r="CN188" i="2"/>
  <c r="CO188" i="2" s="1"/>
  <c r="CP188" i="2" s="1"/>
  <c r="CQ188" i="2" s="1"/>
  <c r="CN187" i="2"/>
  <c r="CO187" i="2" s="1"/>
  <c r="CP187" i="2" s="1"/>
  <c r="CQ187" i="2" s="1"/>
  <c r="DZ187" i="2"/>
  <c r="DZ179" i="2"/>
  <c r="CN179" i="2"/>
  <c r="CO179" i="2" s="1"/>
  <c r="CP179" i="2" s="1"/>
  <c r="CQ179" i="2" s="1"/>
  <c r="CQ202" i="2"/>
  <c r="CR116" i="2"/>
  <c r="CI189" i="2"/>
  <c r="CH169" i="2"/>
  <c r="CB143" i="2"/>
  <c r="CC121" i="2"/>
  <c r="BX231" i="2"/>
  <c r="FB23" i="2"/>
  <c r="CU82" i="2"/>
  <c r="EB22" i="2"/>
  <c r="CB205" i="2"/>
  <c r="CC168" i="2"/>
  <c r="BY193" i="2"/>
  <c r="BY229" i="2" s="1"/>
  <c r="BY128" i="2" s="1"/>
  <c r="BZ156" i="2"/>
  <c r="DY177" i="2"/>
  <c r="CJ177" i="2"/>
  <c r="CK177" i="2" s="1"/>
  <c r="CL177" i="2" s="1"/>
  <c r="CM177" i="2" s="1"/>
  <c r="BV243" i="2"/>
  <c r="DV230" i="2"/>
  <c r="CL142" i="2"/>
  <c r="CK120" i="2"/>
  <c r="CB111" i="2"/>
  <c r="DW111" i="2"/>
  <c r="BX192" i="2"/>
  <c r="BY155" i="2"/>
  <c r="EA111" i="2"/>
  <c r="CR111" i="2"/>
  <c r="CS111" i="2" s="1"/>
  <c r="CT111" i="2" s="1"/>
  <c r="CU111" i="2" s="1"/>
  <c r="DZ181" i="2"/>
  <c r="CN181" i="2"/>
  <c r="CO181" i="2" s="1"/>
  <c r="CP181" i="2" s="1"/>
  <c r="CQ181" i="2" s="1"/>
  <c r="CE145" i="2"/>
  <c r="CD123" i="2"/>
  <c r="CD206" i="2" s="1"/>
  <c r="CD242" i="2" s="1"/>
  <c r="CE224" i="2"/>
  <c r="DX224" i="2" s="1"/>
  <c r="DW106" i="2"/>
  <c r="CB106" i="2"/>
  <c r="CA119" i="2"/>
  <c r="CB204" i="2"/>
  <c r="CC167" i="2"/>
  <c r="DZ161" i="2"/>
  <c r="CN161" i="2"/>
  <c r="CO161" i="2" s="1"/>
  <c r="CP161" i="2" s="1"/>
  <c r="CQ161" i="2" s="1"/>
  <c r="DX70" i="2"/>
  <c r="DX73" i="2" s="1"/>
  <c r="BX196" i="2"/>
  <c r="BY159" i="2"/>
  <c r="FB14" i="2"/>
  <c r="DW109" i="2"/>
  <c r="CB109" i="2"/>
  <c r="BX233" i="2"/>
  <c r="CA223" i="2"/>
  <c r="DW223" i="2" s="1"/>
  <c r="DW205" i="2"/>
  <c r="BX229" i="2"/>
  <c r="EB28" i="2"/>
  <c r="DZ176" i="2"/>
  <c r="CN176" i="2"/>
  <c r="CO176" i="2" s="1"/>
  <c r="CP176" i="2" s="1"/>
  <c r="CQ176" i="2" s="1"/>
  <c r="EA145" i="2"/>
  <c r="CR145" i="2"/>
  <c r="CQ123" i="2"/>
  <c r="EA123" i="2" s="1"/>
  <c r="DZ178" i="2"/>
  <c r="CN178" i="2"/>
  <c r="CO178" i="2" s="1"/>
  <c r="CP178" i="2" s="1"/>
  <c r="CQ178" i="2" s="1"/>
  <c r="CT87" i="2"/>
  <c r="CU32" i="2"/>
  <c r="CV32" i="2" s="1"/>
  <c r="FC32" i="2" s="1"/>
  <c r="CE216" i="2"/>
  <c r="DX216" i="2" s="1"/>
  <c r="CE133" i="2"/>
  <c r="DX133" i="2" s="1"/>
  <c r="CC107" i="2"/>
  <c r="BY195" i="2"/>
  <c r="BY231" i="2" s="1"/>
  <c r="BY130" i="2" s="1"/>
  <c r="BZ158" i="2"/>
  <c r="CU18" i="2"/>
  <c r="CV18" i="2" s="1"/>
  <c r="FC18" i="2" s="1"/>
  <c r="CA222" i="2"/>
  <c r="DW222" i="2" s="1"/>
  <c r="DW204" i="2"/>
  <c r="CE70" i="2"/>
  <c r="CE73" i="2" s="1"/>
  <c r="CS81" i="2"/>
  <c r="CT9" i="2"/>
  <c r="BY197" i="2"/>
  <c r="BY233" i="2" s="1"/>
  <c r="BY132" i="2" s="1"/>
  <c r="BZ160" i="2"/>
  <c r="R46" i="79"/>
  <c r="CU77" i="2"/>
  <c r="FA68" i="3"/>
  <c r="EZ68" i="3"/>
  <c r="EW55" i="2"/>
  <c r="ES55" i="2"/>
  <c r="ER55" i="2"/>
  <c r="EP55" i="2"/>
  <c r="EN55" i="2"/>
  <c r="EK55" i="2"/>
  <c r="EJ55" i="2"/>
  <c r="EG55" i="2"/>
  <c r="DW55" i="2"/>
  <c r="DS55" i="2"/>
  <c r="DQ55" i="2"/>
  <c r="DP55" i="2"/>
  <c r="DO55" i="2"/>
  <c r="DK55" i="2"/>
  <c r="DH55" i="2"/>
  <c r="DG55" i="2"/>
  <c r="EB38" i="3" l="1"/>
  <c r="EB142" i="3" s="1"/>
  <c r="FB38" i="3"/>
  <c r="FB142" i="3" s="1"/>
  <c r="FB143" i="3" s="1"/>
  <c r="W54" i="80"/>
  <c r="X52" i="80"/>
  <c r="Y52" i="80" s="1"/>
  <c r="Y54" i="80" s="1"/>
  <c r="V28" i="79"/>
  <c r="CS115" i="3"/>
  <c r="FC72" i="3"/>
  <c r="CW72" i="3"/>
  <c r="BH86" i="3"/>
  <c r="BA86" i="3"/>
  <c r="AZ86" i="3"/>
  <c r="BI86" i="3"/>
  <c r="CR86" i="3"/>
  <c r="CR85" i="3" s="1"/>
  <c r="FD61" i="2"/>
  <c r="DA61" i="2"/>
  <c r="DB61" i="2" s="1"/>
  <c r="DC61" i="2" s="1"/>
  <c r="ED61" i="2" s="1"/>
  <c r="FD60" i="2"/>
  <c r="DA60" i="2"/>
  <c r="DB60" i="2" s="1"/>
  <c r="DC60" i="2" s="1"/>
  <c r="ED60" i="2" s="1"/>
  <c r="FA91" i="3"/>
  <c r="FA89" i="3" s="1"/>
  <c r="FA84" i="3" s="1"/>
  <c r="FA92" i="3" s="1"/>
  <c r="FA114" i="3"/>
  <c r="BX87" i="3"/>
  <c r="BA87" i="3"/>
  <c r="CZ38" i="2"/>
  <c r="EC38" i="2"/>
  <c r="FD37" i="2"/>
  <c r="DA37" i="2"/>
  <c r="DB37" i="2" s="1"/>
  <c r="DC37" i="2" s="1"/>
  <c r="ED37" i="2" s="1"/>
  <c r="Z50" i="80"/>
  <c r="X29" i="79"/>
  <c r="Y49" i="80"/>
  <c r="Y65" i="80"/>
  <c r="X34" i="79" s="1"/>
  <c r="X33" i="79" s="1"/>
  <c r="CT11" i="3"/>
  <c r="CU11" i="3" s="1"/>
  <c r="CV11" i="3" s="1"/>
  <c r="FD67" i="2"/>
  <c r="DA67" i="2"/>
  <c r="DB67" i="2" s="1"/>
  <c r="DC67" i="2" s="1"/>
  <c r="ED67" i="2" s="1"/>
  <c r="EA91" i="3"/>
  <c r="EA92" i="3" s="1"/>
  <c r="EA114" i="3"/>
  <c r="BG86" i="3"/>
  <c r="CM87" i="3"/>
  <c r="DB86" i="3"/>
  <c r="DB85" i="3" s="1"/>
  <c r="EC133" i="2"/>
  <c r="CZ133" i="2"/>
  <c r="DA133" i="2" s="1"/>
  <c r="DB133" i="2" s="1"/>
  <c r="DC133" i="2" s="1"/>
  <c r="ED133" i="2" s="1"/>
  <c r="FD66" i="2"/>
  <c r="DA66" i="2"/>
  <c r="DB66" i="2" s="1"/>
  <c r="DC66" i="2" s="1"/>
  <c r="ED66" i="2" s="1"/>
  <c r="FD36" i="2"/>
  <c r="DA36" i="2"/>
  <c r="DB36" i="2" s="1"/>
  <c r="DC36" i="2" s="1"/>
  <c r="ED36" i="2" s="1"/>
  <c r="DA86" i="3"/>
  <c r="DA85" i="3" s="1"/>
  <c r="DA10" i="2"/>
  <c r="DB10" i="2" s="1"/>
  <c r="DC10" i="2" s="1"/>
  <c r="ED10" i="2" s="1"/>
  <c r="FD10" i="2"/>
  <c r="EC21" i="2"/>
  <c r="CZ21" i="2"/>
  <c r="CX86" i="3"/>
  <c r="CX85" i="3" s="1"/>
  <c r="CV86" i="3"/>
  <c r="CV85" i="3" s="1"/>
  <c r="CW86" i="3"/>
  <c r="CW85" i="3" s="1"/>
  <c r="CY86" i="3"/>
  <c r="CY85" i="3" s="1"/>
  <c r="FB73" i="3"/>
  <c r="EB48" i="3"/>
  <c r="CV48" i="3"/>
  <c r="FC48" i="3" s="1"/>
  <c r="FC152" i="3" s="1"/>
  <c r="CW20" i="2"/>
  <c r="CX20" i="2" s="1"/>
  <c r="CY20" i="2" s="1"/>
  <c r="FC20" i="2"/>
  <c r="FB89" i="3"/>
  <c r="FB84" i="3" s="1"/>
  <c r="FB92" i="3" s="1"/>
  <c r="FC43" i="3"/>
  <c r="FC147" i="3" s="1"/>
  <c r="FC25" i="3"/>
  <c r="FC129" i="3" s="1"/>
  <c r="FC26" i="3"/>
  <c r="FC130" i="3" s="1"/>
  <c r="CV130" i="3"/>
  <c r="CV129" i="3"/>
  <c r="EB111" i="2"/>
  <c r="CV111" i="2"/>
  <c r="CW111" i="2" s="1"/>
  <c r="CX111" i="2" s="1"/>
  <c r="CY111" i="2" s="1"/>
  <c r="EB13" i="2"/>
  <c r="CV13" i="2"/>
  <c r="FC13" i="2" s="1"/>
  <c r="CV27" i="3"/>
  <c r="CW19" i="2"/>
  <c r="CU24" i="3"/>
  <c r="CU128" i="3" s="1"/>
  <c r="CV28" i="2"/>
  <c r="FC28" i="2" s="1"/>
  <c r="CX30" i="2"/>
  <c r="CW25" i="3"/>
  <c r="CX39" i="2"/>
  <c r="CW43" i="3"/>
  <c r="CW82" i="2"/>
  <c r="CX22" i="2"/>
  <c r="CV87" i="2"/>
  <c r="CW32" i="2"/>
  <c r="EB108" i="2"/>
  <c r="CV108" i="2"/>
  <c r="CW108" i="2" s="1"/>
  <c r="CX108" i="2" s="1"/>
  <c r="CY108" i="2" s="1"/>
  <c r="CV147" i="3"/>
  <c r="CX29" i="2"/>
  <c r="CW26" i="3"/>
  <c r="CW18" i="2"/>
  <c r="CX31" i="2"/>
  <c r="BW86" i="3"/>
  <c r="BW85" i="3" s="1"/>
  <c r="BT86" i="3"/>
  <c r="BT85" i="3" s="1"/>
  <c r="BY86" i="3"/>
  <c r="BY85" i="3" s="1"/>
  <c r="CE86" i="3"/>
  <c r="CE85" i="3" s="1"/>
  <c r="BY87" i="3"/>
  <c r="BT87" i="3"/>
  <c r="CD86" i="3"/>
  <c r="CD85" i="3" s="1"/>
  <c r="Q66" i="80"/>
  <c r="Q67" i="80" s="1"/>
  <c r="R58" i="80"/>
  <c r="I24" i="79"/>
  <c r="J24" i="79"/>
  <c r="M24" i="79"/>
  <c r="L24" i="79"/>
  <c r="N35" i="79"/>
  <c r="K45" i="79"/>
  <c r="K50" i="79" s="1"/>
  <c r="AK67" i="80"/>
  <c r="AK69" i="80" s="1"/>
  <c r="O27" i="79"/>
  <c r="P69" i="80"/>
  <c r="P73" i="80"/>
  <c r="P60" i="80"/>
  <c r="P68" i="80"/>
  <c r="P24" i="79"/>
  <c r="O24" i="79"/>
  <c r="F23" i="79"/>
  <c r="F24" i="79" s="1"/>
  <c r="F17" i="79"/>
  <c r="F22" i="79" s="1"/>
  <c r="F43" i="79"/>
  <c r="F45" i="79" s="1"/>
  <c r="F50" i="79" s="1"/>
  <c r="N31" i="79"/>
  <c r="O62" i="80"/>
  <c r="O61" i="80"/>
  <c r="H24" i="79"/>
  <c r="G22" i="79"/>
  <c r="L18" i="79"/>
  <c r="K21" i="79"/>
  <c r="CU21" i="3"/>
  <c r="CU129" i="3"/>
  <c r="CU130" i="3"/>
  <c r="CU147" i="3"/>
  <c r="CT36" i="3"/>
  <c r="EB19" i="2"/>
  <c r="CU27" i="3"/>
  <c r="FB22" i="3"/>
  <c r="FB126" i="3" s="1"/>
  <c r="CS140" i="3"/>
  <c r="CS142" i="3" s="1"/>
  <c r="CS38" i="3" s="1"/>
  <c r="CS22" i="3"/>
  <c r="EB77" i="2"/>
  <c r="EQ68" i="3"/>
  <c r="DL68" i="3"/>
  <c r="EI68" i="3"/>
  <c r="DG68" i="3"/>
  <c r="EP68" i="3"/>
  <c r="EM68" i="3"/>
  <c r="AL15" i="80"/>
  <c r="Q23" i="79"/>
  <c r="Q24" i="79" s="1"/>
  <c r="S6" i="79"/>
  <c r="T7" i="79"/>
  <c r="S8" i="79"/>
  <c r="EQ5" i="3"/>
  <c r="EQ5" i="2"/>
  <c r="DN55" i="2"/>
  <c r="DX55" i="2"/>
  <c r="EK49" i="2"/>
  <c r="EK53" i="2"/>
  <c r="EO55" i="2"/>
  <c r="EY55" i="2"/>
  <c r="EI52" i="2"/>
  <c r="EI51" i="2"/>
  <c r="EI50" i="2" s="1"/>
  <c r="EG4" i="3"/>
  <c r="EG4" i="2"/>
  <c r="EG48" i="2" s="1"/>
  <c r="EG59" i="2" s="1"/>
  <c r="EG76" i="2" s="1"/>
  <c r="EK4" i="3"/>
  <c r="EK4" i="2"/>
  <c r="EK48" i="2" s="1"/>
  <c r="EK59" i="2" s="1"/>
  <c r="EK76" i="2" s="1"/>
  <c r="EO4" i="3"/>
  <c r="EO4" i="2"/>
  <c r="EO48" i="2" s="1"/>
  <c r="EO59" i="2" s="1"/>
  <c r="EO76" i="2" s="1"/>
  <c r="ES4" i="3"/>
  <c r="ES4" i="2"/>
  <c r="ES48" i="2" s="1"/>
  <c r="ES59" i="2" s="1"/>
  <c r="ES76" i="2" s="1"/>
  <c r="EW4" i="3"/>
  <c r="EW4" i="2"/>
  <c r="EW48" i="2" s="1"/>
  <c r="EW59" i="2" s="1"/>
  <c r="EW76" i="2" s="1"/>
  <c r="BO55" i="2"/>
  <c r="DG53" i="2"/>
  <c r="DG49" i="2"/>
  <c r="DK49" i="2"/>
  <c r="DK53" i="2"/>
  <c r="DO53" i="2"/>
  <c r="DO49" i="2"/>
  <c r="DS49" i="2"/>
  <c r="DS53" i="2"/>
  <c r="DY55" i="2"/>
  <c r="EH55" i="2"/>
  <c r="EL55" i="2"/>
  <c r="EP53" i="2"/>
  <c r="EP49" i="2"/>
  <c r="ET55" i="2"/>
  <c r="DU56" i="2"/>
  <c r="EO68" i="3"/>
  <c r="ES68" i="3"/>
  <c r="ER68" i="3"/>
  <c r="EN68" i="3"/>
  <c r="EX68" i="3"/>
  <c r="ET68" i="3"/>
  <c r="ES52" i="2"/>
  <c r="ES51" i="2"/>
  <c r="ES50" i="2" s="1"/>
  <c r="EK52" i="2"/>
  <c r="EK51" i="2"/>
  <c r="EK50" i="2" s="1"/>
  <c r="DS52" i="2"/>
  <c r="DS51" i="2"/>
  <c r="DS50" i="2" s="1"/>
  <c r="DK51" i="2"/>
  <c r="DK50" i="2" s="1"/>
  <c r="DK52" i="2"/>
  <c r="BS52" i="2"/>
  <c r="BS51" i="2"/>
  <c r="BS50" i="2" s="1"/>
  <c r="EL68" i="3"/>
  <c r="DL52" i="2"/>
  <c r="DL51" i="2"/>
  <c r="DL50" i="2" s="1"/>
  <c r="EU56" i="2"/>
  <c r="EN4" i="3"/>
  <c r="EN4" i="2"/>
  <c r="EN48" i="2" s="1"/>
  <c r="EN59" i="2" s="1"/>
  <c r="EN76" i="2" s="1"/>
  <c r="EJ52" i="2"/>
  <c r="EJ51" i="2"/>
  <c r="EJ50" i="2" s="1"/>
  <c r="EH4" i="3"/>
  <c r="EH4" i="2"/>
  <c r="EH48" i="2" s="1"/>
  <c r="EH59" i="2" s="1"/>
  <c r="EH76" i="2" s="1"/>
  <c r="EL4" i="3"/>
  <c r="EL4" i="2"/>
  <c r="EL48" i="2" s="1"/>
  <c r="EL59" i="2" s="1"/>
  <c r="EL76" i="2" s="1"/>
  <c r="EP4" i="3"/>
  <c r="EP4" i="2"/>
  <c r="EP48" i="2" s="1"/>
  <c r="EP59" i="2" s="1"/>
  <c r="EP76" i="2" s="1"/>
  <c r="ET4" i="3"/>
  <c r="ET4" i="2"/>
  <c r="ET48" i="2" s="1"/>
  <c r="ET59" i="2" s="1"/>
  <c r="ET76" i="2" s="1"/>
  <c r="EX4" i="3"/>
  <c r="EX4" i="2"/>
  <c r="EX48" i="2" s="1"/>
  <c r="EX59" i="2" s="1"/>
  <c r="EX76" i="2" s="1"/>
  <c r="BS55" i="2"/>
  <c r="DH49" i="2"/>
  <c r="DH53" i="2"/>
  <c r="DL55" i="2"/>
  <c r="DP49" i="2"/>
  <c r="DP53" i="2"/>
  <c r="DV55" i="2"/>
  <c r="DZ55" i="2"/>
  <c r="EI55" i="2"/>
  <c r="EM55" i="2"/>
  <c r="EQ55" i="2"/>
  <c r="EW49" i="2"/>
  <c r="EW53" i="2"/>
  <c r="DJ68" i="3"/>
  <c r="DS68" i="3"/>
  <c r="DM68" i="3"/>
  <c r="BO68" i="3"/>
  <c r="EK68" i="3"/>
  <c r="DK68" i="3"/>
  <c r="EH68" i="3"/>
  <c r="EM51" i="2"/>
  <c r="EM50" i="2" s="1"/>
  <c r="EM52" i="2"/>
  <c r="BO52" i="2"/>
  <c r="BO51" i="2"/>
  <c r="BO50" i="2" s="1"/>
  <c r="EW51" i="2"/>
  <c r="EW50" i="2" s="1"/>
  <c r="EW52" i="2"/>
  <c r="EN51" i="2"/>
  <c r="EN50" i="2" s="1"/>
  <c r="EN52" i="2"/>
  <c r="EV56" i="2"/>
  <c r="EW68" i="3"/>
  <c r="DV68" i="3"/>
  <c r="EQ51" i="2"/>
  <c r="EQ50" i="2" s="1"/>
  <c r="EQ52" i="2"/>
  <c r="DW52" i="2"/>
  <c r="DW51" i="2"/>
  <c r="DW50" i="2" s="1"/>
  <c r="EF4" i="3"/>
  <c r="EF4" i="2"/>
  <c r="EF48" i="2" s="1"/>
  <c r="EF59" i="2" s="1"/>
  <c r="EF76" i="2" s="1"/>
  <c r="EJ4" i="3"/>
  <c r="EJ4" i="2"/>
  <c r="EJ48" i="2" s="1"/>
  <c r="EJ59" i="2" s="1"/>
  <c r="EJ76" i="2" s="1"/>
  <c r="ER4" i="3"/>
  <c r="ER4" i="2"/>
  <c r="ER48" i="2" s="1"/>
  <c r="ER59" i="2" s="1"/>
  <c r="ER76" i="2" s="1"/>
  <c r="EV4" i="3"/>
  <c r="EV4" i="2"/>
  <c r="EV48" i="2" s="1"/>
  <c r="EV59" i="2" s="1"/>
  <c r="EV76" i="2" s="1"/>
  <c r="DJ55" i="2"/>
  <c r="DR55" i="2"/>
  <c r="EG49" i="2"/>
  <c r="EG53" i="2"/>
  <c r="ES49" i="2"/>
  <c r="ES53" i="2"/>
  <c r="DX68" i="3"/>
  <c r="ER52" i="2"/>
  <c r="ER51" i="2"/>
  <c r="ER50" i="2" s="1"/>
  <c r="DT51" i="2"/>
  <c r="DT50" i="2" s="1"/>
  <c r="DT52" i="2"/>
  <c r="EI4" i="3"/>
  <c r="EI4" i="2"/>
  <c r="EI48" i="2" s="1"/>
  <c r="EI59" i="2" s="1"/>
  <c r="EI76" i="2" s="1"/>
  <c r="EM4" i="3"/>
  <c r="EM4" i="2"/>
  <c r="EM48" i="2" s="1"/>
  <c r="EM59" i="2" s="1"/>
  <c r="EM76" i="2" s="1"/>
  <c r="EQ4" i="3"/>
  <c r="EQ4" i="2"/>
  <c r="EQ48" i="2" s="1"/>
  <c r="EQ59" i="2" s="1"/>
  <c r="EQ76" i="2" s="1"/>
  <c r="EU4" i="3"/>
  <c r="EU4" i="2"/>
  <c r="EU48" i="2" s="1"/>
  <c r="EU59" i="2" s="1"/>
  <c r="EU76" i="2" s="1"/>
  <c r="EY4" i="3"/>
  <c r="EY4" i="2"/>
  <c r="EY48" i="2" s="1"/>
  <c r="EY59" i="2" s="1"/>
  <c r="EY76" i="2" s="1"/>
  <c r="DI55" i="2"/>
  <c r="DM55" i="2"/>
  <c r="DQ53" i="2"/>
  <c r="DQ49" i="2"/>
  <c r="DW53" i="2"/>
  <c r="DW49" i="2"/>
  <c r="EJ53" i="2"/>
  <c r="EJ49" i="2"/>
  <c r="EN49" i="2"/>
  <c r="EN53" i="2"/>
  <c r="ER49" i="2"/>
  <c r="ER53" i="2"/>
  <c r="EX55" i="2"/>
  <c r="DI68" i="3"/>
  <c r="DW68" i="3"/>
  <c r="EY68" i="3"/>
  <c r="DY68" i="3"/>
  <c r="EJ68" i="3"/>
  <c r="DH68" i="3"/>
  <c r="DQ68" i="3"/>
  <c r="DP68" i="3"/>
  <c r="DR68" i="3"/>
  <c r="DN68" i="3"/>
  <c r="EO52" i="2"/>
  <c r="EO51" i="2"/>
  <c r="EO50" i="2" s="1"/>
  <c r="EG52" i="2"/>
  <c r="EG51" i="2"/>
  <c r="EG50" i="2" s="1"/>
  <c r="DX51" i="2"/>
  <c r="DX50" i="2" s="1"/>
  <c r="DX52" i="2"/>
  <c r="DO51" i="2"/>
  <c r="DO50" i="2" s="1"/>
  <c r="DO52" i="2"/>
  <c r="DG51" i="2"/>
  <c r="DG50" i="2" s="1"/>
  <c r="DG52" i="2"/>
  <c r="DP51" i="2"/>
  <c r="DP50" i="2" s="1"/>
  <c r="DP52" i="2"/>
  <c r="DH51" i="2"/>
  <c r="DH50" i="2" s="1"/>
  <c r="DH52" i="2"/>
  <c r="S41" i="80"/>
  <c r="T28" i="80"/>
  <c r="S9" i="79" s="1"/>
  <c r="S30" i="80"/>
  <c r="U15" i="80"/>
  <c r="V13" i="80"/>
  <c r="U5" i="79" s="1"/>
  <c r="DI150" i="3"/>
  <c r="DI155" i="3" s="1"/>
  <c r="DI51" i="3"/>
  <c r="DI114" i="3"/>
  <c r="DI91" i="3"/>
  <c r="AQ89" i="3"/>
  <c r="AQ84" i="3" s="1"/>
  <c r="AQ92" i="3" s="1"/>
  <c r="DE150" i="3"/>
  <c r="DE155" i="3" s="1"/>
  <c r="DE51" i="3"/>
  <c r="BS89" i="3"/>
  <c r="BS92" i="3"/>
  <c r="DG114" i="3"/>
  <c r="DG91" i="3"/>
  <c r="EJ150" i="3"/>
  <c r="EJ155" i="3" s="1"/>
  <c r="EJ51" i="3"/>
  <c r="BO89" i="3"/>
  <c r="BO84" i="3" s="1"/>
  <c r="BO92" i="3" s="1"/>
  <c r="DL150" i="3"/>
  <c r="DL155" i="3" s="1"/>
  <c r="DL51" i="3"/>
  <c r="AA89" i="3"/>
  <c r="AA84" i="3" s="1"/>
  <c r="AA92" i="3" s="1"/>
  <c r="EN89" i="3"/>
  <c r="EN84" i="3" s="1"/>
  <c r="EN92" i="3" s="1"/>
  <c r="BV86" i="3"/>
  <c r="BV85" i="3" s="1"/>
  <c r="DS114" i="3"/>
  <c r="DS91" i="3"/>
  <c r="DX92" i="3"/>
  <c r="DX89" i="3"/>
  <c r="CU152" i="3"/>
  <c r="BU86" i="3"/>
  <c r="BU85" i="3" s="1"/>
  <c r="ET150" i="3"/>
  <c r="ET155" i="3" s="1"/>
  <c r="ET51" i="3"/>
  <c r="DM89" i="3"/>
  <c r="DM84" i="3" s="1"/>
  <c r="DM92" i="3" s="1"/>
  <c r="DM79" i="3" s="1"/>
  <c r="DO150" i="3"/>
  <c r="DO155" i="3" s="1"/>
  <c r="DO51" i="3"/>
  <c r="DQ150" i="3"/>
  <c r="DQ155" i="3" s="1"/>
  <c r="DQ51" i="3"/>
  <c r="BC89" i="3"/>
  <c r="BC84" i="3" s="1"/>
  <c r="BC92" i="3" s="1"/>
  <c r="DU114" i="3"/>
  <c r="DU91" i="3"/>
  <c r="CG86" i="3"/>
  <c r="CG85" i="3" s="1"/>
  <c r="CA86" i="3"/>
  <c r="CA85" i="3" s="1"/>
  <c r="BX86" i="3"/>
  <c r="BX85" i="3" s="1"/>
  <c r="ES114" i="3"/>
  <c r="ES91" i="3"/>
  <c r="DR89" i="3"/>
  <c r="DR84" i="3" s="1"/>
  <c r="DR92" i="3" s="1"/>
  <c r="DR79" i="3" s="1"/>
  <c r="EA17" i="2"/>
  <c r="EA75" i="3" s="1"/>
  <c r="DP89" i="3"/>
  <c r="DP84" i="3" s="1"/>
  <c r="DP92" i="3" s="1"/>
  <c r="DP79" i="3" s="1"/>
  <c r="AI89" i="3"/>
  <c r="AI84" i="3" s="1"/>
  <c r="AI92" i="3" s="1"/>
  <c r="EJ89" i="3"/>
  <c r="EJ84" i="3" s="1"/>
  <c r="EJ92" i="3" s="1"/>
  <c r="DY114" i="3"/>
  <c r="DY91" i="3"/>
  <c r="EY114" i="3"/>
  <c r="EY91" i="3"/>
  <c r="DQ114" i="3"/>
  <c r="DQ91" i="3"/>
  <c r="DU135" i="3"/>
  <c r="DU143" i="3" s="1"/>
  <c r="DU66" i="3"/>
  <c r="DU39" i="3"/>
  <c r="EI150" i="3"/>
  <c r="EI155" i="3" s="1"/>
  <c r="EI51" i="3"/>
  <c r="DH114" i="3"/>
  <c r="DH91" i="3"/>
  <c r="EB152" i="3"/>
  <c r="DW146" i="3"/>
  <c r="DW155" i="3" s="1"/>
  <c r="DW51" i="3"/>
  <c r="S89" i="3"/>
  <c r="S84" i="3" s="1"/>
  <c r="S92" i="3" s="1"/>
  <c r="O89" i="3"/>
  <c r="O84" i="3" s="1"/>
  <c r="O92" i="3" s="1"/>
  <c r="DZ135" i="3"/>
  <c r="DZ143" i="3" s="1"/>
  <c r="DZ66" i="3"/>
  <c r="DZ68" i="3" s="1"/>
  <c r="DZ39" i="3"/>
  <c r="EV114" i="3"/>
  <c r="EV91" i="3"/>
  <c r="EK114" i="3"/>
  <c r="EK91" i="3"/>
  <c r="DG150" i="3"/>
  <c r="DG155" i="3" s="1"/>
  <c r="DG51" i="3"/>
  <c r="BK89" i="3"/>
  <c r="BK84" i="3" s="1"/>
  <c r="BK92" i="3" s="1"/>
  <c r="DO114" i="3"/>
  <c r="DO91" i="3"/>
  <c r="DW92" i="3"/>
  <c r="DW89" i="3"/>
  <c r="DW84" i="3" s="1"/>
  <c r="ER114" i="3"/>
  <c r="ER91" i="3"/>
  <c r="BW87" i="3"/>
  <c r="BS87" i="3"/>
  <c r="BG89" i="3"/>
  <c r="BG84" i="3" s="1"/>
  <c r="BG92" i="3" s="1"/>
  <c r="EP150" i="3"/>
  <c r="EP155" i="3" s="1"/>
  <c r="EP51" i="3"/>
  <c r="EL89" i="3"/>
  <c r="EL84" i="3" s="1"/>
  <c r="EL92" i="3" s="1"/>
  <c r="EA73" i="3"/>
  <c r="EM114" i="3"/>
  <c r="EM91" i="3"/>
  <c r="DN150" i="3"/>
  <c r="DN155" i="3" s="1"/>
  <c r="DN51" i="3"/>
  <c r="DV114" i="3"/>
  <c r="DV91" i="3"/>
  <c r="AY89" i="3"/>
  <c r="AY84" i="3" s="1"/>
  <c r="AY92" i="3" s="1"/>
  <c r="DJ114" i="3"/>
  <c r="DJ91" i="3"/>
  <c r="EO89" i="3"/>
  <c r="EO84" i="3" s="1"/>
  <c r="EO92" i="3" s="1"/>
  <c r="AM89" i="3"/>
  <c r="AM84" i="3" s="1"/>
  <c r="AM92" i="3" s="1"/>
  <c r="AU89" i="3"/>
  <c r="AU84" i="3" s="1"/>
  <c r="AU92" i="3" s="1"/>
  <c r="CM92" i="3"/>
  <c r="CM89" i="3"/>
  <c r="EM150" i="3"/>
  <c r="EM155" i="3" s="1"/>
  <c r="EM51" i="3"/>
  <c r="DL91" i="3"/>
  <c r="DL114" i="3"/>
  <c r="DJ150" i="3"/>
  <c r="DJ155" i="3" s="1"/>
  <c r="DJ51" i="3"/>
  <c r="EU114" i="3"/>
  <c r="EU91" i="3"/>
  <c r="BW92" i="3"/>
  <c r="BW89" i="3"/>
  <c r="CI89" i="3"/>
  <c r="CI92" i="3"/>
  <c r="CE92" i="3"/>
  <c r="CE89" i="3"/>
  <c r="EQ150" i="3"/>
  <c r="EQ155" i="3" s="1"/>
  <c r="EQ51" i="3"/>
  <c r="EQ114" i="3"/>
  <c r="EQ91" i="3"/>
  <c r="EH150" i="3"/>
  <c r="EH155" i="3" s="1"/>
  <c r="EH51" i="3"/>
  <c r="W89" i="3"/>
  <c r="W84" i="3" s="1"/>
  <c r="W92" i="3" s="1"/>
  <c r="EH89" i="3"/>
  <c r="EH84" i="3" s="1"/>
  <c r="EH92" i="3" s="1"/>
  <c r="DO135" i="3"/>
  <c r="DO143" i="3" s="1"/>
  <c r="DO66" i="3"/>
  <c r="DO68" i="3" s="1"/>
  <c r="DO39" i="3"/>
  <c r="DR150" i="3"/>
  <c r="DR155" i="3" s="1"/>
  <c r="DR51" i="3"/>
  <c r="DN114" i="3"/>
  <c r="DN91" i="3"/>
  <c r="BS68" i="3"/>
  <c r="CH86" i="3"/>
  <c r="CH85" i="3" s="1"/>
  <c r="BZ87" i="3"/>
  <c r="CC86" i="3"/>
  <c r="CC85" i="3" s="1"/>
  <c r="CF86" i="3"/>
  <c r="CF85" i="3" s="1"/>
  <c r="BS86" i="3"/>
  <c r="BS85" i="3" s="1"/>
  <c r="BU87" i="3"/>
  <c r="ET114" i="3"/>
  <c r="ET91" i="3"/>
  <c r="EP114" i="3"/>
  <c r="EP91" i="3"/>
  <c r="CT63" i="2"/>
  <c r="CS64" i="2"/>
  <c r="DZ114" i="3"/>
  <c r="DZ91" i="3"/>
  <c r="DT89" i="3"/>
  <c r="DT84" i="3" s="1"/>
  <c r="DT92" i="3" s="1"/>
  <c r="DT79" i="3" s="1"/>
  <c r="DF150" i="3"/>
  <c r="DF155" i="3" s="1"/>
  <c r="DF51" i="3"/>
  <c r="DH150" i="3"/>
  <c r="DH155" i="3" s="1"/>
  <c r="DH51" i="3"/>
  <c r="DK89" i="3"/>
  <c r="DK84" i="3" s="1"/>
  <c r="DK92" i="3" s="1"/>
  <c r="DK79" i="3" s="1"/>
  <c r="CB86" i="3"/>
  <c r="CB85" i="3" s="1"/>
  <c r="AU68" i="3"/>
  <c r="BB87" i="3"/>
  <c r="BJ86" i="3"/>
  <c r="BC86" i="3"/>
  <c r="BD86" i="3"/>
  <c r="BZ86" i="3"/>
  <c r="BZ85" i="3" s="1"/>
  <c r="EW92" i="3"/>
  <c r="EW89" i="3"/>
  <c r="EW84" i="3" s="1"/>
  <c r="BB86" i="3"/>
  <c r="EI114" i="3"/>
  <c r="EI91" i="3"/>
  <c r="CT87" i="3"/>
  <c r="CO86" i="3"/>
  <c r="CO85" i="3" s="1"/>
  <c r="CO87" i="3"/>
  <c r="CS86" i="3"/>
  <c r="CS85" i="3" s="1"/>
  <c r="CQ87" i="3"/>
  <c r="CU86" i="3"/>
  <c r="CU85" i="3" s="1"/>
  <c r="CN87" i="3"/>
  <c r="CS70" i="3"/>
  <c r="CR89" i="3"/>
  <c r="BZ215" i="2"/>
  <c r="CD107" i="2"/>
  <c r="CU87" i="2"/>
  <c r="EB32" i="2"/>
  <c r="EA176" i="2"/>
  <c r="CR176" i="2"/>
  <c r="CS176" i="2" s="1"/>
  <c r="CT176" i="2" s="1"/>
  <c r="CU176" i="2" s="1"/>
  <c r="CA124" i="2"/>
  <c r="DW124" i="2" s="1"/>
  <c r="DW119" i="2"/>
  <c r="CM142" i="2"/>
  <c r="CL120" i="2"/>
  <c r="CB223" i="2"/>
  <c r="EA187" i="2"/>
  <c r="CR187" i="2"/>
  <c r="CS187" i="2" s="1"/>
  <c r="CT187" i="2" s="1"/>
  <c r="CU187" i="2" s="1"/>
  <c r="CR203" i="2"/>
  <c r="CS117" i="2"/>
  <c r="CC108" i="2"/>
  <c r="CT81" i="2"/>
  <c r="CU9" i="2"/>
  <c r="CC109" i="2"/>
  <c r="CC204" i="2"/>
  <c r="CC222" i="2" s="1"/>
  <c r="CC240" i="2" s="1"/>
  <c r="CD167" i="2"/>
  <c r="CC106" i="2"/>
  <c r="CB119" i="2"/>
  <c r="CB124" i="2" s="1"/>
  <c r="DX145" i="2"/>
  <c r="CF145" i="2"/>
  <c r="CE123" i="2"/>
  <c r="CF224" i="2"/>
  <c r="BZ193" i="2"/>
  <c r="CA156" i="2"/>
  <c r="EA179" i="2"/>
  <c r="CR179" i="2"/>
  <c r="CS179" i="2" s="1"/>
  <c r="CT179" i="2" s="1"/>
  <c r="CU179" i="2" s="1"/>
  <c r="EA188" i="2"/>
  <c r="CR188" i="2"/>
  <c r="CS188" i="2" s="1"/>
  <c r="CT188" i="2" s="1"/>
  <c r="CU188" i="2" s="1"/>
  <c r="CQ221" i="2"/>
  <c r="EA221" i="2" s="1"/>
  <c r="EA203" i="2"/>
  <c r="CB198" i="2"/>
  <c r="CC112" i="2"/>
  <c r="BZ195" i="2"/>
  <c r="CA158" i="2"/>
  <c r="EA178" i="2"/>
  <c r="CR178" i="2"/>
  <c r="CS178" i="2" s="1"/>
  <c r="CT178" i="2" s="1"/>
  <c r="CU178" i="2" s="1"/>
  <c r="CS145" i="2"/>
  <c r="CR123" i="2"/>
  <c r="BY196" i="2"/>
  <c r="BY232" i="2" s="1"/>
  <c r="BY131" i="2" s="1"/>
  <c r="BZ159" i="2"/>
  <c r="CB222" i="2"/>
  <c r="EA181" i="2"/>
  <c r="CR181" i="2"/>
  <c r="CS181" i="2" s="1"/>
  <c r="CT181" i="2" s="1"/>
  <c r="CU181" i="2" s="1"/>
  <c r="BY192" i="2"/>
  <c r="BZ155" i="2"/>
  <c r="CC111" i="2"/>
  <c r="BZ211" i="2"/>
  <c r="CR202" i="2"/>
  <c r="CS116" i="2"/>
  <c r="BY194" i="2"/>
  <c r="BY230" i="2" s="1"/>
  <c r="BY129" i="2" s="1"/>
  <c r="BZ157" i="2"/>
  <c r="CA216" i="2"/>
  <c r="DW216" i="2" s="1"/>
  <c r="DW198" i="2"/>
  <c r="EA180" i="2"/>
  <c r="CR180" i="2"/>
  <c r="CS180" i="2" s="1"/>
  <c r="CT180" i="2" s="1"/>
  <c r="CU180" i="2" s="1"/>
  <c r="CM140" i="2"/>
  <c r="DZ140" i="2" s="1"/>
  <c r="CN118" i="2"/>
  <c r="BZ197" i="2"/>
  <c r="CA160" i="2"/>
  <c r="EB18" i="2"/>
  <c r="BZ213" i="2"/>
  <c r="CT14" i="2"/>
  <c r="BX232" i="2"/>
  <c r="CR161" i="2"/>
  <c r="CS161" i="2" s="1"/>
  <c r="CT161" i="2" s="1"/>
  <c r="CU161" i="2" s="1"/>
  <c r="EA161" i="2"/>
  <c r="BX207" i="2"/>
  <c r="BX228" i="2"/>
  <c r="DZ177" i="2"/>
  <c r="CN177" i="2"/>
  <c r="CO177" i="2" s="1"/>
  <c r="CP177" i="2" s="1"/>
  <c r="CQ177" i="2" s="1"/>
  <c r="CC205" i="2"/>
  <c r="CC223" i="2" s="1"/>
  <c r="CC241" i="2" s="1"/>
  <c r="CD168" i="2"/>
  <c r="CT23" i="2"/>
  <c r="CC143" i="2"/>
  <c r="CD121" i="2"/>
  <c r="CJ224" i="2"/>
  <c r="CI169" i="2"/>
  <c r="DY189" i="2"/>
  <c r="CJ189" i="2"/>
  <c r="CQ220" i="2"/>
  <c r="EA220" i="2" s="1"/>
  <c r="EA202" i="2"/>
  <c r="EA175" i="2"/>
  <c r="CR175" i="2"/>
  <c r="CS175" i="2" s="1"/>
  <c r="CT175" i="2" s="1"/>
  <c r="CU175" i="2" s="1"/>
  <c r="BX230" i="2"/>
  <c r="CE122" i="2"/>
  <c r="CD144" i="2"/>
  <c r="BW243" i="2"/>
  <c r="DV228" i="2"/>
  <c r="DV243" i="2" s="1"/>
  <c r="CD110" i="2"/>
  <c r="EV55" i="2"/>
  <c r="CH8" i="3"/>
  <c r="CH28" i="3" s="1"/>
  <c r="DT55" i="2"/>
  <c r="CI8" i="3"/>
  <c r="CI28" i="3" s="1"/>
  <c r="CI57" i="3" s="1"/>
  <c r="DU55" i="2"/>
  <c r="EU55" i="2"/>
  <c r="CK8" i="3"/>
  <c r="CM8" i="3"/>
  <c r="CM28" i="3" s="1"/>
  <c r="CM104" i="3" s="1"/>
  <c r="CM105" i="3" s="1"/>
  <c r="CG8" i="3"/>
  <c r="FC38" i="3" l="1"/>
  <c r="FC142" i="3" s="1"/>
  <c r="CS39" i="3"/>
  <c r="FC39" i="3" s="1"/>
  <c r="CT142" i="3"/>
  <c r="CU142" i="3" s="1"/>
  <c r="CT115" i="3"/>
  <c r="CU115" i="3" s="1"/>
  <c r="AM52" i="80"/>
  <c r="AM54" i="80" s="1"/>
  <c r="X51" i="80"/>
  <c r="W30" i="79" s="1"/>
  <c r="W38" i="79" s="1"/>
  <c r="W39" i="79" s="1"/>
  <c r="Y51" i="80"/>
  <c r="X30" i="79" s="1"/>
  <c r="X38" i="79" s="1"/>
  <c r="X28" i="79"/>
  <c r="X54" i="80"/>
  <c r="Z52" i="80"/>
  <c r="Z54" i="80" s="1"/>
  <c r="W28" i="79"/>
  <c r="EA89" i="3"/>
  <c r="EC108" i="2"/>
  <c r="CZ108" i="2"/>
  <c r="DA108" i="2" s="1"/>
  <c r="DB108" i="2" s="1"/>
  <c r="DC108" i="2" s="1"/>
  <c r="ED108" i="2" s="1"/>
  <c r="EC111" i="2"/>
  <c r="CZ111" i="2"/>
  <c r="DA111" i="2" s="1"/>
  <c r="DB111" i="2" s="1"/>
  <c r="DC111" i="2" s="1"/>
  <c r="ED111" i="2" s="1"/>
  <c r="CW11" i="3"/>
  <c r="CV115" i="3"/>
  <c r="Y29" i="79"/>
  <c r="AA50" i="80"/>
  <c r="Z49" i="80"/>
  <c r="Z65" i="80"/>
  <c r="Y34" i="79" s="1"/>
  <c r="Y33" i="79" s="1"/>
  <c r="EC20" i="2"/>
  <c r="CZ20" i="2"/>
  <c r="FC11" i="3"/>
  <c r="FC115" i="3" s="1"/>
  <c r="FD38" i="2"/>
  <c r="DA38" i="2"/>
  <c r="DB38" i="2" s="1"/>
  <c r="DC38" i="2" s="1"/>
  <c r="ED38" i="2" s="1"/>
  <c r="EB11" i="3"/>
  <c r="EB115" i="3" s="1"/>
  <c r="DA21" i="2"/>
  <c r="DB21" i="2" s="1"/>
  <c r="DC21" i="2" s="1"/>
  <c r="ED21" i="2" s="1"/>
  <c r="FD21" i="2"/>
  <c r="CW129" i="3"/>
  <c r="CW130" i="3"/>
  <c r="CV152" i="3"/>
  <c r="CW48" i="3"/>
  <c r="EB21" i="3"/>
  <c r="EB125" i="3" s="1"/>
  <c r="EB24" i="3"/>
  <c r="EB128" i="3" s="1"/>
  <c r="CV131" i="3"/>
  <c r="CX72" i="3"/>
  <c r="EB175" i="2"/>
  <c r="CV175" i="2"/>
  <c r="CW175" i="2" s="1"/>
  <c r="CX175" i="2" s="1"/>
  <c r="CY175" i="2" s="1"/>
  <c r="EB161" i="2"/>
  <c r="CV161" i="2"/>
  <c r="CW161" i="2" s="1"/>
  <c r="CX161" i="2" s="1"/>
  <c r="CY161" i="2" s="1"/>
  <c r="EB180" i="2"/>
  <c r="CV180" i="2"/>
  <c r="CW180" i="2" s="1"/>
  <c r="CX180" i="2" s="1"/>
  <c r="CY180" i="2" s="1"/>
  <c r="EB181" i="2"/>
  <c r="CV181" i="2"/>
  <c r="CW181" i="2" s="1"/>
  <c r="CX181" i="2" s="1"/>
  <c r="CY181" i="2" s="1"/>
  <c r="EB188" i="2"/>
  <c r="CV188" i="2"/>
  <c r="CW188" i="2" s="1"/>
  <c r="CX188" i="2" s="1"/>
  <c r="CY188" i="2" s="1"/>
  <c r="EB179" i="2"/>
  <c r="CV179" i="2"/>
  <c r="CW179" i="2" s="1"/>
  <c r="CX179" i="2" s="1"/>
  <c r="CY179" i="2" s="1"/>
  <c r="EB187" i="2"/>
  <c r="CV187" i="2"/>
  <c r="CW187" i="2" s="1"/>
  <c r="CX187" i="2" s="1"/>
  <c r="CY187" i="2" s="1"/>
  <c r="EB176" i="2"/>
  <c r="CV176" i="2"/>
  <c r="CW176" i="2" s="1"/>
  <c r="CX176" i="2" s="1"/>
  <c r="CY176" i="2" s="1"/>
  <c r="CY22" i="2"/>
  <c r="CX82" i="2"/>
  <c r="CV24" i="3"/>
  <c r="FC24" i="3" s="1"/>
  <c r="FC128" i="3" s="1"/>
  <c r="CW28" i="2"/>
  <c r="CX19" i="2"/>
  <c r="CW27" i="3"/>
  <c r="CW13" i="2"/>
  <c r="CW21" i="3" s="1"/>
  <c r="EB178" i="2"/>
  <c r="CV178" i="2"/>
  <c r="CW178" i="2" s="1"/>
  <c r="CX178" i="2" s="1"/>
  <c r="CY178" i="2" s="1"/>
  <c r="CU36" i="3"/>
  <c r="CU39" i="3" s="1"/>
  <c r="CV9" i="2"/>
  <c r="FC9" i="2" s="1"/>
  <c r="CY29" i="2"/>
  <c r="CZ29" i="2" s="1"/>
  <c r="CX26" i="3"/>
  <c r="CW147" i="3"/>
  <c r="CX32" i="2"/>
  <c r="CW87" i="2"/>
  <c r="CY39" i="2"/>
  <c r="CX43" i="3"/>
  <c r="CY30" i="2"/>
  <c r="CX25" i="3"/>
  <c r="CV21" i="3"/>
  <c r="FC21" i="3" s="1"/>
  <c r="FC125" i="3" s="1"/>
  <c r="CY31" i="2"/>
  <c r="CX18" i="2"/>
  <c r="M18" i="79"/>
  <c r="L21" i="79"/>
  <c r="L17" i="79"/>
  <c r="L22" i="79" s="1"/>
  <c r="O31" i="79"/>
  <c r="P61" i="80"/>
  <c r="P62" i="80"/>
  <c r="N38" i="79"/>
  <c r="N39" i="79" s="1"/>
  <c r="N33" i="79"/>
  <c r="R66" i="80"/>
  <c r="R67" i="80" s="1"/>
  <c r="S58" i="80"/>
  <c r="R4" i="79"/>
  <c r="R19" i="79" s="1"/>
  <c r="T37" i="80"/>
  <c r="T33" i="80"/>
  <c r="T39" i="80"/>
  <c r="T35" i="80"/>
  <c r="G24" i="79"/>
  <c r="O35" i="79"/>
  <c r="P27" i="79"/>
  <c r="Q68" i="80"/>
  <c r="Q73" i="80"/>
  <c r="Q69" i="80"/>
  <c r="Q60" i="80"/>
  <c r="CU125" i="3"/>
  <c r="CT140" i="3"/>
  <c r="CS143" i="3"/>
  <c r="CS126" i="3"/>
  <c r="CT22" i="3"/>
  <c r="CT39" i="3"/>
  <c r="FD39" i="3" s="1"/>
  <c r="EV68" i="3"/>
  <c r="EU68" i="3"/>
  <c r="U7" i="79"/>
  <c r="T6" i="79"/>
  <c r="R23" i="79"/>
  <c r="R24" i="79" s="1"/>
  <c r="T8" i="79"/>
  <c r="CI104" i="3"/>
  <c r="CI105" i="3" s="1"/>
  <c r="BG8" i="3"/>
  <c r="BG28" i="3" s="1"/>
  <c r="BG257" i="2"/>
  <c r="BH8" i="3"/>
  <c r="BH257" i="2"/>
  <c r="BB8" i="3"/>
  <c r="BB28" i="3" s="1"/>
  <c r="BB257" i="2"/>
  <c r="G257" i="2"/>
  <c r="G8" i="3"/>
  <c r="G28" i="3" s="1"/>
  <c r="BM8" i="3"/>
  <c r="R8" i="3"/>
  <c r="R28" i="3" s="1"/>
  <c r="R257" i="2"/>
  <c r="DT49" i="2"/>
  <c r="DT53" i="2"/>
  <c r="EV65" i="3"/>
  <c r="EV80" i="3" s="1"/>
  <c r="EV95" i="3" s="1"/>
  <c r="EV110" i="3"/>
  <c r="EF110" i="3"/>
  <c r="EF65" i="3"/>
  <c r="EF80" i="3" s="1"/>
  <c r="EF95" i="3" s="1"/>
  <c r="EQ53" i="2"/>
  <c r="EQ49" i="2"/>
  <c r="EI53" i="2"/>
  <c r="EI49" i="2"/>
  <c r="DL53" i="2"/>
  <c r="DL49" i="2"/>
  <c r="BS53" i="2"/>
  <c r="BS49" i="2"/>
  <c r="EX65" i="3"/>
  <c r="EX80" i="3" s="1"/>
  <c r="EX95" i="3" s="1"/>
  <c r="EX110" i="3"/>
  <c r="EL65" i="3"/>
  <c r="EL80" i="3" s="1"/>
  <c r="EL95" i="3" s="1"/>
  <c r="EL110" i="3"/>
  <c r="EU51" i="2"/>
  <c r="EU50" i="2" s="1"/>
  <c r="EU52" i="2"/>
  <c r="ES65" i="3"/>
  <c r="ES80" i="3" s="1"/>
  <c r="ES95" i="3" s="1"/>
  <c r="ES110" i="3"/>
  <c r="DN53" i="2"/>
  <c r="DN49" i="2"/>
  <c r="AI8" i="3"/>
  <c r="AI28" i="3" s="1"/>
  <c r="AI257" i="2"/>
  <c r="BW8" i="3"/>
  <c r="BW28" i="3" s="1"/>
  <c r="CK28" i="3"/>
  <c r="T8" i="3"/>
  <c r="T257" i="2"/>
  <c r="Y8" i="3"/>
  <c r="Y257" i="2"/>
  <c r="AD8" i="3"/>
  <c r="AD28" i="3" s="1"/>
  <c r="AD257" i="2"/>
  <c r="BJ8" i="3"/>
  <c r="BJ28" i="3" s="1"/>
  <c r="BJ257" i="2"/>
  <c r="U8" i="3"/>
  <c r="U257" i="2"/>
  <c r="BQ8" i="3"/>
  <c r="O8" i="3"/>
  <c r="O28" i="3" s="1"/>
  <c r="O257" i="2"/>
  <c r="AU8" i="3"/>
  <c r="AU28" i="3" s="1"/>
  <c r="AU257" i="2"/>
  <c r="I257" i="2"/>
  <c r="I8" i="3"/>
  <c r="I28" i="3" s="1"/>
  <c r="P8" i="3"/>
  <c r="P257" i="2"/>
  <c r="BL8" i="3"/>
  <c r="Z8" i="3"/>
  <c r="Z28" i="3" s="1"/>
  <c r="Z257" i="2"/>
  <c r="BF8" i="3"/>
  <c r="BF28" i="3" s="1"/>
  <c r="BF257" i="2"/>
  <c r="DU68" i="3"/>
  <c r="DI53" i="2"/>
  <c r="DI49" i="2"/>
  <c r="DR49" i="2"/>
  <c r="DR53" i="2"/>
  <c r="EH65" i="3"/>
  <c r="EH80" i="3" s="1"/>
  <c r="EH95" i="3" s="1"/>
  <c r="EH110" i="3"/>
  <c r="EH53" i="2"/>
  <c r="EH49" i="2"/>
  <c r="BO53" i="2"/>
  <c r="BO49" i="2"/>
  <c r="EO65" i="3"/>
  <c r="EO80" i="3" s="1"/>
  <c r="EO95" i="3" s="1"/>
  <c r="EO110" i="3"/>
  <c r="EY53" i="2"/>
  <c r="EY49" i="2"/>
  <c r="AW8" i="3"/>
  <c r="AW257" i="2"/>
  <c r="AA8" i="3"/>
  <c r="AA28" i="3" s="1"/>
  <c r="AA257" i="2"/>
  <c r="L8" i="3"/>
  <c r="L257" i="2"/>
  <c r="V8" i="3"/>
  <c r="V28" i="3" s="1"/>
  <c r="V257" i="2"/>
  <c r="AM8" i="3"/>
  <c r="AM28" i="3" s="1"/>
  <c r="AM257" i="2"/>
  <c r="H257" i="2"/>
  <c r="H8" i="3"/>
  <c r="BD8" i="3"/>
  <c r="BD257" i="2"/>
  <c r="AX8" i="3"/>
  <c r="AX28" i="3" s="1"/>
  <c r="AX257" i="2"/>
  <c r="AS8" i="3"/>
  <c r="AS257" i="2"/>
  <c r="EU110" i="3"/>
  <c r="EU65" i="3"/>
  <c r="EU80" i="3" s="1"/>
  <c r="EU95" i="3" s="1"/>
  <c r="EI65" i="3"/>
  <c r="EI80" i="3" s="1"/>
  <c r="EI95" i="3" s="1"/>
  <c r="EI110" i="3"/>
  <c r="DV53" i="2"/>
  <c r="DV49" i="2"/>
  <c r="ER5" i="3"/>
  <c r="ER5" i="2"/>
  <c r="Q8" i="3"/>
  <c r="Q257" i="2"/>
  <c r="S8" i="3"/>
  <c r="S28" i="3" s="1"/>
  <c r="S257" i="2"/>
  <c r="AY8" i="3"/>
  <c r="AY28" i="3" s="1"/>
  <c r="AY257" i="2"/>
  <c r="BE8" i="3"/>
  <c r="BE257" i="2"/>
  <c r="D8" i="3"/>
  <c r="AZ8" i="3"/>
  <c r="AZ257" i="2"/>
  <c r="BX8" i="3"/>
  <c r="BY8" i="3"/>
  <c r="N8" i="3"/>
  <c r="N28" i="3" s="1"/>
  <c r="N257" i="2"/>
  <c r="AT8" i="3"/>
  <c r="AT28" i="3" s="1"/>
  <c r="AT257" i="2"/>
  <c r="BZ8" i="3"/>
  <c r="BZ28" i="3" s="1"/>
  <c r="EU49" i="2"/>
  <c r="EU53" i="2"/>
  <c r="DU49" i="2"/>
  <c r="DU53" i="2"/>
  <c r="AG8" i="3"/>
  <c r="AG257" i="2"/>
  <c r="AE8" i="3"/>
  <c r="AE28" i="3" s="1"/>
  <c r="AE257" i="2"/>
  <c r="BK8" i="3"/>
  <c r="BK28" i="3" s="1"/>
  <c r="BK257" i="2"/>
  <c r="BU8" i="3"/>
  <c r="AF8" i="3"/>
  <c r="AF257" i="2"/>
  <c r="AV8" i="3"/>
  <c r="AV257" i="2"/>
  <c r="AK8" i="3"/>
  <c r="AK257" i="2"/>
  <c r="J8" i="3"/>
  <c r="J28" i="3" s="1"/>
  <c r="J257" i="2"/>
  <c r="AP8" i="3"/>
  <c r="AP28" i="3" s="1"/>
  <c r="AP257" i="2"/>
  <c r="BV8" i="3"/>
  <c r="BV28" i="3" s="1"/>
  <c r="E257" i="2"/>
  <c r="E8" i="3"/>
  <c r="E28" i="3" s="1"/>
  <c r="CH104" i="3"/>
  <c r="CH105" i="3" s="1"/>
  <c r="CH57" i="3"/>
  <c r="EV49" i="2"/>
  <c r="EV53" i="2"/>
  <c r="EX53" i="2"/>
  <c r="EX49" i="2"/>
  <c r="DM49" i="2"/>
  <c r="DM53" i="2"/>
  <c r="EM110" i="3"/>
  <c r="EM65" i="3"/>
  <c r="EM80" i="3" s="1"/>
  <c r="EM95" i="3" s="1"/>
  <c r="DJ53" i="2"/>
  <c r="DJ49" i="2"/>
  <c r="EJ65" i="3"/>
  <c r="EJ80" i="3" s="1"/>
  <c r="EJ95" i="3" s="1"/>
  <c r="EJ110" i="3"/>
  <c r="DT68" i="3"/>
  <c r="EP65" i="3"/>
  <c r="EP80" i="3" s="1"/>
  <c r="EP95" i="3" s="1"/>
  <c r="EP110" i="3"/>
  <c r="DU52" i="2"/>
  <c r="DU51" i="2"/>
  <c r="DU50" i="2" s="1"/>
  <c r="ET49" i="2"/>
  <c r="ET53" i="2"/>
  <c r="EL49" i="2"/>
  <c r="EL53" i="2"/>
  <c r="DY53" i="2"/>
  <c r="DY49" i="2"/>
  <c r="EG65" i="3"/>
  <c r="EG80" i="3" s="1"/>
  <c r="EG95" i="3" s="1"/>
  <c r="EG110" i="3"/>
  <c r="EO49" i="2"/>
  <c r="EO53" i="2"/>
  <c r="DX53" i="2"/>
  <c r="DX49" i="2"/>
  <c r="CG28" i="3"/>
  <c r="K257" i="2"/>
  <c r="K8" i="3"/>
  <c r="K28" i="3" s="1"/>
  <c r="AQ8" i="3"/>
  <c r="AQ28" i="3" s="1"/>
  <c r="AQ257" i="2"/>
  <c r="AC8" i="3"/>
  <c r="AC257" i="2"/>
  <c r="AB8" i="3"/>
  <c r="AB257" i="2"/>
  <c r="AR8" i="3"/>
  <c r="AR257" i="2"/>
  <c r="BP8" i="3"/>
  <c r="BA8" i="3"/>
  <c r="BA257" i="2"/>
  <c r="F8" i="3"/>
  <c r="F28" i="3" s="1"/>
  <c r="F257" i="2"/>
  <c r="AL8" i="3"/>
  <c r="AL28" i="3" s="1"/>
  <c r="AL257" i="2"/>
  <c r="BR8" i="3"/>
  <c r="BR28" i="3" s="1"/>
  <c r="BI8" i="3"/>
  <c r="BI257" i="2"/>
  <c r="W8" i="3"/>
  <c r="W28" i="3" s="1"/>
  <c r="W257" i="2"/>
  <c r="BC8" i="3"/>
  <c r="BC28" i="3" s="1"/>
  <c r="BC257" i="2"/>
  <c r="AO8" i="3"/>
  <c r="AO257" i="2"/>
  <c r="X8" i="3"/>
  <c r="X257" i="2"/>
  <c r="BT8" i="3"/>
  <c r="M8" i="3"/>
  <c r="M257" i="2"/>
  <c r="AH8" i="3"/>
  <c r="AH28" i="3" s="1"/>
  <c r="AH257" i="2"/>
  <c r="BN8" i="3"/>
  <c r="BN28" i="3" s="1"/>
  <c r="CP8" i="3"/>
  <c r="CM57" i="3"/>
  <c r="EY110" i="3"/>
  <c r="EY65" i="3"/>
  <c r="EY80" i="3" s="1"/>
  <c r="EY95" i="3" s="1"/>
  <c r="EQ110" i="3"/>
  <c r="EQ65" i="3"/>
  <c r="EQ80" i="3" s="1"/>
  <c r="EQ95" i="3" s="1"/>
  <c r="ER110" i="3"/>
  <c r="ER65" i="3"/>
  <c r="ER80" i="3" s="1"/>
  <c r="ER95" i="3" s="1"/>
  <c r="EV51" i="2"/>
  <c r="EV50" i="2" s="1"/>
  <c r="EV52" i="2"/>
  <c r="EM49" i="2"/>
  <c r="EM53" i="2"/>
  <c r="DZ49" i="2"/>
  <c r="DZ53" i="2"/>
  <c r="ET65" i="3"/>
  <c r="ET80" i="3" s="1"/>
  <c r="ET95" i="3" s="1"/>
  <c r="ET110" i="3"/>
  <c r="EN110" i="3"/>
  <c r="EN65" i="3"/>
  <c r="EN80" i="3" s="1"/>
  <c r="EN95" i="3" s="1"/>
  <c r="EW65" i="3"/>
  <c r="EW80" i="3" s="1"/>
  <c r="EW95" i="3" s="1"/>
  <c r="EW110" i="3"/>
  <c r="EK65" i="3"/>
  <c r="EK80" i="3" s="1"/>
  <c r="EK95" i="3" s="1"/>
  <c r="EK110" i="3"/>
  <c r="W13" i="80"/>
  <c r="V5" i="79" s="1"/>
  <c r="V15" i="80"/>
  <c r="T41" i="80"/>
  <c r="S4" i="79" s="1"/>
  <c r="S19" i="79" s="1"/>
  <c r="T30" i="80"/>
  <c r="U28" i="80"/>
  <c r="T9" i="79" s="1"/>
  <c r="AL28" i="80"/>
  <c r="AL30" i="80" s="1"/>
  <c r="S43" i="80"/>
  <c r="S42" i="80"/>
  <c r="S33" i="80"/>
  <c r="S35" i="80"/>
  <c r="S39" i="80"/>
  <c r="S37" i="80"/>
  <c r="EI89" i="3"/>
  <c r="EI84" i="3" s="1"/>
  <c r="EI92" i="3" s="1"/>
  <c r="CU63" i="2"/>
  <c r="CV63" i="2" s="1"/>
  <c r="FC63" i="2" s="1"/>
  <c r="FC64" i="2" s="1"/>
  <c r="CT64" i="2"/>
  <c r="EQ89" i="3"/>
  <c r="EQ84" i="3" s="1"/>
  <c r="EQ92" i="3" s="1"/>
  <c r="EM89" i="3"/>
  <c r="EM84" i="3" s="1"/>
  <c r="EM92" i="3" s="1"/>
  <c r="DO89" i="3"/>
  <c r="DO84" i="3" s="1"/>
  <c r="DO92" i="3" s="1"/>
  <c r="DO79" i="3" s="1"/>
  <c r="CS73" i="3"/>
  <c r="CS75" i="3" s="1"/>
  <c r="CS76" i="3" s="1"/>
  <c r="CT70" i="3"/>
  <c r="CS89" i="3"/>
  <c r="ET89" i="3"/>
  <c r="ET84" i="3" s="1"/>
  <c r="ET92" i="3" s="1"/>
  <c r="EK89" i="3"/>
  <c r="EK84" i="3" s="1"/>
  <c r="EK92" i="3" s="1"/>
  <c r="EV89" i="3"/>
  <c r="EV84" i="3" s="1"/>
  <c r="EV92" i="3" s="1"/>
  <c r="DQ89" i="3"/>
  <c r="DQ84" i="3" s="1"/>
  <c r="DQ92" i="3" s="1"/>
  <c r="DQ79" i="3" s="1"/>
  <c r="DY92" i="3"/>
  <c r="DY89" i="3"/>
  <c r="DU89" i="3"/>
  <c r="DU84" i="3" s="1"/>
  <c r="DU92" i="3" s="1"/>
  <c r="DU79" i="3" s="1"/>
  <c r="EP89" i="3"/>
  <c r="EP84" i="3" s="1"/>
  <c r="EP92" i="3" s="1"/>
  <c r="DN89" i="3"/>
  <c r="DN84" i="3" s="1"/>
  <c r="DN92" i="3" s="1"/>
  <c r="DN79" i="3" s="1"/>
  <c r="DL89" i="3"/>
  <c r="DL84" i="3" s="1"/>
  <c r="DL92" i="3" s="1"/>
  <c r="DL79" i="3" s="1"/>
  <c r="DV89" i="3"/>
  <c r="DV84" i="3" s="1"/>
  <c r="DV92" i="3" s="1"/>
  <c r="EY89" i="3"/>
  <c r="EY84" i="3" s="1"/>
  <c r="EY92" i="3" s="1"/>
  <c r="ES89" i="3"/>
  <c r="ES84" i="3" s="1"/>
  <c r="ES92" i="3" s="1"/>
  <c r="DG89" i="3"/>
  <c r="DG84" i="3" s="1"/>
  <c r="DG92" i="3" s="1"/>
  <c r="DG79" i="3" s="1"/>
  <c r="DI89" i="3"/>
  <c r="DI84" i="3" s="1"/>
  <c r="DI92" i="3" s="1"/>
  <c r="DI79" i="3" s="1"/>
  <c r="FB17" i="2"/>
  <c r="FB75" i="3" s="1"/>
  <c r="FB76" i="3" s="1"/>
  <c r="DZ89" i="3"/>
  <c r="DZ92" i="3"/>
  <c r="EU89" i="3"/>
  <c r="EU84" i="3" s="1"/>
  <c r="EU92" i="3" s="1"/>
  <c r="DJ89" i="3"/>
  <c r="DJ84" i="3" s="1"/>
  <c r="DJ92" i="3" s="1"/>
  <c r="DJ79" i="3" s="1"/>
  <c r="ER89" i="3"/>
  <c r="ER84" i="3" s="1"/>
  <c r="ER92" i="3" s="1"/>
  <c r="DH89" i="3"/>
  <c r="DH84" i="3" s="1"/>
  <c r="DH92" i="3" s="1"/>
  <c r="DH79" i="3" s="1"/>
  <c r="EA76" i="3"/>
  <c r="DS89" i="3"/>
  <c r="DS84" i="3" s="1"/>
  <c r="DS92" i="3" s="1"/>
  <c r="DS79" i="3" s="1"/>
  <c r="CU23" i="2"/>
  <c r="CV23" i="2" s="1"/>
  <c r="CA197" i="2"/>
  <c r="DW197" i="2" s="1"/>
  <c r="CB160" i="2"/>
  <c r="DW160" i="2"/>
  <c r="CR220" i="2"/>
  <c r="CD111" i="2"/>
  <c r="BZ196" i="2"/>
  <c r="CA159" i="2"/>
  <c r="CB234" i="2"/>
  <c r="CA193" i="2"/>
  <c r="DW193" i="2" s="1"/>
  <c r="CB156" i="2"/>
  <c r="DW156" i="2"/>
  <c r="CG145" i="2"/>
  <c r="CF123" i="2"/>
  <c r="CF206" i="2" s="1"/>
  <c r="CF242" i="2" s="1"/>
  <c r="CG224" i="2"/>
  <c r="CC119" i="2"/>
  <c r="CC124" i="2" s="1"/>
  <c r="CD106" i="2"/>
  <c r="CR221" i="2"/>
  <c r="CK224" i="2"/>
  <c r="CK189" i="2"/>
  <c r="CJ169" i="2"/>
  <c r="CJ206" i="2" s="1"/>
  <c r="CD143" i="2"/>
  <c r="CE121" i="2"/>
  <c r="CD205" i="2"/>
  <c r="CD223" i="2" s="1"/>
  <c r="CD241" i="2" s="1"/>
  <c r="CE168" i="2"/>
  <c r="BX243" i="2"/>
  <c r="BZ194" i="2"/>
  <c r="CA157" i="2"/>
  <c r="BZ214" i="2"/>
  <c r="CD204" i="2"/>
  <c r="CE167" i="2"/>
  <c r="CB241" i="2"/>
  <c r="CE107" i="2"/>
  <c r="CE110" i="2"/>
  <c r="CE144" i="2"/>
  <c r="DX144" i="2" s="1"/>
  <c r="CF122" i="2"/>
  <c r="DX122" i="2"/>
  <c r="CU14" i="2"/>
  <c r="CN140" i="2"/>
  <c r="CO118" i="2"/>
  <c r="BZ212" i="2"/>
  <c r="BZ192" i="2"/>
  <c r="CA155" i="2"/>
  <c r="CA195" i="2"/>
  <c r="DW158" i="2"/>
  <c r="CB158" i="2"/>
  <c r="CD108" i="2"/>
  <c r="BZ233" i="2"/>
  <c r="CI206" i="2"/>
  <c r="DY169" i="2"/>
  <c r="EA177" i="2"/>
  <c r="CR177" i="2"/>
  <c r="CS177" i="2" s="1"/>
  <c r="CT177" i="2" s="1"/>
  <c r="CU177" i="2" s="1"/>
  <c r="BZ231" i="2"/>
  <c r="CS202" i="2"/>
  <c r="CS220" i="2" s="1"/>
  <c r="CT116" i="2"/>
  <c r="BZ229" i="2"/>
  <c r="BY207" i="2"/>
  <c r="BY228" i="2"/>
  <c r="CB240" i="2"/>
  <c r="CT145" i="2"/>
  <c r="CS123" i="2"/>
  <c r="DW195" i="2"/>
  <c r="CC198" i="2"/>
  <c r="CC234" i="2" s="1"/>
  <c r="CD112" i="2"/>
  <c r="DX123" i="2"/>
  <c r="CE206" i="2"/>
  <c r="CD109" i="2"/>
  <c r="CU81" i="2"/>
  <c r="EB9" i="2"/>
  <c r="CS203" i="2"/>
  <c r="CS221" i="2" s="1"/>
  <c r="CT117" i="2"/>
  <c r="DZ142" i="2"/>
  <c r="CN142" i="2"/>
  <c r="CM120" i="2"/>
  <c r="DZ120" i="2" s="1"/>
  <c r="CG257" i="2"/>
  <c r="CM257" i="2"/>
  <c r="CI257" i="2"/>
  <c r="CC8" i="3"/>
  <c r="CH257" i="2"/>
  <c r="CL8" i="3"/>
  <c r="CL28" i="3" s="1"/>
  <c r="CK257" i="2"/>
  <c r="CA8" i="3"/>
  <c r="CA28" i="3" s="1"/>
  <c r="CO8" i="3"/>
  <c r="CO28" i="3" s="1"/>
  <c r="CJ8" i="3"/>
  <c r="EZ8" i="3" s="1"/>
  <c r="EZ112" i="3" s="1"/>
  <c r="EZ132" i="3" s="1"/>
  <c r="EZ161" i="3" s="1"/>
  <c r="CN8" i="3"/>
  <c r="R43" i="79" l="1"/>
  <c r="R45" i="79" s="1"/>
  <c r="R50" i="79" s="1"/>
  <c r="Y28" i="79"/>
  <c r="Z51" i="80"/>
  <c r="Y30" i="79" s="1"/>
  <c r="Y38" i="79" s="1"/>
  <c r="Y39" i="79" s="1"/>
  <c r="X39" i="79"/>
  <c r="AA52" i="80"/>
  <c r="Z28" i="79" s="1"/>
  <c r="FD20" i="2"/>
  <c r="DA20" i="2"/>
  <c r="DB20" i="2" s="1"/>
  <c r="DC20" i="2" s="1"/>
  <c r="ED20" i="2" s="1"/>
  <c r="AL41" i="80"/>
  <c r="AL43" i="80" s="1"/>
  <c r="FD29" i="2"/>
  <c r="CZ26" i="3"/>
  <c r="DA29" i="2"/>
  <c r="CY82" i="2"/>
  <c r="CZ22" i="2"/>
  <c r="EC22" i="2"/>
  <c r="Z29" i="79"/>
  <c r="AB50" i="80"/>
  <c r="AA49" i="80"/>
  <c r="AA65" i="80"/>
  <c r="Z34" i="79" s="1"/>
  <c r="Z33" i="79" s="1"/>
  <c r="CW115" i="3"/>
  <c r="CX48" i="3"/>
  <c r="CY48" i="3" s="1"/>
  <c r="CZ48" i="3" s="1"/>
  <c r="CY25" i="3"/>
  <c r="EC25" i="3" s="1"/>
  <c r="EC129" i="3" s="1"/>
  <c r="CZ30" i="2"/>
  <c r="EC30" i="2"/>
  <c r="EC176" i="2"/>
  <c r="CZ176" i="2"/>
  <c r="DA176" i="2" s="1"/>
  <c r="DB176" i="2" s="1"/>
  <c r="DC176" i="2" s="1"/>
  <c r="ED176" i="2" s="1"/>
  <c r="EC179" i="2"/>
  <c r="CZ179" i="2"/>
  <c r="DA179" i="2" s="1"/>
  <c r="DB179" i="2" s="1"/>
  <c r="DC179" i="2" s="1"/>
  <c r="ED179" i="2" s="1"/>
  <c r="EC181" i="2"/>
  <c r="CZ181" i="2"/>
  <c r="DA181" i="2" s="1"/>
  <c r="DB181" i="2" s="1"/>
  <c r="DC181" i="2" s="1"/>
  <c r="ED181" i="2" s="1"/>
  <c r="EC161" i="2"/>
  <c r="CZ161" i="2"/>
  <c r="DA161" i="2" s="1"/>
  <c r="DB161" i="2" s="1"/>
  <c r="DC161" i="2" s="1"/>
  <c r="ED161" i="2" s="1"/>
  <c r="CX11" i="3"/>
  <c r="CY11" i="3" s="1"/>
  <c r="CZ11" i="3" s="1"/>
  <c r="CY43" i="3"/>
  <c r="CZ39" i="2"/>
  <c r="EC39" i="2"/>
  <c r="EC178" i="2"/>
  <c r="CZ178" i="2"/>
  <c r="DA178" i="2" s="1"/>
  <c r="DB178" i="2" s="1"/>
  <c r="DC178" i="2" s="1"/>
  <c r="ED178" i="2" s="1"/>
  <c r="EC187" i="2"/>
  <c r="CZ187" i="2"/>
  <c r="DA187" i="2" s="1"/>
  <c r="DB187" i="2" s="1"/>
  <c r="DC187" i="2" s="1"/>
  <c r="ED187" i="2" s="1"/>
  <c r="EC188" i="2"/>
  <c r="CZ188" i="2"/>
  <c r="DA188" i="2" s="1"/>
  <c r="DB188" i="2" s="1"/>
  <c r="DC188" i="2" s="1"/>
  <c r="ED188" i="2" s="1"/>
  <c r="EC180" i="2"/>
  <c r="CZ180" i="2"/>
  <c r="DA180" i="2" s="1"/>
  <c r="DB180" i="2" s="1"/>
  <c r="DC180" i="2" s="1"/>
  <c r="ED180" i="2" s="1"/>
  <c r="EC175" i="2"/>
  <c r="CZ175" i="2"/>
  <c r="DA175" i="2" s="1"/>
  <c r="DB175" i="2" s="1"/>
  <c r="DC175" i="2" s="1"/>
  <c r="ED175" i="2" s="1"/>
  <c r="EC31" i="2"/>
  <c r="CZ31" i="2"/>
  <c r="FD31" i="2" s="1"/>
  <c r="CW131" i="3"/>
  <c r="EC48" i="3"/>
  <c r="EC152" i="3" s="1"/>
  <c r="CW152" i="3"/>
  <c r="CX152" i="3" s="1"/>
  <c r="CY152" i="3" s="1"/>
  <c r="CY26" i="3"/>
  <c r="EC26" i="3" s="1"/>
  <c r="EC130" i="3" s="1"/>
  <c r="EC29" i="2"/>
  <c r="CW23" i="2"/>
  <c r="CX23" i="2" s="1"/>
  <c r="CY23" i="2" s="1"/>
  <c r="FC23" i="2"/>
  <c r="EC43" i="3"/>
  <c r="EC147" i="3" s="1"/>
  <c r="CX130" i="3"/>
  <c r="CV128" i="3"/>
  <c r="CV125" i="3"/>
  <c r="CW125" i="3" s="1"/>
  <c r="CX129" i="3"/>
  <c r="CY129" i="3" s="1"/>
  <c r="CY72" i="3"/>
  <c r="CZ72" i="3" s="1"/>
  <c r="EB177" i="2"/>
  <c r="CV177" i="2"/>
  <c r="CW177" i="2" s="1"/>
  <c r="CX177" i="2" s="1"/>
  <c r="CY177" i="2" s="1"/>
  <c r="CV14" i="2"/>
  <c r="FC14" i="2" s="1"/>
  <c r="CV81" i="2"/>
  <c r="CW9" i="2"/>
  <c r="CY19" i="2"/>
  <c r="CX27" i="3"/>
  <c r="CX28" i="2"/>
  <c r="CW24" i="3"/>
  <c r="EB36" i="3"/>
  <c r="EB39" i="3" s="1"/>
  <c r="CX87" i="2"/>
  <c r="CY32" i="2"/>
  <c r="CX147" i="3"/>
  <c r="CV36" i="3"/>
  <c r="FC36" i="3" s="1"/>
  <c r="FC140" i="3" s="1"/>
  <c r="FC143" i="3" s="1"/>
  <c r="CX13" i="2"/>
  <c r="CX21" i="3" s="1"/>
  <c r="CW63" i="2"/>
  <c r="CV64" i="2"/>
  <c r="CY18" i="2"/>
  <c r="CU22" i="3"/>
  <c r="P31" i="79"/>
  <c r="Q62" i="80"/>
  <c r="Q61" i="80"/>
  <c r="P35" i="79"/>
  <c r="O38" i="79"/>
  <c r="O39" i="79" s="1"/>
  <c r="O33" i="79"/>
  <c r="T58" i="80"/>
  <c r="S66" i="80"/>
  <c r="S67" i="80" s="1"/>
  <c r="N43" i="79"/>
  <c r="N45" i="79" s="1"/>
  <c r="N50" i="79" s="1"/>
  <c r="N37" i="79"/>
  <c r="Q27" i="79"/>
  <c r="R69" i="80"/>
  <c r="R60" i="80"/>
  <c r="R68" i="80"/>
  <c r="R73" i="80"/>
  <c r="N18" i="79"/>
  <c r="M21" i="79"/>
  <c r="M17" i="79"/>
  <c r="M22" i="79" s="1"/>
  <c r="EB22" i="3"/>
  <c r="EB126" i="3" s="1"/>
  <c r="CT126" i="3"/>
  <c r="CU140" i="3"/>
  <c r="CU143" i="3" s="1"/>
  <c r="CT143" i="3"/>
  <c r="S23" i="79"/>
  <c r="S24" i="79" s="1"/>
  <c r="V7" i="79"/>
  <c r="U6" i="79"/>
  <c r="U8" i="79"/>
  <c r="BT257" i="2"/>
  <c r="BC104" i="3"/>
  <c r="BC105" i="3" s="1"/>
  <c r="BC57" i="3"/>
  <c r="E104" i="3"/>
  <c r="E105" i="3" s="1"/>
  <c r="E57" i="3"/>
  <c r="BK104" i="3"/>
  <c r="BK105" i="3" s="1"/>
  <c r="BK57" i="3"/>
  <c r="AM104" i="3"/>
  <c r="AM105" i="3" s="1"/>
  <c r="AM57" i="3"/>
  <c r="BL257" i="2"/>
  <c r="BW104" i="3"/>
  <c r="BW105" i="3" s="1"/>
  <c r="BW57" i="3"/>
  <c r="R104" i="3"/>
  <c r="R105" i="3" s="1"/>
  <c r="R57" i="3"/>
  <c r="CN112" i="3"/>
  <c r="CN28" i="3"/>
  <c r="FA28" i="3" s="1"/>
  <c r="FA104" i="3" s="1"/>
  <c r="FA105" i="3" s="1"/>
  <c r="CE257" i="2"/>
  <c r="CE8" i="3"/>
  <c r="CE28" i="3" s="1"/>
  <c r="CC28" i="3"/>
  <c r="CP257" i="2"/>
  <c r="CP70" i="2"/>
  <c r="CP73" i="2" s="1"/>
  <c r="M28" i="3"/>
  <c r="EH8" i="3"/>
  <c r="EO8" i="3"/>
  <c r="AO28" i="3"/>
  <c r="BR257" i="2"/>
  <c r="ER8" i="3"/>
  <c r="BA28" i="3"/>
  <c r="DK8" i="3"/>
  <c r="AB112" i="3"/>
  <c r="AB28" i="3"/>
  <c r="K104" i="3"/>
  <c r="K105" i="3" s="1"/>
  <c r="K57" i="3"/>
  <c r="J104" i="3"/>
  <c r="J105" i="3" s="1"/>
  <c r="J57" i="3"/>
  <c r="EW8" i="3"/>
  <c r="BU28" i="3"/>
  <c r="BZ257" i="2"/>
  <c r="BY257" i="2"/>
  <c r="AZ112" i="3"/>
  <c r="DQ8" i="3"/>
  <c r="AZ28" i="3"/>
  <c r="AY104" i="3"/>
  <c r="AY105" i="3" s="1"/>
  <c r="AY57" i="3"/>
  <c r="AA104" i="3"/>
  <c r="AA105" i="3" s="1"/>
  <c r="AA57" i="3"/>
  <c r="Z104" i="3"/>
  <c r="Z105" i="3" s="1"/>
  <c r="Z57" i="3"/>
  <c r="BQ28" i="3"/>
  <c r="EK8" i="3"/>
  <c r="Y28" i="3"/>
  <c r="BW257" i="2"/>
  <c r="CO104" i="3"/>
  <c r="CO105" i="3" s="1"/>
  <c r="CO57" i="3"/>
  <c r="BN257" i="2"/>
  <c r="CG104" i="3"/>
  <c r="CG105" i="3" s="1"/>
  <c r="CG57" i="3"/>
  <c r="BV257" i="2"/>
  <c r="BZ104" i="3"/>
  <c r="BZ105" i="3" s="1"/>
  <c r="BZ57" i="3"/>
  <c r="BY28" i="3"/>
  <c r="S104" i="3"/>
  <c r="S105" i="3" s="1"/>
  <c r="S57" i="3"/>
  <c r="AU104" i="3"/>
  <c r="AU105" i="3" s="1"/>
  <c r="AU57" i="3"/>
  <c r="EJ8" i="3"/>
  <c r="U28" i="3"/>
  <c r="DI8" i="3"/>
  <c r="T112" i="3"/>
  <c r="T28" i="3"/>
  <c r="BB104" i="3"/>
  <c r="BB105" i="3" s="1"/>
  <c r="BB57" i="3"/>
  <c r="AN8" i="3"/>
  <c r="EN8" i="3" s="1"/>
  <c r="AN257" i="2"/>
  <c r="AJ8" i="3"/>
  <c r="EM8" i="3" s="1"/>
  <c r="AJ257" i="2"/>
  <c r="AH104" i="3"/>
  <c r="AH105" i="3" s="1"/>
  <c r="AH57" i="3"/>
  <c r="X112" i="3"/>
  <c r="DJ8" i="3"/>
  <c r="X28" i="3"/>
  <c r="ET8" i="3"/>
  <c r="BI28" i="3"/>
  <c r="F104" i="3"/>
  <c r="F105" i="3" s="1"/>
  <c r="F57" i="3"/>
  <c r="AR28" i="3"/>
  <c r="AR112" i="3"/>
  <c r="DO8" i="3"/>
  <c r="AP104" i="3"/>
  <c r="AP105" i="3" s="1"/>
  <c r="AP57" i="3"/>
  <c r="BU257" i="2"/>
  <c r="AG28" i="3"/>
  <c r="N104" i="3"/>
  <c r="N105" i="3" s="1"/>
  <c r="N57" i="3"/>
  <c r="BX28" i="3"/>
  <c r="DW8" i="3"/>
  <c r="BX112" i="3"/>
  <c r="ES8" i="3"/>
  <c r="BE28" i="3"/>
  <c r="BD112" i="3"/>
  <c r="BD28" i="3"/>
  <c r="DR8" i="3"/>
  <c r="L28" i="3"/>
  <c r="DG8" i="3"/>
  <c r="L112" i="3"/>
  <c r="BF104" i="3"/>
  <c r="BF105" i="3" s="1"/>
  <c r="BF57" i="3"/>
  <c r="P112" i="3"/>
  <c r="P28" i="3"/>
  <c r="DH8" i="3"/>
  <c r="BQ257" i="2"/>
  <c r="AD104" i="3"/>
  <c r="AD105" i="3" s="1"/>
  <c r="AD57" i="3"/>
  <c r="CK57" i="3"/>
  <c r="CK104" i="3"/>
  <c r="CK105" i="3" s="1"/>
  <c r="BM28" i="3"/>
  <c r="BG104" i="3"/>
  <c r="BG105" i="3" s="1"/>
  <c r="BG57" i="3"/>
  <c r="CL104" i="3"/>
  <c r="CL105" i="3" s="1"/>
  <c r="CL57" i="3"/>
  <c r="BR104" i="3"/>
  <c r="BR105" i="3" s="1"/>
  <c r="BR57" i="3"/>
  <c r="BP257" i="2"/>
  <c r="EL8" i="3"/>
  <c r="AC28" i="3"/>
  <c r="AK28" i="3"/>
  <c r="AV112" i="3"/>
  <c r="DP8" i="3"/>
  <c r="AV28" i="3"/>
  <c r="EP8" i="3"/>
  <c r="AS28" i="3"/>
  <c r="H28" i="3"/>
  <c r="DF8" i="3"/>
  <c r="H112" i="3"/>
  <c r="AW28" i="3"/>
  <c r="EQ8" i="3"/>
  <c r="I104" i="3"/>
  <c r="I105" i="3" s="1"/>
  <c r="I57" i="3"/>
  <c r="G104" i="3"/>
  <c r="G105" i="3" s="1"/>
  <c r="G57" i="3"/>
  <c r="CJ112" i="3"/>
  <c r="DZ8" i="3"/>
  <c r="CJ28" i="3"/>
  <c r="CA104" i="3"/>
  <c r="CA105" i="3" s="1"/>
  <c r="CA57" i="3"/>
  <c r="BN104" i="3"/>
  <c r="BN105" i="3" s="1"/>
  <c r="BN57" i="3"/>
  <c r="BT28" i="3"/>
  <c r="BT112" i="3"/>
  <c r="DV8" i="3"/>
  <c r="W104" i="3"/>
  <c r="W105" i="3" s="1"/>
  <c r="W57" i="3"/>
  <c r="AL104" i="3"/>
  <c r="AL105" i="3" s="1"/>
  <c r="AL57" i="3"/>
  <c r="BP28" i="3"/>
  <c r="BP112" i="3"/>
  <c r="AQ104" i="3"/>
  <c r="AQ105" i="3" s="1"/>
  <c r="AQ57" i="3"/>
  <c r="BV104" i="3"/>
  <c r="BV105" i="3" s="1"/>
  <c r="BV57" i="3"/>
  <c r="AF28" i="3"/>
  <c r="AF112" i="3"/>
  <c r="DL8" i="3"/>
  <c r="AE104" i="3"/>
  <c r="AE105" i="3" s="1"/>
  <c r="AE57" i="3"/>
  <c r="AT104" i="3"/>
  <c r="AT105" i="3" s="1"/>
  <c r="AT57" i="3"/>
  <c r="BX257" i="2"/>
  <c r="DE8" i="3"/>
  <c r="D28" i="3"/>
  <c r="D112" i="3"/>
  <c r="EI8" i="3"/>
  <c r="Q28" i="3"/>
  <c r="ES5" i="3"/>
  <c r="ES5" i="2"/>
  <c r="AX104" i="3"/>
  <c r="AX105" i="3" s="1"/>
  <c r="AX57" i="3"/>
  <c r="V104" i="3"/>
  <c r="V105" i="3" s="1"/>
  <c r="V57" i="3"/>
  <c r="BL28" i="3"/>
  <c r="BL112" i="3"/>
  <c r="O104" i="3"/>
  <c r="O105" i="3" s="1"/>
  <c r="O57" i="3"/>
  <c r="BJ104" i="3"/>
  <c r="BJ105" i="3" s="1"/>
  <c r="BJ57" i="3"/>
  <c r="FA8" i="3"/>
  <c r="FA112" i="3" s="1"/>
  <c r="FA132" i="3" s="1"/>
  <c r="FA161" i="3" s="1"/>
  <c r="AI104" i="3"/>
  <c r="AI105" i="3" s="1"/>
  <c r="AI57" i="3"/>
  <c r="BM257" i="2"/>
  <c r="BH112" i="3"/>
  <c r="DS8" i="3"/>
  <c r="BH28" i="3"/>
  <c r="U41" i="80"/>
  <c r="T4" i="79" s="1"/>
  <c r="U30" i="80"/>
  <c r="V28" i="80"/>
  <c r="U9" i="79" s="1"/>
  <c r="X13" i="80"/>
  <c r="W15" i="80"/>
  <c r="T43" i="80"/>
  <c r="T42" i="80"/>
  <c r="CU70" i="3"/>
  <c r="CV70" i="3" s="1"/>
  <c r="FC70" i="3" s="1"/>
  <c r="CT73" i="3"/>
  <c r="CT17" i="2" s="1"/>
  <c r="CT75" i="3" s="1"/>
  <c r="CT76" i="3" s="1"/>
  <c r="CT89" i="3"/>
  <c r="EB63" i="2"/>
  <c r="CU64" i="2"/>
  <c r="CE109" i="2"/>
  <c r="BZ132" i="2"/>
  <c r="CA192" i="2"/>
  <c r="DW192" i="2" s="1"/>
  <c r="DW155" i="2"/>
  <c r="CB155" i="2"/>
  <c r="CO140" i="2"/>
  <c r="CP118" i="2"/>
  <c r="EB14" i="2"/>
  <c r="CA196" i="2"/>
  <c r="DW196" i="2" s="1"/>
  <c r="DW159" i="2"/>
  <c r="CB159" i="2"/>
  <c r="EB23" i="2"/>
  <c r="CO142" i="2"/>
  <c r="CN120" i="2"/>
  <c r="DX206" i="2"/>
  <c r="CE242" i="2"/>
  <c r="DX242" i="2" s="1"/>
  <c r="BZ128" i="2"/>
  <c r="CE108" i="2"/>
  <c r="CB195" i="2"/>
  <c r="CC158" i="2"/>
  <c r="BZ207" i="2"/>
  <c r="CF144" i="2"/>
  <c r="CG122" i="2"/>
  <c r="CE204" i="2"/>
  <c r="CE222" i="2" s="1"/>
  <c r="CE240" i="2" s="1"/>
  <c r="DX167" i="2"/>
  <c r="CF167" i="2"/>
  <c r="BZ232" i="2"/>
  <c r="CE205" i="2"/>
  <c r="CE223" i="2" s="1"/>
  <c r="CE241" i="2" s="1"/>
  <c r="DX241" i="2" s="1"/>
  <c r="CF168" i="2"/>
  <c r="DX168" i="2"/>
  <c r="CB193" i="2"/>
  <c r="CC156" i="2"/>
  <c r="CJ242" i="2"/>
  <c r="BY243" i="2"/>
  <c r="BY127" i="2"/>
  <c r="CT202" i="2"/>
  <c r="CT220" i="2" s="1"/>
  <c r="CU116" i="2"/>
  <c r="DX107" i="2"/>
  <c r="CF107" i="2"/>
  <c r="CG107" i="2" s="1"/>
  <c r="CH107" i="2" s="1"/>
  <c r="CD222" i="2"/>
  <c r="CA194" i="2"/>
  <c r="DW194" i="2" s="1"/>
  <c r="CB157" i="2"/>
  <c r="DW157" i="2"/>
  <c r="CL224" i="2"/>
  <c r="CL189" i="2"/>
  <c r="CK169" i="2"/>
  <c r="CK206" i="2" s="1"/>
  <c r="CK242" i="2" s="1"/>
  <c r="CD119" i="2"/>
  <c r="CD124" i="2" s="1"/>
  <c r="CE106" i="2"/>
  <c r="CT203" i="2"/>
  <c r="CT221" i="2" s="1"/>
  <c r="CU117" i="2"/>
  <c r="CD198" i="2"/>
  <c r="CD234" i="2" s="1"/>
  <c r="CE112" i="2"/>
  <c r="CT123" i="2"/>
  <c r="CU145" i="2"/>
  <c r="CV145" i="2" s="1"/>
  <c r="BZ130" i="2"/>
  <c r="BZ230" i="2"/>
  <c r="DX110" i="2"/>
  <c r="CF110" i="2"/>
  <c r="CG110" i="2" s="1"/>
  <c r="CH110" i="2" s="1"/>
  <c r="CE143" i="2"/>
  <c r="DX143" i="2" s="1"/>
  <c r="CF121" i="2"/>
  <c r="DX121" i="2"/>
  <c r="CH145" i="2"/>
  <c r="CG123" i="2"/>
  <c r="CG206" i="2" s="1"/>
  <c r="CG242" i="2" s="1"/>
  <c r="CH224" i="2"/>
  <c r="CB197" i="2"/>
  <c r="CC160" i="2"/>
  <c r="CO257" i="2"/>
  <c r="CC257" i="2"/>
  <c r="CN257" i="2"/>
  <c r="CF8" i="3"/>
  <c r="CL257" i="2"/>
  <c r="CJ257" i="2"/>
  <c r="CD8" i="3"/>
  <c r="CD28" i="3" s="1"/>
  <c r="EB140" i="3" l="1"/>
  <c r="EB143" i="3" s="1"/>
  <c r="FD48" i="3"/>
  <c r="FD152" i="3" s="1"/>
  <c r="AA54" i="80"/>
  <c r="AB52" i="80"/>
  <c r="AC52" i="80" s="1"/>
  <c r="AB28" i="79" s="1"/>
  <c r="AA51" i="80"/>
  <c r="Z30" i="79" s="1"/>
  <c r="Z38" i="79" s="1"/>
  <c r="Z39" i="79" s="1"/>
  <c r="FD26" i="3"/>
  <c r="FD130" i="3" s="1"/>
  <c r="CX125" i="3"/>
  <c r="CV117" i="2"/>
  <c r="EB117" i="2"/>
  <c r="EC23" i="2"/>
  <c r="CZ23" i="2"/>
  <c r="CV116" i="2"/>
  <c r="EB116" i="2"/>
  <c r="CX131" i="3"/>
  <c r="DX205" i="2"/>
  <c r="DX223" i="2"/>
  <c r="CY87" i="2"/>
  <c r="CZ32" i="2"/>
  <c r="EC32" i="2"/>
  <c r="FD11" i="3"/>
  <c r="FD115" i="3" s="1"/>
  <c r="AC50" i="80"/>
  <c r="AA29" i="79"/>
  <c r="AB65" i="80"/>
  <c r="AA34" i="79" s="1"/>
  <c r="AA33" i="79" s="1"/>
  <c r="AB49" i="80"/>
  <c r="CZ130" i="3"/>
  <c r="CZ115" i="3"/>
  <c r="DA11" i="3"/>
  <c r="DB11" i="3" s="1"/>
  <c r="DC11" i="3" s="1"/>
  <c r="DA72" i="3"/>
  <c r="DB72" i="3" s="1"/>
  <c r="DC72" i="3" s="1"/>
  <c r="ED72" i="3" s="1"/>
  <c r="FD72" i="3"/>
  <c r="CX115" i="3"/>
  <c r="CY115" i="3" s="1"/>
  <c r="CZ82" i="2"/>
  <c r="FD22" i="2"/>
  <c r="DA22" i="2"/>
  <c r="EC19" i="2"/>
  <c r="CZ19" i="2"/>
  <c r="EC177" i="2"/>
  <c r="CZ177" i="2"/>
  <c r="DA177" i="2" s="1"/>
  <c r="DB177" i="2" s="1"/>
  <c r="DC177" i="2" s="1"/>
  <c r="ED177" i="2" s="1"/>
  <c r="EC11" i="3"/>
  <c r="EC115" i="3" s="1"/>
  <c r="FD39" i="2"/>
  <c r="CZ43" i="3"/>
  <c r="DA39" i="2"/>
  <c r="FD30" i="2"/>
  <c r="DA30" i="2"/>
  <c r="CZ25" i="3"/>
  <c r="CZ152" i="3"/>
  <c r="DA48" i="3"/>
  <c r="DB48" i="3" s="1"/>
  <c r="DC48" i="3" s="1"/>
  <c r="DB29" i="2"/>
  <c r="DA26" i="3"/>
  <c r="EC18" i="2"/>
  <c r="CZ18" i="2"/>
  <c r="FD18" i="2" s="1"/>
  <c r="DA31" i="2"/>
  <c r="AM13" i="80"/>
  <c r="AM15" i="80" s="1"/>
  <c r="Y13" i="80"/>
  <c r="CY130" i="3"/>
  <c r="FC73" i="3"/>
  <c r="FC89" i="3"/>
  <c r="FC84" i="3" s="1"/>
  <c r="FC92" i="3" s="1"/>
  <c r="CV22" i="3"/>
  <c r="FC22" i="3" s="1"/>
  <c r="FC126" i="3" s="1"/>
  <c r="CV89" i="3"/>
  <c r="CW70" i="3"/>
  <c r="CV73" i="3"/>
  <c r="CV17" i="2" s="1"/>
  <c r="CW128" i="3"/>
  <c r="EC72" i="3"/>
  <c r="CV140" i="3"/>
  <c r="CV39" i="3"/>
  <c r="CX9" i="2"/>
  <c r="CW81" i="2"/>
  <c r="CW145" i="2"/>
  <c r="CV123" i="2"/>
  <c r="CV203" i="2"/>
  <c r="CW117" i="2"/>
  <c r="CV202" i="2"/>
  <c r="CW116" i="2"/>
  <c r="CY13" i="2"/>
  <c r="CY147" i="3"/>
  <c r="CY28" i="2"/>
  <c r="CX24" i="3"/>
  <c r="CY27" i="3"/>
  <c r="CW36" i="3"/>
  <c r="CW14" i="2"/>
  <c r="CX63" i="2"/>
  <c r="CW64" i="2"/>
  <c r="CU126" i="3"/>
  <c r="O18" i="79"/>
  <c r="N21" i="79"/>
  <c r="N17" i="79"/>
  <c r="N22" i="79" s="1"/>
  <c r="R27" i="79"/>
  <c r="S69" i="80"/>
  <c r="S73" i="80"/>
  <c r="S60" i="80"/>
  <c r="S68" i="80"/>
  <c r="O43" i="79"/>
  <c r="O45" i="79" s="1"/>
  <c r="O50" i="79" s="1"/>
  <c r="O37" i="79"/>
  <c r="Q31" i="79"/>
  <c r="R61" i="80"/>
  <c r="R62" i="80"/>
  <c r="Q35" i="79"/>
  <c r="AL58" i="80"/>
  <c r="AL59" i="80" s="1"/>
  <c r="U58" i="80"/>
  <c r="T66" i="80"/>
  <c r="P33" i="79"/>
  <c r="P38" i="79"/>
  <c r="P39" i="79" s="1"/>
  <c r="W7" i="79"/>
  <c r="X7" i="79" s="1"/>
  <c r="V6" i="79"/>
  <c r="X15" i="80"/>
  <c r="W5" i="79"/>
  <c r="T23" i="79"/>
  <c r="T24" i="79" s="1"/>
  <c r="V8" i="79"/>
  <c r="DY8" i="3"/>
  <c r="CF112" i="3"/>
  <c r="CF28" i="3"/>
  <c r="CA257" i="2"/>
  <c r="BH132" i="3"/>
  <c r="BH161" i="3" s="1"/>
  <c r="BI112" i="3"/>
  <c r="Q104" i="3"/>
  <c r="Q105" i="3" s="1"/>
  <c r="Q57" i="3"/>
  <c r="DE112" i="3"/>
  <c r="DE132" i="3" s="1"/>
  <c r="DE161" i="3" s="1"/>
  <c r="DE28" i="3"/>
  <c r="DE104" i="3" s="1"/>
  <c r="DE105" i="3" s="1"/>
  <c r="AF132" i="3"/>
  <c r="AF161" i="3" s="1"/>
  <c r="AG112" i="3"/>
  <c r="BP104" i="3"/>
  <c r="BP105" i="3" s="1"/>
  <c r="BP57" i="3"/>
  <c r="EQ112" i="3"/>
  <c r="EQ132" i="3" s="1"/>
  <c r="EQ161" i="3" s="1"/>
  <c r="EQ28" i="3"/>
  <c r="EQ104" i="3" s="1"/>
  <c r="EQ105" i="3" s="1"/>
  <c r="H104" i="3"/>
  <c r="H105" i="3" s="1"/>
  <c r="H57" i="3"/>
  <c r="DF57" i="3" s="1"/>
  <c r="DP112" i="3"/>
  <c r="DP132" i="3" s="1"/>
  <c r="DP161" i="3" s="1"/>
  <c r="DP28" i="3"/>
  <c r="DP104" i="3" s="1"/>
  <c r="DP105" i="3" s="1"/>
  <c r="AC104" i="3"/>
  <c r="AC105" i="3" s="1"/>
  <c r="AC57" i="3"/>
  <c r="P104" i="3"/>
  <c r="P105" i="3" s="1"/>
  <c r="P57" i="3"/>
  <c r="DH57" i="3" s="1"/>
  <c r="L132" i="3"/>
  <c r="L161" i="3" s="1"/>
  <c r="L162" i="3" s="1"/>
  <c r="L165" i="3" s="1"/>
  <c r="M112" i="3"/>
  <c r="BD104" i="3"/>
  <c r="BD105" i="3" s="1"/>
  <c r="BD57" i="3"/>
  <c r="BY112" i="3"/>
  <c r="BX132" i="3"/>
  <c r="BX161" i="3" s="1"/>
  <c r="AR132" i="3"/>
  <c r="AR161" i="3" s="1"/>
  <c r="AS112" i="3"/>
  <c r="BI104" i="3"/>
  <c r="BI105" i="3" s="1"/>
  <c r="BI57" i="3"/>
  <c r="Y112" i="3"/>
  <c r="X132" i="3"/>
  <c r="X161" i="3" s="1"/>
  <c r="AJ28" i="3"/>
  <c r="AJ112" i="3"/>
  <c r="DM8" i="3"/>
  <c r="T132" i="3"/>
  <c r="T161" i="3" s="1"/>
  <c r="U112" i="3"/>
  <c r="EK112" i="3"/>
  <c r="EK132" i="3" s="1"/>
  <c r="EK161" i="3" s="1"/>
  <c r="EK28" i="3"/>
  <c r="EK104" i="3" s="1"/>
  <c r="EK105" i="3" s="1"/>
  <c r="BU104" i="3"/>
  <c r="BU105" i="3" s="1"/>
  <c r="BU57" i="3"/>
  <c r="DK112" i="3"/>
  <c r="DK132" i="3" s="1"/>
  <c r="DK161" i="3" s="1"/>
  <c r="DK28" i="3"/>
  <c r="DK104" i="3" s="1"/>
  <c r="DK105" i="3" s="1"/>
  <c r="M104" i="3"/>
  <c r="M105" i="3" s="1"/>
  <c r="M57" i="3"/>
  <c r="EY8" i="3"/>
  <c r="CN132" i="3"/>
  <c r="CN161" i="3" s="1"/>
  <c r="CO112" i="3"/>
  <c r="EI112" i="3"/>
  <c r="EI132" i="3" s="1"/>
  <c r="EI161" i="3" s="1"/>
  <c r="EI28" i="3"/>
  <c r="EI104" i="3" s="1"/>
  <c r="EI105" i="3" s="1"/>
  <c r="AF104" i="3"/>
  <c r="AF105" i="3" s="1"/>
  <c r="AF57" i="3"/>
  <c r="DV112" i="3"/>
  <c r="DV132" i="3" s="1"/>
  <c r="DV161" i="3" s="1"/>
  <c r="DV28" i="3"/>
  <c r="DV104" i="3" s="1"/>
  <c r="DV105" i="3" s="1"/>
  <c r="CJ104" i="3"/>
  <c r="CJ105" i="3" s="1"/>
  <c r="CJ57" i="3"/>
  <c r="DZ57" i="3" s="1"/>
  <c r="AW104" i="3"/>
  <c r="AW105" i="3" s="1"/>
  <c r="AW57" i="3"/>
  <c r="AS104" i="3"/>
  <c r="AS105" i="3" s="1"/>
  <c r="AS57" i="3"/>
  <c r="AV132" i="3"/>
  <c r="AV161" i="3" s="1"/>
  <c r="AW112" i="3"/>
  <c r="EL112" i="3"/>
  <c r="EL132" i="3" s="1"/>
  <c r="EL161" i="3" s="1"/>
  <c r="EL28" i="3"/>
  <c r="EL104" i="3" s="1"/>
  <c r="EL105" i="3" s="1"/>
  <c r="Q112" i="3"/>
  <c r="P132" i="3"/>
  <c r="P161" i="3" s="1"/>
  <c r="DG112" i="3"/>
  <c r="DG132" i="3" s="1"/>
  <c r="DG161" i="3" s="1"/>
  <c r="DG162" i="3" s="1"/>
  <c r="DG165" i="3" s="1"/>
  <c r="DG28" i="3"/>
  <c r="DG104" i="3" s="1"/>
  <c r="DG105" i="3" s="1"/>
  <c r="BE112" i="3"/>
  <c r="BD132" i="3"/>
  <c r="BD161" i="3" s="1"/>
  <c r="BD162" i="3" s="1"/>
  <c r="BD165" i="3" s="1"/>
  <c r="DW112" i="3"/>
  <c r="DW132" i="3" s="1"/>
  <c r="DW161" i="3" s="1"/>
  <c r="DW28" i="3"/>
  <c r="DW104" i="3" s="1"/>
  <c r="DW105" i="3" s="1"/>
  <c r="AG104" i="3"/>
  <c r="AG105" i="3" s="1"/>
  <c r="AG57" i="3"/>
  <c r="AR104" i="3"/>
  <c r="AR105" i="3" s="1"/>
  <c r="AR57" i="3"/>
  <c r="DO57" i="3" s="1"/>
  <c r="ET112" i="3"/>
  <c r="ET132" i="3" s="1"/>
  <c r="ET161" i="3" s="1"/>
  <c r="ET28" i="3"/>
  <c r="ET104" i="3" s="1"/>
  <c r="ET105" i="3" s="1"/>
  <c r="DI112" i="3"/>
  <c r="DI132" i="3" s="1"/>
  <c r="DI161" i="3" s="1"/>
  <c r="DI28" i="3"/>
  <c r="DI104" i="3" s="1"/>
  <c r="DI105" i="3" s="1"/>
  <c r="BY104" i="3"/>
  <c r="BY105" i="3" s="1"/>
  <c r="BY57" i="3"/>
  <c r="AZ104" i="3"/>
  <c r="AZ105" i="3" s="1"/>
  <c r="AZ57" i="3"/>
  <c r="EW112" i="3"/>
  <c r="EW132" i="3" s="1"/>
  <c r="EW161" i="3" s="1"/>
  <c r="EW28" i="3"/>
  <c r="EW104" i="3" s="1"/>
  <c r="EW105" i="3" s="1"/>
  <c r="BA104" i="3"/>
  <c r="BA105" i="3" s="1"/>
  <c r="BA57" i="3"/>
  <c r="ER57" i="3" s="1"/>
  <c r="AO104" i="3"/>
  <c r="AO105" i="3" s="1"/>
  <c r="AO57" i="3"/>
  <c r="CE104" i="3"/>
  <c r="CE105" i="3" s="1"/>
  <c r="CE57" i="3"/>
  <c r="BH104" i="3"/>
  <c r="BH105" i="3" s="1"/>
  <c r="BH57" i="3"/>
  <c r="DS57" i="3" s="1"/>
  <c r="BL132" i="3"/>
  <c r="BL161" i="3" s="1"/>
  <c r="BM112" i="3"/>
  <c r="E112" i="3"/>
  <c r="D132" i="3"/>
  <c r="D161" i="3" s="1"/>
  <c r="D162" i="3" s="1"/>
  <c r="D165" i="3" s="1"/>
  <c r="BU112" i="3"/>
  <c r="BT132" i="3"/>
  <c r="BT161" i="3" s="1"/>
  <c r="DZ112" i="3"/>
  <c r="DZ132" i="3" s="1"/>
  <c r="DZ161" i="3" s="1"/>
  <c r="DZ28" i="3"/>
  <c r="DZ104" i="3" s="1"/>
  <c r="DZ105" i="3" s="1"/>
  <c r="I112" i="3"/>
  <c r="H132" i="3"/>
  <c r="H161" i="3" s="1"/>
  <c r="EP112" i="3"/>
  <c r="EP132" i="3" s="1"/>
  <c r="EP161" i="3" s="1"/>
  <c r="EP28" i="3"/>
  <c r="EP104" i="3" s="1"/>
  <c r="EP105" i="3" s="1"/>
  <c r="AK104" i="3"/>
  <c r="AK105" i="3" s="1"/>
  <c r="AK57" i="3"/>
  <c r="BM104" i="3"/>
  <c r="BM105" i="3" s="1"/>
  <c r="BM57" i="3"/>
  <c r="L104" i="3"/>
  <c r="L105" i="3" s="1"/>
  <c r="L57" i="3"/>
  <c r="BE104" i="3"/>
  <c r="BE105" i="3" s="1"/>
  <c r="BE57" i="3"/>
  <c r="ES57" i="3" s="1"/>
  <c r="BX104" i="3"/>
  <c r="BX105" i="3" s="1"/>
  <c r="BX57" i="3"/>
  <c r="EM112" i="3"/>
  <c r="EM132" i="3" s="1"/>
  <c r="EM161" i="3" s="1"/>
  <c r="EM28" i="3"/>
  <c r="EM104" i="3" s="1"/>
  <c r="EM105" i="3" s="1"/>
  <c r="X104" i="3"/>
  <c r="X105" i="3" s="1"/>
  <c r="X57" i="3"/>
  <c r="U104" i="3"/>
  <c r="U105" i="3" s="1"/>
  <c r="U57" i="3"/>
  <c r="EZ28" i="3"/>
  <c r="EZ104" i="3" s="1"/>
  <c r="EZ105" i="3" s="1"/>
  <c r="BQ104" i="3"/>
  <c r="BQ105" i="3" s="1"/>
  <c r="BQ57" i="3"/>
  <c r="DQ112" i="3"/>
  <c r="DQ132" i="3" s="1"/>
  <c r="DQ161" i="3" s="1"/>
  <c r="DQ28" i="3"/>
  <c r="DQ104" i="3" s="1"/>
  <c r="DQ105" i="3" s="1"/>
  <c r="AB104" i="3"/>
  <c r="AB105" i="3" s="1"/>
  <c r="AB57" i="3"/>
  <c r="ER112" i="3"/>
  <c r="ER132" i="3" s="1"/>
  <c r="ER161" i="3" s="1"/>
  <c r="ER28" i="3"/>
  <c r="ER104" i="3" s="1"/>
  <c r="ER105" i="3" s="1"/>
  <c r="EO112" i="3"/>
  <c r="EO132" i="3" s="1"/>
  <c r="EO161" i="3" s="1"/>
  <c r="EO28" i="3"/>
  <c r="EO104" i="3" s="1"/>
  <c r="EO105" i="3" s="1"/>
  <c r="CD104" i="3"/>
  <c r="CD105" i="3" s="1"/>
  <c r="CD57" i="3"/>
  <c r="DS112" i="3"/>
  <c r="DS132" i="3" s="1"/>
  <c r="DS161" i="3" s="1"/>
  <c r="DS28" i="3"/>
  <c r="DS104" i="3" s="1"/>
  <c r="DS105" i="3" s="1"/>
  <c r="BL104" i="3"/>
  <c r="BL105" i="3" s="1"/>
  <c r="BL57" i="3"/>
  <c r="ET5" i="3"/>
  <c r="ET5" i="2"/>
  <c r="D104" i="3"/>
  <c r="D105" i="3" s="1"/>
  <c r="D57" i="3"/>
  <c r="DL112" i="3"/>
  <c r="DL132" i="3" s="1"/>
  <c r="DL161" i="3" s="1"/>
  <c r="DL28" i="3"/>
  <c r="DL104" i="3" s="1"/>
  <c r="DL105" i="3" s="1"/>
  <c r="BP132" i="3"/>
  <c r="BP161" i="3" s="1"/>
  <c r="BQ112" i="3"/>
  <c r="BT104" i="3"/>
  <c r="BT105" i="3" s="1"/>
  <c r="BT57" i="3"/>
  <c r="CJ132" i="3"/>
  <c r="CJ161" i="3" s="1"/>
  <c r="CK112" i="3"/>
  <c r="DF112" i="3"/>
  <c r="DF132" i="3" s="1"/>
  <c r="DF161" i="3" s="1"/>
  <c r="DF28" i="3"/>
  <c r="DF104" i="3" s="1"/>
  <c r="DF105" i="3" s="1"/>
  <c r="AV104" i="3"/>
  <c r="AV105" i="3" s="1"/>
  <c r="AV57" i="3"/>
  <c r="EN112" i="3"/>
  <c r="EN132" i="3" s="1"/>
  <c r="EN161" i="3" s="1"/>
  <c r="EN28" i="3"/>
  <c r="EN104" i="3" s="1"/>
  <c r="EN105" i="3" s="1"/>
  <c r="DH112" i="3"/>
  <c r="DH132" i="3" s="1"/>
  <c r="DH161" i="3" s="1"/>
  <c r="DH28" i="3"/>
  <c r="DH104" i="3" s="1"/>
  <c r="DH105" i="3" s="1"/>
  <c r="DR112" i="3"/>
  <c r="DR132" i="3" s="1"/>
  <c r="DR161" i="3" s="1"/>
  <c r="DR28" i="3"/>
  <c r="DR104" i="3" s="1"/>
  <c r="DR105" i="3" s="1"/>
  <c r="ES112" i="3"/>
  <c r="ES132" i="3" s="1"/>
  <c r="ES161" i="3" s="1"/>
  <c r="ES28" i="3"/>
  <c r="ES104" i="3" s="1"/>
  <c r="ES105" i="3" s="1"/>
  <c r="DO112" i="3"/>
  <c r="DO132" i="3" s="1"/>
  <c r="DO161" i="3" s="1"/>
  <c r="DO28" i="3"/>
  <c r="DO104" i="3" s="1"/>
  <c r="DO105" i="3" s="1"/>
  <c r="DJ112" i="3"/>
  <c r="DJ132" i="3" s="1"/>
  <c r="DJ161" i="3" s="1"/>
  <c r="DJ28" i="3"/>
  <c r="DJ104" i="3" s="1"/>
  <c r="DJ105" i="3" s="1"/>
  <c r="DN8" i="3"/>
  <c r="AN28" i="3"/>
  <c r="AN112" i="3"/>
  <c r="T104" i="3"/>
  <c r="T105" i="3" s="1"/>
  <c r="T57" i="3"/>
  <c r="EJ112" i="3"/>
  <c r="EJ132" i="3" s="1"/>
  <c r="EJ161" i="3" s="1"/>
  <c r="EJ28" i="3"/>
  <c r="EJ104" i="3" s="1"/>
  <c r="EJ105" i="3" s="1"/>
  <c r="Y104" i="3"/>
  <c r="Y105" i="3" s="1"/>
  <c r="Y57" i="3"/>
  <c r="AZ132" i="3"/>
  <c r="AZ161" i="3" s="1"/>
  <c r="BA112" i="3"/>
  <c r="AC112" i="3"/>
  <c r="AB132" i="3"/>
  <c r="AB161" i="3" s="1"/>
  <c r="EH112" i="3"/>
  <c r="EH132" i="3" s="1"/>
  <c r="EH161" i="3" s="1"/>
  <c r="EH28" i="3"/>
  <c r="EH104" i="3" s="1"/>
  <c r="EH105" i="3" s="1"/>
  <c r="CC104" i="3"/>
  <c r="CC105" i="3" s="1"/>
  <c r="CC57" i="3"/>
  <c r="CN104" i="3"/>
  <c r="CN105" i="3" s="1"/>
  <c r="CN57" i="3"/>
  <c r="FA57" i="3" s="1"/>
  <c r="V41" i="80"/>
  <c r="U4" i="79" s="1"/>
  <c r="V30" i="80"/>
  <c r="W28" i="80"/>
  <c r="V9" i="79" s="1"/>
  <c r="U43" i="80"/>
  <c r="U42" i="80"/>
  <c r="EB64" i="2"/>
  <c r="EB70" i="3"/>
  <c r="CU73" i="3"/>
  <c r="CU17" i="2" s="1"/>
  <c r="CU89" i="3"/>
  <c r="DX106" i="2"/>
  <c r="CF106" i="2"/>
  <c r="CE119" i="2"/>
  <c r="CM224" i="2"/>
  <c r="CM189" i="2"/>
  <c r="CL169" i="2"/>
  <c r="CL206" i="2" s="1"/>
  <c r="CD240" i="2"/>
  <c r="DX240" i="2" s="1"/>
  <c r="DX222" i="2"/>
  <c r="DX108" i="2"/>
  <c r="CP142" i="2"/>
  <c r="CO120" i="2"/>
  <c r="CB196" i="2"/>
  <c r="CC159" i="2"/>
  <c r="DX109" i="2"/>
  <c r="CF109" i="2"/>
  <c r="CG109" i="2" s="1"/>
  <c r="CH109" i="2" s="1"/>
  <c r="CH123" i="2"/>
  <c r="CH206" i="2" s="1"/>
  <c r="DY206" i="2" s="1"/>
  <c r="CI224" i="2"/>
  <c r="CF143" i="2"/>
  <c r="CG121" i="2"/>
  <c r="CI110" i="2"/>
  <c r="BZ129" i="2"/>
  <c r="EB145" i="2"/>
  <c r="CU123" i="2"/>
  <c r="EB123" i="2" s="1"/>
  <c r="CU203" i="2"/>
  <c r="CU221" i="2" s="1"/>
  <c r="EB221" i="2" s="1"/>
  <c r="DZ224" i="2"/>
  <c r="CB194" i="2"/>
  <c r="CC157" i="2"/>
  <c r="CI107" i="2"/>
  <c r="CU202" i="2"/>
  <c r="CU220" i="2" s="1"/>
  <c r="EB220" i="2" s="1"/>
  <c r="CC193" i="2"/>
  <c r="CD156" i="2"/>
  <c r="CP140" i="2"/>
  <c r="CQ118" i="2"/>
  <c r="EA118" i="2" s="1"/>
  <c r="CA207" i="2"/>
  <c r="DW207" i="2" s="1"/>
  <c r="BZ131" i="2"/>
  <c r="CG144" i="2"/>
  <c r="CH122" i="2"/>
  <c r="CC195" i="2"/>
  <c r="CD158" i="2"/>
  <c r="CA211" i="2"/>
  <c r="CC197" i="2"/>
  <c r="CD160" i="2"/>
  <c r="CA213" i="2"/>
  <c r="CE198" i="2"/>
  <c r="CF112" i="2"/>
  <c r="DX112" i="2"/>
  <c r="DX204" i="2"/>
  <c r="BZ210" i="2"/>
  <c r="BY141" i="2"/>
  <c r="BY146" i="2" s="1"/>
  <c r="BY147" i="2" s="1"/>
  <c r="CF205" i="2"/>
  <c r="CG168" i="2"/>
  <c r="CF204" i="2"/>
  <c r="CG167" i="2"/>
  <c r="CB192" i="2"/>
  <c r="CC155" i="2"/>
  <c r="CA215" i="2"/>
  <c r="CD257" i="2"/>
  <c r="CF257" i="2"/>
  <c r="AA28" i="79" l="1"/>
  <c r="AD52" i="80"/>
  <c r="AC28" i="79" s="1"/>
  <c r="AB54" i="80"/>
  <c r="AC51" i="80"/>
  <c r="AB30" i="79" s="1"/>
  <c r="AB38" i="79" s="1"/>
  <c r="AN52" i="80"/>
  <c r="AN54" i="80" s="1"/>
  <c r="CY131" i="3"/>
  <c r="AC54" i="80"/>
  <c r="AB51" i="80"/>
  <c r="AA30" i="79" s="1"/>
  <c r="AA38" i="79" s="1"/>
  <c r="AA39" i="79" s="1"/>
  <c r="ED11" i="3"/>
  <c r="ED115" i="3" s="1"/>
  <c r="DA115" i="3"/>
  <c r="DB115" i="3" s="1"/>
  <c r="DC115" i="3" s="1"/>
  <c r="CX128" i="3"/>
  <c r="CZ13" i="2"/>
  <c r="CZ21" i="3" s="1"/>
  <c r="EC13" i="2"/>
  <c r="DC29" i="2"/>
  <c r="DB26" i="3"/>
  <c r="DA152" i="3"/>
  <c r="DB152" i="3" s="1"/>
  <c r="DC152" i="3" s="1"/>
  <c r="CZ129" i="3"/>
  <c r="CZ147" i="3"/>
  <c r="DA130" i="3"/>
  <c r="CZ28" i="2"/>
  <c r="EC28" i="2"/>
  <c r="DB30" i="2"/>
  <c r="DA25" i="3"/>
  <c r="FD23" i="2"/>
  <c r="DA23" i="2"/>
  <c r="DB23" i="2" s="1"/>
  <c r="DC23" i="2" s="1"/>
  <c r="ED23" i="2" s="1"/>
  <c r="FD25" i="3"/>
  <c r="FD129" i="3" s="1"/>
  <c r="CW39" i="3"/>
  <c r="FD19" i="2"/>
  <c r="DA19" i="2"/>
  <c r="CZ27" i="3"/>
  <c r="AC65" i="80"/>
  <c r="AB34" i="79" s="1"/>
  <c r="AB33" i="79" s="1"/>
  <c r="AD50" i="80"/>
  <c r="AD51" i="80" s="1"/>
  <c r="AB29" i="79"/>
  <c r="AC49" i="80"/>
  <c r="FD43" i="3"/>
  <c r="FD147" i="3" s="1"/>
  <c r="CY21" i="3"/>
  <c r="EC21" i="3" s="1"/>
  <c r="EC125" i="3" s="1"/>
  <c r="ED48" i="3"/>
  <c r="ED152" i="3" s="1"/>
  <c r="DB39" i="2"/>
  <c r="DA43" i="3"/>
  <c r="DA82" i="2"/>
  <c r="DB22" i="2"/>
  <c r="CZ87" i="2"/>
  <c r="FD32" i="2"/>
  <c r="DA32" i="2"/>
  <c r="AE52" i="80"/>
  <c r="DB31" i="2"/>
  <c r="DA18" i="2"/>
  <c r="Z13" i="80"/>
  <c r="X5" i="79"/>
  <c r="X8" i="79" s="1"/>
  <c r="Y15" i="80"/>
  <c r="Y7" i="79"/>
  <c r="CV220" i="2"/>
  <c r="CV221" i="2"/>
  <c r="CV75" i="3"/>
  <c r="CV76" i="3" s="1"/>
  <c r="FC17" i="2"/>
  <c r="FC75" i="3" s="1"/>
  <c r="FC76" i="3" s="1"/>
  <c r="CV126" i="3"/>
  <c r="CX70" i="3"/>
  <c r="CW89" i="3"/>
  <c r="CW73" i="3"/>
  <c r="CW17" i="2" s="1"/>
  <c r="CW75" i="3" s="1"/>
  <c r="CW76" i="3" s="1"/>
  <c r="EC27" i="3"/>
  <c r="EC131" i="3" s="1"/>
  <c r="CX14" i="2"/>
  <c r="CX22" i="3" s="1"/>
  <c r="CW202" i="2"/>
  <c r="CW220" i="2" s="1"/>
  <c r="CX116" i="2"/>
  <c r="CW203" i="2"/>
  <c r="CW221" i="2" s="1"/>
  <c r="CX117" i="2"/>
  <c r="CY9" i="2"/>
  <c r="CX81" i="2"/>
  <c r="CW140" i="3"/>
  <c r="CV143" i="3"/>
  <c r="CW22" i="3"/>
  <c r="CY24" i="3"/>
  <c r="CX145" i="2"/>
  <c r="CW123" i="2"/>
  <c r="CX36" i="3"/>
  <c r="CY63" i="2"/>
  <c r="CZ63" i="2" s="1"/>
  <c r="FD63" i="2" s="1"/>
  <c r="FD64" i="2" s="1"/>
  <c r="CX64" i="2"/>
  <c r="P43" i="79"/>
  <c r="P45" i="79" s="1"/>
  <c r="P50" i="79" s="1"/>
  <c r="P37" i="79"/>
  <c r="U66" i="80"/>
  <c r="V58" i="80"/>
  <c r="R31" i="79"/>
  <c r="S61" i="80"/>
  <c r="S62" i="80"/>
  <c r="R36" i="79"/>
  <c r="R37" i="79"/>
  <c r="T67" i="80"/>
  <c r="S36" i="79"/>
  <c r="Q33" i="79"/>
  <c r="Q38" i="79"/>
  <c r="P18" i="79"/>
  <c r="O21" i="79"/>
  <c r="O17" i="79"/>
  <c r="O22" i="79" s="1"/>
  <c r="EZ57" i="3"/>
  <c r="DV57" i="3"/>
  <c r="CH242" i="2"/>
  <c r="DP57" i="3"/>
  <c r="DW57" i="3"/>
  <c r="DI57" i="3"/>
  <c r="DK57" i="3"/>
  <c r="EO57" i="3"/>
  <c r="W8" i="79"/>
  <c r="U23" i="79"/>
  <c r="U24" i="79" s="1"/>
  <c r="W6" i="79"/>
  <c r="DQ57" i="3"/>
  <c r="BO8" i="3"/>
  <c r="EK257" i="2"/>
  <c r="DL257" i="2"/>
  <c r="ES257" i="2"/>
  <c r="DH257" i="2"/>
  <c r="CK132" i="3"/>
  <c r="CK161" i="3" s="1"/>
  <c r="CL112" i="3"/>
  <c r="DK257" i="2"/>
  <c r="DS257" i="2"/>
  <c r="DW257" i="2"/>
  <c r="DI257" i="2"/>
  <c r="EO257" i="2"/>
  <c r="EI257" i="2"/>
  <c r="DN257" i="2"/>
  <c r="EM257" i="2"/>
  <c r="ER257" i="2"/>
  <c r="DF257" i="2"/>
  <c r="DE257" i="2"/>
  <c r="AD112" i="3"/>
  <c r="AC132" i="3"/>
  <c r="AC161" i="3" s="1"/>
  <c r="DN112" i="3"/>
  <c r="DN132" i="3" s="1"/>
  <c r="DN161" i="3" s="1"/>
  <c r="DN28" i="3"/>
  <c r="DN104" i="3" s="1"/>
  <c r="DN105" i="3" s="1"/>
  <c r="EJ57" i="3"/>
  <c r="J112" i="3"/>
  <c r="I132" i="3"/>
  <c r="I161" i="3" s="1"/>
  <c r="BV112" i="3"/>
  <c r="BU132" i="3"/>
  <c r="BU161" i="3" s="1"/>
  <c r="EP57" i="3"/>
  <c r="DL57" i="3"/>
  <c r="CP112" i="3"/>
  <c r="CP131" i="3" s="1"/>
  <c r="CO132" i="3"/>
  <c r="CO161" i="3" s="1"/>
  <c r="AS132" i="3"/>
  <c r="AS161" i="3" s="1"/>
  <c r="AT112" i="3"/>
  <c r="DR57" i="3"/>
  <c r="AG132" i="3"/>
  <c r="AG161" i="3" s="1"/>
  <c r="AH112" i="3"/>
  <c r="EI57" i="3"/>
  <c r="DQ257" i="2"/>
  <c r="CB8" i="3"/>
  <c r="EN257" i="2"/>
  <c r="EY257" i="2"/>
  <c r="BB112" i="3"/>
  <c r="BA132" i="3"/>
  <c r="BA161" i="3" s="1"/>
  <c r="CF104" i="3"/>
  <c r="CF105" i="3" s="1"/>
  <c r="CF57" i="3"/>
  <c r="DY57" i="3" s="1"/>
  <c r="EF257" i="2"/>
  <c r="EG257" i="2"/>
  <c r="DM257" i="2"/>
  <c r="DR257" i="2"/>
  <c r="DZ257" i="2"/>
  <c r="DP257" i="2"/>
  <c r="EX257" i="2"/>
  <c r="AN132" i="3"/>
  <c r="AN161" i="3" s="1"/>
  <c r="AO112" i="3"/>
  <c r="BR112" i="3"/>
  <c r="BQ132" i="3"/>
  <c r="BQ161" i="3" s="1"/>
  <c r="D58" i="3"/>
  <c r="DE57" i="3"/>
  <c r="EU5" i="3"/>
  <c r="EU5" i="2"/>
  <c r="DJ57" i="3"/>
  <c r="E132" i="3"/>
  <c r="E161" i="3" s="1"/>
  <c r="E162" i="3" s="1"/>
  <c r="E165" i="3" s="1"/>
  <c r="F112" i="3"/>
  <c r="AW132" i="3"/>
  <c r="AW161" i="3" s="1"/>
  <c r="AX112" i="3"/>
  <c r="EQ57" i="3"/>
  <c r="EY112" i="3"/>
  <c r="EY132" i="3" s="1"/>
  <c r="EY161" i="3" s="1"/>
  <c r="EY28" i="3"/>
  <c r="EY104" i="3" s="1"/>
  <c r="EY105" i="3" s="1"/>
  <c r="AJ132" i="3"/>
  <c r="AJ161" i="3" s="1"/>
  <c r="AK112" i="3"/>
  <c r="ET57" i="3"/>
  <c r="N112" i="3"/>
  <c r="M132" i="3"/>
  <c r="M161" i="3" s="1"/>
  <c r="M162" i="3" s="1"/>
  <c r="M165" i="3" s="1"/>
  <c r="EL57" i="3"/>
  <c r="CF132" i="3"/>
  <c r="CF161" i="3" s="1"/>
  <c r="CG112" i="3"/>
  <c r="EL257" i="2"/>
  <c r="EP257" i="2"/>
  <c r="DM112" i="3"/>
  <c r="DM132" i="3" s="1"/>
  <c r="DM161" i="3" s="1"/>
  <c r="DM28" i="3"/>
  <c r="DM104" i="3" s="1"/>
  <c r="DM105" i="3" s="1"/>
  <c r="Y132" i="3"/>
  <c r="Y161" i="3" s="1"/>
  <c r="Z112" i="3"/>
  <c r="DJ257" i="2"/>
  <c r="DO257" i="2"/>
  <c r="EJ257" i="2"/>
  <c r="EQ257" i="2"/>
  <c r="EH257" i="2"/>
  <c r="BS8" i="3"/>
  <c r="DG257" i="2"/>
  <c r="ET257" i="2"/>
  <c r="DV257" i="2"/>
  <c r="EW257" i="2"/>
  <c r="EK57" i="3"/>
  <c r="AN104" i="3"/>
  <c r="AN105" i="3" s="1"/>
  <c r="AN57" i="3"/>
  <c r="DN57" i="3" s="1"/>
  <c r="L58" i="3"/>
  <c r="DG57" i="3"/>
  <c r="DG58" i="3" s="1"/>
  <c r="BN112" i="3"/>
  <c r="BM132" i="3"/>
  <c r="BM161" i="3" s="1"/>
  <c r="BE132" i="3"/>
  <c r="BE161" i="3" s="1"/>
  <c r="BE162" i="3" s="1"/>
  <c r="BE165" i="3" s="1"/>
  <c r="BF112" i="3"/>
  <c r="Q132" i="3"/>
  <c r="Q161" i="3" s="1"/>
  <c r="R112" i="3"/>
  <c r="EH57" i="3"/>
  <c r="EW57" i="3"/>
  <c r="U132" i="3"/>
  <c r="U161" i="3" s="1"/>
  <c r="V112" i="3"/>
  <c r="AJ104" i="3"/>
  <c r="AJ105" i="3" s="1"/>
  <c r="AJ57" i="3"/>
  <c r="DM57" i="3" s="1"/>
  <c r="BY132" i="3"/>
  <c r="BY161" i="3" s="1"/>
  <c r="BZ112" i="3"/>
  <c r="BI132" i="3"/>
  <c r="BI161" i="3" s="1"/>
  <c r="BJ112" i="3"/>
  <c r="DY112" i="3"/>
  <c r="DY132" i="3" s="1"/>
  <c r="DY161" i="3" s="1"/>
  <c r="DY28" i="3"/>
  <c r="DY104" i="3" s="1"/>
  <c r="DY105" i="3" s="1"/>
  <c r="EA55" i="2"/>
  <c r="EA53" i="2" s="1"/>
  <c r="EA68" i="3"/>
  <c r="W41" i="80"/>
  <c r="V4" i="79" s="1"/>
  <c r="V20" i="79" s="1"/>
  <c r="X28" i="80"/>
  <c r="W30" i="80"/>
  <c r="V43" i="80"/>
  <c r="V42" i="80"/>
  <c r="EB17" i="2"/>
  <c r="EB75" i="3" s="1"/>
  <c r="CU75" i="3"/>
  <c r="CU76" i="3" s="1"/>
  <c r="EB73" i="3"/>
  <c r="EB89" i="3"/>
  <c r="CB207" i="2"/>
  <c r="CF223" i="2"/>
  <c r="CC194" i="2"/>
  <c r="CD157" i="2"/>
  <c r="CI109" i="2"/>
  <c r="CC192" i="2"/>
  <c r="CD155" i="2"/>
  <c r="EB202" i="2"/>
  <c r="CG205" i="2"/>
  <c r="CG223" i="2" s="1"/>
  <c r="CG241" i="2" s="1"/>
  <c r="CH168" i="2"/>
  <c r="BZ228" i="2"/>
  <c r="BZ225" i="2"/>
  <c r="CF198" i="2"/>
  <c r="CG112" i="2"/>
  <c r="CA214" i="2"/>
  <c r="CL242" i="2"/>
  <c r="DY110" i="2"/>
  <c r="CJ110" i="2"/>
  <c r="CK110" i="2" s="1"/>
  <c r="CL110" i="2" s="1"/>
  <c r="CM110" i="2" s="1"/>
  <c r="EB203" i="2"/>
  <c r="CQ142" i="2"/>
  <c r="CP120" i="2"/>
  <c r="CE124" i="2"/>
  <c r="DX124" i="2" s="1"/>
  <c r="DX119" i="2"/>
  <c r="CE234" i="2"/>
  <c r="DX234" i="2" s="1"/>
  <c r="DX198" i="2"/>
  <c r="CG143" i="2"/>
  <c r="CH121" i="2"/>
  <c r="CG204" i="2"/>
  <c r="CG222" i="2" s="1"/>
  <c r="CG240" i="2" s="1"/>
  <c r="CH167" i="2"/>
  <c r="CA229" i="2"/>
  <c r="DW211" i="2"/>
  <c r="CD193" i="2"/>
  <c r="CE156" i="2"/>
  <c r="CA212" i="2"/>
  <c r="CN224" i="2"/>
  <c r="DZ189" i="2"/>
  <c r="CM169" i="2"/>
  <c r="CN189" i="2"/>
  <c r="CF119" i="2"/>
  <c r="CF124" i="2" s="1"/>
  <c r="CG106" i="2"/>
  <c r="CD197" i="2"/>
  <c r="CE160" i="2"/>
  <c r="CI122" i="2"/>
  <c r="CH144" i="2"/>
  <c r="CC196" i="2"/>
  <c r="CD159" i="2"/>
  <c r="CA233" i="2"/>
  <c r="DW215" i="2"/>
  <c r="CF222" i="2"/>
  <c r="CA231" i="2"/>
  <c r="DW213" i="2"/>
  <c r="CD195" i="2"/>
  <c r="CE158" i="2"/>
  <c r="CQ140" i="2"/>
  <c r="EA140" i="2" s="1"/>
  <c r="CR118" i="2"/>
  <c r="CJ107" i="2"/>
  <c r="CK107" i="2" s="1"/>
  <c r="CL107" i="2" s="1"/>
  <c r="CM107" i="2" s="1"/>
  <c r="DY107" i="2"/>
  <c r="CI242" i="2"/>
  <c r="DY224" i="2"/>
  <c r="CB257" i="2"/>
  <c r="AD54" i="80" l="1"/>
  <c r="CY128" i="3"/>
  <c r="FB56" i="2"/>
  <c r="CZ9" i="2"/>
  <c r="CZ36" i="3" s="1"/>
  <c r="DA87" i="2"/>
  <c r="DB32" i="2"/>
  <c r="DC22" i="2"/>
  <c r="DB82" i="2"/>
  <c r="CZ131" i="3"/>
  <c r="DA147" i="3"/>
  <c r="CY36" i="3"/>
  <c r="CY39" i="3" s="1"/>
  <c r="AE50" i="80"/>
  <c r="AC29" i="79"/>
  <c r="AD49" i="80"/>
  <c r="AD65" i="80"/>
  <c r="AC34" i="79" s="1"/>
  <c r="AC33" i="79" s="1"/>
  <c r="DB19" i="2"/>
  <c r="DA27" i="3"/>
  <c r="DC30" i="2"/>
  <c r="DB25" i="3"/>
  <c r="ED29" i="2"/>
  <c r="DC26" i="3"/>
  <c r="ED26" i="3" s="1"/>
  <c r="ED130" i="3" s="1"/>
  <c r="FD13" i="2"/>
  <c r="DA13" i="2"/>
  <c r="DA21" i="3" s="1"/>
  <c r="FD28" i="2"/>
  <c r="DA28" i="2"/>
  <c r="CZ24" i="3"/>
  <c r="DA129" i="3"/>
  <c r="CZ125" i="3"/>
  <c r="CY125" i="3"/>
  <c r="FD21" i="3"/>
  <c r="FD125" i="3" s="1"/>
  <c r="DC39" i="2"/>
  <c r="DB43" i="3"/>
  <c r="FD27" i="3"/>
  <c r="FD131" i="3" s="1"/>
  <c r="DB130" i="3"/>
  <c r="AD28" i="79"/>
  <c r="AE54" i="80"/>
  <c r="AE51" i="80"/>
  <c r="AF52" i="80"/>
  <c r="AC30" i="79"/>
  <c r="AC38" i="79" s="1"/>
  <c r="AC39" i="79" s="1"/>
  <c r="AB39" i="79"/>
  <c r="CZ64" i="2"/>
  <c r="DA63" i="2"/>
  <c r="DC31" i="2"/>
  <c r="DB18" i="2"/>
  <c r="W9" i="79"/>
  <c r="Y28" i="80"/>
  <c r="X6" i="79"/>
  <c r="Z7" i="79"/>
  <c r="Y5" i="79"/>
  <c r="Y8" i="79" s="1"/>
  <c r="Z15" i="80"/>
  <c r="AA13" i="80"/>
  <c r="CY81" i="2"/>
  <c r="EC9" i="2"/>
  <c r="CX39" i="3"/>
  <c r="CX89" i="3"/>
  <c r="CY70" i="3"/>
  <c r="CZ70" i="3" s="1"/>
  <c r="FD70" i="3" s="1"/>
  <c r="CX73" i="3"/>
  <c r="CX17" i="2" s="1"/>
  <c r="CX75" i="3" s="1"/>
  <c r="CX76" i="3" s="1"/>
  <c r="CY64" i="2"/>
  <c r="EC63" i="2"/>
  <c r="CW126" i="3"/>
  <c r="CX126" i="3" s="1"/>
  <c r="EC24" i="3"/>
  <c r="EC128" i="3" s="1"/>
  <c r="DY242" i="2"/>
  <c r="CY145" i="2"/>
  <c r="CZ145" i="2" s="1"/>
  <c r="CX123" i="2"/>
  <c r="CX140" i="3"/>
  <c r="CW143" i="3"/>
  <c r="CX203" i="2"/>
  <c r="CX221" i="2" s="1"/>
  <c r="CY117" i="2"/>
  <c r="CY116" i="2"/>
  <c r="CX202" i="2"/>
  <c r="CX220" i="2" s="1"/>
  <c r="CY14" i="2"/>
  <c r="Q39" i="79"/>
  <c r="R39" i="79"/>
  <c r="V66" i="80"/>
  <c r="W58" i="80"/>
  <c r="P17" i="79"/>
  <c r="P22" i="79" s="1"/>
  <c r="P21" i="79"/>
  <c r="Q18" i="79"/>
  <c r="Q43" i="79"/>
  <c r="Q45" i="79" s="1"/>
  <c r="Q50" i="79" s="1"/>
  <c r="Q37" i="79"/>
  <c r="S27" i="79"/>
  <c r="S37" i="79" s="1"/>
  <c r="T60" i="80"/>
  <c r="T73" i="80"/>
  <c r="T69" i="80"/>
  <c r="T68" i="80"/>
  <c r="AL67" i="80"/>
  <c r="AL69" i="80" s="1"/>
  <c r="U67" i="80"/>
  <c r="U73" i="80" s="1"/>
  <c r="T36" i="79"/>
  <c r="CC207" i="2"/>
  <c r="AM28" i="80"/>
  <c r="AM30" i="80" s="1"/>
  <c r="V45" i="79"/>
  <c r="CT12" i="1" s="1"/>
  <c r="V23" i="79"/>
  <c r="V24" i="79" s="1"/>
  <c r="W19" i="79"/>
  <c r="EN57" i="3"/>
  <c r="EY57" i="3"/>
  <c r="W112" i="3"/>
  <c r="W132" i="3" s="1"/>
  <c r="W161" i="3" s="1"/>
  <c r="V132" i="3"/>
  <c r="V161" i="3" s="1"/>
  <c r="F132" i="3"/>
  <c r="F161" i="3" s="1"/>
  <c r="F162" i="3" s="1"/>
  <c r="F165" i="3" s="1"/>
  <c r="G112" i="3"/>
  <c r="G132" i="3" s="1"/>
  <c r="G161" i="3" s="1"/>
  <c r="G162" i="3" s="1"/>
  <c r="J132" i="3"/>
  <c r="J161" i="3" s="1"/>
  <c r="K112" i="3"/>
  <c r="K132" i="3" s="1"/>
  <c r="K161" i="3" s="1"/>
  <c r="BO28" i="3"/>
  <c r="EU8" i="3"/>
  <c r="DT8" i="3"/>
  <c r="EV257" i="2"/>
  <c r="EB76" i="3"/>
  <c r="BJ132" i="3"/>
  <c r="BJ161" i="3" s="1"/>
  <c r="BK112" i="3"/>
  <c r="BK132" i="3" s="1"/>
  <c r="BK161" i="3" s="1"/>
  <c r="S112" i="3"/>
  <c r="S132" i="3" s="1"/>
  <c r="S161" i="3" s="1"/>
  <c r="R132" i="3"/>
  <c r="R161" i="3" s="1"/>
  <c r="DG61" i="3"/>
  <c r="DH55" i="3"/>
  <c r="BS28" i="3"/>
  <c r="DU8" i="3"/>
  <c r="EV8" i="3"/>
  <c r="AO132" i="3"/>
  <c r="AO161" i="3" s="1"/>
  <c r="AP112" i="3"/>
  <c r="CP132" i="3"/>
  <c r="CP161" i="3" s="1"/>
  <c r="CP27" i="3"/>
  <c r="CQ27" i="3" s="1"/>
  <c r="CQ28" i="3" s="1"/>
  <c r="BV132" i="3"/>
  <c r="BV161" i="3" s="1"/>
  <c r="BW112" i="3"/>
  <c r="BW132" i="3" s="1"/>
  <c r="BW161" i="3" s="1"/>
  <c r="CM112" i="3"/>
  <c r="CM132" i="3" s="1"/>
  <c r="CM161" i="3" s="1"/>
  <c r="CL132" i="3"/>
  <c r="CL161" i="3" s="1"/>
  <c r="DT257" i="2"/>
  <c r="BN132" i="3"/>
  <c r="BN161" i="3" s="1"/>
  <c r="BO112" i="3"/>
  <c r="BO132" i="3" s="1"/>
  <c r="BO161" i="3" s="1"/>
  <c r="M55" i="3"/>
  <c r="L61" i="3"/>
  <c r="BS257" i="2"/>
  <c r="CH112" i="3"/>
  <c r="CG132" i="3"/>
  <c r="CG161" i="3" s="1"/>
  <c r="AK132" i="3"/>
  <c r="AK161" i="3" s="1"/>
  <c r="AL112" i="3"/>
  <c r="EM57" i="3"/>
  <c r="E55" i="3"/>
  <c r="D61" i="3"/>
  <c r="AH132" i="3"/>
  <c r="AH161" i="3" s="1"/>
  <c r="AI112" i="3"/>
  <c r="AI132" i="3" s="1"/>
  <c r="AI161" i="3" s="1"/>
  <c r="AT132" i="3"/>
  <c r="AT161" i="3" s="1"/>
  <c r="AU112" i="3"/>
  <c r="AU132" i="3" s="1"/>
  <c r="AU161" i="3" s="1"/>
  <c r="DX257" i="2"/>
  <c r="CA112" i="3"/>
  <c r="CA132" i="3" s="1"/>
  <c r="CA161" i="3" s="1"/>
  <c r="BZ132" i="3"/>
  <c r="BZ161" i="3" s="1"/>
  <c r="BG112" i="3"/>
  <c r="BG132" i="3" s="1"/>
  <c r="BG161" i="3" s="1"/>
  <c r="BG162" i="3" s="1"/>
  <c r="BF132" i="3"/>
  <c r="BF161" i="3" s="1"/>
  <c r="BF162" i="3" s="1"/>
  <c r="BF165" i="3" s="1"/>
  <c r="AY112" i="3"/>
  <c r="AY132" i="3" s="1"/>
  <c r="AY161" i="3" s="1"/>
  <c r="AX132" i="3"/>
  <c r="AX161" i="3" s="1"/>
  <c r="BB132" i="3"/>
  <c r="BB161" i="3" s="1"/>
  <c r="BC112" i="3"/>
  <c r="BC132" i="3" s="1"/>
  <c r="BC161" i="3" s="1"/>
  <c r="DU257" i="2"/>
  <c r="EU257" i="2"/>
  <c r="DY257" i="2"/>
  <c r="Z132" i="3"/>
  <c r="Z161" i="3" s="1"/>
  <c r="AA112" i="3"/>
  <c r="AA132" i="3" s="1"/>
  <c r="AA161" i="3" s="1"/>
  <c r="O112" i="3"/>
  <c r="O132" i="3" s="1"/>
  <c r="O161" i="3" s="1"/>
  <c r="O162" i="3" s="1"/>
  <c r="N132" i="3"/>
  <c r="N161" i="3" s="1"/>
  <c r="N162" i="3" s="1"/>
  <c r="N165" i="3" s="1"/>
  <c r="EV5" i="3"/>
  <c r="EV5" i="2"/>
  <c r="BR132" i="3"/>
  <c r="BR161" i="3" s="1"/>
  <c r="BS112" i="3"/>
  <c r="BS132" i="3" s="1"/>
  <c r="BS161" i="3" s="1"/>
  <c r="CB112" i="3"/>
  <c r="DX8" i="3"/>
  <c r="CB28" i="3"/>
  <c r="EX8" i="3"/>
  <c r="AD132" i="3"/>
  <c r="AD161" i="3" s="1"/>
  <c r="AE112" i="3"/>
  <c r="AE132" i="3" s="1"/>
  <c r="AE161" i="3" s="1"/>
  <c r="BO257" i="2"/>
  <c r="EA11" i="2"/>
  <c r="EA49" i="2" s="1"/>
  <c r="X41" i="80"/>
  <c r="W4" i="79" s="1"/>
  <c r="X30" i="80"/>
  <c r="W43" i="80"/>
  <c r="W42" i="80"/>
  <c r="CN107" i="2"/>
  <c r="CO107" i="2" s="1"/>
  <c r="CP107" i="2" s="1"/>
  <c r="CQ107" i="2" s="1"/>
  <c r="DZ107" i="2"/>
  <c r="CE195" i="2"/>
  <c r="DX195" i="2" s="1"/>
  <c r="DX158" i="2"/>
  <c r="CF158" i="2"/>
  <c r="CG119" i="2"/>
  <c r="CG124" i="2" s="1"/>
  <c r="CH106" i="2"/>
  <c r="CA230" i="2"/>
  <c r="DW212" i="2"/>
  <c r="CH143" i="2"/>
  <c r="CI121" i="2"/>
  <c r="CG198" i="2"/>
  <c r="CG216" i="2" s="1"/>
  <c r="CG234" i="2" s="1"/>
  <c r="CH112" i="2"/>
  <c r="BZ243" i="2"/>
  <c r="BZ127" i="2"/>
  <c r="CD192" i="2"/>
  <c r="CE155" i="2"/>
  <c r="CF241" i="2"/>
  <c r="DW233" i="2"/>
  <c r="CA132" i="2"/>
  <c r="DY122" i="2"/>
  <c r="CI144" i="2"/>
  <c r="DY144" i="2" s="1"/>
  <c r="CJ122" i="2"/>
  <c r="DW229" i="2"/>
  <c r="CA128" i="2"/>
  <c r="DZ110" i="2"/>
  <c r="CN110" i="2"/>
  <c r="CO110" i="2" s="1"/>
  <c r="CP110" i="2" s="1"/>
  <c r="CQ110" i="2" s="1"/>
  <c r="CH205" i="2"/>
  <c r="CH223" i="2" s="1"/>
  <c r="CH241" i="2" s="1"/>
  <c r="CI168" i="2"/>
  <c r="CO224" i="2"/>
  <c r="CO189" i="2"/>
  <c r="CN169" i="2"/>
  <c r="CN206" i="2" s="1"/>
  <c r="CN242" i="2" s="1"/>
  <c r="CE193" i="2"/>
  <c r="DX193" i="2" s="1"/>
  <c r="CF156" i="2"/>
  <c r="DX156" i="2"/>
  <c r="CR140" i="2"/>
  <c r="CS118" i="2"/>
  <c r="CF240" i="2"/>
  <c r="CA232" i="2"/>
  <c r="DW214" i="2"/>
  <c r="CF216" i="2"/>
  <c r="CD194" i="2"/>
  <c r="CE157" i="2"/>
  <c r="CD196" i="2"/>
  <c r="CE159" i="2"/>
  <c r="CE197" i="2"/>
  <c r="DX197" i="2" s="1"/>
  <c r="CF160" i="2"/>
  <c r="DX160" i="2"/>
  <c r="CH204" i="2"/>
  <c r="CH222" i="2" s="1"/>
  <c r="CH240" i="2" s="1"/>
  <c r="CI167" i="2"/>
  <c r="DW231" i="2"/>
  <c r="CA130" i="2"/>
  <c r="CM206" i="2"/>
  <c r="DZ169" i="2"/>
  <c r="EA142" i="2"/>
  <c r="CQ120" i="2"/>
  <c r="EA120" i="2" s="1"/>
  <c r="CR142" i="2"/>
  <c r="DY109" i="2"/>
  <c r="CJ109" i="2"/>
  <c r="CK109" i="2" s="1"/>
  <c r="CL109" i="2" s="1"/>
  <c r="CM109" i="2" s="1"/>
  <c r="W20" i="79" l="1"/>
  <c r="CT15" i="1"/>
  <c r="EC36" i="3"/>
  <c r="DC130" i="3"/>
  <c r="CZ39" i="3"/>
  <c r="CZ140" i="3"/>
  <c r="FD36" i="3"/>
  <c r="FD140" i="3" s="1"/>
  <c r="FD143" i="3" s="1"/>
  <c r="CZ116" i="2"/>
  <c r="EC116" i="2"/>
  <c r="DB28" i="2"/>
  <c r="DA24" i="3"/>
  <c r="DB13" i="2"/>
  <c r="DB21" i="3" s="1"/>
  <c r="DB147" i="3"/>
  <c r="DA131" i="3"/>
  <c r="DC82" i="2"/>
  <c r="ED22" i="2"/>
  <c r="DC25" i="3"/>
  <c r="ED25" i="3" s="1"/>
  <c r="ED129" i="3" s="1"/>
  <c r="ED30" i="2"/>
  <c r="DC19" i="2"/>
  <c r="DB27" i="3"/>
  <c r="EC117" i="2"/>
  <c r="CZ117" i="2"/>
  <c r="ED39" i="2"/>
  <c r="DC43" i="3"/>
  <c r="ED43" i="3" s="1"/>
  <c r="DA125" i="3"/>
  <c r="CZ81" i="2"/>
  <c r="FD9" i="2"/>
  <c r="DA9" i="2"/>
  <c r="DA36" i="3" s="1"/>
  <c r="CY22" i="3"/>
  <c r="CZ14" i="2"/>
  <c r="CZ22" i="3" s="1"/>
  <c r="DA145" i="2"/>
  <c r="CZ123" i="2"/>
  <c r="DB129" i="3"/>
  <c r="DC129" i="3" s="1"/>
  <c r="CZ128" i="3"/>
  <c r="FD24" i="3"/>
  <c r="FD128" i="3" s="1"/>
  <c r="AD29" i="79"/>
  <c r="AE65" i="80"/>
  <c r="AD34" i="79" s="1"/>
  <c r="AD33" i="79" s="1"/>
  <c r="AF50" i="80"/>
  <c r="AF51" i="80" s="1"/>
  <c r="AE49" i="80"/>
  <c r="DB87" i="2"/>
  <c r="DC32" i="2"/>
  <c r="CQ57" i="3"/>
  <c r="FD73" i="3"/>
  <c r="FD89" i="3"/>
  <c r="FD84" i="3" s="1"/>
  <c r="FD92" i="3" s="1"/>
  <c r="AE28" i="79"/>
  <c r="AF54" i="80"/>
  <c r="AO52" i="80"/>
  <c r="AO54" i="80" s="1"/>
  <c r="AD30" i="79"/>
  <c r="AD38" i="79" s="1"/>
  <c r="AD39" i="79" s="1"/>
  <c r="CZ73" i="3"/>
  <c r="CZ17" i="2" s="1"/>
  <c r="CZ89" i="3"/>
  <c r="DA70" i="3"/>
  <c r="DC18" i="2"/>
  <c r="ED31" i="2"/>
  <c r="DA64" i="2"/>
  <c r="DB63" i="2"/>
  <c r="Y6" i="79"/>
  <c r="Z5" i="79"/>
  <c r="Z8" i="79" s="1"/>
  <c r="AB13" i="80"/>
  <c r="AC13" i="80" s="1"/>
  <c r="AA15" i="80"/>
  <c r="AA7" i="79"/>
  <c r="AB7" i="79" s="1"/>
  <c r="AC7" i="79" s="1"/>
  <c r="AD7" i="79" s="1"/>
  <c r="AE7" i="79" s="1"/>
  <c r="Z28" i="80"/>
  <c r="X9" i="79"/>
  <c r="Y41" i="80"/>
  <c r="Y30" i="80"/>
  <c r="CY203" i="2"/>
  <c r="CY221" i="2" s="1"/>
  <c r="EC221" i="2" s="1"/>
  <c r="CY202" i="2"/>
  <c r="CY220" i="2" s="1"/>
  <c r="EC220" i="2" s="1"/>
  <c r="CY123" i="2"/>
  <c r="EC123" i="2" s="1"/>
  <c r="EC145" i="2"/>
  <c r="EC203" i="2"/>
  <c r="EC14" i="2"/>
  <c r="EC70" i="3"/>
  <c r="CY89" i="3"/>
  <c r="CY73" i="3"/>
  <c r="CY17" i="2" s="1"/>
  <c r="EC39" i="3"/>
  <c r="EC140" i="3"/>
  <c r="EC143" i="3" s="1"/>
  <c r="EC64" i="2"/>
  <c r="CY140" i="3"/>
  <c r="CY143" i="3" s="1"/>
  <c r="CX143" i="3"/>
  <c r="V50" i="79"/>
  <c r="S31" i="79"/>
  <c r="T62" i="80"/>
  <c r="T61" i="80"/>
  <c r="Q21" i="79"/>
  <c r="Q17" i="79"/>
  <c r="Q22" i="79" s="1"/>
  <c r="X58" i="80"/>
  <c r="Y58" i="80" s="1"/>
  <c r="W66" i="80"/>
  <c r="T27" i="79"/>
  <c r="T37" i="79" s="1"/>
  <c r="U68" i="80"/>
  <c r="U69" i="80"/>
  <c r="U60" i="80"/>
  <c r="V67" i="80"/>
  <c r="U36" i="79"/>
  <c r="W45" i="79"/>
  <c r="CU12" i="1" s="1"/>
  <c r="CU15" i="1" s="1"/>
  <c r="W23" i="79"/>
  <c r="W24" i="79" s="1"/>
  <c r="DX112" i="3"/>
  <c r="DX132" i="3" s="1"/>
  <c r="DX161" i="3" s="1"/>
  <c r="DX28" i="3"/>
  <c r="DX104" i="3" s="1"/>
  <c r="DX105" i="3" s="1"/>
  <c r="O165" i="3"/>
  <c r="P159" i="3"/>
  <c r="E58" i="3"/>
  <c r="CP28" i="3"/>
  <c r="DH159" i="3"/>
  <c r="DH162" i="3" s="1"/>
  <c r="DH165" i="3" s="1"/>
  <c r="DH58" i="3"/>
  <c r="EU112" i="3"/>
  <c r="EU132" i="3" s="1"/>
  <c r="EU161" i="3" s="1"/>
  <c r="EU28" i="3"/>
  <c r="EU104" i="3" s="1"/>
  <c r="EU105" i="3" s="1"/>
  <c r="H159" i="3"/>
  <c r="G165" i="3"/>
  <c r="CC112" i="3"/>
  <c r="CB132" i="3"/>
  <c r="CB161" i="3" s="1"/>
  <c r="CI112" i="3"/>
  <c r="CI132" i="3" s="1"/>
  <c r="CI161" i="3" s="1"/>
  <c r="CH132" i="3"/>
  <c r="CH161" i="3" s="1"/>
  <c r="EH55" i="3"/>
  <c r="M58" i="3"/>
  <c r="EV112" i="3"/>
  <c r="EV132" i="3" s="1"/>
  <c r="EV161" i="3" s="1"/>
  <c r="EV28" i="3"/>
  <c r="EV104" i="3" s="1"/>
  <c r="EV105" i="3" s="1"/>
  <c r="BO104" i="3"/>
  <c r="BO105" i="3" s="1"/>
  <c r="BO57" i="3"/>
  <c r="EX112" i="3"/>
  <c r="EX132" i="3" s="1"/>
  <c r="EX161" i="3" s="1"/>
  <c r="EX28" i="3"/>
  <c r="EX104" i="3" s="1"/>
  <c r="EX105" i="3" s="1"/>
  <c r="EW5" i="3"/>
  <c r="EW5" i="2"/>
  <c r="BG165" i="3"/>
  <c r="BH159" i="3"/>
  <c r="AL132" i="3"/>
  <c r="AL161" i="3" s="1"/>
  <c r="AM112" i="3"/>
  <c r="AM132" i="3" s="1"/>
  <c r="AM161" i="3" s="1"/>
  <c r="DU112" i="3"/>
  <c r="DU132" i="3" s="1"/>
  <c r="DU161" i="3" s="1"/>
  <c r="DU28" i="3"/>
  <c r="DU104" i="3" s="1"/>
  <c r="DU105" i="3" s="1"/>
  <c r="CB104" i="3"/>
  <c r="CB105" i="3" s="1"/>
  <c r="CB57" i="3"/>
  <c r="AP132" i="3"/>
  <c r="AP161" i="3" s="1"/>
  <c r="AQ112" i="3"/>
  <c r="AQ132" i="3" s="1"/>
  <c r="AQ161" i="3" s="1"/>
  <c r="BS104" i="3"/>
  <c r="BS105" i="3" s="1"/>
  <c r="BS57" i="3"/>
  <c r="DT112" i="3"/>
  <c r="DT132" i="3" s="1"/>
  <c r="DT161" i="3" s="1"/>
  <c r="DT28" i="3"/>
  <c r="DT104" i="3" s="1"/>
  <c r="DT105" i="3" s="1"/>
  <c r="X43" i="80"/>
  <c r="X42" i="80"/>
  <c r="AM41" i="80"/>
  <c r="AM43" i="80" s="1"/>
  <c r="EA19" i="3"/>
  <c r="EA123" i="3" s="1"/>
  <c r="CF197" i="2"/>
  <c r="CG160" i="2"/>
  <c r="CF234" i="2"/>
  <c r="CP224" i="2"/>
  <c r="CP189" i="2"/>
  <c r="CO169" i="2"/>
  <c r="CO206" i="2" s="1"/>
  <c r="CO242" i="2" s="1"/>
  <c r="EA110" i="2"/>
  <c r="CR110" i="2"/>
  <c r="CS110" i="2" s="1"/>
  <c r="CT110" i="2" s="1"/>
  <c r="CU110" i="2" s="1"/>
  <c r="CA210" i="2"/>
  <c r="BZ141" i="2"/>
  <c r="BZ146" i="2" s="1"/>
  <c r="BZ147" i="2" s="1"/>
  <c r="DW230" i="2"/>
  <c r="CA129" i="2"/>
  <c r="CF195" i="2"/>
  <c r="CG158" i="2"/>
  <c r="CR107" i="2"/>
  <c r="CS107" i="2" s="1"/>
  <c r="CT107" i="2" s="1"/>
  <c r="CU107" i="2" s="1"/>
  <c r="EA107" i="2"/>
  <c r="CN109" i="2"/>
  <c r="CO109" i="2" s="1"/>
  <c r="CP109" i="2" s="1"/>
  <c r="CQ109" i="2" s="1"/>
  <c r="DZ109" i="2"/>
  <c r="CI204" i="2"/>
  <c r="CI222" i="2" s="1"/>
  <c r="CI240" i="2" s="1"/>
  <c r="DY240" i="2" s="1"/>
  <c r="DY167" i="2"/>
  <c r="CJ167" i="2"/>
  <c r="CE194" i="2"/>
  <c r="DX194" i="2" s="1"/>
  <c r="DX157" i="2"/>
  <c r="CF157" i="2"/>
  <c r="CS140" i="2"/>
  <c r="CT118" i="2"/>
  <c r="CF193" i="2"/>
  <c r="CG156" i="2"/>
  <c r="CB215" i="2"/>
  <c r="DW132" i="2"/>
  <c r="CI143" i="2"/>
  <c r="DY143" i="2" s="1"/>
  <c r="DY121" i="2"/>
  <c r="CJ121" i="2"/>
  <c r="CI106" i="2"/>
  <c r="CH119" i="2"/>
  <c r="CH124" i="2" s="1"/>
  <c r="CS142" i="2"/>
  <c r="CR120" i="2"/>
  <c r="DZ206" i="2"/>
  <c r="CM242" i="2"/>
  <c r="DZ242" i="2" s="1"/>
  <c r="CE196" i="2"/>
  <c r="DX196" i="2" s="1"/>
  <c r="DX159" i="2"/>
  <c r="CF159" i="2"/>
  <c r="DW232" i="2"/>
  <c r="CA131" i="2"/>
  <c r="CI205" i="2"/>
  <c r="CI223" i="2" s="1"/>
  <c r="CI241" i="2" s="1"/>
  <c r="DY241" i="2" s="1"/>
  <c r="DY168" i="2"/>
  <c r="CJ168" i="2"/>
  <c r="CB211" i="2"/>
  <c r="DW128" i="2"/>
  <c r="CJ144" i="2"/>
  <c r="CK122" i="2"/>
  <c r="CE192" i="2"/>
  <c r="DX155" i="2"/>
  <c r="CF155" i="2"/>
  <c r="CB213" i="2"/>
  <c r="DW130" i="2"/>
  <c r="CD207" i="2"/>
  <c r="CH198" i="2"/>
  <c r="CI112" i="2"/>
  <c r="EB12" i="1" l="1"/>
  <c r="EB15" i="1" s="1"/>
  <c r="DB131" i="3"/>
  <c r="CZ126" i="3"/>
  <c r="DA39" i="3"/>
  <c r="DA128" i="3"/>
  <c r="DC147" i="3"/>
  <c r="DC28" i="2"/>
  <c r="DB24" i="3"/>
  <c r="CZ202" i="2"/>
  <c r="DA116" i="2"/>
  <c r="DC87" i="2"/>
  <c r="ED32" i="2"/>
  <c r="EC22" i="3"/>
  <c r="EC126" i="3" s="1"/>
  <c r="FD22" i="3"/>
  <c r="FD126" i="3" s="1"/>
  <c r="CZ203" i="2"/>
  <c r="DA117" i="2"/>
  <c r="ED19" i="2"/>
  <c r="DC27" i="3"/>
  <c r="ED27" i="3" s="1"/>
  <c r="ED131" i="3" s="1"/>
  <c r="ED147" i="3"/>
  <c r="CY126" i="3"/>
  <c r="DB145" i="2"/>
  <c r="DA123" i="2"/>
  <c r="DB125" i="3"/>
  <c r="DC131" i="3"/>
  <c r="DC13" i="2"/>
  <c r="ED13" i="2" s="1"/>
  <c r="DA140" i="3"/>
  <c r="CZ143" i="3"/>
  <c r="AE29" i="79"/>
  <c r="AF49" i="80"/>
  <c r="AF65" i="80"/>
  <c r="AE34" i="79" s="1"/>
  <c r="AE33" i="79" s="1"/>
  <c r="FD14" i="2"/>
  <c r="DA14" i="2"/>
  <c r="DA22" i="3" s="1"/>
  <c r="DA81" i="2"/>
  <c r="DB9" i="2"/>
  <c r="DB36" i="3" s="1"/>
  <c r="DB39" i="3" s="1"/>
  <c r="AE30" i="79"/>
  <c r="AE38" i="79" s="1"/>
  <c r="AE39" i="79" s="1"/>
  <c r="AN13" i="80"/>
  <c r="AN15" i="80" s="1"/>
  <c r="Z6" i="79"/>
  <c r="AC15" i="80"/>
  <c r="AD13" i="80"/>
  <c r="AB5" i="79"/>
  <c r="DB70" i="3"/>
  <c r="DA89" i="3"/>
  <c r="DA73" i="3"/>
  <c r="DA17" i="2" s="1"/>
  <c r="DA75" i="3" s="1"/>
  <c r="DA76" i="3" s="1"/>
  <c r="CZ75" i="3"/>
  <c r="CZ76" i="3" s="1"/>
  <c r="FD17" i="2"/>
  <c r="FD75" i="3" s="1"/>
  <c r="FD76" i="3" s="1"/>
  <c r="DB64" i="2"/>
  <c r="DC63" i="2"/>
  <c r="ED18" i="2"/>
  <c r="Y9" i="79"/>
  <c r="Z41" i="80"/>
  <c r="AA28" i="80"/>
  <c r="Z30" i="80"/>
  <c r="AB15" i="80"/>
  <c r="AA5" i="79"/>
  <c r="AA8" i="79" s="1"/>
  <c r="Z58" i="80"/>
  <c r="Y66" i="80"/>
  <c r="X4" i="79"/>
  <c r="Y42" i="80"/>
  <c r="Y43" i="80"/>
  <c r="EC202" i="2"/>
  <c r="CY75" i="3"/>
  <c r="CY76" i="3" s="1"/>
  <c r="EC17" i="2"/>
  <c r="EC75" i="3" s="1"/>
  <c r="EC89" i="3"/>
  <c r="EC73" i="3"/>
  <c r="EB107" i="2"/>
  <c r="CV107" i="2"/>
  <c r="CW107" i="2" s="1"/>
  <c r="CX107" i="2" s="1"/>
  <c r="CY107" i="2" s="1"/>
  <c r="EB110" i="2"/>
  <c r="CV110" i="2"/>
  <c r="CW110" i="2" s="1"/>
  <c r="CX110" i="2" s="1"/>
  <c r="CY110" i="2" s="1"/>
  <c r="DY204" i="2"/>
  <c r="DY222" i="2"/>
  <c r="T31" i="79"/>
  <c r="U62" i="80"/>
  <c r="U61" i="80"/>
  <c r="X66" i="80"/>
  <c r="AM58" i="80"/>
  <c r="AM59" i="80" s="1"/>
  <c r="W50" i="79"/>
  <c r="U27" i="79"/>
  <c r="U37" i="79" s="1"/>
  <c r="V60" i="80"/>
  <c r="V68" i="80"/>
  <c r="V73" i="80"/>
  <c r="V69" i="80"/>
  <c r="W67" i="80"/>
  <c r="V36" i="79"/>
  <c r="EV57" i="3"/>
  <c r="DU57" i="3"/>
  <c r="EH159" i="3"/>
  <c r="EH162" i="3" s="1"/>
  <c r="EH165" i="3" s="1"/>
  <c r="EH58" i="3"/>
  <c r="DH61" i="3"/>
  <c r="DI55" i="3"/>
  <c r="CC132" i="3"/>
  <c r="CD112" i="3"/>
  <c r="R159" i="3"/>
  <c r="R162" i="3" s="1"/>
  <c r="R165" i="3" s="1"/>
  <c r="Q159" i="3"/>
  <c r="Q162" i="3" s="1"/>
  <c r="Q165" i="3" s="1"/>
  <c r="S159" i="3"/>
  <c r="S162" i="3" s="1"/>
  <c r="P162" i="3"/>
  <c r="P165" i="3" s="1"/>
  <c r="BK159" i="3"/>
  <c r="BK162" i="3" s="1"/>
  <c r="BI159" i="3"/>
  <c r="BI162" i="3" s="1"/>
  <c r="BI165" i="3" s="1"/>
  <c r="BJ159" i="3"/>
  <c r="BJ162" i="3" s="1"/>
  <c r="BJ165" i="3" s="1"/>
  <c r="BH162" i="3"/>
  <c r="BH165" i="3" s="1"/>
  <c r="EX5" i="3"/>
  <c r="EX5" i="2"/>
  <c r="J159" i="3"/>
  <c r="J162" i="3" s="1"/>
  <c r="J165" i="3" s="1"/>
  <c r="K159" i="3"/>
  <c r="K162" i="3" s="1"/>
  <c r="K165" i="3" s="1"/>
  <c r="I159" i="3"/>
  <c r="I162" i="3" s="1"/>
  <c r="I165" i="3" s="1"/>
  <c r="H162" i="3"/>
  <c r="H165" i="3" s="1"/>
  <c r="F55" i="3"/>
  <c r="E61" i="3"/>
  <c r="DX57" i="3"/>
  <c r="EX57" i="3"/>
  <c r="EU57" i="3"/>
  <c r="DT57" i="3"/>
  <c r="N55" i="3"/>
  <c r="N58" i="3" s="1"/>
  <c r="M61" i="3"/>
  <c r="CP104" i="3"/>
  <c r="CP105" i="3" s="1"/>
  <c r="CP57" i="3"/>
  <c r="CE207" i="2"/>
  <c r="DX207" i="2" s="1"/>
  <c r="CF196" i="2"/>
  <c r="CG159" i="2"/>
  <c r="CJ143" i="2"/>
  <c r="CK121" i="2"/>
  <c r="CJ204" i="2"/>
  <c r="CK167" i="2"/>
  <c r="EA109" i="2"/>
  <c r="CR109" i="2"/>
  <c r="CS109" i="2" s="1"/>
  <c r="CT109" i="2" s="1"/>
  <c r="CU109" i="2" s="1"/>
  <c r="CI198" i="2"/>
  <c r="CI216" i="2" s="1"/>
  <c r="CI234" i="2" s="1"/>
  <c r="CJ112" i="2"/>
  <c r="DY112" i="2"/>
  <c r="CB231" i="2"/>
  <c r="CK144" i="2"/>
  <c r="CL122" i="2"/>
  <c r="CB229" i="2"/>
  <c r="CB214" i="2"/>
  <c r="DW131" i="2"/>
  <c r="CG193" i="2"/>
  <c r="CH156" i="2"/>
  <c r="CF194" i="2"/>
  <c r="CG157" i="2"/>
  <c r="CB212" i="2"/>
  <c r="DW129" i="2"/>
  <c r="CA228" i="2"/>
  <c r="CA225" i="2"/>
  <c r="DW225" i="2" s="1"/>
  <c r="DW210" i="2"/>
  <c r="DY205" i="2"/>
  <c r="CH216" i="2"/>
  <c r="DY198" i="2"/>
  <c r="CF192" i="2"/>
  <c r="CG155" i="2"/>
  <c r="CJ205" i="2"/>
  <c r="CK168" i="2"/>
  <c r="CT142" i="2"/>
  <c r="CS120" i="2"/>
  <c r="CB233" i="2"/>
  <c r="DY223" i="2"/>
  <c r="CQ224" i="2"/>
  <c r="EA224" i="2" s="1"/>
  <c r="CQ189" i="2"/>
  <c r="CP169" i="2"/>
  <c r="CP206" i="2" s="1"/>
  <c r="CP242" i="2" s="1"/>
  <c r="DX192" i="2"/>
  <c r="DY106" i="2"/>
  <c r="CJ106" i="2"/>
  <c r="CI119" i="2"/>
  <c r="CT140" i="2"/>
  <c r="CU118" i="2"/>
  <c r="CG195" i="2"/>
  <c r="CH158" i="2"/>
  <c r="CG197" i="2"/>
  <c r="CH160" i="2"/>
  <c r="DC21" i="3" l="1"/>
  <c r="ED21" i="3" s="1"/>
  <c r="ED125" i="3" s="1"/>
  <c r="EC110" i="2"/>
  <c r="CZ110" i="2"/>
  <c r="DA110" i="2" s="1"/>
  <c r="DB110" i="2" s="1"/>
  <c r="DC110" i="2" s="1"/>
  <c r="ED110" i="2" s="1"/>
  <c r="DC9" i="2"/>
  <c r="DC36" i="3" s="1"/>
  <c r="DB81" i="2"/>
  <c r="CZ221" i="2"/>
  <c r="DA202" i="2"/>
  <c r="DA220" i="2" s="1"/>
  <c r="DB116" i="2"/>
  <c r="DB128" i="3"/>
  <c r="CV118" i="2"/>
  <c r="CW118" i="2" s="1"/>
  <c r="EB118" i="2"/>
  <c r="X19" i="79"/>
  <c r="DC145" i="2"/>
  <c r="DB123" i="2"/>
  <c r="CZ220" i="2"/>
  <c r="EC107" i="2"/>
  <c r="CZ107" i="2"/>
  <c r="DA107" i="2" s="1"/>
  <c r="DB107" i="2" s="1"/>
  <c r="DC107" i="2" s="1"/>
  <c r="ED107" i="2" s="1"/>
  <c r="DA126" i="3"/>
  <c r="DB14" i="2"/>
  <c r="DB22" i="3" s="1"/>
  <c r="DB140" i="3"/>
  <c r="DA143" i="3"/>
  <c r="DA203" i="2"/>
  <c r="DA221" i="2" s="1"/>
  <c r="DB117" i="2"/>
  <c r="ED28" i="2"/>
  <c r="DC24" i="3"/>
  <c r="ED24" i="3" s="1"/>
  <c r="ED128" i="3" s="1"/>
  <c r="AE13" i="80"/>
  <c r="AC5" i="79"/>
  <c r="AD15" i="80"/>
  <c r="AB8" i="79"/>
  <c r="AB6" i="79"/>
  <c r="DB73" i="3"/>
  <c r="DB17" i="2" s="1"/>
  <c r="DB75" i="3" s="1"/>
  <c r="DB76" i="3" s="1"/>
  <c r="DB89" i="3"/>
  <c r="DC70" i="3"/>
  <c r="DC64" i="2"/>
  <c r="ED63" i="2"/>
  <c r="ED64" i="2" s="1"/>
  <c r="X36" i="79"/>
  <c r="Y67" i="80"/>
  <c r="AA58" i="80"/>
  <c r="Z66" i="80"/>
  <c r="FB55" i="2"/>
  <c r="FB53" i="2" s="1"/>
  <c r="FB68" i="3"/>
  <c r="Y4" i="79"/>
  <c r="Y19" i="79" s="1"/>
  <c r="Z43" i="80"/>
  <c r="Z42" i="80"/>
  <c r="AA6" i="79"/>
  <c r="Z9" i="79"/>
  <c r="AA30" i="80"/>
  <c r="AA41" i="80"/>
  <c r="AB28" i="80"/>
  <c r="EC76" i="3"/>
  <c r="EB109" i="2"/>
  <c r="CV109" i="2"/>
  <c r="CW109" i="2" s="1"/>
  <c r="CX109" i="2" s="1"/>
  <c r="CY109" i="2" s="1"/>
  <c r="CV140" i="2"/>
  <c r="W36" i="79"/>
  <c r="X67" i="80"/>
  <c r="AM67" i="80" s="1"/>
  <c r="AM69" i="80" s="1"/>
  <c r="V27" i="79"/>
  <c r="V37" i="79" s="1"/>
  <c r="W60" i="80"/>
  <c r="W69" i="80"/>
  <c r="W68" i="80"/>
  <c r="W73" i="80"/>
  <c r="CT7" i="1" s="1"/>
  <c r="CS55" i="2"/>
  <c r="CS68" i="3"/>
  <c r="U31" i="79"/>
  <c r="V62" i="80"/>
  <c r="V61" i="80"/>
  <c r="F58" i="3"/>
  <c r="EH61" i="3"/>
  <c r="EI55" i="3"/>
  <c r="S165" i="3"/>
  <c r="T159" i="3"/>
  <c r="CC133" i="3"/>
  <c r="CC161" i="3"/>
  <c r="CE112" i="3"/>
  <c r="CE132" i="3" s="1"/>
  <c r="CE161" i="3" s="1"/>
  <c r="CD132" i="3"/>
  <c r="CD161" i="3" s="1"/>
  <c r="O55" i="3"/>
  <c r="O58" i="3" s="1"/>
  <c r="N61" i="3"/>
  <c r="DI159" i="3"/>
  <c r="DI162" i="3" s="1"/>
  <c r="DI165" i="3" s="1"/>
  <c r="DI58" i="3"/>
  <c r="EY5" i="3"/>
  <c r="EY5" i="2"/>
  <c r="BL159" i="3"/>
  <c r="BK165" i="3"/>
  <c r="CU140" i="2"/>
  <c r="EB140" i="2" s="1"/>
  <c r="CB132" i="2"/>
  <c r="CJ223" i="2"/>
  <c r="CH234" i="2"/>
  <c r="DY234" i="2" s="1"/>
  <c r="DY216" i="2"/>
  <c r="CA243" i="2"/>
  <c r="DW228" i="2"/>
  <c r="DW243" i="2" s="1"/>
  <c r="CA127" i="2"/>
  <c r="CG194" i="2"/>
  <c r="CG230" i="2" s="1"/>
  <c r="CG129" i="2" s="1"/>
  <c r="CH157" i="2"/>
  <c r="CB128" i="2"/>
  <c r="CB130" i="2"/>
  <c r="CK204" i="2"/>
  <c r="CK222" i="2" s="1"/>
  <c r="CK240" i="2" s="1"/>
  <c r="CL167" i="2"/>
  <c r="CG196" i="2"/>
  <c r="CH159" i="2"/>
  <c r="CH197" i="2"/>
  <c r="CI160" i="2"/>
  <c r="CR224" i="2"/>
  <c r="CR189" i="2"/>
  <c r="CQ169" i="2"/>
  <c r="EA189" i="2"/>
  <c r="CG192" i="2"/>
  <c r="CH155" i="2"/>
  <c r="CM122" i="2"/>
  <c r="CL144" i="2"/>
  <c r="CJ222" i="2"/>
  <c r="CH195" i="2"/>
  <c r="CI158" i="2"/>
  <c r="CI124" i="2"/>
  <c r="DY124" i="2" s="1"/>
  <c r="DY119" i="2"/>
  <c r="CU142" i="2"/>
  <c r="CV142" i="2" s="1"/>
  <c r="CT120" i="2"/>
  <c r="CF207" i="2"/>
  <c r="CH193" i="2"/>
  <c r="CI156" i="2"/>
  <c r="CB232" i="2"/>
  <c r="CJ198" i="2"/>
  <c r="CK112" i="2"/>
  <c r="CK143" i="2"/>
  <c r="CL121" i="2"/>
  <c r="CJ119" i="2"/>
  <c r="CJ124" i="2" s="1"/>
  <c r="CK106" i="2"/>
  <c r="CK205" i="2"/>
  <c r="CK223" i="2" s="1"/>
  <c r="CK241" i="2" s="1"/>
  <c r="CL168" i="2"/>
  <c r="CB230" i="2"/>
  <c r="CG207" i="2" l="1"/>
  <c r="CT30" i="1"/>
  <c r="CT33" i="1"/>
  <c r="CT17" i="1"/>
  <c r="CT25" i="1"/>
  <c r="CT10" i="1"/>
  <c r="CT38" i="1"/>
  <c r="CT21" i="1"/>
  <c r="CT9" i="1"/>
  <c r="CT19" i="1"/>
  <c r="DC125" i="3"/>
  <c r="DC39" i="3"/>
  <c r="ED36" i="3"/>
  <c r="Y45" i="79"/>
  <c r="CW12" i="1" s="1"/>
  <c r="Y23" i="79"/>
  <c r="EC109" i="2"/>
  <c r="CZ109" i="2"/>
  <c r="DA109" i="2" s="1"/>
  <c r="DB109" i="2" s="1"/>
  <c r="DC109" i="2" s="1"/>
  <c r="ED109" i="2" s="1"/>
  <c r="X45" i="79"/>
  <c r="CV12" i="1" s="1"/>
  <c r="X23" i="79"/>
  <c r="X24" i="79" s="1"/>
  <c r="DC128" i="3"/>
  <c r="DC140" i="3"/>
  <c r="DC143" i="3" s="1"/>
  <c r="DB143" i="3"/>
  <c r="DC123" i="2"/>
  <c r="ED123" i="2" s="1"/>
  <c r="ED145" i="2"/>
  <c r="DB202" i="2"/>
  <c r="DC116" i="2"/>
  <c r="DC117" i="2"/>
  <c r="DB203" i="2"/>
  <c r="DB221" i="2" s="1"/>
  <c r="DC14" i="2"/>
  <c r="ED14" i="2" s="1"/>
  <c r="DB126" i="3"/>
  <c r="DC81" i="2"/>
  <c r="ED9" i="2"/>
  <c r="AN28" i="80"/>
  <c r="AN30" i="80" s="1"/>
  <c r="AC28" i="80"/>
  <c r="AC8" i="79"/>
  <c r="AC6" i="79"/>
  <c r="AD5" i="79"/>
  <c r="AF13" i="80"/>
  <c r="AE15" i="80"/>
  <c r="ED70" i="3"/>
  <c r="DC89" i="3"/>
  <c r="DC73" i="3"/>
  <c r="DC17" i="2" s="1"/>
  <c r="AA9" i="79"/>
  <c r="AB41" i="80"/>
  <c r="AB30" i="80"/>
  <c r="Y36" i="79"/>
  <c r="Z67" i="80"/>
  <c r="X27" i="79"/>
  <c r="X37" i="79" s="1"/>
  <c r="Y69" i="80"/>
  <c r="Y68" i="80"/>
  <c r="Y60" i="80"/>
  <c r="Y73" i="80"/>
  <c r="CV7" i="1" s="1"/>
  <c r="Z4" i="79"/>
  <c r="Z19" i="79" s="1"/>
  <c r="AA42" i="80"/>
  <c r="AA43" i="80"/>
  <c r="AB58" i="80"/>
  <c r="AN58" i="80" s="1"/>
  <c r="AN59" i="80" s="1"/>
  <c r="AA66" i="80"/>
  <c r="CW142" i="2"/>
  <c r="CV120" i="2"/>
  <c r="CX118" i="2"/>
  <c r="CW140" i="2"/>
  <c r="V31" i="79"/>
  <c r="W62" i="80"/>
  <c r="W61" i="80"/>
  <c r="W27" i="79"/>
  <c r="W37" i="79" s="1"/>
  <c r="X69" i="80"/>
  <c r="X60" i="80"/>
  <c r="X73" i="80"/>
  <c r="CU7" i="1" s="1"/>
  <c r="EB7" i="1" s="1"/>
  <c r="X68" i="80"/>
  <c r="CS53" i="2"/>
  <c r="CT55" i="2"/>
  <c r="CT68" i="3"/>
  <c r="EI159" i="3"/>
  <c r="EI162" i="3" s="1"/>
  <c r="EI165" i="3" s="1"/>
  <c r="EI58" i="3"/>
  <c r="O61" i="3"/>
  <c r="P55" i="3"/>
  <c r="P58" i="3" s="1"/>
  <c r="BM159" i="3"/>
  <c r="BM162" i="3" s="1"/>
  <c r="BM165" i="3" s="1"/>
  <c r="BO159" i="3"/>
  <c r="BO162" i="3" s="1"/>
  <c r="BL162" i="3"/>
  <c r="BL165" i="3" s="1"/>
  <c r="BN159" i="3"/>
  <c r="BN162" i="3" s="1"/>
  <c r="BN165" i="3" s="1"/>
  <c r="DI61" i="3"/>
  <c r="DJ55" i="3"/>
  <c r="W159" i="3"/>
  <c r="W162" i="3" s="1"/>
  <c r="U159" i="3"/>
  <c r="U162" i="3" s="1"/>
  <c r="U165" i="3" s="1"/>
  <c r="T162" i="3"/>
  <c r="T165" i="3" s="1"/>
  <c r="V159" i="3"/>
  <c r="V162" i="3" s="1"/>
  <c r="V165" i="3" s="1"/>
  <c r="G55" i="3"/>
  <c r="F61" i="3"/>
  <c r="CL143" i="2"/>
  <c r="CM121" i="2"/>
  <c r="CK198" i="2"/>
  <c r="CK216" i="2" s="1"/>
  <c r="CK234" i="2" s="1"/>
  <c r="CL112" i="2"/>
  <c r="CI193" i="2"/>
  <c r="DY193" i="2" s="1"/>
  <c r="CJ156" i="2"/>
  <c r="DY156" i="2"/>
  <c r="CQ206" i="2"/>
  <c r="EA169" i="2"/>
  <c r="CI197" i="2"/>
  <c r="DY197" i="2" s="1"/>
  <c r="CJ160" i="2"/>
  <c r="DY160" i="2"/>
  <c r="CL204" i="2"/>
  <c r="CL222" i="2" s="1"/>
  <c r="CL240" i="2" s="1"/>
  <c r="CM167" i="2"/>
  <c r="CC211" i="2"/>
  <c r="CB210" i="2"/>
  <c r="DW127" i="2"/>
  <c r="CA141" i="2"/>
  <c r="CB129" i="2"/>
  <c r="CJ216" i="2"/>
  <c r="CU120" i="2"/>
  <c r="EB120" i="2" s="1"/>
  <c r="EB142" i="2"/>
  <c r="CI195" i="2"/>
  <c r="DY195" i="2" s="1"/>
  <c r="DY158" i="2"/>
  <c r="CJ158" i="2"/>
  <c r="CJ240" i="2"/>
  <c r="CH192" i="2"/>
  <c r="CI155" i="2"/>
  <c r="CS224" i="2"/>
  <c r="CS189" i="2"/>
  <c r="CR169" i="2"/>
  <c r="CR206" i="2" s="1"/>
  <c r="CR242" i="2" s="1"/>
  <c r="CL205" i="2"/>
  <c r="CM168" i="2"/>
  <c r="CK119" i="2"/>
  <c r="CK124" i="2" s="1"/>
  <c r="CL106" i="2"/>
  <c r="CH196" i="2"/>
  <c r="CI159" i="2"/>
  <c r="CC213" i="2"/>
  <c r="CH194" i="2"/>
  <c r="CI157" i="2"/>
  <c r="CJ241" i="2"/>
  <c r="CB131" i="2"/>
  <c r="CM144" i="2"/>
  <c r="DZ144" i="2" s="1"/>
  <c r="CN122" i="2"/>
  <c r="DZ122" i="2"/>
  <c r="CH212" i="2"/>
  <c r="CC215" i="2"/>
  <c r="EB30" i="1" l="1"/>
  <c r="EB17" i="1"/>
  <c r="EB33" i="1"/>
  <c r="EB10" i="1"/>
  <c r="EB25" i="1"/>
  <c r="EB38" i="1"/>
  <c r="EB21" i="1"/>
  <c r="EB19" i="1"/>
  <c r="CT55" i="1"/>
  <c r="CT20" i="1"/>
  <c r="CT22" i="1"/>
  <c r="CT58" i="1"/>
  <c r="CT18" i="1"/>
  <c r="CT52" i="1"/>
  <c r="CV15" i="1"/>
  <c r="CV21" i="1" s="1"/>
  <c r="FC12" i="1"/>
  <c r="FC15" i="1" s="1"/>
  <c r="CU25" i="1"/>
  <c r="CU10" i="1"/>
  <c r="CU30" i="1"/>
  <c r="CU21" i="1"/>
  <c r="CU9" i="1"/>
  <c r="CU38" i="1"/>
  <c r="CU19" i="1"/>
  <c r="CU33" i="1"/>
  <c r="CU17" i="1"/>
  <c r="CV38" i="1"/>
  <c r="CV25" i="1"/>
  <c r="CV9" i="1"/>
  <c r="CV33" i="1"/>
  <c r="CV17" i="1"/>
  <c r="CV10" i="1"/>
  <c r="CV30" i="1"/>
  <c r="CW15" i="1"/>
  <c r="FC7" i="1"/>
  <c r="Y24" i="79"/>
  <c r="DC203" i="2"/>
  <c r="DC221" i="2" s="1"/>
  <c r="ED221" i="2" s="1"/>
  <c r="ED117" i="2"/>
  <c r="Y50" i="79"/>
  <c r="Z45" i="79"/>
  <c r="CX12" i="1" s="1"/>
  <c r="CX15" i="1" s="1"/>
  <c r="Z23" i="79"/>
  <c r="Z24" i="79" s="1"/>
  <c r="DC202" i="2"/>
  <c r="DC220" i="2" s="1"/>
  <c r="ED116" i="2"/>
  <c r="ED140" i="3"/>
  <c r="ED143" i="3" s="1"/>
  <c r="ED39" i="3"/>
  <c r="AB66" i="80"/>
  <c r="AA36" i="79" s="1"/>
  <c r="AC58" i="80"/>
  <c r="DC22" i="3"/>
  <c r="ED22" i="3" s="1"/>
  <c r="ED126" i="3" s="1"/>
  <c r="DB220" i="2"/>
  <c r="ED220" i="2" s="1"/>
  <c r="X50" i="79"/>
  <c r="AB9" i="79"/>
  <c r="AD28" i="80"/>
  <c r="AC30" i="80"/>
  <c r="AC41" i="80"/>
  <c r="AF15" i="80"/>
  <c r="AE5" i="79"/>
  <c r="AO13" i="80"/>
  <c r="AO15" i="80" s="1"/>
  <c r="AD6" i="79"/>
  <c r="AD8" i="79"/>
  <c r="AN41" i="80"/>
  <c r="AN43" i="80" s="1"/>
  <c r="ED17" i="2"/>
  <c r="ED75" i="3" s="1"/>
  <c r="DC75" i="3"/>
  <c r="DC76" i="3" s="1"/>
  <c r="ED73" i="3"/>
  <c r="ED89" i="3"/>
  <c r="Z36" i="79"/>
  <c r="AA67" i="80"/>
  <c r="Z73" i="80"/>
  <c r="CW7" i="1" s="1"/>
  <c r="Y27" i="79"/>
  <c r="Y37" i="79" s="1"/>
  <c r="Z68" i="80"/>
  <c r="Z69" i="80"/>
  <c r="Z60" i="80"/>
  <c r="AA4" i="79"/>
  <c r="AA19" i="79" s="1"/>
  <c r="AB43" i="80"/>
  <c r="AB42" i="80"/>
  <c r="X31" i="79"/>
  <c r="Y62" i="80"/>
  <c r="Y61" i="80"/>
  <c r="CY118" i="2"/>
  <c r="CX140" i="2"/>
  <c r="CX142" i="2"/>
  <c r="CW120" i="2"/>
  <c r="CT11" i="2"/>
  <c r="CT19" i="3" s="1"/>
  <c r="CT53" i="2"/>
  <c r="W31" i="79"/>
  <c r="X62" i="80"/>
  <c r="X61" i="80"/>
  <c r="FB11" i="2"/>
  <c r="FB49" i="2" s="1"/>
  <c r="CS19" i="3"/>
  <c r="CU55" i="2"/>
  <c r="CU68" i="3"/>
  <c r="P61" i="3"/>
  <c r="Q55" i="3"/>
  <c r="Q58" i="3" s="1"/>
  <c r="G58" i="3"/>
  <c r="DE55" i="3"/>
  <c r="X159" i="3"/>
  <c r="W165" i="3"/>
  <c r="DJ159" i="3"/>
  <c r="DJ162" i="3" s="1"/>
  <c r="DJ165" i="3" s="1"/>
  <c r="DJ58" i="3"/>
  <c r="BP159" i="3"/>
  <c r="BO165" i="3"/>
  <c r="EJ55" i="3"/>
  <c r="EI61" i="3"/>
  <c r="CH230" i="2"/>
  <c r="CH129" i="2" s="1"/>
  <c r="CI194" i="2"/>
  <c r="DY194" i="2" s="1"/>
  <c r="DY157" i="2"/>
  <c r="CJ157" i="2"/>
  <c r="CI196" i="2"/>
  <c r="DY196" i="2" s="1"/>
  <c r="DY159" i="2"/>
  <c r="CJ159" i="2"/>
  <c r="CH207" i="2"/>
  <c r="CB228" i="2"/>
  <c r="CB225" i="2"/>
  <c r="CJ193" i="2"/>
  <c r="CK156" i="2"/>
  <c r="CM143" i="2"/>
  <c r="DZ143" i="2" s="1"/>
  <c r="DZ121" i="2"/>
  <c r="CN121" i="2"/>
  <c r="CM205" i="2"/>
  <c r="CM223" i="2" s="1"/>
  <c r="CM241" i="2" s="1"/>
  <c r="CN168" i="2"/>
  <c r="DZ168" i="2"/>
  <c r="CT224" i="2"/>
  <c r="CT189" i="2"/>
  <c r="CS169" i="2"/>
  <c r="CS206" i="2" s="1"/>
  <c r="CS242" i="2" s="1"/>
  <c r="CQ242" i="2"/>
  <c r="EA242" i="2" s="1"/>
  <c r="EA206" i="2"/>
  <c r="CC233" i="2"/>
  <c r="CC214" i="2"/>
  <c r="CL223" i="2"/>
  <c r="CJ234" i="2"/>
  <c r="DW141" i="2"/>
  <c r="CA146" i="2"/>
  <c r="CC229" i="2"/>
  <c r="CJ197" i="2"/>
  <c r="CK160" i="2"/>
  <c r="CL198" i="2"/>
  <c r="CM112" i="2"/>
  <c r="CN144" i="2"/>
  <c r="CO122" i="2"/>
  <c r="CC231" i="2"/>
  <c r="CM106" i="2"/>
  <c r="CL119" i="2"/>
  <c r="CL124" i="2" s="1"/>
  <c r="CI192" i="2"/>
  <c r="DY155" i="2"/>
  <c r="CJ155" i="2"/>
  <c r="CJ195" i="2"/>
  <c r="CK158" i="2"/>
  <c r="CC212" i="2"/>
  <c r="CM204" i="2"/>
  <c r="DZ167" i="2"/>
  <c r="CN167" i="2"/>
  <c r="CV19" i="1" l="1"/>
  <c r="CV55" i="1" s="1"/>
  <c r="CU55" i="1"/>
  <c r="CU20" i="1"/>
  <c r="CT59" i="1"/>
  <c r="CT72" i="1"/>
  <c r="EB55" i="1"/>
  <c r="EB20" i="1"/>
  <c r="FC30" i="1"/>
  <c r="FC10" i="1"/>
  <c r="FC38" i="1"/>
  <c r="FC25" i="1"/>
  <c r="FC33" i="1"/>
  <c r="FC21" i="1"/>
  <c r="FC17" i="1"/>
  <c r="CV22" i="1"/>
  <c r="CV58" i="1"/>
  <c r="CV59" i="1" s="1"/>
  <c r="EB22" i="1"/>
  <c r="EB58" i="1"/>
  <c r="CW21" i="1"/>
  <c r="CW9" i="1"/>
  <c r="CW30" i="1"/>
  <c r="CW38" i="1"/>
  <c r="CW19" i="1"/>
  <c r="CW33" i="1"/>
  <c r="CW17" i="1"/>
  <c r="CW25" i="1"/>
  <c r="CW10" i="1"/>
  <c r="CV18" i="1"/>
  <c r="CV52" i="1"/>
  <c r="CV53" i="1" s="1"/>
  <c r="CU18" i="1"/>
  <c r="CU52" i="1"/>
  <c r="CT70" i="1"/>
  <c r="CT53" i="1"/>
  <c r="EB18" i="1"/>
  <c r="EB52" i="1"/>
  <c r="CU22" i="1"/>
  <c r="CU58" i="1"/>
  <c r="CT71" i="1"/>
  <c r="CT56" i="1"/>
  <c r="ED203" i="2"/>
  <c r="ED202" i="2"/>
  <c r="EB68" i="3"/>
  <c r="AB67" i="80"/>
  <c r="AB69" i="80" s="1"/>
  <c r="EB55" i="2"/>
  <c r="EB53" i="2" s="1"/>
  <c r="DC126" i="3"/>
  <c r="EC118" i="2"/>
  <c r="CZ118" i="2"/>
  <c r="AA23" i="79"/>
  <c r="AA24" i="79" s="1"/>
  <c r="AA45" i="79"/>
  <c r="CY12" i="1" s="1"/>
  <c r="CY15" i="1" s="1"/>
  <c r="CV56" i="2"/>
  <c r="X46" i="79"/>
  <c r="AD58" i="80"/>
  <c r="AC66" i="80"/>
  <c r="Z50" i="79"/>
  <c r="CW56" i="2"/>
  <c r="Y46" i="79"/>
  <c r="ED76" i="3"/>
  <c r="AE28" i="80"/>
  <c r="AC9" i="79"/>
  <c r="AD30" i="80"/>
  <c r="AD41" i="80"/>
  <c r="CV68" i="3"/>
  <c r="CV55" i="2"/>
  <c r="CV53" i="2" s="1"/>
  <c r="AC43" i="80"/>
  <c r="AB4" i="79"/>
  <c r="AB19" i="79" s="1"/>
  <c r="AC42" i="80"/>
  <c r="AE6" i="79"/>
  <c r="AE8" i="79"/>
  <c r="Y31" i="79"/>
  <c r="Z62" i="80"/>
  <c r="Z61" i="80"/>
  <c r="CW55" i="2"/>
  <c r="CW68" i="3"/>
  <c r="Z27" i="79"/>
  <c r="Z37" i="79" s="1"/>
  <c r="AA68" i="80"/>
  <c r="AA69" i="80"/>
  <c r="AA60" i="80"/>
  <c r="AA73" i="80"/>
  <c r="CX7" i="1" s="1"/>
  <c r="CY140" i="2"/>
  <c r="EC140" i="2" s="1"/>
  <c r="CY142" i="2"/>
  <c r="CZ142" i="2" s="1"/>
  <c r="CX120" i="2"/>
  <c r="CU11" i="2"/>
  <c r="CU19" i="3" s="1"/>
  <c r="EB19" i="3" s="1"/>
  <c r="EB123" i="3" s="1"/>
  <c r="CU53" i="2"/>
  <c r="FB19" i="3"/>
  <c r="FB123" i="3" s="1"/>
  <c r="CS123" i="3"/>
  <c r="CT123" i="3" s="1"/>
  <c r="DZ205" i="2"/>
  <c r="DK55" i="3"/>
  <c r="DJ61" i="3"/>
  <c r="DE58" i="3"/>
  <c r="DE159" i="3"/>
  <c r="DE162" i="3" s="1"/>
  <c r="DE165" i="3" s="1"/>
  <c r="EJ159" i="3"/>
  <c r="EJ162" i="3" s="1"/>
  <c r="EJ165" i="3" s="1"/>
  <c r="EJ58" i="3"/>
  <c r="H55" i="3"/>
  <c r="H58" i="3" s="1"/>
  <c r="G61" i="3"/>
  <c r="Q61" i="3"/>
  <c r="R55" i="3"/>
  <c r="R58" i="3" s="1"/>
  <c r="BQ159" i="3"/>
  <c r="BQ162" i="3" s="1"/>
  <c r="BQ165" i="3" s="1"/>
  <c r="BP162" i="3"/>
  <c r="BP165" i="3" s="1"/>
  <c r="BS159" i="3"/>
  <c r="BS162" i="3" s="1"/>
  <c r="BR159" i="3"/>
  <c r="BR162" i="3" s="1"/>
  <c r="BR165" i="3" s="1"/>
  <c r="Y159" i="3"/>
  <c r="Y162" i="3" s="1"/>
  <c r="Y165" i="3" s="1"/>
  <c r="X162" i="3"/>
  <c r="X165" i="3" s="1"/>
  <c r="AA159" i="3"/>
  <c r="AA162" i="3" s="1"/>
  <c r="Z159" i="3"/>
  <c r="Z162" i="3" s="1"/>
  <c r="Z165" i="3" s="1"/>
  <c r="CK195" i="2"/>
  <c r="CL158" i="2"/>
  <c r="CI207" i="2"/>
  <c r="DY207" i="2" s="1"/>
  <c r="CL241" i="2"/>
  <c r="DZ241" i="2" s="1"/>
  <c r="DZ223" i="2"/>
  <c r="CC132" i="2"/>
  <c r="CU224" i="2"/>
  <c r="EB224" i="2" s="1"/>
  <c r="CT169" i="2"/>
  <c r="CT206" i="2" s="1"/>
  <c r="CT242" i="2" s="1"/>
  <c r="CU189" i="2"/>
  <c r="CO121" i="2"/>
  <c r="CN143" i="2"/>
  <c r="DY192" i="2"/>
  <c r="CJ194" i="2"/>
  <c r="CK157" i="2"/>
  <c r="CM222" i="2"/>
  <c r="DZ204" i="2"/>
  <c r="CC130" i="2"/>
  <c r="CM198" i="2"/>
  <c r="CM216" i="2" s="1"/>
  <c r="CM234" i="2" s="1"/>
  <c r="CN112" i="2"/>
  <c r="DZ112" i="2"/>
  <c r="CJ196" i="2"/>
  <c r="CK159" i="2"/>
  <c r="CJ192" i="2"/>
  <c r="CK155" i="2"/>
  <c r="CN106" i="2"/>
  <c r="DZ106" i="2"/>
  <c r="CM119" i="2"/>
  <c r="CL216" i="2"/>
  <c r="CC128" i="2"/>
  <c r="CC232" i="2"/>
  <c r="CN204" i="2"/>
  <c r="CO167" i="2"/>
  <c r="CC230" i="2"/>
  <c r="CO144" i="2"/>
  <c r="CP122" i="2"/>
  <c r="CK197" i="2"/>
  <c r="CL160" i="2"/>
  <c r="DW146" i="2"/>
  <c r="CA147" i="2"/>
  <c r="DW147" i="2" s="1"/>
  <c r="CN205" i="2"/>
  <c r="CO168" i="2"/>
  <c r="CK193" i="2"/>
  <c r="CL156" i="2"/>
  <c r="CB243" i="2"/>
  <c r="CB127" i="2"/>
  <c r="CI212" i="2"/>
  <c r="CI230" i="2" s="1"/>
  <c r="CI129" i="2" s="1"/>
  <c r="CV56" i="1" l="1"/>
  <c r="FC55" i="1"/>
  <c r="CV20" i="1"/>
  <c r="CW55" i="1"/>
  <c r="CW20" i="1"/>
  <c r="CW22" i="1"/>
  <c r="CW58" i="1"/>
  <c r="CW59" i="1" s="1"/>
  <c r="EB53" i="1"/>
  <c r="EB70" i="1"/>
  <c r="CU70" i="1"/>
  <c r="CU53" i="1"/>
  <c r="EB72" i="1"/>
  <c r="EB59" i="1"/>
  <c r="FC18" i="1"/>
  <c r="FC52" i="1"/>
  <c r="FC53" i="1" s="1"/>
  <c r="EB71" i="1"/>
  <c r="EB56" i="1"/>
  <c r="CU71" i="1"/>
  <c r="CU56" i="1"/>
  <c r="CX30" i="1"/>
  <c r="CX21" i="1"/>
  <c r="CX38" i="1"/>
  <c r="CX17" i="1"/>
  <c r="CX9" i="1"/>
  <c r="CX19" i="1"/>
  <c r="CX33" i="1"/>
  <c r="CX25" i="1"/>
  <c r="CX10" i="1"/>
  <c r="EC12" i="1"/>
  <c r="EC15" i="1" s="1"/>
  <c r="CW18" i="1"/>
  <c r="CW52" i="1"/>
  <c r="CW53" i="1" s="1"/>
  <c r="FC22" i="1"/>
  <c r="FC58" i="1"/>
  <c r="FC59" i="1" s="1"/>
  <c r="CT74" i="1"/>
  <c r="CU72" i="1"/>
  <c r="CU59" i="1"/>
  <c r="AA27" i="79"/>
  <c r="AA37" i="79" s="1"/>
  <c r="AN67" i="80"/>
  <c r="AN69" i="80" s="1"/>
  <c r="AB73" i="80"/>
  <c r="AB60" i="80"/>
  <c r="AA31" i="79" s="1"/>
  <c r="AB68" i="80"/>
  <c r="CV11" i="2"/>
  <c r="FC11" i="2" s="1"/>
  <c r="FC56" i="2"/>
  <c r="CZ140" i="2"/>
  <c r="DA118" i="2"/>
  <c r="CW27" i="2"/>
  <c r="CW12" i="2"/>
  <c r="AE58" i="80"/>
  <c r="AD66" i="80"/>
  <c r="CV12" i="2"/>
  <c r="FC12" i="2" s="1"/>
  <c r="CV27" i="2"/>
  <c r="CZ120" i="2"/>
  <c r="DA142" i="2"/>
  <c r="AB23" i="79"/>
  <c r="AB24" i="79" s="1"/>
  <c r="AB45" i="79"/>
  <c r="CZ12" i="1" s="1"/>
  <c r="AA50" i="79"/>
  <c r="CX56" i="2"/>
  <c r="Z46" i="79"/>
  <c r="AC67" i="80"/>
  <c r="AB36" i="79"/>
  <c r="FC68" i="3"/>
  <c r="FC55" i="2"/>
  <c r="FC53" i="2" s="1"/>
  <c r="AD9" i="79"/>
  <c r="AE30" i="80"/>
  <c r="AF28" i="80"/>
  <c r="AE41" i="80"/>
  <c r="AD42" i="80"/>
  <c r="AD43" i="80"/>
  <c r="AC4" i="79"/>
  <c r="AC19" i="79" s="1"/>
  <c r="CX68" i="3"/>
  <c r="CX55" i="2"/>
  <c r="Z31" i="79"/>
  <c r="AA62" i="80"/>
  <c r="AA61" i="80"/>
  <c r="CW11" i="2"/>
  <c r="CW53" i="2"/>
  <c r="CY120" i="2"/>
  <c r="EC120" i="2" s="1"/>
  <c r="EC142" i="2"/>
  <c r="CV224" i="2"/>
  <c r="CV189" i="2"/>
  <c r="EB11" i="2"/>
  <c r="EB49" i="2" s="1"/>
  <c r="CU123" i="3"/>
  <c r="DZ198" i="2"/>
  <c r="I55" i="3"/>
  <c r="I58" i="3" s="1"/>
  <c r="H61" i="3"/>
  <c r="DF55" i="3"/>
  <c r="DE61" i="3"/>
  <c r="S55" i="3"/>
  <c r="S58" i="3" s="1"/>
  <c r="R61" i="3"/>
  <c r="EK55" i="3"/>
  <c r="EJ61" i="3"/>
  <c r="AA165" i="3"/>
  <c r="AB159" i="3"/>
  <c r="BT159" i="3"/>
  <c r="BS165" i="3"/>
  <c r="DK58" i="3"/>
  <c r="DK159" i="3"/>
  <c r="DK162" i="3" s="1"/>
  <c r="DK165" i="3" s="1"/>
  <c r="CJ212" i="2"/>
  <c r="DY129" i="2"/>
  <c r="CO205" i="2"/>
  <c r="CO223" i="2" s="1"/>
  <c r="CO241" i="2" s="1"/>
  <c r="CP168" i="2"/>
  <c r="CL197" i="2"/>
  <c r="CM160" i="2"/>
  <c r="CD211" i="2"/>
  <c r="DZ119" i="2"/>
  <c r="CM124" i="2"/>
  <c r="DZ124" i="2" s="1"/>
  <c r="CJ207" i="2"/>
  <c r="EB189" i="2"/>
  <c r="CU169" i="2"/>
  <c r="CN223" i="2"/>
  <c r="CC129" i="2"/>
  <c r="CK196" i="2"/>
  <c r="CL159" i="2"/>
  <c r="CD213" i="2"/>
  <c r="CM240" i="2"/>
  <c r="DZ240" i="2" s="1"/>
  <c r="DZ222" i="2"/>
  <c r="CL195" i="2"/>
  <c r="CM158" i="2"/>
  <c r="CL193" i="2"/>
  <c r="CM156" i="2"/>
  <c r="CQ122" i="2"/>
  <c r="CP144" i="2"/>
  <c r="CO204" i="2"/>
  <c r="CO222" i="2" s="1"/>
  <c r="CO240" i="2" s="1"/>
  <c r="CP167" i="2"/>
  <c r="CC131" i="2"/>
  <c r="CN119" i="2"/>
  <c r="CN124" i="2" s="1"/>
  <c r="CO106" i="2"/>
  <c r="CK194" i="2"/>
  <c r="CL157" i="2"/>
  <c r="CC210" i="2"/>
  <c r="CB141" i="2"/>
  <c r="CB146" i="2" s="1"/>
  <c r="CB147" i="2" s="1"/>
  <c r="DW148" i="2"/>
  <c r="CN222" i="2"/>
  <c r="CL234" i="2"/>
  <c r="DZ234" i="2" s="1"/>
  <c r="DZ216" i="2"/>
  <c r="CK192" i="2"/>
  <c r="CL155" i="2"/>
  <c r="CN198" i="2"/>
  <c r="CO112" i="2"/>
  <c r="CO143" i="2"/>
  <c r="CP121" i="2"/>
  <c r="CD215" i="2"/>
  <c r="CZ15" i="1" l="1"/>
  <c r="CU74" i="1"/>
  <c r="CU80" i="1" s="1"/>
  <c r="CU81" i="1" s="1"/>
  <c r="CU82" i="1" s="1"/>
  <c r="CX55" i="1"/>
  <c r="CX56" i="1" s="1"/>
  <c r="CX20" i="1"/>
  <c r="CX22" i="1"/>
  <c r="CX58" i="1"/>
  <c r="CX59" i="1" s="1"/>
  <c r="CT80" i="1"/>
  <c r="CX18" i="1"/>
  <c r="CX52" i="1"/>
  <c r="CX53" i="1" s="1"/>
  <c r="CW56" i="1"/>
  <c r="CY7" i="1"/>
  <c r="CY55" i="2" s="1"/>
  <c r="CY11" i="2" s="1"/>
  <c r="FD12" i="1"/>
  <c r="FD15" i="1" s="1"/>
  <c r="CT84" i="1"/>
  <c r="AN73" i="80"/>
  <c r="AB62" i="80"/>
  <c r="AB61" i="80"/>
  <c r="CV19" i="3"/>
  <c r="FC19" i="3" s="1"/>
  <c r="FC123" i="3" s="1"/>
  <c r="CW20" i="3"/>
  <c r="AF58" i="80"/>
  <c r="AF66" i="80" s="1"/>
  <c r="AE66" i="80"/>
  <c r="AC23" i="79"/>
  <c r="AC24" i="79" s="1"/>
  <c r="AC45" i="79"/>
  <c r="DA12" i="1" s="1"/>
  <c r="DA15" i="1" s="1"/>
  <c r="CX27" i="2"/>
  <c r="CX12" i="2"/>
  <c r="CX20" i="3" s="1"/>
  <c r="FC49" i="2"/>
  <c r="AB27" i="79"/>
  <c r="AB37" i="79" s="1"/>
  <c r="AC60" i="80"/>
  <c r="AC69" i="80"/>
  <c r="AC73" i="80"/>
  <c r="CZ7" i="1" s="1"/>
  <c r="AC68" i="80"/>
  <c r="AA46" i="79"/>
  <c r="CY56" i="2"/>
  <c r="AB50" i="79"/>
  <c r="FC51" i="2"/>
  <c r="FC50" i="2" s="1"/>
  <c r="CW33" i="2"/>
  <c r="CW23" i="3"/>
  <c r="DA140" i="2"/>
  <c r="DB118" i="2"/>
  <c r="AC36" i="79"/>
  <c r="AD67" i="80"/>
  <c r="DB142" i="2"/>
  <c r="DA120" i="2"/>
  <c r="FC27" i="2"/>
  <c r="FC52" i="2" s="1"/>
  <c r="CV33" i="2"/>
  <c r="FC33" i="2" s="1"/>
  <c r="AE9" i="79"/>
  <c r="AF30" i="80"/>
  <c r="AF41" i="80"/>
  <c r="AO41" i="80" s="1"/>
  <c r="AO43" i="80" s="1"/>
  <c r="AO28" i="80"/>
  <c r="AO30" i="80" s="1"/>
  <c r="AD4" i="79"/>
  <c r="AD19" i="79" s="1"/>
  <c r="AE43" i="80"/>
  <c r="AE42" i="80"/>
  <c r="CW19" i="3"/>
  <c r="CX11" i="2"/>
  <c r="CX53" i="2"/>
  <c r="CW189" i="2"/>
  <c r="CV169" i="2"/>
  <c r="CV206" i="2" s="1"/>
  <c r="CW224" i="2"/>
  <c r="BU159" i="3"/>
  <c r="BU162" i="3" s="1"/>
  <c r="BU165" i="3" s="1"/>
  <c r="BT162" i="3"/>
  <c r="BT165" i="3" s="1"/>
  <c r="BV159" i="3"/>
  <c r="BV162" i="3" s="1"/>
  <c r="BV165" i="3" s="1"/>
  <c r="BW159" i="3"/>
  <c r="BW162" i="3" s="1"/>
  <c r="EK159" i="3"/>
  <c r="EK162" i="3" s="1"/>
  <c r="EK165" i="3" s="1"/>
  <c r="EK58" i="3"/>
  <c r="DF159" i="3"/>
  <c r="DF162" i="3" s="1"/>
  <c r="DF165" i="3" s="1"/>
  <c r="DF58" i="3"/>
  <c r="DF61" i="3" s="1"/>
  <c r="AD159" i="3"/>
  <c r="AD162" i="3" s="1"/>
  <c r="AD165" i="3" s="1"/>
  <c r="AB162" i="3"/>
  <c r="AB165" i="3" s="1"/>
  <c r="AC159" i="3"/>
  <c r="AC162" i="3" s="1"/>
  <c r="AC165" i="3" s="1"/>
  <c r="AE159" i="3"/>
  <c r="AE162" i="3" s="1"/>
  <c r="DL55" i="3"/>
  <c r="DK61" i="3"/>
  <c r="S61" i="3"/>
  <c r="T55" i="3"/>
  <c r="T58" i="3" s="1"/>
  <c r="I61" i="3"/>
  <c r="J55" i="3"/>
  <c r="J58" i="3" s="1"/>
  <c r="CP143" i="2"/>
  <c r="CQ121" i="2"/>
  <c r="CN216" i="2"/>
  <c r="CL194" i="2"/>
  <c r="CM157" i="2"/>
  <c r="CL196" i="2"/>
  <c r="CM159" i="2"/>
  <c r="CP205" i="2"/>
  <c r="CP223" i="2" s="1"/>
  <c r="CP241" i="2" s="1"/>
  <c r="CQ168" i="2"/>
  <c r="CL192" i="2"/>
  <c r="CM155" i="2"/>
  <c r="CD214" i="2"/>
  <c r="CM195" i="2"/>
  <c r="CN158" i="2"/>
  <c r="DZ158" i="2"/>
  <c r="CN241" i="2"/>
  <c r="CD229" i="2"/>
  <c r="CK207" i="2"/>
  <c r="CN240" i="2"/>
  <c r="CC228" i="2"/>
  <c r="CC225" i="2"/>
  <c r="CQ144" i="2"/>
  <c r="EA144" i="2" s="1"/>
  <c r="CR122" i="2"/>
  <c r="EA122" i="2"/>
  <c r="DZ195" i="2"/>
  <c r="CD231" i="2"/>
  <c r="CD212" i="2"/>
  <c r="CU206" i="2"/>
  <c r="EB169" i="2"/>
  <c r="CM197" i="2"/>
  <c r="DZ197" i="2" s="1"/>
  <c r="DZ160" i="2"/>
  <c r="CN160" i="2"/>
  <c r="CD233" i="2"/>
  <c r="CO198" i="2"/>
  <c r="CO216" i="2" s="1"/>
  <c r="CO234" i="2" s="1"/>
  <c r="CP112" i="2"/>
  <c r="CO119" i="2"/>
  <c r="CO124" i="2" s="1"/>
  <c r="CP106" i="2"/>
  <c r="CP204" i="2"/>
  <c r="CQ167" i="2"/>
  <c r="CM193" i="2"/>
  <c r="DZ193" i="2" s="1"/>
  <c r="DZ156" i="2"/>
  <c r="CN156" i="2"/>
  <c r="CJ230" i="2"/>
  <c r="CY68" i="3" l="1"/>
  <c r="CU84" i="1"/>
  <c r="CU92" i="1" s="1"/>
  <c r="EB74" i="1"/>
  <c r="EB75" i="1" s="1"/>
  <c r="CU85" i="1"/>
  <c r="CU93" i="1" s="1"/>
  <c r="CU98" i="1" s="1"/>
  <c r="CU104" i="1" s="1"/>
  <c r="CU86" i="1"/>
  <c r="CU94" i="1" s="1"/>
  <c r="EB80" i="1"/>
  <c r="EB85" i="1" s="1"/>
  <c r="EB93" i="1" s="1"/>
  <c r="EB98" i="1" s="1"/>
  <c r="CT81" i="1"/>
  <c r="CT85" i="1"/>
  <c r="CT93" i="1" s="1"/>
  <c r="CT98" i="1" s="1"/>
  <c r="CT104" i="1" s="1"/>
  <c r="EB104" i="1" s="1"/>
  <c r="CT90" i="1"/>
  <c r="CT92" i="1"/>
  <c r="CY19" i="1"/>
  <c r="CY33" i="1"/>
  <c r="CY17" i="1"/>
  <c r="CY38" i="1"/>
  <c r="CY30" i="1"/>
  <c r="CY25" i="1"/>
  <c r="CY10" i="1"/>
  <c r="CY21" i="1"/>
  <c r="CY9" i="1"/>
  <c r="EC7" i="1"/>
  <c r="FD7" i="1"/>
  <c r="CZ38" i="1"/>
  <c r="CZ10" i="1"/>
  <c r="CZ19" i="1"/>
  <c r="CZ33" i="1"/>
  <c r="CZ17" i="1"/>
  <c r="CZ30" i="1"/>
  <c r="CZ25" i="1"/>
  <c r="CZ21" i="1"/>
  <c r="CZ9" i="1"/>
  <c r="CY53" i="2"/>
  <c r="CV123" i="3"/>
  <c r="CW123" i="3" s="1"/>
  <c r="AO58" i="80"/>
  <c r="AO59" i="80" s="1"/>
  <c r="AD23" i="79"/>
  <c r="AD24" i="79" s="1"/>
  <c r="AD45" i="79"/>
  <c r="DB12" i="1" s="1"/>
  <c r="DB15" i="1" s="1"/>
  <c r="AB46" i="79"/>
  <c r="CZ56" i="2"/>
  <c r="EC56" i="2"/>
  <c r="AB31" i="79"/>
  <c r="AC62" i="80"/>
  <c r="AC61" i="80"/>
  <c r="AE67" i="80"/>
  <c r="AD36" i="79"/>
  <c r="CY27" i="2"/>
  <c r="CY12" i="2"/>
  <c r="CX23" i="3"/>
  <c r="CX33" i="2"/>
  <c r="AF67" i="80"/>
  <c r="AF73" i="80" s="1"/>
  <c r="DC7" i="1" s="1"/>
  <c r="AE36" i="79"/>
  <c r="AC27" i="79"/>
  <c r="AC37" i="79" s="1"/>
  <c r="AD68" i="80"/>
  <c r="AD60" i="80"/>
  <c r="AD69" i="80"/>
  <c r="AD73" i="80"/>
  <c r="DA7" i="1" s="1"/>
  <c r="FD56" i="2"/>
  <c r="CZ55" i="2"/>
  <c r="CZ68" i="3"/>
  <c r="AC50" i="79"/>
  <c r="DC142" i="2"/>
  <c r="DB120" i="2"/>
  <c r="DC118" i="2"/>
  <c r="DB140" i="2"/>
  <c r="AE4" i="79"/>
  <c r="AE19" i="79" s="1"/>
  <c r="AF43" i="80"/>
  <c r="AF42" i="80"/>
  <c r="EC11" i="2"/>
  <c r="CY19" i="3"/>
  <c r="CX19" i="3"/>
  <c r="CV242" i="2"/>
  <c r="CW169" i="2"/>
  <c r="CW206" i="2" s="1"/>
  <c r="CX189" i="2"/>
  <c r="CX224" i="2"/>
  <c r="AF159" i="3"/>
  <c r="AE165" i="3"/>
  <c r="J61" i="3"/>
  <c r="K55" i="3"/>
  <c r="K58" i="3" s="1"/>
  <c r="K61" i="3" s="1"/>
  <c r="EK61" i="3"/>
  <c r="EL55" i="3"/>
  <c r="U55" i="3"/>
  <c r="U58" i="3" s="1"/>
  <c r="T61" i="3"/>
  <c r="BW165" i="3"/>
  <c r="BX159" i="3"/>
  <c r="DL159" i="3"/>
  <c r="DL162" i="3" s="1"/>
  <c r="DL165" i="3" s="1"/>
  <c r="DL58" i="3"/>
  <c r="CQ106" i="2"/>
  <c r="CP119" i="2"/>
  <c r="CP124" i="2" s="1"/>
  <c r="CD230" i="2"/>
  <c r="CL207" i="2"/>
  <c r="CM196" i="2"/>
  <c r="DZ196" i="2" s="1"/>
  <c r="DZ159" i="2"/>
  <c r="CN159" i="2"/>
  <c r="CD132" i="2"/>
  <c r="CR144" i="2"/>
  <c r="CS122" i="2"/>
  <c r="CC243" i="2"/>
  <c r="CC127" i="2"/>
  <c r="CQ205" i="2"/>
  <c r="CQ223" i="2" s="1"/>
  <c r="CR168" i="2"/>
  <c r="EA168" i="2"/>
  <c r="CN234" i="2"/>
  <c r="CJ129" i="2"/>
  <c r="CQ204" i="2"/>
  <c r="CQ222" i="2" s="1"/>
  <c r="CQ240" i="2" s="1"/>
  <c r="CR167" i="2"/>
  <c r="EA167" i="2"/>
  <c r="CP198" i="2"/>
  <c r="CP216" i="2" s="1"/>
  <c r="CP234" i="2" s="1"/>
  <c r="CQ112" i="2"/>
  <c r="CN197" i="2"/>
  <c r="CO160" i="2"/>
  <c r="CU242" i="2"/>
  <c r="EB242" i="2" s="1"/>
  <c r="EB206" i="2"/>
  <c r="CD130" i="2"/>
  <c r="CD128" i="2"/>
  <c r="CD232" i="2"/>
  <c r="CM194" i="2"/>
  <c r="DZ194" i="2" s="1"/>
  <c r="DZ157" i="2"/>
  <c r="CN157" i="2"/>
  <c r="CQ143" i="2"/>
  <c r="EA143" i="2" s="1"/>
  <c r="CR121" i="2"/>
  <c r="EA121" i="2"/>
  <c r="CN193" i="2"/>
  <c r="CO156" i="2"/>
  <c r="CP222" i="2"/>
  <c r="CN195" i="2"/>
  <c r="CO158" i="2"/>
  <c r="CM192" i="2"/>
  <c r="CN155" i="2"/>
  <c r="DZ155" i="2"/>
  <c r="CU90" i="1" l="1"/>
  <c r="CU91" i="1" s="1"/>
  <c r="EB84" i="1"/>
  <c r="EB92" i="1" s="1"/>
  <c r="EB97" i="1" s="1"/>
  <c r="EB102" i="1" s="1"/>
  <c r="DA33" i="1"/>
  <c r="DA17" i="1"/>
  <c r="DA25" i="1"/>
  <c r="DA10" i="1"/>
  <c r="DA21" i="1"/>
  <c r="DA9" i="1"/>
  <c r="DA19" i="1"/>
  <c r="DA30" i="1"/>
  <c r="DA38" i="1"/>
  <c r="CZ22" i="1"/>
  <c r="CZ58" i="1"/>
  <c r="CZ59" i="1" s="1"/>
  <c r="CY55" i="1"/>
  <c r="CY20" i="1"/>
  <c r="CT82" i="1"/>
  <c r="EB81" i="1"/>
  <c r="CT86" i="1"/>
  <c r="CT94" i="1" s="1"/>
  <c r="CZ20" i="1"/>
  <c r="CZ55" i="1"/>
  <c r="CZ56" i="1" s="1"/>
  <c r="CY22" i="1"/>
  <c r="CY58" i="1"/>
  <c r="CY59" i="1" s="1"/>
  <c r="CT97" i="1"/>
  <c r="CT103" i="1"/>
  <c r="DC25" i="1"/>
  <c r="DC10" i="1"/>
  <c r="DC38" i="1"/>
  <c r="DC30" i="1"/>
  <c r="DC33" i="1"/>
  <c r="CU103" i="1"/>
  <c r="CU97" i="1"/>
  <c r="FD33" i="1"/>
  <c r="FD10" i="1"/>
  <c r="FD25" i="1"/>
  <c r="FD38" i="1"/>
  <c r="FD30" i="1"/>
  <c r="FD21" i="1"/>
  <c r="FD17" i="1"/>
  <c r="CY18" i="1"/>
  <c r="CY52" i="1"/>
  <c r="CY53" i="1" s="1"/>
  <c r="EB90" i="1"/>
  <c r="CU106" i="1"/>
  <c r="CU99" i="1"/>
  <c r="CZ18" i="1"/>
  <c r="CZ52" i="1"/>
  <c r="CZ53" i="1" s="1"/>
  <c r="EC19" i="1"/>
  <c r="EC25" i="1"/>
  <c r="EC17" i="1"/>
  <c r="EC33" i="1"/>
  <c r="EC30" i="1"/>
  <c r="EC21" i="1"/>
  <c r="EC10" i="1"/>
  <c r="EC38" i="1"/>
  <c r="EC55" i="2"/>
  <c r="EC53" i="2" s="1"/>
  <c r="EC68" i="3"/>
  <c r="AC31" i="79"/>
  <c r="AD61" i="80"/>
  <c r="AD62" i="80"/>
  <c r="CY23" i="3"/>
  <c r="EC27" i="2"/>
  <c r="CY33" i="2"/>
  <c r="CZ27" i="2"/>
  <c r="CZ12" i="2"/>
  <c r="AE45" i="79"/>
  <c r="DC12" i="1" s="1"/>
  <c r="DC15" i="1" s="1"/>
  <c r="DC19" i="1" s="1"/>
  <c r="AE23" i="79"/>
  <c r="AE24" i="79" s="1"/>
  <c r="DC140" i="2"/>
  <c r="ED140" i="2" s="1"/>
  <c r="ED118" i="2"/>
  <c r="DC120" i="2"/>
  <c r="ED120" i="2" s="1"/>
  <c r="ED142" i="2"/>
  <c r="AD50" i="79"/>
  <c r="AE68" i="80"/>
  <c r="AD27" i="79"/>
  <c r="AD37" i="79" s="1"/>
  <c r="AE60" i="80"/>
  <c r="AE69" i="80"/>
  <c r="AE73" i="80"/>
  <c r="DB7" i="1" s="1"/>
  <c r="ED7" i="1" s="1"/>
  <c r="AC46" i="79"/>
  <c r="DA56" i="2"/>
  <c r="FD55" i="2"/>
  <c r="FD53" i="2" s="1"/>
  <c r="FD68" i="3"/>
  <c r="CY20" i="3"/>
  <c r="EC12" i="2"/>
  <c r="EC51" i="2" s="1"/>
  <c r="EC50" i="2" s="1"/>
  <c r="CZ11" i="2"/>
  <c r="CZ53" i="2"/>
  <c r="DA55" i="2"/>
  <c r="DA68" i="3"/>
  <c r="AO67" i="80"/>
  <c r="AO69" i="80" s="1"/>
  <c r="AE27" i="79"/>
  <c r="AE37" i="79" s="1"/>
  <c r="AF68" i="80"/>
  <c r="AF60" i="80"/>
  <c r="AF69" i="80"/>
  <c r="DC55" i="2"/>
  <c r="DC68" i="3"/>
  <c r="EC19" i="3"/>
  <c r="EC123" i="3" s="1"/>
  <c r="CX123" i="3"/>
  <c r="CY123" i="3" s="1"/>
  <c r="CW242" i="2"/>
  <c r="CY224" i="2"/>
  <c r="CY189" i="2"/>
  <c r="CX169" i="2"/>
  <c r="CX206" i="2" s="1"/>
  <c r="CX242" i="2" s="1"/>
  <c r="EA205" i="2"/>
  <c r="EA204" i="2"/>
  <c r="V55" i="3"/>
  <c r="V58" i="3" s="1"/>
  <c r="U61" i="3"/>
  <c r="CA159" i="3"/>
  <c r="CA162" i="3" s="1"/>
  <c r="BY159" i="3"/>
  <c r="BY162" i="3" s="1"/>
  <c r="BY165" i="3" s="1"/>
  <c r="BZ159" i="3"/>
  <c r="BZ162" i="3" s="1"/>
  <c r="BZ165" i="3" s="1"/>
  <c r="BX162" i="3"/>
  <c r="BX165" i="3" s="1"/>
  <c r="EL58" i="3"/>
  <c r="EL159" i="3"/>
  <c r="EL162" i="3" s="1"/>
  <c r="EL165" i="3" s="1"/>
  <c r="DL61" i="3"/>
  <c r="DM55" i="3"/>
  <c r="AI159" i="3"/>
  <c r="AI162" i="3" s="1"/>
  <c r="AH159" i="3"/>
  <c r="AH162" i="3" s="1"/>
  <c r="AH165" i="3" s="1"/>
  <c r="AG159" i="3"/>
  <c r="AG162" i="3" s="1"/>
  <c r="AG165" i="3" s="1"/>
  <c r="AF162" i="3"/>
  <c r="AF165" i="3" s="1"/>
  <c r="CO195" i="2"/>
  <c r="CP158" i="2"/>
  <c r="CR143" i="2"/>
  <c r="CS121" i="2"/>
  <c r="CO193" i="2"/>
  <c r="CP156" i="2"/>
  <c r="CE213" i="2"/>
  <c r="CO197" i="2"/>
  <c r="CP160" i="2"/>
  <c r="CR205" i="2"/>
  <c r="CS168" i="2"/>
  <c r="CN196" i="2"/>
  <c r="CO159" i="2"/>
  <c r="CN192" i="2"/>
  <c r="CO155" i="2"/>
  <c r="CN194" i="2"/>
  <c r="CO157" i="2"/>
  <c r="CD131" i="2"/>
  <c r="CR204" i="2"/>
  <c r="CS167" i="2"/>
  <c r="CQ241" i="2"/>
  <c r="EA241" i="2" s="1"/>
  <c r="EA223" i="2"/>
  <c r="CS144" i="2"/>
  <c r="CT122" i="2"/>
  <c r="CE215" i="2"/>
  <c r="EA106" i="2"/>
  <c r="CR106" i="2"/>
  <c r="CQ119" i="2"/>
  <c r="CM207" i="2"/>
  <c r="DZ192" i="2"/>
  <c r="CE211" i="2"/>
  <c r="CQ198" i="2"/>
  <c r="CQ216" i="2" s="1"/>
  <c r="CQ234" i="2" s="1"/>
  <c r="EA234" i="2" s="1"/>
  <c r="CR112" i="2"/>
  <c r="EA112" i="2"/>
  <c r="CD210" i="2"/>
  <c r="CC141" i="2"/>
  <c r="CC146" i="2" s="1"/>
  <c r="CC147" i="2" s="1"/>
  <c r="CP240" i="2"/>
  <c r="EA240" i="2" s="1"/>
  <c r="EA222" i="2"/>
  <c r="CK212" i="2"/>
  <c r="EA198" i="2"/>
  <c r="DZ207" i="2"/>
  <c r="CD129" i="2"/>
  <c r="AO73" i="80" l="1"/>
  <c r="EC49" i="2"/>
  <c r="EB103" i="1"/>
  <c r="DC55" i="1"/>
  <c r="DC56" i="1" s="1"/>
  <c r="DC20" i="1"/>
  <c r="ED30" i="1"/>
  <c r="ED38" i="1"/>
  <c r="ED33" i="1"/>
  <c r="ED10" i="1"/>
  <c r="ED25" i="1"/>
  <c r="EC55" i="1"/>
  <c r="EC56" i="1" s="1"/>
  <c r="EC20" i="1"/>
  <c r="FD22" i="1"/>
  <c r="FD58" i="1"/>
  <c r="FD59" i="1" s="1"/>
  <c r="DC17" i="1"/>
  <c r="DC21" i="1"/>
  <c r="CT106" i="1"/>
  <c r="CT99" i="1"/>
  <c r="CT91" i="1"/>
  <c r="EB91" i="1" s="1"/>
  <c r="CY56" i="1"/>
  <c r="FD55" i="1"/>
  <c r="ED12" i="1"/>
  <c r="ED15" i="1" s="1"/>
  <c r="ED19" i="1" s="1"/>
  <c r="EB82" i="1"/>
  <c r="EB86" i="1"/>
  <c r="EB94" i="1" s="1"/>
  <c r="DA55" i="1"/>
  <c r="DA56" i="1" s="1"/>
  <c r="DA20" i="1"/>
  <c r="DB30" i="1"/>
  <c r="DB25" i="1"/>
  <c r="DB10" i="1"/>
  <c r="DB21" i="1"/>
  <c r="DB9" i="1"/>
  <c r="DB19" i="1"/>
  <c r="DB33" i="1"/>
  <c r="DB17" i="1"/>
  <c r="DB38" i="1"/>
  <c r="EC18" i="1"/>
  <c r="EC52" i="1"/>
  <c r="EC53" i="1" s="1"/>
  <c r="CU102" i="1"/>
  <c r="CU132" i="1"/>
  <c r="CU158" i="1" s="1"/>
  <c r="CU159" i="1" s="1"/>
  <c r="CT132" i="1"/>
  <c r="CT158" i="1" s="1"/>
  <c r="CT159" i="1" s="1"/>
  <c r="CT102" i="1"/>
  <c r="DA18" i="1"/>
  <c r="DA52" i="1"/>
  <c r="DA53" i="1" s="1"/>
  <c r="EC22" i="1"/>
  <c r="EC58" i="1"/>
  <c r="EC59" i="1" s="1"/>
  <c r="FD18" i="1"/>
  <c r="FD52" i="1"/>
  <c r="FD53" i="1" s="1"/>
  <c r="DC9" i="1"/>
  <c r="DA22" i="1"/>
  <c r="DA58" i="1"/>
  <c r="DA59" i="1" s="1"/>
  <c r="DB68" i="3"/>
  <c r="DB55" i="2"/>
  <c r="DB11" i="2" s="1"/>
  <c r="CZ224" i="2"/>
  <c r="CZ189" i="2"/>
  <c r="AD31" i="79"/>
  <c r="AE61" i="80"/>
  <c r="AE62" i="80"/>
  <c r="AE50" i="79"/>
  <c r="EC33" i="2"/>
  <c r="EC52" i="2"/>
  <c r="AE31" i="79"/>
  <c r="AF61" i="80"/>
  <c r="AF62" i="80"/>
  <c r="FD11" i="2"/>
  <c r="FD49" i="2" s="1"/>
  <c r="CZ19" i="3"/>
  <c r="FD12" i="2"/>
  <c r="FD51" i="2" s="1"/>
  <c r="FD50" i="2" s="1"/>
  <c r="CZ20" i="3"/>
  <c r="CZ124" i="3" s="1"/>
  <c r="FD27" i="2"/>
  <c r="FD52" i="2" s="1"/>
  <c r="CZ33" i="2"/>
  <c r="FD33" i="2" s="1"/>
  <c r="CZ23" i="3"/>
  <c r="CZ127" i="3" s="1"/>
  <c r="DB56" i="2"/>
  <c r="AD46" i="79"/>
  <c r="DA53" i="2"/>
  <c r="DA11" i="2"/>
  <c r="DA19" i="3" s="1"/>
  <c r="DA27" i="2"/>
  <c r="DA12" i="2"/>
  <c r="DA20" i="3" s="1"/>
  <c r="ED68" i="3"/>
  <c r="ED55" i="2"/>
  <c r="ED53" i="2" s="1"/>
  <c r="DC11" i="2"/>
  <c r="ED11" i="2" s="1"/>
  <c r="DC53" i="2"/>
  <c r="CY169" i="2"/>
  <c r="EC189" i="2"/>
  <c r="EC224" i="2"/>
  <c r="EA216" i="2"/>
  <c r="AJ159" i="3"/>
  <c r="AI165" i="3"/>
  <c r="EM55" i="3"/>
  <c r="EL61" i="3"/>
  <c r="CB159" i="3"/>
  <c r="CA165" i="3"/>
  <c r="DM159" i="3"/>
  <c r="DM162" i="3" s="1"/>
  <c r="DM165" i="3" s="1"/>
  <c r="DM58" i="3"/>
  <c r="W55" i="3"/>
  <c r="W58" i="3" s="1"/>
  <c r="V61" i="3"/>
  <c r="CE212" i="2"/>
  <c r="CR198" i="2"/>
  <c r="CS112" i="2"/>
  <c r="CS204" i="2"/>
  <c r="CS222" i="2" s="1"/>
  <c r="CS240" i="2" s="1"/>
  <c r="CT167" i="2"/>
  <c r="CD228" i="2"/>
  <c r="CD225" i="2"/>
  <c r="CR222" i="2"/>
  <c r="CO194" i="2"/>
  <c r="CP157" i="2"/>
  <c r="CN207" i="2"/>
  <c r="CR223" i="2"/>
  <c r="CE231" i="2"/>
  <c r="DX213" i="2"/>
  <c r="CS143" i="2"/>
  <c r="CT121" i="2"/>
  <c r="CQ124" i="2"/>
  <c r="EA124" i="2" s="1"/>
  <c r="EA119" i="2"/>
  <c r="CE233" i="2"/>
  <c r="DX215" i="2"/>
  <c r="CO196" i="2"/>
  <c r="CP159" i="2"/>
  <c r="CP197" i="2"/>
  <c r="CQ160" i="2"/>
  <c r="CP193" i="2"/>
  <c r="CQ156" i="2"/>
  <c r="CE229" i="2"/>
  <c r="DX211" i="2"/>
  <c r="CR119" i="2"/>
  <c r="CR124" i="2" s="1"/>
  <c r="CS106" i="2"/>
  <c r="CU122" i="2"/>
  <c r="CV122" i="2" s="1"/>
  <c r="CT144" i="2"/>
  <c r="CE214" i="2"/>
  <c r="CP195" i="2"/>
  <c r="CQ158" i="2"/>
  <c r="CK230" i="2"/>
  <c r="CO192" i="2"/>
  <c r="CO207" i="2" s="1"/>
  <c r="CP155" i="2"/>
  <c r="CS205" i="2"/>
  <c r="CS223" i="2" s="1"/>
  <c r="CS241" i="2" s="1"/>
  <c r="CT168" i="2"/>
  <c r="ED55" i="1" l="1"/>
  <c r="ED56" i="1" s="1"/>
  <c r="ED20" i="1"/>
  <c r="DB55" i="1"/>
  <c r="DB56" i="1" s="1"/>
  <c r="DB20" i="1"/>
  <c r="EB99" i="1"/>
  <c r="EB106" i="1"/>
  <c r="DC22" i="1"/>
  <c r="DC58" i="1"/>
  <c r="DC59" i="1" s="1"/>
  <c r="ED21" i="1"/>
  <c r="DC18" i="1"/>
  <c r="DC52" i="1"/>
  <c r="DC53" i="1" s="1"/>
  <c r="DB18" i="1"/>
  <c r="DB52" i="1"/>
  <c r="DB53" i="1" s="1"/>
  <c r="DB22" i="1"/>
  <c r="DB58" i="1"/>
  <c r="DB59" i="1" s="1"/>
  <c r="ED17" i="1"/>
  <c r="DB53" i="2"/>
  <c r="FD20" i="3"/>
  <c r="FD124" i="3" s="1"/>
  <c r="FD23" i="3"/>
  <c r="FD127" i="3" s="1"/>
  <c r="DC56" i="2"/>
  <c r="AE46" i="79"/>
  <c r="FD19" i="3"/>
  <c r="FD123" i="3" s="1"/>
  <c r="CZ123" i="3"/>
  <c r="DA123" i="3" s="1"/>
  <c r="DA124" i="3"/>
  <c r="DB12" i="2"/>
  <c r="DB27" i="2"/>
  <c r="DA189" i="2"/>
  <c r="CZ169" i="2"/>
  <c r="CZ206" i="2" s="1"/>
  <c r="DA224" i="2"/>
  <c r="DA33" i="2"/>
  <c r="DA23" i="3"/>
  <c r="DA127" i="3" s="1"/>
  <c r="ED49" i="2"/>
  <c r="DB19" i="3"/>
  <c r="DC19" i="3"/>
  <c r="CY206" i="2"/>
  <c r="EC169" i="2"/>
  <c r="CV144" i="2"/>
  <c r="CW122" i="2"/>
  <c r="EM159" i="3"/>
  <c r="EM162" i="3" s="1"/>
  <c r="EM165" i="3" s="1"/>
  <c r="EM58" i="3"/>
  <c r="DN55" i="3"/>
  <c r="DM61" i="3"/>
  <c r="X55" i="3"/>
  <c r="X58" i="3" s="1"/>
  <c r="W61" i="3"/>
  <c r="CC159" i="3"/>
  <c r="CC162" i="3" s="1"/>
  <c r="CC165" i="3" s="1"/>
  <c r="CD159" i="3"/>
  <c r="CD162" i="3" s="1"/>
  <c r="CD165" i="3" s="1"/>
  <c r="CE159" i="3"/>
  <c r="CE162" i="3" s="1"/>
  <c r="CB162" i="3"/>
  <c r="CB165" i="3" s="1"/>
  <c r="AM159" i="3"/>
  <c r="AM162" i="3" s="1"/>
  <c r="AJ162" i="3"/>
  <c r="AJ165" i="3" s="1"/>
  <c r="AK159" i="3"/>
  <c r="AK162" i="3" s="1"/>
  <c r="AK165" i="3" s="1"/>
  <c r="AL159" i="3"/>
  <c r="AL162" i="3" s="1"/>
  <c r="AL165" i="3" s="1"/>
  <c r="CT205" i="2"/>
  <c r="CU168" i="2"/>
  <c r="CV168" i="2" s="1"/>
  <c r="CU144" i="2"/>
  <c r="EB144" i="2" s="1"/>
  <c r="EB122" i="2"/>
  <c r="CT143" i="2"/>
  <c r="CU121" i="2"/>
  <c r="CV121" i="2" s="1"/>
  <c r="CK129" i="2"/>
  <c r="CS119" i="2"/>
  <c r="CS124" i="2" s="1"/>
  <c r="CT106" i="2"/>
  <c r="CQ193" i="2"/>
  <c r="EA193" i="2" s="1"/>
  <c r="CR156" i="2"/>
  <c r="EA156" i="2"/>
  <c r="CP196" i="2"/>
  <c r="CQ159" i="2"/>
  <c r="DX233" i="2"/>
  <c r="CE132" i="2"/>
  <c r="CR241" i="2"/>
  <c r="CS198" i="2"/>
  <c r="CS216" i="2" s="1"/>
  <c r="CS234" i="2" s="1"/>
  <c r="CT112" i="2"/>
  <c r="CP192" i="2"/>
  <c r="CQ155" i="2"/>
  <c r="CQ195" i="2"/>
  <c r="EA195" i="2" s="1"/>
  <c r="EA158" i="2"/>
  <c r="CR158" i="2"/>
  <c r="CE232" i="2"/>
  <c r="DX214" i="2"/>
  <c r="CD243" i="2"/>
  <c r="CD127" i="2"/>
  <c r="CR216" i="2"/>
  <c r="CQ197" i="2"/>
  <c r="EA197" i="2" s="1"/>
  <c r="CR160" i="2"/>
  <c r="EA160" i="2"/>
  <c r="DX231" i="2"/>
  <c r="CE130" i="2"/>
  <c r="CR240" i="2"/>
  <c r="CT204" i="2"/>
  <c r="CT222" i="2" s="1"/>
  <c r="CT240" i="2" s="1"/>
  <c r="CU167" i="2"/>
  <c r="CV167" i="2" s="1"/>
  <c r="DX229" i="2"/>
  <c r="CE128" i="2"/>
  <c r="CP194" i="2"/>
  <c r="CQ157" i="2"/>
  <c r="CE230" i="2"/>
  <c r="DX212" i="2"/>
  <c r="ED18" i="1" l="1"/>
  <c r="ED52" i="1"/>
  <c r="ED53" i="1" s="1"/>
  <c r="ED22" i="1"/>
  <c r="ED58" i="1"/>
  <c r="ED59" i="1" s="1"/>
  <c r="ED56" i="2"/>
  <c r="DB23" i="3"/>
  <c r="DB127" i="3" s="1"/>
  <c r="DB33" i="2"/>
  <c r="DB20" i="3"/>
  <c r="DB124" i="3" s="1"/>
  <c r="CZ242" i="2"/>
  <c r="DA169" i="2"/>
  <c r="DA206" i="2" s="1"/>
  <c r="DA242" i="2" s="1"/>
  <c r="DB224" i="2"/>
  <c r="DB189" i="2"/>
  <c r="DC27" i="2"/>
  <c r="DC12" i="2"/>
  <c r="ED12" i="2" s="1"/>
  <c r="ED19" i="3"/>
  <c r="ED123" i="3" s="1"/>
  <c r="DB123" i="3"/>
  <c r="DC123" i="3" s="1"/>
  <c r="CY242" i="2"/>
  <c r="EC242" i="2" s="1"/>
  <c r="EC206" i="2"/>
  <c r="CW167" i="2"/>
  <c r="CV204" i="2"/>
  <c r="CV143" i="2"/>
  <c r="CW121" i="2"/>
  <c r="CW168" i="2"/>
  <c r="CV205" i="2"/>
  <c r="CX122" i="2"/>
  <c r="CW144" i="2"/>
  <c r="AN159" i="3"/>
  <c r="AM165" i="3"/>
  <c r="DN159" i="3"/>
  <c r="DN162" i="3" s="1"/>
  <c r="DN165" i="3" s="1"/>
  <c r="DN58" i="3"/>
  <c r="EN55" i="3"/>
  <c r="EM61" i="3"/>
  <c r="CF159" i="3"/>
  <c r="CE165" i="3"/>
  <c r="X61" i="3"/>
  <c r="Y55" i="3"/>
  <c r="Y58" i="3" s="1"/>
  <c r="DX230" i="2"/>
  <c r="CE129" i="2"/>
  <c r="CQ194" i="2"/>
  <c r="EA194" i="2" s="1"/>
  <c r="EA157" i="2"/>
  <c r="CR157" i="2"/>
  <c r="CU204" i="2"/>
  <c r="EB167" i="2"/>
  <c r="CR234" i="2"/>
  <c r="CQ192" i="2"/>
  <c r="EA155" i="2"/>
  <c r="CR155" i="2"/>
  <c r="CF213" i="2"/>
  <c r="DX130" i="2"/>
  <c r="CE210" i="2"/>
  <c r="CD141" i="2"/>
  <c r="CD146" i="2" s="1"/>
  <c r="CD147" i="2" s="1"/>
  <c r="CR195" i="2"/>
  <c r="CS158" i="2"/>
  <c r="CP207" i="2"/>
  <c r="CQ196" i="2"/>
  <c r="EA196" i="2" s="1"/>
  <c r="EA159" i="2"/>
  <c r="CR159" i="2"/>
  <c r="CF211" i="2"/>
  <c r="DX128" i="2"/>
  <c r="CT198" i="2"/>
  <c r="CU112" i="2"/>
  <c r="CV112" i="2" s="1"/>
  <c r="CU106" i="2"/>
  <c r="CV106" i="2" s="1"/>
  <c r="CT119" i="2"/>
  <c r="CT124" i="2" s="1"/>
  <c r="CU143" i="2"/>
  <c r="EB143" i="2" s="1"/>
  <c r="EB121" i="2"/>
  <c r="CF215" i="2"/>
  <c r="DX132" i="2"/>
  <c r="CU205" i="2"/>
  <c r="CU223" i="2" s="1"/>
  <c r="CU241" i="2" s="1"/>
  <c r="EB168" i="2"/>
  <c r="CR197" i="2"/>
  <c r="CS160" i="2"/>
  <c r="DX232" i="2"/>
  <c r="CE131" i="2"/>
  <c r="CR193" i="2"/>
  <c r="CS156" i="2"/>
  <c r="CL212" i="2"/>
  <c r="CT223" i="2"/>
  <c r="ED51" i="2" l="1"/>
  <c r="ED50" i="2" s="1"/>
  <c r="DC20" i="3"/>
  <c r="ED20" i="3" s="1"/>
  <c r="ED124" i="3" s="1"/>
  <c r="EB205" i="2"/>
  <c r="DB169" i="2"/>
  <c r="DB206" i="2" s="1"/>
  <c r="DB242" i="2" s="1"/>
  <c r="DC189" i="2"/>
  <c r="DC224" i="2"/>
  <c r="DC33" i="2"/>
  <c r="ED27" i="2"/>
  <c r="DC23" i="3"/>
  <c r="ED23" i="3" s="1"/>
  <c r="ED127" i="3" s="1"/>
  <c r="CV223" i="2"/>
  <c r="CV222" i="2"/>
  <c r="CY122" i="2"/>
  <c r="CZ122" i="2" s="1"/>
  <c r="CX144" i="2"/>
  <c r="CW205" i="2"/>
  <c r="CW223" i="2" s="1"/>
  <c r="CW241" i="2" s="1"/>
  <c r="CX168" i="2"/>
  <c r="CW204" i="2"/>
  <c r="CW222" i="2" s="1"/>
  <c r="CW240" i="2" s="1"/>
  <c r="CX167" i="2"/>
  <c r="CV119" i="2"/>
  <c r="CV124" i="2" s="1"/>
  <c r="CW106" i="2"/>
  <c r="CV198" i="2"/>
  <c r="CW112" i="2"/>
  <c r="CX121" i="2"/>
  <c r="CW143" i="2"/>
  <c r="DO55" i="3"/>
  <c r="DN61" i="3"/>
  <c r="CI159" i="3"/>
  <c r="CI162" i="3" s="1"/>
  <c r="CG159" i="3"/>
  <c r="CG162" i="3" s="1"/>
  <c r="CG165" i="3" s="1"/>
  <c r="CF162" i="3"/>
  <c r="CF165" i="3" s="1"/>
  <c r="CH159" i="3"/>
  <c r="CH162" i="3" s="1"/>
  <c r="CH165" i="3" s="1"/>
  <c r="Y61" i="3"/>
  <c r="Z55" i="3"/>
  <c r="Z58" i="3" s="1"/>
  <c r="EN159" i="3"/>
  <c r="EN162" i="3" s="1"/>
  <c r="EN165" i="3" s="1"/>
  <c r="EN58" i="3"/>
  <c r="AO159" i="3"/>
  <c r="AO162" i="3" s="1"/>
  <c r="AO165" i="3" s="1"/>
  <c r="AP159" i="3"/>
  <c r="AP162" i="3" s="1"/>
  <c r="AP165" i="3" s="1"/>
  <c r="AN162" i="3"/>
  <c r="AN165" i="3" s="1"/>
  <c r="AQ159" i="3"/>
  <c r="AQ162" i="3" s="1"/>
  <c r="CT241" i="2"/>
  <c r="EB241" i="2" s="1"/>
  <c r="EB223" i="2"/>
  <c r="CF214" i="2"/>
  <c r="DX131" i="2"/>
  <c r="CF233" i="2"/>
  <c r="EB106" i="2"/>
  <c r="CU119" i="2"/>
  <c r="CT216" i="2"/>
  <c r="CF229" i="2"/>
  <c r="CR192" i="2"/>
  <c r="CS155" i="2"/>
  <c r="CL230" i="2"/>
  <c r="CS193" i="2"/>
  <c r="CT156" i="2"/>
  <c r="CS197" i="2"/>
  <c r="CT160" i="2"/>
  <c r="CF231" i="2"/>
  <c r="CQ207" i="2"/>
  <c r="EA207" i="2" s="1"/>
  <c r="EA192" i="2"/>
  <c r="CU222" i="2"/>
  <c r="EB204" i="2"/>
  <c r="CF212" i="2"/>
  <c r="DX129" i="2"/>
  <c r="CU198" i="2"/>
  <c r="CU216" i="2" s="1"/>
  <c r="CU234" i="2" s="1"/>
  <c r="EB112" i="2"/>
  <c r="CR196" i="2"/>
  <c r="CS159" i="2"/>
  <c r="CS195" i="2"/>
  <c r="CT158" i="2"/>
  <c r="CE228" i="2"/>
  <c r="CE225" i="2"/>
  <c r="DX225" i="2" s="1"/>
  <c r="DX210" i="2"/>
  <c r="CR194" i="2"/>
  <c r="CS157" i="2"/>
  <c r="DC127" i="3" l="1"/>
  <c r="DC124" i="3"/>
  <c r="ED224" i="2"/>
  <c r="ED33" i="2"/>
  <c r="ED52" i="2"/>
  <c r="CZ144" i="2"/>
  <c r="DA122" i="2"/>
  <c r="DC169" i="2"/>
  <c r="ED189" i="2"/>
  <c r="CV216" i="2"/>
  <c r="CY144" i="2"/>
  <c r="EC144" i="2" s="1"/>
  <c r="EC122" i="2"/>
  <c r="CV240" i="2"/>
  <c r="CV241" i="2"/>
  <c r="CY121" i="2"/>
  <c r="CZ121" i="2" s="1"/>
  <c r="CX143" i="2"/>
  <c r="CW198" i="2"/>
  <c r="CW216" i="2" s="1"/>
  <c r="CW234" i="2" s="1"/>
  <c r="CX112" i="2"/>
  <c r="CW119" i="2"/>
  <c r="CW124" i="2" s="1"/>
  <c r="CX106" i="2"/>
  <c r="CX204" i="2"/>
  <c r="CY167" i="2"/>
  <c r="CX205" i="2"/>
  <c r="CY168" i="2"/>
  <c r="CZ168" i="2" s="1"/>
  <c r="CI165" i="3"/>
  <c r="CJ159" i="3"/>
  <c r="AR159" i="3"/>
  <c r="AQ165" i="3"/>
  <c r="EN61" i="3"/>
  <c r="EO55" i="3"/>
  <c r="Z61" i="3"/>
  <c r="AA55" i="3"/>
  <c r="AA58" i="3" s="1"/>
  <c r="DO159" i="3"/>
  <c r="DO162" i="3" s="1"/>
  <c r="DO165" i="3" s="1"/>
  <c r="DO58" i="3"/>
  <c r="CT195" i="2"/>
  <c r="CU158" i="2"/>
  <c r="CV158" i="2" s="1"/>
  <c r="CF230" i="2"/>
  <c r="DY230" i="2" s="1"/>
  <c r="DY212" i="2"/>
  <c r="CT197" i="2"/>
  <c r="CU160" i="2"/>
  <c r="CV160" i="2" s="1"/>
  <c r="CU124" i="2"/>
  <c r="EB124" i="2" s="1"/>
  <c r="EB119" i="2"/>
  <c r="CF232" i="2"/>
  <c r="CS192" i="2"/>
  <c r="CT155" i="2"/>
  <c r="CF128" i="2"/>
  <c r="CS196" i="2"/>
  <c r="CT159" i="2"/>
  <c r="CU240" i="2"/>
  <c r="EB240" i="2" s="1"/>
  <c r="EB222" i="2"/>
  <c r="CF130" i="2"/>
  <c r="CT193" i="2"/>
  <c r="CU156" i="2"/>
  <c r="CV156" i="2" s="1"/>
  <c r="CR207" i="2"/>
  <c r="EB198" i="2"/>
  <c r="CS194" i="2"/>
  <c r="CT157" i="2"/>
  <c r="CE243" i="2"/>
  <c r="DX228" i="2"/>
  <c r="DX243" i="2" s="1"/>
  <c r="CE127" i="2"/>
  <c r="CL129" i="2"/>
  <c r="CT234" i="2"/>
  <c r="EB234" i="2" s="1"/>
  <c r="EB216" i="2"/>
  <c r="CF132" i="2"/>
  <c r="DC206" i="2" l="1"/>
  <c r="ED169" i="2"/>
  <c r="CZ143" i="2"/>
  <c r="DA121" i="2"/>
  <c r="DA168" i="2"/>
  <c r="CZ205" i="2"/>
  <c r="EC167" i="2"/>
  <c r="CZ167" i="2"/>
  <c r="DA144" i="2"/>
  <c r="DB122" i="2"/>
  <c r="CY205" i="2"/>
  <c r="CY223" i="2" s="1"/>
  <c r="CY241" i="2" s="1"/>
  <c r="EC168" i="2"/>
  <c r="CX223" i="2"/>
  <c r="CX222" i="2"/>
  <c r="CY143" i="2"/>
  <c r="EC143" i="2" s="1"/>
  <c r="EC121" i="2"/>
  <c r="CV234" i="2"/>
  <c r="CV193" i="2"/>
  <c r="CW156" i="2"/>
  <c r="CV197" i="2"/>
  <c r="CW160" i="2"/>
  <c r="CV195" i="2"/>
  <c r="CW158" i="2"/>
  <c r="CY204" i="2"/>
  <c r="CY222" i="2" s="1"/>
  <c r="CY240" i="2" s="1"/>
  <c r="CY106" i="2"/>
  <c r="CX119" i="2"/>
  <c r="CX124" i="2" s="1"/>
  <c r="CX198" i="2"/>
  <c r="CX216" i="2" s="1"/>
  <c r="CX234" i="2" s="1"/>
  <c r="CY112" i="2"/>
  <c r="CZ112" i="2" s="1"/>
  <c r="AU159" i="3"/>
  <c r="AU162" i="3" s="1"/>
  <c r="AS159" i="3"/>
  <c r="AS162" i="3" s="1"/>
  <c r="AS165" i="3" s="1"/>
  <c r="AT159" i="3"/>
  <c r="AT162" i="3" s="1"/>
  <c r="AT165" i="3" s="1"/>
  <c r="AR162" i="3"/>
  <c r="AR165" i="3" s="1"/>
  <c r="AB55" i="3"/>
  <c r="AB58" i="3" s="1"/>
  <c r="AA61" i="3"/>
  <c r="DO61" i="3"/>
  <c r="DP55" i="3"/>
  <c r="EO159" i="3"/>
  <c r="EO162" i="3" s="1"/>
  <c r="EO165" i="3" s="1"/>
  <c r="EO58" i="3"/>
  <c r="CM159" i="3"/>
  <c r="CM162" i="3" s="1"/>
  <c r="CJ162" i="3"/>
  <c r="CJ165" i="3" s="1"/>
  <c r="CL159" i="3"/>
  <c r="CL162" i="3" s="1"/>
  <c r="CL165" i="3" s="1"/>
  <c r="CK159" i="3"/>
  <c r="CK162" i="3" s="1"/>
  <c r="CK165" i="3" s="1"/>
  <c r="CT194" i="2"/>
  <c r="CU157" i="2"/>
  <c r="CV157" i="2" s="1"/>
  <c r="CF131" i="2"/>
  <c r="CU195" i="2"/>
  <c r="EB195" i="2" s="1"/>
  <c r="EB158" i="2"/>
  <c r="CF210" i="2"/>
  <c r="CE141" i="2"/>
  <c r="DX127" i="2"/>
  <c r="CU193" i="2"/>
  <c r="EB193" i="2" s="1"/>
  <c r="EB156" i="2"/>
  <c r="CT192" i="2"/>
  <c r="CU155" i="2"/>
  <c r="CV155" i="2" s="1"/>
  <c r="CU197" i="2"/>
  <c r="EB197" i="2" s="1"/>
  <c r="EB160" i="2"/>
  <c r="CG215" i="2"/>
  <c r="CM212" i="2"/>
  <c r="CS207" i="2"/>
  <c r="CG213" i="2"/>
  <c r="CT196" i="2"/>
  <c r="CU159" i="2"/>
  <c r="CV159" i="2" s="1"/>
  <c r="CG211" i="2"/>
  <c r="EC205" i="2" l="1"/>
  <c r="EC106" i="2"/>
  <c r="CZ106" i="2"/>
  <c r="DA167" i="2"/>
  <c r="CZ204" i="2"/>
  <c r="DA143" i="2"/>
  <c r="DB121" i="2"/>
  <c r="CZ198" i="2"/>
  <c r="DA112" i="2"/>
  <c r="DB144" i="2"/>
  <c r="DC122" i="2"/>
  <c r="CZ223" i="2"/>
  <c r="DA205" i="2"/>
  <c r="DA223" i="2" s="1"/>
  <c r="DA241" i="2" s="1"/>
  <c r="DB168" i="2"/>
  <c r="ED206" i="2"/>
  <c r="DC242" i="2"/>
  <c r="ED242" i="2" s="1"/>
  <c r="EC204" i="2"/>
  <c r="CY198" i="2"/>
  <c r="CY216" i="2" s="1"/>
  <c r="CY234" i="2" s="1"/>
  <c r="EC234" i="2" s="1"/>
  <c r="EC112" i="2"/>
  <c r="CX240" i="2"/>
  <c r="EC240" i="2" s="1"/>
  <c r="EC222" i="2"/>
  <c r="CX241" i="2"/>
  <c r="EC241" i="2" s="1"/>
  <c r="EC223" i="2"/>
  <c r="CV192" i="2"/>
  <c r="CW155" i="2"/>
  <c r="CV194" i="2"/>
  <c r="CW157" i="2"/>
  <c r="CV196" i="2"/>
  <c r="CW159" i="2"/>
  <c r="CY119" i="2"/>
  <c r="CX158" i="2"/>
  <c r="CW195" i="2"/>
  <c r="CX160" i="2"/>
  <c r="CW197" i="2"/>
  <c r="CX156" i="2"/>
  <c r="CW193" i="2"/>
  <c r="CN159" i="3"/>
  <c r="CQ159" i="3" s="1"/>
  <c r="CM165" i="3"/>
  <c r="EP55" i="3"/>
  <c r="EO61" i="3"/>
  <c r="DP58" i="3"/>
  <c r="DP159" i="3"/>
  <c r="DP162" i="3" s="1"/>
  <c r="DP165" i="3" s="1"/>
  <c r="AB61" i="3"/>
  <c r="AC55" i="3"/>
  <c r="AC58" i="3" s="1"/>
  <c r="AV159" i="3"/>
  <c r="AU165" i="3"/>
  <c r="CM230" i="2"/>
  <c r="DZ212" i="2"/>
  <c r="CF228" i="2"/>
  <c r="CF225" i="2"/>
  <c r="CU192" i="2"/>
  <c r="EB155" i="2"/>
  <c r="CG229" i="2"/>
  <c r="CG231" i="2"/>
  <c r="CG233" i="2"/>
  <c r="CT207" i="2"/>
  <c r="EB192" i="2"/>
  <c r="CU194" i="2"/>
  <c r="EB194" i="2" s="1"/>
  <c r="EB157" i="2"/>
  <c r="CU196" i="2"/>
  <c r="EB196" i="2" s="1"/>
  <c r="EB159" i="2"/>
  <c r="CE146" i="2"/>
  <c r="DX141" i="2"/>
  <c r="CG214" i="2"/>
  <c r="CZ216" i="2" l="1"/>
  <c r="DB167" i="2"/>
  <c r="DA204" i="2"/>
  <c r="DA222" i="2" s="1"/>
  <c r="DA240" i="2" s="1"/>
  <c r="DB205" i="2"/>
  <c r="DC168" i="2"/>
  <c r="DC121" i="2"/>
  <c r="DB143" i="2"/>
  <c r="CZ119" i="2"/>
  <c r="CZ124" i="2" s="1"/>
  <c r="DA106" i="2"/>
  <c r="CZ241" i="2"/>
  <c r="DC144" i="2"/>
  <c r="ED144" i="2" s="1"/>
  <c r="ED122" i="2"/>
  <c r="DA198" i="2"/>
  <c r="DA216" i="2" s="1"/>
  <c r="DA234" i="2" s="1"/>
  <c r="DB112" i="2"/>
  <c r="CZ222" i="2"/>
  <c r="EC198" i="2"/>
  <c r="CY124" i="2"/>
  <c r="EC124" i="2" s="1"/>
  <c r="EC119" i="2"/>
  <c r="EC216" i="2"/>
  <c r="CY156" i="2"/>
  <c r="CZ156" i="2" s="1"/>
  <c r="CX193" i="2"/>
  <c r="CY160" i="2"/>
  <c r="CZ160" i="2" s="1"/>
  <c r="CX197" i="2"/>
  <c r="CY158" i="2"/>
  <c r="CZ158" i="2" s="1"/>
  <c r="CX195" i="2"/>
  <c r="CV207" i="2"/>
  <c r="CX159" i="2"/>
  <c r="CW196" i="2"/>
  <c r="CX157" i="2"/>
  <c r="CW194" i="2"/>
  <c r="CX155" i="2"/>
  <c r="CW192" i="2"/>
  <c r="AC61" i="3"/>
  <c r="AD55" i="3"/>
  <c r="AD58" i="3" s="1"/>
  <c r="EP58" i="3"/>
  <c r="EP159" i="3"/>
  <c r="EP162" i="3" s="1"/>
  <c r="EP165" i="3" s="1"/>
  <c r="AY159" i="3"/>
  <c r="AY162" i="3" s="1"/>
  <c r="AX159" i="3"/>
  <c r="AX162" i="3" s="1"/>
  <c r="AX165" i="3" s="1"/>
  <c r="AW159" i="3"/>
  <c r="AW162" i="3" s="1"/>
  <c r="AW165" i="3" s="1"/>
  <c r="AV162" i="3"/>
  <c r="AV165" i="3" s="1"/>
  <c r="DP61" i="3"/>
  <c r="DQ55" i="3"/>
  <c r="CP159" i="3"/>
  <c r="CP162" i="3" s="1"/>
  <c r="CP165" i="3" s="1"/>
  <c r="CO159" i="3"/>
  <c r="CO162" i="3" s="1"/>
  <c r="CO165" i="3" s="1"/>
  <c r="CN162" i="3"/>
  <c r="CN165" i="3" s="1"/>
  <c r="CG232" i="2"/>
  <c r="CG132" i="2"/>
  <c r="CG128" i="2"/>
  <c r="CU207" i="2"/>
  <c r="EB207" i="2" s="1"/>
  <c r="DZ230" i="2"/>
  <c r="CM129" i="2"/>
  <c r="DX146" i="2"/>
  <c r="CE147" i="2"/>
  <c r="DX147" i="2" s="1"/>
  <c r="CG130" i="2"/>
  <c r="CF243" i="2"/>
  <c r="CF127" i="2"/>
  <c r="CW207" i="2" l="1"/>
  <c r="CZ195" i="2"/>
  <c r="DA158" i="2"/>
  <c r="DB204" i="2"/>
  <c r="DC167" i="2"/>
  <c r="DC143" i="2"/>
  <c r="ED143" i="2" s="1"/>
  <c r="ED121" i="2"/>
  <c r="DA119" i="2"/>
  <c r="DA124" i="2" s="1"/>
  <c r="DB106" i="2"/>
  <c r="CZ193" i="2"/>
  <c r="DA156" i="2"/>
  <c r="CZ240" i="2"/>
  <c r="DC112" i="2"/>
  <c r="DB198" i="2"/>
  <c r="ED168" i="2"/>
  <c r="DC205" i="2"/>
  <c r="DC223" i="2" s="1"/>
  <c r="DC241" i="2" s="1"/>
  <c r="CZ197" i="2"/>
  <c r="DA160" i="2"/>
  <c r="DB223" i="2"/>
  <c r="ED205" i="2"/>
  <c r="CZ234" i="2"/>
  <c r="CY195" i="2"/>
  <c r="EC195" i="2" s="1"/>
  <c r="EC158" i="2"/>
  <c r="CY197" i="2"/>
  <c r="EC197" i="2" s="1"/>
  <c r="EC160" i="2"/>
  <c r="CY193" i="2"/>
  <c r="EC193" i="2" s="1"/>
  <c r="EC156" i="2"/>
  <c r="CY155" i="2"/>
  <c r="CZ155" i="2" s="1"/>
  <c r="CX192" i="2"/>
  <c r="CY157" i="2"/>
  <c r="CZ157" i="2" s="1"/>
  <c r="CX194" i="2"/>
  <c r="CY159" i="2"/>
  <c r="CZ159" i="2" s="1"/>
  <c r="CX196" i="2"/>
  <c r="EQ55" i="3"/>
  <c r="EP61" i="3"/>
  <c r="DQ159" i="3"/>
  <c r="DQ162" i="3" s="1"/>
  <c r="DQ165" i="3" s="1"/>
  <c r="DQ58" i="3"/>
  <c r="AE55" i="3"/>
  <c r="AE58" i="3" s="1"/>
  <c r="AD61" i="3"/>
  <c r="AZ159" i="3"/>
  <c r="AY165" i="3"/>
  <c r="CH211" i="2"/>
  <c r="CG131" i="2"/>
  <c r="CG210" i="2"/>
  <c r="CF141" i="2"/>
  <c r="CF146" i="2" s="1"/>
  <c r="CF147" i="2" s="1"/>
  <c r="DX148" i="2"/>
  <c r="CH215" i="2"/>
  <c r="CH213" i="2"/>
  <c r="CN212" i="2"/>
  <c r="DZ129" i="2"/>
  <c r="CZ196" i="2" l="1"/>
  <c r="DA159" i="2"/>
  <c r="DB241" i="2"/>
  <c r="ED241" i="2" s="1"/>
  <c r="ED223" i="2"/>
  <c r="DB158" i="2"/>
  <c r="DA195" i="2"/>
  <c r="CZ194" i="2"/>
  <c r="DA157" i="2"/>
  <c r="DB160" i="2"/>
  <c r="DA197" i="2"/>
  <c r="DB216" i="2"/>
  <c r="DB156" i="2"/>
  <c r="DA193" i="2"/>
  <c r="DB119" i="2"/>
  <c r="DB124" i="2" s="1"/>
  <c r="DC106" i="2"/>
  <c r="DC204" i="2"/>
  <c r="DC222" i="2" s="1"/>
  <c r="DC240" i="2" s="1"/>
  <c r="ED167" i="2"/>
  <c r="DC198" i="2"/>
  <c r="DC216" i="2" s="1"/>
  <c r="DC234" i="2" s="1"/>
  <c r="ED112" i="2"/>
  <c r="DB222" i="2"/>
  <c r="ED204" i="2"/>
  <c r="CZ192" i="2"/>
  <c r="DA155" i="2"/>
  <c r="CY196" i="2"/>
  <c r="EC196" i="2" s="1"/>
  <c r="EC159" i="2"/>
  <c r="CY194" i="2"/>
  <c r="EC194" i="2" s="1"/>
  <c r="EC157" i="2"/>
  <c r="CY192" i="2"/>
  <c r="EC192" i="2" s="1"/>
  <c r="EC155" i="2"/>
  <c r="CX207" i="2"/>
  <c r="BC159" i="3"/>
  <c r="BC162" i="3" s="1"/>
  <c r="BC165" i="3" s="1"/>
  <c r="AZ162" i="3"/>
  <c r="AZ165" i="3" s="1"/>
  <c r="BB159" i="3"/>
  <c r="BB162" i="3" s="1"/>
  <c r="BB165" i="3" s="1"/>
  <c r="BA159" i="3"/>
  <c r="BA162" i="3" s="1"/>
  <c r="BA165" i="3" s="1"/>
  <c r="DQ61" i="3"/>
  <c r="DR55" i="3"/>
  <c r="AE61" i="3"/>
  <c r="AF55" i="3"/>
  <c r="AF58" i="3" s="1"/>
  <c r="EQ159" i="3"/>
  <c r="EQ162" i="3" s="1"/>
  <c r="EQ165" i="3" s="1"/>
  <c r="EQ58" i="3"/>
  <c r="CH231" i="2"/>
  <c r="CN230" i="2"/>
  <c r="CH233" i="2"/>
  <c r="CG228" i="2"/>
  <c r="CG225" i="2"/>
  <c r="CH229" i="2"/>
  <c r="CH214" i="2"/>
  <c r="CY207" i="2" l="1"/>
  <c r="ED198" i="2"/>
  <c r="DB195" i="2"/>
  <c r="DC158" i="2"/>
  <c r="DB240" i="2"/>
  <c r="ED240" i="2" s="1"/>
  <c r="ED222" i="2"/>
  <c r="DB234" i="2"/>
  <c r="ED234" i="2" s="1"/>
  <c r="ED216" i="2"/>
  <c r="DB157" i="2"/>
  <c r="DA194" i="2"/>
  <c r="DB155" i="2"/>
  <c r="DA192" i="2"/>
  <c r="CZ207" i="2"/>
  <c r="ED106" i="2"/>
  <c r="DC119" i="2"/>
  <c r="DB193" i="2"/>
  <c r="DC156" i="2"/>
  <c r="DB197" i="2"/>
  <c r="DC160" i="2"/>
  <c r="DB159" i="2"/>
  <c r="DA196" i="2"/>
  <c r="EC207" i="2"/>
  <c r="AG55" i="3"/>
  <c r="AG58" i="3" s="1"/>
  <c r="AF61" i="3"/>
  <c r="ER55" i="3"/>
  <c r="EQ61" i="3"/>
  <c r="DR159" i="3"/>
  <c r="DR162" i="3" s="1"/>
  <c r="DR58" i="3"/>
  <c r="S46" i="79"/>
  <c r="S43" i="79" s="1"/>
  <c r="S45" i="79" s="1"/>
  <c r="S50" i="79" s="1"/>
  <c r="CH232" i="2"/>
  <c r="CG243" i="2"/>
  <c r="CG127" i="2"/>
  <c r="CN129" i="2"/>
  <c r="CH128" i="2"/>
  <c r="CH132" i="2"/>
  <c r="CH130" i="2"/>
  <c r="DA207" i="2" l="1"/>
  <c r="DB196" i="2"/>
  <c r="DC159" i="2"/>
  <c r="DC197" i="2"/>
  <c r="ED160" i="2"/>
  <c r="DC124" i="2"/>
  <c r="ED124" i="2" s="1"/>
  <c r="ED119" i="2"/>
  <c r="DC195" i="2"/>
  <c r="ED195" i="2" s="1"/>
  <c r="ED158" i="2"/>
  <c r="ED197" i="2"/>
  <c r="DC193" i="2"/>
  <c r="ED193" i="2" s="1"/>
  <c r="ED156" i="2"/>
  <c r="DC155" i="2"/>
  <c r="DB192" i="2"/>
  <c r="DB194" i="2"/>
  <c r="DC157" i="2"/>
  <c r="ER58" i="3"/>
  <c r="ER159" i="3"/>
  <c r="ER162" i="3" s="1"/>
  <c r="DR61" i="3"/>
  <c r="DS55" i="3"/>
  <c r="DS58" i="3" s="1"/>
  <c r="DS159" i="3"/>
  <c r="DS162" i="3" s="1"/>
  <c r="DR165" i="3"/>
  <c r="AG61" i="3"/>
  <c r="AH55" i="3"/>
  <c r="AH58" i="3" s="1"/>
  <c r="CI215" i="2"/>
  <c r="CO212" i="2"/>
  <c r="CI213" i="2"/>
  <c r="CI211" i="2"/>
  <c r="CH210" i="2"/>
  <c r="CG141" i="2"/>
  <c r="CG146" i="2" s="1"/>
  <c r="CG147" i="2" s="1"/>
  <c r="CH131" i="2"/>
  <c r="DC196" i="2" l="1"/>
  <c r="ED196" i="2" s="1"/>
  <c r="ED159" i="2"/>
  <c r="DB207" i="2"/>
  <c r="ED155" i="2"/>
  <c r="DC192" i="2"/>
  <c r="DC194" i="2"/>
  <c r="ED194" i="2" s="1"/>
  <c r="ED157" i="2"/>
  <c r="AH61" i="3"/>
  <c r="AI55" i="3"/>
  <c r="AI58" i="3" s="1"/>
  <c r="ES159" i="3"/>
  <c r="ES162" i="3" s="1"/>
  <c r="ER165" i="3"/>
  <c r="DS61" i="3"/>
  <c r="DT55" i="3"/>
  <c r="DT58" i="3" s="1"/>
  <c r="DT159" i="3"/>
  <c r="DT162" i="3" s="1"/>
  <c r="DS165" i="3"/>
  <c r="ES55" i="3"/>
  <c r="ES58" i="3" s="1"/>
  <c r="ER61" i="3"/>
  <c r="T46" i="79"/>
  <c r="T43" i="79" s="1"/>
  <c r="T45" i="79" s="1"/>
  <c r="T50" i="79" s="1"/>
  <c r="U46" i="79"/>
  <c r="U43" i="79" s="1"/>
  <c r="U45" i="79" s="1"/>
  <c r="U50" i="79" s="1"/>
  <c r="EA56" i="2"/>
  <c r="CI214" i="2"/>
  <c r="CH228" i="2"/>
  <c r="CH225" i="2"/>
  <c r="CI231" i="2"/>
  <c r="DY213" i="2"/>
  <c r="CO230" i="2"/>
  <c r="CI229" i="2"/>
  <c r="DY211" i="2"/>
  <c r="CI233" i="2"/>
  <c r="DY215" i="2"/>
  <c r="DC207" i="2" l="1"/>
  <c r="ED207" i="2" s="1"/>
  <c r="ED192" i="2"/>
  <c r="DT165" i="3"/>
  <c r="DU159" i="3"/>
  <c r="DU162" i="3" s="1"/>
  <c r="ET159" i="3"/>
  <c r="ET162" i="3" s="1"/>
  <c r="ES165" i="3"/>
  <c r="DT61" i="3"/>
  <c r="DU55" i="3"/>
  <c r="DU58" i="3" s="1"/>
  <c r="AJ55" i="3"/>
  <c r="AJ58" i="3" s="1"/>
  <c r="AI61" i="3"/>
  <c r="ET55" i="3"/>
  <c r="ET58" i="3" s="1"/>
  <c r="ES61" i="3"/>
  <c r="V46" i="79"/>
  <c r="EA27" i="2"/>
  <c r="EA12" i="2"/>
  <c r="EA51" i="2" s="1"/>
  <c r="EA50" i="2" s="1"/>
  <c r="CS56" i="2"/>
  <c r="DY233" i="2"/>
  <c r="CI132" i="2"/>
  <c r="CO129" i="2"/>
  <c r="CH243" i="2"/>
  <c r="CH127" i="2"/>
  <c r="DY229" i="2"/>
  <c r="CI128" i="2"/>
  <c r="DY231" i="2"/>
  <c r="CI130" i="2"/>
  <c r="CI232" i="2"/>
  <c r="DY214" i="2"/>
  <c r="AJ61" i="3" l="1"/>
  <c r="AK55" i="3"/>
  <c r="AK58" i="3" s="1"/>
  <c r="ET165" i="3"/>
  <c r="EU159" i="3"/>
  <c r="EU162" i="3" s="1"/>
  <c r="DU61" i="3"/>
  <c r="DV55" i="3"/>
  <c r="DV58" i="3" s="1"/>
  <c r="DV159" i="3"/>
  <c r="DV162" i="3" s="1"/>
  <c r="DU165" i="3"/>
  <c r="ET61" i="3"/>
  <c r="EU55" i="3"/>
  <c r="EU58" i="3" s="1"/>
  <c r="FB23" i="3"/>
  <c r="FB127" i="3" s="1"/>
  <c r="FB27" i="2"/>
  <c r="EA20" i="3"/>
  <c r="EA124" i="3" s="1"/>
  <c r="FB20" i="3"/>
  <c r="FB124" i="3" s="1"/>
  <c r="W46" i="79"/>
  <c r="EA52" i="2"/>
  <c r="EA33" i="2"/>
  <c r="EA23" i="3"/>
  <c r="EA127" i="3" s="1"/>
  <c r="CT56" i="2"/>
  <c r="FB12" i="2"/>
  <c r="FB51" i="2" s="1"/>
  <c r="FB50" i="2" s="1"/>
  <c r="CJ213" i="2"/>
  <c r="DY130" i="2"/>
  <c r="CI210" i="2"/>
  <c r="CH141" i="2"/>
  <c r="CH146" i="2" s="1"/>
  <c r="CH147" i="2" s="1"/>
  <c r="CI147" i="2" s="1"/>
  <c r="DY147" i="2" s="1"/>
  <c r="CP212" i="2"/>
  <c r="CJ211" i="2"/>
  <c r="DY128" i="2"/>
  <c r="CJ215" i="2"/>
  <c r="DY132" i="2"/>
  <c r="DY232" i="2"/>
  <c r="CI131" i="2"/>
  <c r="FB33" i="2" l="1"/>
  <c r="FB52" i="2"/>
  <c r="EB56" i="2"/>
  <c r="EV159" i="3"/>
  <c r="EV162" i="3" s="1"/>
  <c r="EU165" i="3"/>
  <c r="DV165" i="3"/>
  <c r="DW159" i="3"/>
  <c r="DW162" i="3" s="1"/>
  <c r="EV55" i="3"/>
  <c r="EV58" i="3" s="1"/>
  <c r="EU61" i="3"/>
  <c r="DV61" i="3"/>
  <c r="DW55" i="3"/>
  <c r="DW58" i="3" s="1"/>
  <c r="AK61" i="3"/>
  <c r="AL55" i="3"/>
  <c r="AL58" i="3" s="1"/>
  <c r="CS23" i="3"/>
  <c r="CU56" i="2"/>
  <c r="CS20" i="3"/>
  <c r="CT27" i="2"/>
  <c r="CT12" i="2"/>
  <c r="CJ229" i="2"/>
  <c r="CJ214" i="2"/>
  <c r="DY131" i="2"/>
  <c r="CJ233" i="2"/>
  <c r="CI228" i="2"/>
  <c r="CI225" i="2"/>
  <c r="DY225" i="2" s="1"/>
  <c r="DY210" i="2"/>
  <c r="CP230" i="2"/>
  <c r="CJ231" i="2"/>
  <c r="CS127" i="3" l="1"/>
  <c r="DX55" i="3"/>
  <c r="DX58" i="3" s="1"/>
  <c r="DW61" i="3"/>
  <c r="AM55" i="3"/>
  <c r="AM58" i="3" s="1"/>
  <c r="AL61" i="3"/>
  <c r="DW165" i="3"/>
  <c r="DX159" i="3"/>
  <c r="DX162" i="3" s="1"/>
  <c r="EW55" i="3"/>
  <c r="EW58" i="3" s="1"/>
  <c r="EV61" i="3"/>
  <c r="EW159" i="3"/>
  <c r="EW162" i="3" s="1"/>
  <c r="EV165" i="3"/>
  <c r="CU12" i="2"/>
  <c r="CU27" i="2"/>
  <c r="CV23" i="3" s="1"/>
  <c r="CT23" i="3"/>
  <c r="CT33" i="2"/>
  <c r="CS124" i="3"/>
  <c r="CT20" i="3"/>
  <c r="CJ130" i="2"/>
  <c r="CI243" i="2"/>
  <c r="DY228" i="2"/>
  <c r="DY243" i="2" s="1"/>
  <c r="CI127" i="2"/>
  <c r="CP129" i="2"/>
  <c r="CJ232" i="2"/>
  <c r="CJ132" i="2"/>
  <c r="CJ128" i="2"/>
  <c r="CV127" i="3" l="1"/>
  <c r="CW127" i="3" s="1"/>
  <c r="CX127" i="3" s="1"/>
  <c r="CY127" i="3" s="1"/>
  <c r="EC23" i="3"/>
  <c r="EC127" i="3" s="1"/>
  <c r="EB12" i="2"/>
  <c r="EB51" i="2" s="1"/>
  <c r="CV20" i="3"/>
  <c r="CT127" i="3"/>
  <c r="EW61" i="3"/>
  <c r="EX55" i="3"/>
  <c r="EX58" i="3" s="1"/>
  <c r="AN55" i="3"/>
  <c r="AN58" i="3" s="1"/>
  <c r="AM61" i="3"/>
  <c r="DY159" i="3"/>
  <c r="DY162" i="3" s="1"/>
  <c r="DX165" i="3"/>
  <c r="EW165" i="3"/>
  <c r="EX159" i="3"/>
  <c r="EX162" i="3" s="1"/>
  <c r="DY55" i="3"/>
  <c r="DY58" i="3" s="1"/>
  <c r="DX61" i="3"/>
  <c r="CT124" i="3"/>
  <c r="CU23" i="3"/>
  <c r="FC23" i="3" s="1"/>
  <c r="FC127" i="3" s="1"/>
  <c r="EB27" i="2"/>
  <c r="CU33" i="2"/>
  <c r="CU20" i="3"/>
  <c r="EB20" i="3" s="1"/>
  <c r="EB124" i="3" s="1"/>
  <c r="CJ131" i="2"/>
  <c r="CK215" i="2"/>
  <c r="CQ212" i="2"/>
  <c r="CK213" i="2"/>
  <c r="CK211" i="2"/>
  <c r="CJ210" i="2"/>
  <c r="DY127" i="2"/>
  <c r="CI141" i="2"/>
  <c r="FC20" i="3" l="1"/>
  <c r="FC124" i="3" s="1"/>
  <c r="CV124" i="3"/>
  <c r="CW124" i="3" s="1"/>
  <c r="CX124" i="3" s="1"/>
  <c r="CY124" i="3" s="1"/>
  <c r="EC20" i="3"/>
  <c r="EC124" i="3" s="1"/>
  <c r="CU127" i="3"/>
  <c r="EY159" i="3"/>
  <c r="EY162" i="3" s="1"/>
  <c r="EX165" i="3"/>
  <c r="AN61" i="3"/>
  <c r="AO55" i="3"/>
  <c r="AO58" i="3" s="1"/>
  <c r="EY55" i="3"/>
  <c r="EY58" i="3" s="1"/>
  <c r="EX61" i="3"/>
  <c r="DY61" i="3"/>
  <c r="DZ55" i="3"/>
  <c r="DZ58" i="3" s="1"/>
  <c r="DY165" i="3"/>
  <c r="DZ159" i="3"/>
  <c r="DZ162" i="3" s="1"/>
  <c r="EB23" i="3"/>
  <c r="EB127" i="3" s="1"/>
  <c r="EB52" i="2"/>
  <c r="EB33" i="2"/>
  <c r="EB50" i="2"/>
  <c r="CU124" i="3"/>
  <c r="CK214" i="2"/>
  <c r="CJ228" i="2"/>
  <c r="CJ225" i="2"/>
  <c r="CK231" i="2"/>
  <c r="CK233" i="2"/>
  <c r="CI146" i="2"/>
  <c r="DY141" i="2"/>
  <c r="CK229" i="2"/>
  <c r="CQ230" i="2"/>
  <c r="EA212" i="2"/>
  <c r="EY165" i="3" l="1"/>
  <c r="EZ159" i="3"/>
  <c r="EZ162" i="3" s="1"/>
  <c r="AP55" i="3"/>
  <c r="AP58" i="3" s="1"/>
  <c r="AO61" i="3"/>
  <c r="DZ165" i="3"/>
  <c r="EA159" i="3"/>
  <c r="DZ61" i="3"/>
  <c r="EA55" i="3"/>
  <c r="EZ55" i="3"/>
  <c r="EZ58" i="3" s="1"/>
  <c r="EY61" i="3"/>
  <c r="CR112" i="3"/>
  <c r="CR132" i="3" s="1"/>
  <c r="CR161" i="3" s="1"/>
  <c r="FB8" i="3"/>
  <c r="FB112" i="3" s="1"/>
  <c r="EA8" i="3"/>
  <c r="CQ112" i="3"/>
  <c r="CQ132" i="3" s="1"/>
  <c r="CQ161" i="3" s="1"/>
  <c r="CQ162" i="3" s="1"/>
  <c r="CQ70" i="2"/>
  <c r="FB68" i="2"/>
  <c r="EA68" i="2"/>
  <c r="CQ257" i="2"/>
  <c r="CK232" i="2"/>
  <c r="CK128" i="2"/>
  <c r="CK132" i="2"/>
  <c r="CJ243" i="2"/>
  <c r="CJ127" i="2"/>
  <c r="EA230" i="2"/>
  <c r="CQ129" i="2"/>
  <c r="DY146" i="2"/>
  <c r="DY148" i="2" s="1"/>
  <c r="CI148" i="2"/>
  <c r="CK130" i="2"/>
  <c r="CQ165" i="3" l="1"/>
  <c r="CR159" i="3"/>
  <c r="CR162" i="3" s="1"/>
  <c r="CR165" i="3" s="1"/>
  <c r="FA159" i="3"/>
  <c r="FA162" i="3" s="1"/>
  <c r="EZ165" i="3"/>
  <c r="FA55" i="3"/>
  <c r="FA58" i="3" s="1"/>
  <c r="EZ61" i="3"/>
  <c r="AQ55" i="3"/>
  <c r="AQ58" i="3" s="1"/>
  <c r="AP61" i="3"/>
  <c r="CR257" i="2"/>
  <c r="CQ93" i="2"/>
  <c r="CQ94" i="2" s="1"/>
  <c r="EA41" i="2"/>
  <c r="CQ72" i="2"/>
  <c r="CQ92" i="2"/>
  <c r="CR104" i="3"/>
  <c r="EA257" i="2"/>
  <c r="EA70" i="2"/>
  <c r="EA112" i="3"/>
  <c r="CL211" i="2"/>
  <c r="CL213" i="2"/>
  <c r="CR212" i="2"/>
  <c r="EA129" i="2"/>
  <c r="CL215" i="2"/>
  <c r="CK210" i="2"/>
  <c r="CJ141" i="2"/>
  <c r="CJ146" i="2" s="1"/>
  <c r="CJ148" i="2" s="1"/>
  <c r="CK131" i="2"/>
  <c r="CR105" i="3" l="1"/>
  <c r="FA165" i="3"/>
  <c r="FB159" i="3"/>
  <c r="FB27" i="3"/>
  <c r="FB131" i="3" s="1"/>
  <c r="FB132" i="3" s="1"/>
  <c r="EA27" i="3"/>
  <c r="AR55" i="3"/>
  <c r="AR58" i="3" s="1"/>
  <c r="AQ61" i="3"/>
  <c r="FA61" i="3"/>
  <c r="FB55" i="3"/>
  <c r="FB41" i="2"/>
  <c r="CR92" i="2"/>
  <c r="CR72" i="2"/>
  <c r="CR93" i="2"/>
  <c r="CR94" i="2" s="1"/>
  <c r="EA72" i="2"/>
  <c r="EA73" i="2" s="1"/>
  <c r="CQ73" i="2"/>
  <c r="EA93" i="2"/>
  <c r="EA94" i="2" s="1"/>
  <c r="EA92" i="2"/>
  <c r="CL233" i="2"/>
  <c r="CR230" i="2"/>
  <c r="CL229" i="2"/>
  <c r="CL214" i="2"/>
  <c r="CK228" i="2"/>
  <c r="CK225" i="2"/>
  <c r="CL231" i="2"/>
  <c r="FB72" i="2" l="1"/>
  <c r="FB93" i="2"/>
  <c r="FB94" i="2" s="1"/>
  <c r="FB92" i="2"/>
  <c r="CQ104" i="3"/>
  <c r="CQ105" i="3" s="1"/>
  <c r="FB28" i="3"/>
  <c r="FB104" i="3" s="1"/>
  <c r="FB105" i="3" s="1"/>
  <c r="EA131" i="3"/>
  <c r="EA132" i="3" s="1"/>
  <c r="EA28" i="3"/>
  <c r="EA104" i="3" s="1"/>
  <c r="EA105" i="3" s="1"/>
  <c r="AS55" i="3"/>
  <c r="AS58" i="3" s="1"/>
  <c r="AR61" i="3"/>
  <c r="CK243" i="2"/>
  <c r="CK127" i="2"/>
  <c r="CL128" i="2"/>
  <c r="CL132" i="2"/>
  <c r="CL130" i="2"/>
  <c r="CL232" i="2"/>
  <c r="CR129" i="2"/>
  <c r="AT55" i="3" l="1"/>
  <c r="AT58" i="3" s="1"/>
  <c r="AS61" i="3"/>
  <c r="CS212" i="2"/>
  <c r="CM211" i="2"/>
  <c r="CM215" i="2"/>
  <c r="CL210" i="2"/>
  <c r="CK141" i="2"/>
  <c r="CK146" i="2" s="1"/>
  <c r="CK148" i="2" s="1"/>
  <c r="CL131" i="2"/>
  <c r="CM213" i="2"/>
  <c r="AT61" i="3" l="1"/>
  <c r="AU55" i="3"/>
  <c r="AU58" i="3" s="1"/>
  <c r="CM231" i="2"/>
  <c r="DZ213" i="2"/>
  <c r="CM214" i="2"/>
  <c r="CL228" i="2"/>
  <c r="CL225" i="2"/>
  <c r="CM229" i="2"/>
  <c r="DZ211" i="2"/>
  <c r="CM233" i="2"/>
  <c r="DZ215" i="2"/>
  <c r="CS230" i="2"/>
  <c r="AU61" i="3" l="1"/>
  <c r="AV55" i="3"/>
  <c r="AV58" i="3" s="1"/>
  <c r="CS129" i="2"/>
  <c r="DZ229" i="2"/>
  <c r="CM128" i="2"/>
  <c r="CM232" i="2"/>
  <c r="DZ214" i="2"/>
  <c r="DZ233" i="2"/>
  <c r="CM132" i="2"/>
  <c r="CL243" i="2"/>
  <c r="CL127" i="2"/>
  <c r="DZ231" i="2"/>
  <c r="CM130" i="2"/>
  <c r="AW55" i="3" l="1"/>
  <c r="AW58" i="3" s="1"/>
  <c r="AV61" i="3"/>
  <c r="CN213" i="2"/>
  <c r="DZ130" i="2"/>
  <c r="CT212" i="2"/>
  <c r="CM210" i="2"/>
  <c r="CL141" i="2"/>
  <c r="CL146" i="2" s="1"/>
  <c r="CL148" i="2" s="1"/>
  <c r="CN215" i="2"/>
  <c r="DZ132" i="2"/>
  <c r="CN211" i="2"/>
  <c r="DZ128" i="2"/>
  <c r="DZ232" i="2"/>
  <c r="CM131" i="2"/>
  <c r="AW61" i="3" l="1"/>
  <c r="AX55" i="3"/>
  <c r="AX58" i="3" s="1"/>
  <c r="CN233" i="2"/>
  <c r="CN214" i="2"/>
  <c r="DZ131" i="2"/>
  <c r="CN229" i="2"/>
  <c r="CT230" i="2"/>
  <c r="CN231" i="2"/>
  <c r="CM228" i="2"/>
  <c r="CM225" i="2"/>
  <c r="DZ225" i="2" s="1"/>
  <c r="DZ210" i="2"/>
  <c r="AX61" i="3" l="1"/>
  <c r="AY55" i="3"/>
  <c r="AY58" i="3" s="1"/>
  <c r="CN130" i="2"/>
  <c r="CM243" i="2"/>
  <c r="DZ243" i="2" s="1"/>
  <c r="DZ228" i="2"/>
  <c r="CM127" i="2"/>
  <c r="CT129" i="2"/>
  <c r="CN128" i="2"/>
  <c r="CN132" i="2"/>
  <c r="CN232" i="2"/>
  <c r="AZ55" i="3" l="1"/>
  <c r="AZ58" i="3" s="1"/>
  <c r="AY61" i="3"/>
  <c r="CO213" i="2"/>
  <c r="CN131" i="2"/>
  <c r="CO211" i="2"/>
  <c r="CN210" i="2"/>
  <c r="CM141" i="2"/>
  <c r="DZ127" i="2"/>
  <c r="CO215" i="2"/>
  <c r="CU212" i="2"/>
  <c r="BA55" i="3" l="1"/>
  <c r="BA58" i="3" s="1"/>
  <c r="AZ61" i="3"/>
  <c r="CO233" i="2"/>
  <c r="CU230" i="2"/>
  <c r="EB212" i="2"/>
  <c r="CO229" i="2"/>
  <c r="CO231" i="2"/>
  <c r="CM146" i="2"/>
  <c r="DZ141" i="2"/>
  <c r="CO214" i="2"/>
  <c r="CN228" i="2"/>
  <c r="CN225" i="2"/>
  <c r="BA61" i="3" l="1"/>
  <c r="BB55" i="3"/>
  <c r="BB58" i="3" s="1"/>
  <c r="CN243" i="2"/>
  <c r="CN127" i="2"/>
  <c r="CM148" i="2"/>
  <c r="DZ146" i="2"/>
  <c r="DZ148" i="2" s="1"/>
  <c r="CO128" i="2"/>
  <c r="CO132" i="2"/>
  <c r="CO232" i="2"/>
  <c r="CO130" i="2"/>
  <c r="EB230" i="2"/>
  <c r="CU129" i="2"/>
  <c r="EB129" i="2" l="1"/>
  <c r="CV212" i="2"/>
  <c r="BC55" i="3"/>
  <c r="BC58" i="3" s="1"/>
  <c r="BB61" i="3"/>
  <c r="CP213" i="2"/>
  <c r="CP215" i="2"/>
  <c r="CP211" i="2"/>
  <c r="CO210" i="2"/>
  <c r="CN141" i="2"/>
  <c r="CN146" i="2" s="1"/>
  <c r="CN148" i="2" s="1"/>
  <c r="CO131" i="2"/>
  <c r="CV230" i="2" l="1"/>
  <c r="BC61" i="3"/>
  <c r="BD55" i="3"/>
  <c r="BD58" i="3" s="1"/>
  <c r="CP214" i="2"/>
  <c r="CO228" i="2"/>
  <c r="CO225" i="2"/>
  <c r="CP231" i="2"/>
  <c r="CP229" i="2"/>
  <c r="CP233" i="2"/>
  <c r="CV129" i="2" l="1"/>
  <c r="CW212" i="2" s="1"/>
  <c r="BD61" i="3"/>
  <c r="BE55" i="3"/>
  <c r="BE58" i="3" s="1"/>
  <c r="CP128" i="2"/>
  <c r="CO243" i="2"/>
  <c r="CO127" i="2"/>
  <c r="CP132" i="2"/>
  <c r="CP130" i="2"/>
  <c r="CP232" i="2"/>
  <c r="CW230" i="2" l="1"/>
  <c r="BF55" i="3"/>
  <c r="BF58" i="3" s="1"/>
  <c r="BE61" i="3"/>
  <c r="CP210" i="2"/>
  <c r="CO141" i="2"/>
  <c r="CO146" i="2" s="1"/>
  <c r="CO148" i="2" s="1"/>
  <c r="CQ211" i="2"/>
  <c r="CQ215" i="2"/>
  <c r="CP131" i="2"/>
  <c r="CQ213" i="2"/>
  <c r="CW129" i="2" l="1"/>
  <c r="CX212" i="2" s="1"/>
  <c r="BG55" i="3"/>
  <c r="BG58" i="3" s="1"/>
  <c r="BF61" i="3"/>
  <c r="CQ214" i="2"/>
  <c r="CQ233" i="2"/>
  <c r="EA215" i="2"/>
  <c r="CP228" i="2"/>
  <c r="CP225" i="2"/>
  <c r="CQ229" i="2"/>
  <c r="EA211" i="2"/>
  <c r="CQ231" i="2"/>
  <c r="EA213" i="2"/>
  <c r="CX230" i="2" l="1"/>
  <c r="BG61" i="3"/>
  <c r="BH55" i="3"/>
  <c r="BH58" i="3" s="1"/>
  <c r="CP243" i="2"/>
  <c r="CP127" i="2"/>
  <c r="EA229" i="2"/>
  <c r="CQ128" i="2"/>
  <c r="EA233" i="2"/>
  <c r="CQ132" i="2"/>
  <c r="EA231" i="2"/>
  <c r="CQ130" i="2"/>
  <c r="CQ232" i="2"/>
  <c r="EA214" i="2"/>
  <c r="CX129" i="2" l="1"/>
  <c r="CY212" i="2" s="1"/>
  <c r="BI55" i="3"/>
  <c r="BI58" i="3" s="1"/>
  <c r="BH61" i="3"/>
  <c r="CR213" i="2"/>
  <c r="EA130" i="2"/>
  <c r="CR211" i="2"/>
  <c r="EA128" i="2"/>
  <c r="EA232" i="2"/>
  <c r="CQ131" i="2"/>
  <c r="CR215" i="2"/>
  <c r="EA132" i="2"/>
  <c r="CQ210" i="2"/>
  <c r="CP141" i="2"/>
  <c r="CP146" i="2" s="1"/>
  <c r="CP148" i="2" s="1"/>
  <c r="CY230" i="2" l="1"/>
  <c r="EC212" i="2"/>
  <c r="BJ55" i="3"/>
  <c r="BJ58" i="3" s="1"/>
  <c r="BI61" i="3"/>
  <c r="CR233" i="2"/>
  <c r="CQ228" i="2"/>
  <c r="CQ225" i="2"/>
  <c r="EA225" i="2" s="1"/>
  <c r="EA210" i="2"/>
  <c r="CR214" i="2"/>
  <c r="EA131" i="2"/>
  <c r="CR231" i="2"/>
  <c r="CR229" i="2"/>
  <c r="CY129" i="2" l="1"/>
  <c r="EC230" i="2"/>
  <c r="BK55" i="3"/>
  <c r="BK58" i="3" s="1"/>
  <c r="BJ61" i="3"/>
  <c r="CR130" i="2"/>
  <c r="CR132" i="2"/>
  <c r="CR128" i="2"/>
  <c r="CQ243" i="2"/>
  <c r="EA243" i="2" s="1"/>
  <c r="EA228" i="2"/>
  <c r="CQ127" i="2"/>
  <c r="CR232" i="2"/>
  <c r="EC129" i="2" l="1"/>
  <c r="CZ212" i="2"/>
  <c r="BL55" i="3"/>
  <c r="BL58" i="3" s="1"/>
  <c r="BK61" i="3"/>
  <c r="CR131" i="2"/>
  <c r="CS211" i="2"/>
  <c r="CS213" i="2"/>
  <c r="CR210" i="2"/>
  <c r="CQ141" i="2"/>
  <c r="EA127" i="2"/>
  <c r="CS215" i="2"/>
  <c r="CZ230" i="2" l="1"/>
  <c r="BM55" i="3"/>
  <c r="BM58" i="3" s="1"/>
  <c r="BL61" i="3"/>
  <c r="CS233" i="2"/>
  <c r="CR228" i="2"/>
  <c r="CR225" i="2"/>
  <c r="CS231" i="2"/>
  <c r="CQ146" i="2"/>
  <c r="EA141" i="2"/>
  <c r="CS214" i="2"/>
  <c r="CS229" i="2"/>
  <c r="CZ129" i="2" l="1"/>
  <c r="DA212" i="2" s="1"/>
  <c r="BN55" i="3"/>
  <c r="BN58" i="3" s="1"/>
  <c r="BM61" i="3"/>
  <c r="CS132" i="2"/>
  <c r="CS128" i="2"/>
  <c r="EA146" i="2"/>
  <c r="EA148" i="2" s="1"/>
  <c r="CQ148" i="2"/>
  <c r="CR243" i="2"/>
  <c r="CR127" i="2"/>
  <c r="CS232" i="2"/>
  <c r="CS130" i="2"/>
  <c r="DA230" i="2" l="1"/>
  <c r="EA47" i="3"/>
  <c r="BO55" i="3"/>
  <c r="BO58" i="3" s="1"/>
  <c r="BN61" i="3"/>
  <c r="CT213" i="2"/>
  <c r="CS210" i="2"/>
  <c r="CR141" i="2"/>
  <c r="CR146" i="2" s="1"/>
  <c r="CR148" i="2" s="1"/>
  <c r="CQ86" i="2"/>
  <c r="CR65" i="1" s="1"/>
  <c r="EA35" i="2"/>
  <c r="EA43" i="2" s="1"/>
  <c r="CT215" i="2"/>
  <c r="CT211" i="2"/>
  <c r="CS131" i="2"/>
  <c r="FB50" i="3" l="1"/>
  <c r="FB154" i="3" s="1"/>
  <c r="DA129" i="2"/>
  <c r="DB212" i="2" s="1"/>
  <c r="EA151" i="3"/>
  <c r="EA155" i="3" s="1"/>
  <c r="EA161" i="3" s="1"/>
  <c r="EA162" i="3" s="1"/>
  <c r="EB159" i="3" s="1"/>
  <c r="EA51" i="3"/>
  <c r="FB47" i="3"/>
  <c r="FB151" i="3" s="1"/>
  <c r="FB155" i="3" s="1"/>
  <c r="FB161" i="3" s="1"/>
  <c r="FB162" i="3" s="1"/>
  <c r="FC159" i="3" s="1"/>
  <c r="FB51" i="3"/>
  <c r="CS159" i="3"/>
  <c r="CT159" i="3"/>
  <c r="CU159" i="3"/>
  <c r="BO61" i="3"/>
  <c r="BP55" i="3"/>
  <c r="BP58" i="3" s="1"/>
  <c r="CT233" i="2"/>
  <c r="CT229" i="2"/>
  <c r="CT214" i="2"/>
  <c r="CS228" i="2"/>
  <c r="CS225" i="2"/>
  <c r="CQ98" i="2"/>
  <c r="CQ97" i="2"/>
  <c r="CR86" i="2"/>
  <c r="CS65" i="1" s="1"/>
  <c r="FB35" i="2"/>
  <c r="FB43" i="2" s="1"/>
  <c r="CT231" i="2"/>
  <c r="FB69" i="2" l="1"/>
  <c r="FB70" i="2" s="1"/>
  <c r="FB73" i="2" s="1"/>
  <c r="CR70" i="2"/>
  <c r="CR73" i="2" s="1"/>
  <c r="FB57" i="3"/>
  <c r="FB58" i="3" s="1"/>
  <c r="FC55" i="3" s="1"/>
  <c r="DB230" i="2"/>
  <c r="EA57" i="3"/>
  <c r="EA58" i="3" s="1"/>
  <c r="EB55" i="3" s="1"/>
  <c r="BQ55" i="3"/>
  <c r="BQ58" i="3" s="1"/>
  <c r="BP61" i="3"/>
  <c r="CR98" i="2"/>
  <c r="CR97" i="2"/>
  <c r="CT128" i="2"/>
  <c r="CT130" i="2"/>
  <c r="CT232" i="2"/>
  <c r="CS243" i="2"/>
  <c r="CS127" i="2"/>
  <c r="CT132" i="2"/>
  <c r="DB129" i="2" l="1"/>
  <c r="DC212" i="2" s="1"/>
  <c r="BQ61" i="3"/>
  <c r="BR55" i="3"/>
  <c r="BR58" i="3" s="1"/>
  <c r="CT210" i="2"/>
  <c r="CS141" i="2"/>
  <c r="CS146" i="2" s="1"/>
  <c r="CS148" i="2" s="1"/>
  <c r="CU215" i="2"/>
  <c r="CU213" i="2"/>
  <c r="CT131" i="2"/>
  <c r="CU211" i="2"/>
  <c r="DC230" i="2" l="1"/>
  <c r="ED212" i="2"/>
  <c r="CS86" i="2"/>
  <c r="CS47" i="3"/>
  <c r="BS55" i="3"/>
  <c r="BS58" i="3" s="1"/>
  <c r="BR61" i="3"/>
  <c r="CU229" i="2"/>
  <c r="EB211" i="2"/>
  <c r="CU214" i="2"/>
  <c r="CT228" i="2"/>
  <c r="CT225" i="2"/>
  <c r="CU233" i="2"/>
  <c r="EB215" i="2"/>
  <c r="CU231" i="2"/>
  <c r="EB213" i="2"/>
  <c r="DC129" i="2" l="1"/>
  <c r="ED129" i="2" s="1"/>
  <c r="ED230" i="2"/>
  <c r="CS151" i="3"/>
  <c r="CS154" i="3" s="1"/>
  <c r="BT55" i="3"/>
  <c r="BT58" i="3" s="1"/>
  <c r="BS61" i="3"/>
  <c r="EB233" i="2"/>
  <c r="CU132" i="2"/>
  <c r="CU232" i="2"/>
  <c r="EB214" i="2"/>
  <c r="EB231" i="2"/>
  <c r="CU130" i="2"/>
  <c r="EB229" i="2"/>
  <c r="CU128" i="2"/>
  <c r="CT243" i="2"/>
  <c r="CT127" i="2"/>
  <c r="CS50" i="3" l="1"/>
  <c r="CT154" i="3"/>
  <c r="CU154" i="3" s="1"/>
  <c r="EB128" i="2"/>
  <c r="CV211" i="2"/>
  <c r="EB130" i="2"/>
  <c r="CV213" i="2"/>
  <c r="EB132" i="2"/>
  <c r="CV215" i="2"/>
  <c r="CS155" i="3"/>
  <c r="BT61" i="3"/>
  <c r="BU55" i="3"/>
  <c r="BU58" i="3" s="1"/>
  <c r="CU210" i="2"/>
  <c r="CT141" i="2"/>
  <c r="CT146" i="2" s="1"/>
  <c r="CT148" i="2" s="1"/>
  <c r="CT35" i="2" s="1"/>
  <c r="EB232" i="2"/>
  <c r="CU131" i="2"/>
  <c r="FC50" i="3" l="1"/>
  <c r="FC154" i="3" s="1"/>
  <c r="EB50" i="3"/>
  <c r="EB154" i="3" s="1"/>
  <c r="CS51" i="3"/>
  <c r="FC51" i="3" s="1"/>
  <c r="CV233" i="2"/>
  <c r="CV231" i="2"/>
  <c r="CV229" i="2"/>
  <c r="EB131" i="2"/>
  <c r="CV214" i="2"/>
  <c r="CT86" i="2"/>
  <c r="CT47" i="3"/>
  <c r="BV55" i="3"/>
  <c r="BV58" i="3" s="1"/>
  <c r="BU61" i="3"/>
  <c r="CU228" i="2"/>
  <c r="CU225" i="2"/>
  <c r="EB225" i="2" s="1"/>
  <c r="EB210" i="2"/>
  <c r="CV232" i="2" l="1"/>
  <c r="CV128" i="2"/>
  <c r="CV130" i="2"/>
  <c r="CW213" i="2" s="1"/>
  <c r="CV132" i="2"/>
  <c r="CT51" i="3"/>
  <c r="FD51" i="3" s="1"/>
  <c r="CT151" i="3"/>
  <c r="BW55" i="3"/>
  <c r="BW58" i="3" s="1"/>
  <c r="BV61" i="3"/>
  <c r="CU243" i="2"/>
  <c r="EB243" i="2" s="1"/>
  <c r="EB228" i="2"/>
  <c r="CU127" i="2"/>
  <c r="CW215" i="2" l="1"/>
  <c r="CW231" i="2"/>
  <c r="CW211" i="2"/>
  <c r="CV131" i="2"/>
  <c r="CW214" i="2" s="1"/>
  <c r="CV210" i="2"/>
  <c r="CT155" i="3"/>
  <c r="BX55" i="3"/>
  <c r="BX58" i="3" s="1"/>
  <c r="BW61" i="3"/>
  <c r="CU141" i="2"/>
  <c r="EB127" i="2"/>
  <c r="CW229" i="2" l="1"/>
  <c r="CW233" i="2"/>
  <c r="CW232" i="2"/>
  <c r="CW130" i="2"/>
  <c r="CX213" i="2" s="1"/>
  <c r="CV228" i="2"/>
  <c r="CV225" i="2"/>
  <c r="BY55" i="3"/>
  <c r="BY58" i="3" s="1"/>
  <c r="BX61" i="3"/>
  <c r="EB141" i="2"/>
  <c r="CU146" i="2"/>
  <c r="CX231" i="2" l="1"/>
  <c r="CW131" i="2"/>
  <c r="CX214" i="2" s="1"/>
  <c r="CW132" i="2"/>
  <c r="CX215" i="2" s="1"/>
  <c r="CW128" i="2"/>
  <c r="CX211" i="2" s="1"/>
  <c r="CV243" i="2"/>
  <c r="CV127" i="2"/>
  <c r="BZ55" i="3"/>
  <c r="BZ58" i="3" s="1"/>
  <c r="BY61" i="3"/>
  <c r="CU148" i="2"/>
  <c r="CU35" i="2" s="1"/>
  <c r="CU47" i="3" s="1"/>
  <c r="EB146" i="2"/>
  <c r="EB148" i="2" s="1"/>
  <c r="CX229" i="2" l="1"/>
  <c r="CX233" i="2"/>
  <c r="CX232" i="2"/>
  <c r="CX130" i="2"/>
  <c r="CY213" i="2" s="1"/>
  <c r="CW210" i="2"/>
  <c r="CV141" i="2"/>
  <c r="CV146" i="2" s="1"/>
  <c r="CV148" i="2" s="1"/>
  <c r="CV35" i="2" s="1"/>
  <c r="FC35" i="2" s="1"/>
  <c r="CU51" i="3"/>
  <c r="EB47" i="3"/>
  <c r="CU151" i="3"/>
  <c r="CU155" i="3" s="1"/>
  <c r="CA55" i="3"/>
  <c r="CA58" i="3" s="1"/>
  <c r="BZ61" i="3"/>
  <c r="CU86" i="2"/>
  <c r="EB35" i="2"/>
  <c r="CY231" i="2" l="1"/>
  <c r="EC213" i="2"/>
  <c r="CX131" i="2"/>
  <c r="CY214" i="2" s="1"/>
  <c r="CX132" i="2"/>
  <c r="CY215" i="2" s="1"/>
  <c r="CX128" i="2"/>
  <c r="CY211" i="2" s="1"/>
  <c r="CW228" i="2"/>
  <c r="CW225" i="2"/>
  <c r="CV86" i="2"/>
  <c r="CV47" i="3"/>
  <c r="FC47" i="3" s="1"/>
  <c r="FC151" i="3" s="1"/>
  <c r="FC155" i="3" s="1"/>
  <c r="EB151" i="3"/>
  <c r="EB155" i="3" s="1"/>
  <c r="EB51" i="3"/>
  <c r="CB55" i="3"/>
  <c r="CB58" i="3" s="1"/>
  <c r="CA61" i="3"/>
  <c r="CY229" i="2" l="1"/>
  <c r="EC211" i="2"/>
  <c r="CY233" i="2"/>
  <c r="EC215" i="2"/>
  <c r="CY232" i="2"/>
  <c r="EC214" i="2"/>
  <c r="CY130" i="2"/>
  <c r="EC231" i="2"/>
  <c r="CW243" i="2"/>
  <c r="CW127" i="2"/>
  <c r="CV151" i="3"/>
  <c r="CV51" i="3"/>
  <c r="CC55" i="3"/>
  <c r="CC58" i="3" s="1"/>
  <c r="CB61" i="3"/>
  <c r="EC130" i="2" l="1"/>
  <c r="CZ213" i="2"/>
  <c r="CY131" i="2"/>
  <c r="EC232" i="2"/>
  <c r="CY132" i="2"/>
  <c r="EC233" i="2"/>
  <c r="CY128" i="2"/>
  <c r="EC229" i="2"/>
  <c r="CV155" i="3"/>
  <c r="CW141" i="2"/>
  <c r="CW146" i="2" s="1"/>
  <c r="CW148" i="2" s="1"/>
  <c r="CW35" i="2" s="1"/>
  <c r="CX210" i="2"/>
  <c r="CD55" i="3"/>
  <c r="CD58" i="3" s="1"/>
  <c r="CC61" i="3"/>
  <c r="EC131" i="2" l="1"/>
  <c r="CZ214" i="2"/>
  <c r="CZ231" i="2"/>
  <c r="EC128" i="2"/>
  <c r="CZ211" i="2"/>
  <c r="EC132" i="2"/>
  <c r="CZ215" i="2"/>
  <c r="CX228" i="2"/>
  <c r="CX225" i="2"/>
  <c r="CW86" i="2"/>
  <c r="CW47" i="3"/>
  <c r="CE55" i="3"/>
  <c r="CE58" i="3" s="1"/>
  <c r="CD61" i="3"/>
  <c r="CZ233" i="2" l="1"/>
  <c r="CZ130" i="2"/>
  <c r="DA213" i="2" s="1"/>
  <c r="CZ229" i="2"/>
  <c r="CZ232" i="2"/>
  <c r="CX243" i="2"/>
  <c r="CX127" i="2"/>
  <c r="CW51" i="3"/>
  <c r="CW151" i="3"/>
  <c r="CF55" i="3"/>
  <c r="CF58" i="3" s="1"/>
  <c r="CE61" i="3"/>
  <c r="DA231" i="2" l="1"/>
  <c r="CZ132" i="2"/>
  <c r="CZ128" i="2"/>
  <c r="CZ131" i="2"/>
  <c r="CW155" i="3"/>
  <c r="CY210" i="2"/>
  <c r="EC210" i="2" s="1"/>
  <c r="CX141" i="2"/>
  <c r="CX146" i="2" s="1"/>
  <c r="CX148" i="2" s="1"/>
  <c r="CX35" i="2" s="1"/>
  <c r="CG55" i="3"/>
  <c r="CG58" i="3" s="1"/>
  <c r="CF61" i="3"/>
  <c r="DA211" i="2" l="1"/>
  <c r="DA214" i="2"/>
  <c r="DA215" i="2"/>
  <c r="DA130" i="2"/>
  <c r="DB213" i="2" s="1"/>
  <c r="CX86" i="2"/>
  <c r="CX47" i="3"/>
  <c r="CY228" i="2"/>
  <c r="EC228" i="2" s="1"/>
  <c r="CY225" i="2"/>
  <c r="EC225" i="2" s="1"/>
  <c r="CH55" i="3"/>
  <c r="CH58" i="3" s="1"/>
  <c r="CG61" i="3"/>
  <c r="DA233" i="2" l="1"/>
  <c r="DA229" i="2"/>
  <c r="DA232" i="2"/>
  <c r="DB231" i="2"/>
  <c r="CY243" i="2"/>
  <c r="EC243" i="2" s="1"/>
  <c r="CY127" i="2"/>
  <c r="CX51" i="3"/>
  <c r="CX151" i="3"/>
  <c r="CI55" i="3"/>
  <c r="CI58" i="3" s="1"/>
  <c r="CH61" i="3"/>
  <c r="DB130" i="2" l="1"/>
  <c r="DC213" i="2" s="1"/>
  <c r="CZ210" i="2"/>
  <c r="DA131" i="2"/>
  <c r="DB214" i="2" s="1"/>
  <c r="DA128" i="2"/>
  <c r="DA132" i="2"/>
  <c r="CY141" i="2"/>
  <c r="EC127" i="2"/>
  <c r="CX155" i="3"/>
  <c r="CJ55" i="3"/>
  <c r="CJ58" i="3" s="1"/>
  <c r="CI61" i="3"/>
  <c r="CZ228" i="2" l="1"/>
  <c r="CZ225" i="2"/>
  <c r="DB215" i="2"/>
  <c r="DB232" i="2"/>
  <c r="DB211" i="2"/>
  <c r="DC231" i="2"/>
  <c r="ED213" i="2"/>
  <c r="CY146" i="2"/>
  <c r="EC141" i="2"/>
  <c r="CK55" i="3"/>
  <c r="CK58" i="3" s="1"/>
  <c r="CJ61" i="3"/>
  <c r="DC130" i="2" l="1"/>
  <c r="ED130" i="2" s="1"/>
  <c r="ED231" i="2"/>
  <c r="DB229" i="2"/>
  <c r="DB233" i="2"/>
  <c r="DB131" i="2"/>
  <c r="DC214" i="2" s="1"/>
  <c r="CZ243" i="2"/>
  <c r="CZ127" i="2"/>
  <c r="CY148" i="2"/>
  <c r="EC146" i="2"/>
  <c r="CL55" i="3"/>
  <c r="CL58" i="3" s="1"/>
  <c r="CK61" i="3"/>
  <c r="DB132" i="2" l="1"/>
  <c r="DC215" i="2" s="1"/>
  <c r="DA210" i="2"/>
  <c r="CZ141" i="2"/>
  <c r="CZ146" i="2" s="1"/>
  <c r="CZ148" i="2" s="1"/>
  <c r="CZ35" i="2" s="1"/>
  <c r="DC232" i="2"/>
  <c r="ED214" i="2"/>
  <c r="DB128" i="2"/>
  <c r="DC211" i="2" s="1"/>
  <c r="CY35" i="2"/>
  <c r="EC148" i="2"/>
  <c r="CM55" i="3"/>
  <c r="CM58" i="3" s="1"/>
  <c r="CL61" i="3"/>
  <c r="DC131" i="2" l="1"/>
  <c r="ED131" i="2" s="1"/>
  <c r="ED232" i="2"/>
  <c r="DC229" i="2"/>
  <c r="ED211" i="2"/>
  <c r="CZ86" i="2"/>
  <c r="FD35" i="2"/>
  <c r="CZ47" i="3"/>
  <c r="DA228" i="2"/>
  <c r="DA225" i="2"/>
  <c r="DC233" i="2"/>
  <c r="ED215" i="2"/>
  <c r="EC35" i="2"/>
  <c r="CY86" i="2"/>
  <c r="CY47" i="3"/>
  <c r="FD47" i="3" s="1"/>
  <c r="FD151" i="3" s="1"/>
  <c r="FD155" i="3" s="1"/>
  <c r="CN55" i="3"/>
  <c r="CN58" i="3" s="1"/>
  <c r="CM61" i="3"/>
  <c r="CQ80" i="2"/>
  <c r="CQ83" i="2" s="1"/>
  <c r="EA8" i="2"/>
  <c r="DA243" i="2" l="1"/>
  <c r="DA127" i="2"/>
  <c r="DC132" i="2"/>
  <c r="ED132" i="2" s="1"/>
  <c r="ED233" i="2"/>
  <c r="DC128" i="2"/>
  <c r="ED128" i="2" s="1"/>
  <c r="ED229" i="2"/>
  <c r="CZ151" i="3"/>
  <c r="CZ51" i="3"/>
  <c r="CY151" i="3"/>
  <c r="CY155" i="3" s="1"/>
  <c r="CY51" i="3"/>
  <c r="EC47" i="3"/>
  <c r="CO55" i="3"/>
  <c r="CO58" i="3" s="1"/>
  <c r="CN61" i="3"/>
  <c r="EA15" i="2"/>
  <c r="EA100" i="2" s="1"/>
  <c r="EA164" i="3"/>
  <c r="EA165" i="3" s="1"/>
  <c r="EA60" i="3"/>
  <c r="EA61" i="3" s="1"/>
  <c r="CQ100" i="2"/>
  <c r="CQ248" i="2"/>
  <c r="CR247" i="2"/>
  <c r="CS250" i="2" s="1"/>
  <c r="CQ88" i="2"/>
  <c r="CZ155" i="3" l="1"/>
  <c r="DA141" i="2"/>
  <c r="DA146" i="2" s="1"/>
  <c r="DA148" i="2" s="1"/>
  <c r="DA35" i="2" s="1"/>
  <c r="DB210" i="2"/>
  <c r="EC51" i="3"/>
  <c r="EC151" i="3"/>
  <c r="EC155" i="3" s="1"/>
  <c r="CP55" i="3"/>
  <c r="CP58" i="3" s="1"/>
  <c r="CQ55" i="3" s="1"/>
  <c r="CQ58" i="3" s="1"/>
  <c r="CO61" i="3"/>
  <c r="EA24" i="2"/>
  <c r="EA45" i="2" s="1"/>
  <c r="CQ99" i="2"/>
  <c r="CQ89" i="2"/>
  <c r="CQ61" i="3" l="1"/>
  <c r="CR55" i="3"/>
  <c r="CR58" i="3" s="1"/>
  <c r="CR61" i="3" s="1"/>
  <c r="DA86" i="2"/>
  <c r="DA47" i="3"/>
  <c r="DB225" i="2"/>
  <c r="DB228" i="2"/>
  <c r="EA71" i="3"/>
  <c r="CP61" i="3"/>
  <c r="DA51" i="3" l="1"/>
  <c r="DA151" i="3"/>
  <c r="DB243" i="2"/>
  <c r="DB127" i="2"/>
  <c r="CS55" i="3"/>
  <c r="DA155" i="3" l="1"/>
  <c r="DC210" i="2"/>
  <c r="DB141" i="2"/>
  <c r="DB146" i="2" s="1"/>
  <c r="DB148" i="2" s="1"/>
  <c r="DB35" i="2" s="1"/>
  <c r="DC228" i="2" l="1"/>
  <c r="DC225" i="2"/>
  <c r="ED225" i="2" s="1"/>
  <c r="ED210" i="2"/>
  <c r="DB86" i="2"/>
  <c r="DB47" i="3"/>
  <c r="DC243" i="2" l="1"/>
  <c r="ED243" i="2" s="1"/>
  <c r="ED228" i="2"/>
  <c r="DC127" i="2"/>
  <c r="DB51" i="3"/>
  <c r="DB151" i="3"/>
  <c r="DC141" i="2" l="1"/>
  <c r="ED127" i="2"/>
  <c r="DB155" i="3"/>
  <c r="DC146" i="2" l="1"/>
  <c r="ED141" i="2"/>
  <c r="DC148" i="2" l="1"/>
  <c r="ED146" i="2"/>
  <c r="DC35" i="2" l="1"/>
  <c r="ED148" i="2"/>
  <c r="DC86" i="2" l="1"/>
  <c r="ED35" i="2"/>
  <c r="DC47" i="3"/>
  <c r="DC51" i="3" l="1"/>
  <c r="ED47" i="3"/>
  <c r="DC151" i="3"/>
  <c r="DC155" i="3" s="1"/>
  <c r="ED151" i="3" l="1"/>
  <c r="ED155" i="3" s="1"/>
  <c r="ED51" i="3"/>
  <c r="CR80" i="2" l="1"/>
  <c r="CR83" i="2" s="1"/>
  <c r="FB8" i="2"/>
  <c r="FB164" i="3" s="1"/>
  <c r="FB165" i="3" s="1"/>
  <c r="FB15" i="2" l="1"/>
  <c r="FB24" i="2" s="1"/>
  <c r="FB60" i="3"/>
  <c r="FB61" i="3" s="1"/>
  <c r="CR100" i="2"/>
  <c r="CR248" i="2"/>
  <c r="CS247" i="2"/>
  <c r="CT250" i="2" s="1"/>
  <c r="CR88" i="2"/>
  <c r="FB45" i="2" l="1"/>
  <c r="FB71" i="3"/>
  <c r="FB100" i="2"/>
  <c r="CR45" i="2"/>
  <c r="CR99" i="2"/>
  <c r="CR89" i="2"/>
  <c r="FB78" i="3" l="1"/>
  <c r="CS68" i="2" l="1"/>
  <c r="CS8" i="3"/>
  <c r="CS257" i="2" l="1"/>
  <c r="CS112" i="3"/>
  <c r="CS131" i="3" s="1"/>
  <c r="CT68" i="2"/>
  <c r="CT8" i="3"/>
  <c r="CT28" i="3" s="1"/>
  <c r="CS93" i="2"/>
  <c r="CS94" i="2" s="1"/>
  <c r="CS92" i="2"/>
  <c r="CS72" i="2"/>
  <c r="CS98" i="2"/>
  <c r="CS27" i="3" l="1"/>
  <c r="CT131" i="3"/>
  <c r="CU131" i="3" s="1"/>
  <c r="CT257" i="2"/>
  <c r="CS132" i="3"/>
  <c r="CT112" i="3"/>
  <c r="CT104" i="3"/>
  <c r="CT57" i="3"/>
  <c r="CS97" i="2"/>
  <c r="EB27" i="3" l="1"/>
  <c r="FC27" i="3"/>
  <c r="FC131" i="3" s="1"/>
  <c r="CS28" i="3"/>
  <c r="CT105" i="3"/>
  <c r="CS60" i="3"/>
  <c r="CT132" i="3"/>
  <c r="FC28" i="3" l="1"/>
  <c r="FC104" i="3" s="1"/>
  <c r="FC105" i="3" s="1"/>
  <c r="CS104" i="3"/>
  <c r="FD28" i="3"/>
  <c r="FD104" i="3" s="1"/>
  <c r="FD105" i="3" s="1"/>
  <c r="EB131" i="3"/>
  <c r="CS80" i="2"/>
  <c r="CS83" i="2" s="1"/>
  <c r="CT247" i="2" s="1"/>
  <c r="CU250" i="2" s="1"/>
  <c r="CS164" i="3"/>
  <c r="CS105" i="3" l="1"/>
  <c r="CS100" i="2"/>
  <c r="CS88" i="2"/>
  <c r="CS89" i="2" s="1"/>
  <c r="CS248" i="2"/>
  <c r="CS45" i="2"/>
  <c r="CS71" i="3"/>
  <c r="CT8" i="2"/>
  <c r="CS99" i="2" l="1"/>
  <c r="CT164" i="3"/>
  <c r="CT60" i="3"/>
  <c r="CT80" i="2"/>
  <c r="CT83" i="2" s="1"/>
  <c r="CT15" i="2"/>
  <c r="CT100" i="2" l="1"/>
  <c r="CT24" i="2"/>
  <c r="CU247" i="2"/>
  <c r="CV250" i="2" s="1"/>
  <c r="CT248" i="2"/>
  <c r="CT88" i="2"/>
  <c r="CV61" i="1" l="1"/>
  <c r="CV68" i="1"/>
  <c r="FC62" i="1"/>
  <c r="FC61" i="1" s="1"/>
  <c r="CT71" i="3"/>
  <c r="CT89" i="2"/>
  <c r="FC68" i="1" l="1"/>
  <c r="FC72" i="1" s="1"/>
  <c r="FC70" i="1"/>
  <c r="CV71" i="1"/>
  <c r="CV72" i="1"/>
  <c r="CV70" i="1"/>
  <c r="CV74" i="1" l="1"/>
  <c r="CV84" i="1" s="1"/>
  <c r="FC71" i="1"/>
  <c r="CU8" i="3"/>
  <c r="CV92" i="1" l="1"/>
  <c r="CV90" i="1"/>
  <c r="FC84" i="1"/>
  <c r="CV80" i="1"/>
  <c r="FC74" i="1"/>
  <c r="CU28" i="3"/>
  <c r="EB8" i="3"/>
  <c r="CU112" i="3"/>
  <c r="CU132" i="3" s="1"/>
  <c r="CU68" i="2"/>
  <c r="FC75" i="1" l="1"/>
  <c r="FC90" i="1"/>
  <c r="FC97" i="1" s="1"/>
  <c r="FC102" i="1" s="1"/>
  <c r="CV81" i="1"/>
  <c r="FC80" i="1"/>
  <c r="CV85" i="1"/>
  <c r="CV103" i="1"/>
  <c r="CV97" i="1"/>
  <c r="FC92" i="1"/>
  <c r="EB112" i="3"/>
  <c r="EB132" i="3" s="1"/>
  <c r="EB28" i="3"/>
  <c r="EB104" i="3" s="1"/>
  <c r="EB105" i="3" s="1"/>
  <c r="CU104" i="3"/>
  <c r="CU57" i="3"/>
  <c r="EB68" i="2"/>
  <c r="CU257" i="2"/>
  <c r="CV82" i="1" l="1"/>
  <c r="FC81" i="1"/>
  <c r="FC82" i="1" s="1"/>
  <c r="CV86" i="1"/>
  <c r="CV132" i="1"/>
  <c r="CV158" i="1" s="1"/>
  <c r="CV102" i="1"/>
  <c r="CV93" i="1"/>
  <c r="CV98" i="1" s="1"/>
  <c r="FC85" i="1"/>
  <c r="FC93" i="1" s="1"/>
  <c r="CU105" i="3"/>
  <c r="CV68" i="2"/>
  <c r="CV8" i="3"/>
  <c r="FC8" i="3" s="1"/>
  <c r="FC112" i="3" s="1"/>
  <c r="FC132" i="3" s="1"/>
  <c r="EB257" i="2"/>
  <c r="CU8" i="2"/>
  <c r="CV104" i="1" l="1"/>
  <c r="FC98" i="1"/>
  <c r="FC104" i="1" s="1"/>
  <c r="CV159" i="1"/>
  <c r="CV94" i="1"/>
  <c r="FC86" i="1"/>
  <c r="FC94" i="1" s="1"/>
  <c r="FC106" i="1" s="1"/>
  <c r="FC68" i="2"/>
  <c r="CV112" i="3"/>
  <c r="CV28" i="3"/>
  <c r="CV257" i="2"/>
  <c r="CU164" i="3"/>
  <c r="CU60" i="3"/>
  <c r="CU80" i="2"/>
  <c r="CU83" i="2" s="1"/>
  <c r="CV247" i="2" s="1"/>
  <c r="CW250" i="2" s="1"/>
  <c r="CU15" i="2"/>
  <c r="EB8" i="2"/>
  <c r="CW68" i="1" l="1"/>
  <c r="CW61" i="1"/>
  <c r="CV106" i="1"/>
  <c r="CV99" i="1"/>
  <c r="FC99" i="1" s="1"/>
  <c r="CV91" i="1"/>
  <c r="CV132" i="3"/>
  <c r="CV161" i="3" s="1"/>
  <c r="CV104" i="3"/>
  <c r="CV57" i="3"/>
  <c r="EB164" i="3"/>
  <c r="EB60" i="3"/>
  <c r="EB15" i="2"/>
  <c r="CU100" i="2"/>
  <c r="CU24" i="2"/>
  <c r="CU248" i="2"/>
  <c r="CU88" i="2"/>
  <c r="FC91" i="1" l="1"/>
  <c r="CW70" i="1"/>
  <c r="CW71" i="1"/>
  <c r="CW72" i="1"/>
  <c r="CV105" i="3"/>
  <c r="CV8" i="2"/>
  <c r="FC8" i="2" s="1"/>
  <c r="CU71" i="3"/>
  <c r="EB100" i="2"/>
  <c r="EB24" i="2"/>
  <c r="CU89" i="2"/>
  <c r="CW74" i="1" l="1"/>
  <c r="CW84" i="1" s="1"/>
  <c r="FC164" i="3"/>
  <c r="FC60" i="3"/>
  <c r="FC15" i="2"/>
  <c r="CV164" i="3"/>
  <c r="CV15" i="2"/>
  <c r="CV60" i="3"/>
  <c r="CV80" i="2"/>
  <c r="CV83" i="2" s="1"/>
  <c r="EB71" i="3"/>
  <c r="CW80" i="1" l="1"/>
  <c r="CW92" i="1"/>
  <c r="CW90" i="1"/>
  <c r="FC24" i="2"/>
  <c r="FC100" i="2"/>
  <c r="CW247" i="2"/>
  <c r="CX250" i="2" s="1"/>
  <c r="CV248" i="2"/>
  <c r="CV88" i="2"/>
  <c r="CV100" i="2"/>
  <c r="CV24" i="2"/>
  <c r="CW103" i="1" l="1"/>
  <c r="CW97" i="1"/>
  <c r="CX68" i="1"/>
  <c r="CX61" i="1"/>
  <c r="CW81" i="1"/>
  <c r="CW85" i="1"/>
  <c r="FC78" i="3"/>
  <c r="FC71" i="3"/>
  <c r="CV71" i="3"/>
  <c r="CV89" i="2"/>
  <c r="CW93" i="1" l="1"/>
  <c r="CW98" i="1" s="1"/>
  <c r="CX70" i="1"/>
  <c r="CW82" i="1"/>
  <c r="CW86" i="1"/>
  <c r="CX71" i="1"/>
  <c r="CX72" i="1"/>
  <c r="CW132" i="1"/>
  <c r="CW158" i="1" s="1"/>
  <c r="CW102" i="1"/>
  <c r="CW68" i="2"/>
  <c r="CW8" i="3"/>
  <c r="CW159" i="1" l="1"/>
  <c r="CX74" i="1"/>
  <c r="CX84" i="1" s="1"/>
  <c r="CW94" i="1"/>
  <c r="CW104" i="1"/>
  <c r="CW28" i="3"/>
  <c r="CW112" i="3"/>
  <c r="CW132" i="3" s="1"/>
  <c r="CW161" i="3" s="1"/>
  <c r="CW257" i="2"/>
  <c r="CX80" i="1" l="1"/>
  <c r="CX92" i="1"/>
  <c r="CX90" i="1"/>
  <c r="CW106" i="1"/>
  <c r="CW99" i="1"/>
  <c r="CW91" i="1"/>
  <c r="CW104" i="3"/>
  <c r="CW105" i="3" s="1"/>
  <c r="CW57" i="3"/>
  <c r="CX81" i="1" l="1"/>
  <c r="CX85" i="1"/>
  <c r="CX103" i="1"/>
  <c r="CX97" i="1"/>
  <c r="CX8" i="3"/>
  <c r="CW8" i="2"/>
  <c r="CX132" i="1" l="1"/>
  <c r="CX158" i="1" s="1"/>
  <c r="CX102" i="1"/>
  <c r="CX82" i="1"/>
  <c r="CX86" i="1"/>
  <c r="CX93" i="1"/>
  <c r="CX98" i="1" s="1"/>
  <c r="CX68" i="2"/>
  <c r="CX28" i="3"/>
  <c r="CX112" i="3"/>
  <c r="CX132" i="3" s="1"/>
  <c r="CX161" i="3" s="1"/>
  <c r="CW60" i="3"/>
  <c r="CW80" i="2"/>
  <c r="CW83" i="2" s="1"/>
  <c r="CW164" i="3"/>
  <c r="CW15" i="2"/>
  <c r="CX104" i="1" l="1"/>
  <c r="CX94" i="1"/>
  <c r="CX159" i="1"/>
  <c r="CX257" i="2"/>
  <c r="CX104" i="3"/>
  <c r="CX105" i="3" s="1"/>
  <c r="CX57" i="3"/>
  <c r="CW100" i="2"/>
  <c r="CW24" i="2"/>
  <c r="CW248" i="2"/>
  <c r="CX247" i="2"/>
  <c r="CY250" i="2" s="1"/>
  <c r="CW88" i="2"/>
  <c r="CY68" i="1" l="1"/>
  <c r="CY61" i="1"/>
  <c r="EC62" i="1"/>
  <c r="CX106" i="1"/>
  <c r="CX99" i="1"/>
  <c r="CX91" i="1"/>
  <c r="CX8" i="2"/>
  <c r="CW71" i="3"/>
  <c r="CW89" i="2"/>
  <c r="CY70" i="1" l="1"/>
  <c r="EC61" i="1"/>
  <c r="EC70" i="1" s="1"/>
  <c r="CY71" i="1"/>
  <c r="CY72" i="1"/>
  <c r="EC68" i="1"/>
  <c r="CX60" i="3"/>
  <c r="CX80" i="2"/>
  <c r="CX83" i="2" s="1"/>
  <c r="CX164" i="3"/>
  <c r="CX15" i="2"/>
  <c r="EC71" i="1" l="1"/>
  <c r="EC72" i="1"/>
  <c r="CY74" i="1"/>
  <c r="CX24" i="2"/>
  <c r="CX100" i="2"/>
  <c r="CX248" i="2"/>
  <c r="CX88" i="2"/>
  <c r="CY247" i="2"/>
  <c r="CZ250" i="2" s="1"/>
  <c r="CZ68" i="1" l="1"/>
  <c r="CZ61" i="1"/>
  <c r="FD62" i="1"/>
  <c r="FD61" i="1" s="1"/>
  <c r="CY80" i="1"/>
  <c r="EC74" i="1"/>
  <c r="CY84" i="1"/>
  <c r="CX89" i="2"/>
  <c r="CX71" i="3"/>
  <c r="CY81" i="1" l="1"/>
  <c r="EC80" i="1"/>
  <c r="EC85" i="1" s="1"/>
  <c r="EC93" i="1" s="1"/>
  <c r="EC98" i="1" s="1"/>
  <c r="CY85" i="1"/>
  <c r="FD68" i="1"/>
  <c r="FD72" i="1" s="1"/>
  <c r="FD70" i="1"/>
  <c r="CZ71" i="1"/>
  <c r="CZ72" i="1"/>
  <c r="CY92" i="1"/>
  <c r="CY90" i="1"/>
  <c r="EC90" i="1" s="1"/>
  <c r="EC75" i="1"/>
  <c r="EC84" i="1"/>
  <c r="EC92" i="1" s="1"/>
  <c r="EC97" i="1" s="1"/>
  <c r="EC102" i="1" s="1"/>
  <c r="CZ70" i="1"/>
  <c r="CY68" i="2" l="1"/>
  <c r="EC68" i="2" s="1"/>
  <c r="CY8" i="3"/>
  <c r="CY28" i="3" s="1"/>
  <c r="CY103" i="1"/>
  <c r="EC103" i="1" s="1"/>
  <c r="CY97" i="1"/>
  <c r="FD71" i="1"/>
  <c r="CY93" i="1"/>
  <c r="CY98" i="1" s="1"/>
  <c r="CZ74" i="1"/>
  <c r="CY82" i="1"/>
  <c r="EC81" i="1"/>
  <c r="CY86" i="1"/>
  <c r="EC8" i="3"/>
  <c r="EC112" i="3" s="1"/>
  <c r="EC132" i="3" s="1"/>
  <c r="EC161" i="3" s="1"/>
  <c r="CY112" i="3" l="1"/>
  <c r="CY132" i="3" s="1"/>
  <c r="CY161" i="3" s="1"/>
  <c r="CY257" i="2"/>
  <c r="CY104" i="1"/>
  <c r="EC104" i="1" s="1"/>
  <c r="CY94" i="1"/>
  <c r="EC82" i="1"/>
  <c r="EC86" i="1"/>
  <c r="EC94" i="1" s="1"/>
  <c r="CZ80" i="1"/>
  <c r="FD74" i="1"/>
  <c r="CY132" i="1"/>
  <c r="CY158" i="1" s="1"/>
  <c r="CY159" i="1" s="1"/>
  <c r="CY102" i="1"/>
  <c r="CZ84" i="1"/>
  <c r="EC28" i="3"/>
  <c r="EC104" i="3" s="1"/>
  <c r="EC105" i="3" s="1"/>
  <c r="EC257" i="2"/>
  <c r="CY104" i="3"/>
  <c r="CY105" i="3" s="1"/>
  <c r="CY57" i="3"/>
  <c r="CZ92" i="1" l="1"/>
  <c r="CZ90" i="1"/>
  <c r="FD84" i="1"/>
  <c r="EC106" i="1"/>
  <c r="EC99" i="1"/>
  <c r="FD75" i="1"/>
  <c r="FD90" i="1"/>
  <c r="FD97" i="1" s="1"/>
  <c r="FD102" i="1" s="1"/>
  <c r="CZ81" i="1"/>
  <c r="FD80" i="1"/>
  <c r="CZ85" i="1"/>
  <c r="CY106" i="1"/>
  <c r="CY99" i="1"/>
  <c r="CY91" i="1"/>
  <c r="EC57" i="3"/>
  <c r="CY8" i="2"/>
  <c r="EC91" i="1" l="1"/>
  <c r="CZ93" i="1"/>
  <c r="CZ98" i="1" s="1"/>
  <c r="FD85" i="1"/>
  <c r="FD93" i="1" s="1"/>
  <c r="CZ82" i="1"/>
  <c r="CZ86" i="1"/>
  <c r="FD81" i="1"/>
  <c r="FD82" i="1" s="1"/>
  <c r="CZ103" i="1"/>
  <c r="CZ97" i="1"/>
  <c r="FD92" i="1"/>
  <c r="EC8" i="2"/>
  <c r="EC164" i="3" s="1"/>
  <c r="CZ68" i="2"/>
  <c r="CZ8" i="3"/>
  <c r="FD8" i="3" s="1"/>
  <c r="FD112" i="3" s="1"/>
  <c r="FD132" i="3" s="1"/>
  <c r="FD161" i="3" s="1"/>
  <c r="CY60" i="3"/>
  <c r="CY80" i="2"/>
  <c r="CY83" i="2" s="1"/>
  <c r="CZ247" i="2" s="1"/>
  <c r="DA250" i="2" s="1"/>
  <c r="CY164" i="3"/>
  <c r="CY15" i="2"/>
  <c r="DA68" i="1" l="1"/>
  <c r="DA61" i="1"/>
  <c r="CZ132" i="1"/>
  <c r="CZ158" i="1" s="1"/>
  <c r="CZ159" i="1" s="1"/>
  <c r="CZ102" i="1"/>
  <c r="CZ94" i="1"/>
  <c r="FD86" i="1"/>
  <c r="FD94" i="1" s="1"/>
  <c r="FD106" i="1" s="1"/>
  <c r="CZ104" i="1"/>
  <c r="FD98" i="1"/>
  <c r="FD104" i="1" s="1"/>
  <c r="EC60" i="3"/>
  <c r="EC15" i="2"/>
  <c r="EC100" i="2" s="1"/>
  <c r="FD68" i="2"/>
  <c r="CZ257" i="2"/>
  <c r="CZ112" i="3"/>
  <c r="CZ28" i="3"/>
  <c r="CY100" i="2"/>
  <c r="CY24" i="2"/>
  <c r="CY88" i="2"/>
  <c r="CY248" i="2"/>
  <c r="DA70" i="1" l="1"/>
  <c r="CZ106" i="1"/>
  <c r="CZ99" i="1"/>
  <c r="FD99" i="1" s="1"/>
  <c r="CZ91" i="1"/>
  <c r="DA71" i="1"/>
  <c r="DA72" i="1"/>
  <c r="EC24" i="2"/>
  <c r="CZ132" i="3"/>
  <c r="CZ161" i="3" s="1"/>
  <c r="CZ104" i="3"/>
  <c r="CZ105" i="3" s="1"/>
  <c r="CZ57" i="3"/>
  <c r="FD57" i="3" s="1"/>
  <c r="CY89" i="2"/>
  <c r="CY71" i="3"/>
  <c r="DA74" i="1" l="1"/>
  <c r="DA84" i="1" s="1"/>
  <c r="FD91" i="1"/>
  <c r="EC71" i="3"/>
  <c r="CZ8" i="2"/>
  <c r="FD8" i="2" s="1"/>
  <c r="DA92" i="1" l="1"/>
  <c r="DA90" i="1"/>
  <c r="DA80" i="1"/>
  <c r="FD15" i="2"/>
  <c r="FD100" i="2" s="1"/>
  <c r="FD78" i="3" s="1"/>
  <c r="FD164" i="3"/>
  <c r="FD60" i="3"/>
  <c r="CZ164" i="3"/>
  <c r="CZ80" i="2"/>
  <c r="CZ83" i="2" s="1"/>
  <c r="CZ60" i="3"/>
  <c r="CZ15" i="2"/>
  <c r="DA81" i="1" l="1"/>
  <c r="DA85" i="1"/>
  <c r="DA93" i="1" s="1"/>
  <c r="DA98" i="1" s="1"/>
  <c r="DA104" i="1" s="1"/>
  <c r="DA103" i="1"/>
  <c r="DA97" i="1"/>
  <c r="FD24" i="2"/>
  <c r="CZ100" i="2"/>
  <c r="CZ24" i="2"/>
  <c r="DA247" i="2"/>
  <c r="DB250" i="2" s="1"/>
  <c r="CZ248" i="2"/>
  <c r="CZ88" i="2"/>
  <c r="DB68" i="1" l="1"/>
  <c r="DB61" i="1"/>
  <c r="DA132" i="1"/>
  <c r="DA158" i="1" s="1"/>
  <c r="DA159" i="1" s="1"/>
  <c r="DA102" i="1"/>
  <c r="DA82" i="1"/>
  <c r="DA86" i="1"/>
  <c r="DA94" i="1" s="1"/>
  <c r="FD71" i="3"/>
  <c r="CZ71" i="3"/>
  <c r="CZ89" i="2"/>
  <c r="DA68" i="2"/>
  <c r="DA8" i="3"/>
  <c r="DB70" i="1" l="1"/>
  <c r="DA106" i="1"/>
  <c r="DA99" i="1"/>
  <c r="DA91" i="1"/>
  <c r="DB71" i="1"/>
  <c r="DB72" i="1"/>
  <c r="DA28" i="3"/>
  <c r="DA112" i="3"/>
  <c r="DA257" i="2"/>
  <c r="DB74" i="1" l="1"/>
  <c r="DB84" i="1" s="1"/>
  <c r="DA104" i="3"/>
  <c r="DA105" i="3" s="1"/>
  <c r="DA57" i="3"/>
  <c r="DA132" i="3"/>
  <c r="DA161" i="3" s="1"/>
  <c r="DB80" i="1" l="1"/>
  <c r="DB92" i="1"/>
  <c r="DB90" i="1"/>
  <c r="DA8" i="2"/>
  <c r="DB103" i="1" l="1"/>
  <c r="DB97" i="1"/>
  <c r="DB81" i="1"/>
  <c r="DB85" i="1"/>
  <c r="DB93" i="1" s="1"/>
  <c r="DB98" i="1" s="1"/>
  <c r="DB104" i="1" s="1"/>
  <c r="DA164" i="3"/>
  <c r="DA15" i="2"/>
  <c r="DA80" i="2"/>
  <c r="DA83" i="2" s="1"/>
  <c r="DA60" i="3"/>
  <c r="DB82" i="1" l="1"/>
  <c r="DB86" i="1"/>
  <c r="DB94" i="1" s="1"/>
  <c r="DB132" i="1"/>
  <c r="DB158" i="1" s="1"/>
  <c r="DB159" i="1" s="1"/>
  <c r="DB102" i="1"/>
  <c r="DA100" i="2"/>
  <c r="DA24" i="2"/>
  <c r="DA248" i="2"/>
  <c r="DB247" i="2"/>
  <c r="DC250" i="2" s="1"/>
  <c r="DA88" i="2"/>
  <c r="DB8" i="3"/>
  <c r="DB68" i="2"/>
  <c r="DC68" i="1" l="1"/>
  <c r="DC61" i="1"/>
  <c r="ED62" i="1"/>
  <c r="DB106" i="1"/>
  <c r="DB99" i="1"/>
  <c r="DB91" i="1"/>
  <c r="DA89" i="2"/>
  <c r="DB257" i="2"/>
  <c r="DB28" i="3"/>
  <c r="DB112" i="3"/>
  <c r="DA71" i="3"/>
  <c r="DC70" i="1" l="1"/>
  <c r="ED61" i="1"/>
  <c r="ED70" i="1" s="1"/>
  <c r="DC71" i="1"/>
  <c r="DC72" i="1"/>
  <c r="ED68" i="1"/>
  <c r="DB132" i="3"/>
  <c r="DB161" i="3" s="1"/>
  <c r="DB104" i="3"/>
  <c r="DB105" i="3" s="1"/>
  <c r="DB57" i="3"/>
  <c r="DC74" i="1" l="1"/>
  <c r="DC84" i="1" s="1"/>
  <c r="ED71" i="1"/>
  <c r="ED72" i="1"/>
  <c r="DB8" i="2"/>
  <c r="DC92" i="1" l="1"/>
  <c r="DC90" i="1"/>
  <c r="ED90" i="1" s="1"/>
  <c r="DC80" i="1"/>
  <c r="ED74" i="1"/>
  <c r="DB164" i="3"/>
  <c r="DB60" i="3"/>
  <c r="DB80" i="2"/>
  <c r="DB83" i="2" s="1"/>
  <c r="DB15" i="2"/>
  <c r="DC81" i="1" l="1"/>
  <c r="ED80" i="1"/>
  <c r="ED85" i="1" s="1"/>
  <c r="ED93" i="1" s="1"/>
  <c r="ED98" i="1" s="1"/>
  <c r="DC85" i="1"/>
  <c r="DC93" i="1" s="1"/>
  <c r="DC98" i="1" s="1"/>
  <c r="DC104" i="1" s="1"/>
  <c r="ED104" i="1" s="1"/>
  <c r="ED75" i="1"/>
  <c r="ED84" i="1"/>
  <c r="ED92" i="1" s="1"/>
  <c r="ED97" i="1" s="1"/>
  <c r="ED102" i="1" s="1"/>
  <c r="DC103" i="1"/>
  <c r="ED103" i="1" s="1"/>
  <c r="DC97" i="1"/>
  <c r="DC247" i="2"/>
  <c r="DB248" i="2"/>
  <c r="DB88" i="2"/>
  <c r="DB100" i="2"/>
  <c r="DB24" i="2"/>
  <c r="DC132" i="1" l="1"/>
  <c r="DC158" i="1" s="1"/>
  <c r="DC159" i="1" s="1"/>
  <c r="DC102" i="1"/>
  <c r="DC82" i="1"/>
  <c r="ED81" i="1"/>
  <c r="DC86" i="1"/>
  <c r="DC94" i="1" s="1"/>
  <c r="DC68" i="2"/>
  <c r="DC8" i="3"/>
  <c r="ED8" i="3" s="1"/>
  <c r="ED28" i="3" s="1"/>
  <c r="ED104" i="3" s="1"/>
  <c r="ED105" i="3" s="1"/>
  <c r="DB89" i="2"/>
  <c r="DB71" i="3"/>
  <c r="DC106" i="1" l="1"/>
  <c r="DC99" i="1"/>
  <c r="DC91" i="1"/>
  <c r="ED91" i="1" s="1"/>
  <c r="ED82" i="1"/>
  <c r="ED86" i="1"/>
  <c r="ED94" i="1" s="1"/>
  <c r="ED68" i="2"/>
  <c r="ED257" i="2" s="1"/>
  <c r="ED112" i="3"/>
  <c r="ED132" i="3" s="1"/>
  <c r="ED161" i="3" s="1"/>
  <c r="DC28" i="3"/>
  <c r="DC57" i="3" s="1"/>
  <c r="ED57" i="3" s="1"/>
  <c r="DC257" i="2"/>
  <c r="DC112" i="3"/>
  <c r="DC132" i="3" s="1"/>
  <c r="DC161" i="3" s="1"/>
  <c r="ED106" i="1" l="1"/>
  <c r="ED99" i="1"/>
  <c r="DC104" i="3"/>
  <c r="DC105" i="3" s="1"/>
  <c r="DC8" i="2"/>
  <c r="ED8" i="2" l="1"/>
  <c r="DC164" i="3"/>
  <c r="DC60" i="3"/>
  <c r="DC15" i="2"/>
  <c r="DC80" i="2"/>
  <c r="DC83" i="2" s="1"/>
  <c r="ED164" i="3" l="1"/>
  <c r="ED60" i="3"/>
  <c r="DC100" i="2"/>
  <c r="DC24" i="2"/>
  <c r="DC248" i="2"/>
  <c r="DC88" i="2"/>
  <c r="ED15" i="2"/>
  <c r="ED100" i="2" l="1"/>
  <c r="ED24" i="2"/>
  <c r="ED71" i="3" s="1"/>
  <c r="DC89" i="2"/>
  <c r="DC71" i="3"/>
  <c r="FC53" i="3" l="1"/>
  <c r="FC157" i="3" s="1"/>
  <c r="FC161" i="3" s="1"/>
  <c r="FC162" i="3" s="1"/>
  <c r="EB53" i="3"/>
  <c r="EB157" i="3" s="1"/>
  <c r="EB161" i="3" s="1"/>
  <c r="EB162" i="3" s="1"/>
  <c r="CS69" i="2"/>
  <c r="CS70" i="2" s="1"/>
  <c r="CS73" i="2" s="1"/>
  <c r="CS157" i="3"/>
  <c r="CS161" i="3" s="1"/>
  <c r="CS162" i="3" s="1"/>
  <c r="CS165" i="3" s="1"/>
  <c r="CS57" i="3"/>
  <c r="EB57" i="3" s="1"/>
  <c r="EB58" i="3" s="1"/>
  <c r="CT69" i="2" l="1"/>
  <c r="CS58" i="3"/>
  <c r="CS61" i="3" s="1"/>
  <c r="FC57" i="3"/>
  <c r="FC58" i="3" s="1"/>
  <c r="FD55" i="3" s="1"/>
  <c r="FD58" i="3" s="1"/>
  <c r="FD61" i="3" s="1"/>
  <c r="EB165" i="3"/>
  <c r="EC159" i="3"/>
  <c r="EC162" i="3" s="1"/>
  <c r="EB61" i="3"/>
  <c r="EC55" i="3"/>
  <c r="EC58" i="3" s="1"/>
  <c r="CT157" i="3"/>
  <c r="CU69" i="2"/>
  <c r="CT70" i="2"/>
  <c r="CT41" i="2" s="1"/>
  <c r="FC165" i="3"/>
  <c r="FD159" i="3"/>
  <c r="FD162" i="3" s="1"/>
  <c r="FD165" i="3" s="1"/>
  <c r="CT55" i="3" l="1"/>
  <c r="CT58" i="3" s="1"/>
  <c r="FC61" i="3"/>
  <c r="CT92" i="2"/>
  <c r="CT72" i="2"/>
  <c r="CT73" i="2" s="1"/>
  <c r="CT43" i="2"/>
  <c r="CT99" i="2"/>
  <c r="CT93" i="2"/>
  <c r="CT94" i="2" s="1"/>
  <c r="CT98" i="2"/>
  <c r="CU157" i="3"/>
  <c r="CU161" i="3" s="1"/>
  <c r="CU162" i="3" s="1"/>
  <c r="CT161" i="3"/>
  <c r="CT162" i="3" s="1"/>
  <c r="CT165" i="3" s="1"/>
  <c r="CU70" i="2"/>
  <c r="CU41" i="2" s="1"/>
  <c r="EB69" i="2"/>
  <c r="EB70" i="2" s="1"/>
  <c r="CV69" i="2"/>
  <c r="ED55" i="3"/>
  <c r="ED58" i="3" s="1"/>
  <c r="ED61" i="3" s="1"/>
  <c r="EC61" i="3"/>
  <c r="EC165" i="3"/>
  <c r="ED159" i="3"/>
  <c r="ED162" i="3" s="1"/>
  <c r="ED165" i="3" s="1"/>
  <c r="CT61" i="3"/>
  <c r="CU55" i="3"/>
  <c r="CU58" i="3" s="1"/>
  <c r="CU61" i="3" l="1"/>
  <c r="CV55" i="3"/>
  <c r="CV58" i="3" s="1"/>
  <c r="CV70" i="2"/>
  <c r="CV41" i="2" s="1"/>
  <c r="FC69" i="2"/>
  <c r="FC70" i="2" s="1"/>
  <c r="CW69" i="2"/>
  <c r="CU99" i="2"/>
  <c r="CU72" i="2"/>
  <c r="EB41" i="2"/>
  <c r="CU92" i="2"/>
  <c r="CU93" i="2"/>
  <c r="CU94" i="2" s="1"/>
  <c r="CU98" i="2"/>
  <c r="CU43" i="2"/>
  <c r="CU165" i="3"/>
  <c r="CV159" i="3"/>
  <c r="CT45" i="2"/>
  <c r="CT97" i="2"/>
  <c r="EB72" i="2" l="1"/>
  <c r="EB73" i="2" s="1"/>
  <c r="CU73" i="2"/>
  <c r="CW70" i="2"/>
  <c r="CW41" i="2" s="1"/>
  <c r="CX69" i="2"/>
  <c r="CV98" i="2"/>
  <c r="CV92" i="2"/>
  <c r="CV93" i="2"/>
  <c r="CV94" i="2" s="1"/>
  <c r="CV72" i="2"/>
  <c r="FC41" i="2"/>
  <c r="CV99" i="2"/>
  <c r="CV43" i="2"/>
  <c r="CW159" i="3"/>
  <c r="CW162" i="3" s="1"/>
  <c r="CW165" i="3" s="1"/>
  <c r="CV162" i="3"/>
  <c r="CV165" i="3" s="1"/>
  <c r="CY159" i="3"/>
  <c r="CY162" i="3" s="1"/>
  <c r="CX159" i="3"/>
  <c r="CX162" i="3" s="1"/>
  <c r="CX165" i="3" s="1"/>
  <c r="CU97" i="2"/>
  <c r="CU45" i="2"/>
  <c r="EB92" i="2"/>
  <c r="EB93" i="2"/>
  <c r="EB94" i="2" s="1"/>
  <c r="EB43" i="2"/>
  <c r="EB45" i="2" s="1"/>
  <c r="CW55" i="3"/>
  <c r="CW58" i="3" s="1"/>
  <c r="CV61" i="3"/>
  <c r="CW61" i="3" l="1"/>
  <c r="CX55" i="3"/>
  <c r="CX58" i="3" s="1"/>
  <c r="CV97" i="2"/>
  <c r="CV45" i="2"/>
  <c r="FC92" i="2"/>
  <c r="FC43" i="2"/>
  <c r="FC45" i="2" s="1"/>
  <c r="FC93" i="2"/>
  <c r="FC94" i="2" s="1"/>
  <c r="CW98" i="2"/>
  <c r="CW99" i="2"/>
  <c r="CW93" i="2"/>
  <c r="CW94" i="2" s="1"/>
  <c r="CW92" i="2"/>
  <c r="CW43" i="2"/>
  <c r="CW72" i="2"/>
  <c r="CW73" i="2" s="1"/>
  <c r="CY165" i="3"/>
  <c r="CZ159" i="3"/>
  <c r="CV73" i="2"/>
  <c r="FC72" i="2"/>
  <c r="FC73" i="2" s="1"/>
  <c r="CX70" i="2"/>
  <c r="CX41" i="2" s="1"/>
  <c r="CY69" i="2"/>
  <c r="EC69" i="2" l="1"/>
  <c r="EC70" i="2" s="1"/>
  <c r="CY70" i="2"/>
  <c r="CY41" i="2" s="1"/>
  <c r="CZ69" i="2"/>
  <c r="CZ162" i="3"/>
  <c r="CZ165" i="3" s="1"/>
  <c r="DA159" i="3"/>
  <c r="DA162" i="3" s="1"/>
  <c r="DA165" i="3" s="1"/>
  <c r="DC159" i="3"/>
  <c r="DC162" i="3" s="1"/>
  <c r="DC165" i="3" s="1"/>
  <c r="DB159" i="3"/>
  <c r="DB162" i="3" s="1"/>
  <c r="DB165" i="3" s="1"/>
  <c r="CX92" i="2"/>
  <c r="CX93" i="2"/>
  <c r="CX94" i="2" s="1"/>
  <c r="CX99" i="2"/>
  <c r="CX43" i="2"/>
  <c r="CX72" i="2"/>
  <c r="CX73" i="2" s="1"/>
  <c r="CX98" i="2"/>
  <c r="CW97" i="2"/>
  <c r="CW45" i="2"/>
  <c r="CY55" i="3"/>
  <c r="CY58" i="3" s="1"/>
  <c r="CX61" i="3"/>
  <c r="CX97" i="2" l="1"/>
  <c r="CX45" i="2"/>
  <c r="CZ70" i="2"/>
  <c r="CZ41" i="2" s="1"/>
  <c r="DA69" i="2"/>
  <c r="FD69" i="2"/>
  <c r="FD70" i="2" s="1"/>
  <c r="CY61" i="3"/>
  <c r="CZ55" i="3"/>
  <c r="CZ58" i="3" s="1"/>
  <c r="CY99" i="2"/>
  <c r="CY93" i="2"/>
  <c r="CY94" i="2" s="1"/>
  <c r="CY72" i="2"/>
  <c r="EC41" i="2"/>
  <c r="CY43" i="2"/>
  <c r="CY92" i="2"/>
  <c r="CY98" i="2"/>
  <c r="EC92" i="2" l="1"/>
  <c r="EC43" i="2"/>
  <c r="EC45" i="2" s="1"/>
  <c r="EC93" i="2"/>
  <c r="EC94" i="2" s="1"/>
  <c r="DA55" i="3"/>
  <c r="DA58" i="3" s="1"/>
  <c r="CZ61" i="3"/>
  <c r="CZ98" i="2"/>
  <c r="CZ92" i="2"/>
  <c r="CZ99" i="2"/>
  <c r="CZ72" i="2"/>
  <c r="CZ43" i="2"/>
  <c r="CZ93" i="2"/>
  <c r="CZ94" i="2" s="1"/>
  <c r="FD41" i="2"/>
  <c r="CY45" i="2"/>
  <c r="CY97" i="2"/>
  <c r="CY73" i="2"/>
  <c r="EC72" i="2"/>
  <c r="EC73" i="2" s="1"/>
  <c r="DA70" i="2"/>
  <c r="DA41" i="2" s="1"/>
  <c r="DB69" i="2"/>
  <c r="DA92" i="2" l="1"/>
  <c r="DA99" i="2"/>
  <c r="DA43" i="2"/>
  <c r="DA93" i="2"/>
  <c r="DA94" i="2" s="1"/>
  <c r="DA98" i="2"/>
  <c r="DA72" i="2"/>
  <c r="DA73" i="2" s="1"/>
  <c r="FD72" i="2"/>
  <c r="FD73" i="2" s="1"/>
  <c r="CZ73" i="2"/>
  <c r="DC69" i="2"/>
  <c r="DB70" i="2"/>
  <c r="DB41" i="2" s="1"/>
  <c r="FD43" i="2"/>
  <c r="FD45" i="2" s="1"/>
  <c r="FD92" i="2"/>
  <c r="FD93" i="2"/>
  <c r="FD94" i="2" s="1"/>
  <c r="CZ97" i="2"/>
  <c r="CZ45" i="2"/>
  <c r="DA61" i="3"/>
  <c r="DB55" i="3"/>
  <c r="DB58" i="3" s="1"/>
  <c r="DB61" i="3" l="1"/>
  <c r="DC55" i="3"/>
  <c r="DC58" i="3" s="1"/>
  <c r="DC61" i="3" s="1"/>
  <c r="DC70" i="2"/>
  <c r="DC41" i="2" s="1"/>
  <c r="ED69" i="2"/>
  <c r="ED70" i="2" s="1"/>
  <c r="DA45" i="2"/>
  <c r="DA97" i="2"/>
  <c r="DB92" i="2"/>
  <c r="DB93" i="2"/>
  <c r="DB94" i="2" s="1"/>
  <c r="DB99" i="2"/>
  <c r="DB43" i="2"/>
  <c r="DB98" i="2"/>
  <c r="DB72" i="2"/>
  <c r="DB73" i="2" s="1"/>
  <c r="DC92" i="2" l="1"/>
  <c r="DC99" i="2"/>
  <c r="DC43" i="2"/>
  <c r="DC98" i="2"/>
  <c r="DC72" i="2"/>
  <c r="DC93" i="2"/>
  <c r="DC94" i="2" s="1"/>
  <c r="ED41" i="2"/>
  <c r="DB97" i="2"/>
  <c r="DB45" i="2"/>
  <c r="ED92" i="2" l="1"/>
  <c r="ED43" i="2"/>
  <c r="ED45" i="2" s="1"/>
  <c r="ED93" i="2"/>
  <c r="ED94" i="2" s="1"/>
  <c r="DC73" i="2"/>
  <c r="ED72" i="2"/>
  <c r="ED73" i="2" s="1"/>
  <c r="DC45" i="2"/>
  <c r="DC97" i="2"/>
</calcChain>
</file>

<file path=xl/comments1.xml><?xml version="1.0" encoding="utf-8"?>
<comments xmlns="http://schemas.openxmlformats.org/spreadsheetml/2006/main">
  <authors>
    <author>rodrigor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뢦亹_x001C_啍敞煣浟慥彮慳敬⡳〲ㄱ㌯ⱆ⤰_x0018_＀＀_x0018_＀＀_x0008_＀＀_x0001_＀＀_x0001_＀＀＀＀＀＀똀䂠뢦亹_x001C_啍敞煣浟慥彮慳敬⡳〲㈱ㄯⱆ⤰_x0018_＀＀_x0018_＀＀_x0008_＀＀_x0001_＀＀_x0001_＀＀㭤俟䂠뢦亹_x001A_啍敞煣浟慥彮灥⡳〲㈱㈯ⱆ⤰_x0018_＀＀_x0018_＀＀_x0008_＀＀_x0001_＀＀_x0001_＀＀㈣൥Ḃ뽝뢦亹@啍䙞彅卅䥔䅍䕔✨䅓䕌❓✬䕍乁Ⱗ儧䅕呒剅奌剟䱏❌✬〲ㄱ㐯❃〬Ⱜ✬⤧_x0018_＀＀_x0018_＀＀_x0008_＀＀_x0001_＀＀_x0001_＀＀㭤俟䂠뢦亹_x001A_啍敞煣浟慥彮灥⡳〲ㄱ㐯ⱆ⤰_x0018_＀＀_x0018_＀＀_x0008_＀＀_x0001_＀＀_x0001_＀＀凬Ẹ뿁뢦亹_x001C_啍敞煣浟慥彮慳敬⡳〲ㄱ䘯ⱙ⤰_x0018_＀＀_x0018_＀＀_x0008_＀＀_x0001_＀＀_x0001_＀＀＀＀＀＀⨀䃁뢦亹@啍䙞彅卅䥔䅍䕔✨䅓䕌❓✬䕍乁Ⱗ儧䅕呒剅奌剟䱏❌✬〲㈱ㄯ❃〬Ⱜ✬⤧_x0018_＀＀_x0018_＀＀_x0008_＀＀_x0001_＀＀_x0001_＀＀犰酨玲䂠뢦亹_x001C_啍敞煣浟慥彮慳敬⡳〲ㄱ㈯ⱆ⤰_x0018_＀＀_x0018_＀＀_x0008_＀＀_x0001_＀＀_x0001_＀＀＀＀＀＀ꈀ䂡뢦亹_x001A_啍敞煣浟慥彮灥⡳〲㈱ㄯⱆ⤰_x0018_＀＀_x0018_＀＀_x0008_＀＀_x0001_＀＀_x0001_＀＀㖒蓑텹뾩뵶亹_x001B_啍偞偟䥒䕃䅟䝖㐨㜰㘸㐬㠰㜷착_x0018_＀＀_x0018_＀＀_x0008_＀＀_x0001_＀＀_x0001_＀＀ᄴ㰶劽䀗뢧亹_x0018_啍偞䉟呅彁佌䥃塄⴨䄳ⱍ⤰_x0018_＀＀_x0018_＀＀_x0008_＀＀_x0001_＀＀_x0001_＀＀縨릌䥫㿼뢦亹_x001A_啍敞煣浟慥彮灥⡳〲ㄱ㌯ⱆ⤰_x0018_＀＀_x0018_＀＀_x0008_＀＀_x0001_＀＀_x0001_＀＀凬Ẹ㾱뢦亹_x001C_啍敞煣浟慥彮慳敬⡳〲㈱㐯ⱆ⤰_x0018_＀＀_x0018_＀＀_x0008_＀＀_x0001_＀＀_x0001_＀＀⛪࠱퀬䂢뢦亹_x001A_啍敞煣浟慥彮灥⡳〲ㄱ䘯ⱙ⤰_x0018_＀＀_x0018_＀＀_x0008_＀＀_x0001_＀＀_x0001_＀＀尨슏㿅뢦亹_x001C_啍敞煣浟慥彮慳敬⡳〲ㄱㄯⱆ⤰_x0018_＀＀_x0018_＀＀_x0008_＀＀_x0001_＀＀_x0001_＀＀＀＀＀＀頀䂡뢦亹_x001A_啍敞煣浟慥彮灥⡳〲ㄱ㈯ⱆ⤰_x0018_＀＀_x0018_＀＀_x0008_＀＀_x0001_＀＀_x0001_＀＀凬Ẹ㾱뢦亹_x001C_啍敞煣浟慥彮慳敬⡳〲㈱㌯ⱆ⤰_x0018_＀＀_x0018_＀＀_x0008_＀＀_x0001_＀＀_x0001_＀＀ᢔ嘄븎䂡뢦亹_x001A_啍敞煣浟慥彮灥⡳〲㈱㐯ⱆ⤰_x0018_＀＀_x0018_＀＀_x0008_＀＀_x0001_＀＀_x0001_＀＀簤濯廐㿃뢦亹3啍晞彥獥楴慭整✨灥❳✬敭湡Ⱗ愧湮慵❬✬㈫Ⱗ潴慤ⱹⰬ착_x0018_＀＀_x0018_＀＀_x0008_＀＀_x0001_＀＀_x0001_＀＀ⷵ멳꘬㿣뢦亹&gt;啍䙞彅卅䥔䅍䕔✨偅❓✬䕍乁Ⱗ儧䅕呒剅奌剟䱏❌✬〲㈱ㄯ❃〬Ⱜ✬⤧_x0018_＀＀_x0018_＀＀_x0008_＀＀_x0001_＀＀_x0001_＀＀㈣൥Ḃ뽝뢦亹&gt;啍䙞彅卅䥔䅍䕔✨偅❓✬䕍乁Ⱗ儧䅕呒剅奌剟䱏❌✬〲ㄱ㐯❃〬Ⱜ✬⤧_x0018_＀＀_x0018_＀＀_x0008_＀＀_x0001_＀＀_x0001_＀＀㖒蓑텹뾩뢦亹_x001A_啍敞煣浟慥彮灥⡳〲ㄱㄯⱆ⤰_x0018_＀＀_x0018_＀＀_x0008_＀＀_x0001_＀＀_x0001_＀＀㌳㌳㌳㿃뢦亹?啍䙞彅卅䥔䅍䕔✨义彃則协❓✬䕍乁Ⱗ儧䅕呒剅奌Ⱗ㈧㄰⼲䌱ⰧⰰⰬ✧착_x0018_＀＀_x0018_＀＀_x0008_＀＀_x0001_＀＀_x0001_＀＀闪ಲ둱䁻뢦亹?啍䙞彅卅䥔䅍䕔✨义彃則协❓✬䕍乁Ⱗ儧䅕呒剅奌Ⱗ㈧㄰⼱䌴ⰧⰰⰬ✧착_x0018_＀＀_x0018_＀＀_x0008_＀＀_x0001_＀＀_x0001_＀＀斕授䁸뢦亹_x001C_啍敞煣浟慥彮慳敬⡳〲ㄱ㐯ⱆ⤰_x0018_＀＀_x0018_＀＀_x0008_＀＀_x0001_＀＀_x0001_＀＀＀＀＀＀렀䂠뢦亹_x001C_啍敞煣浟慥彮慳敬⡳〲㈱㈯ⱆ⤰_x0018_＀＀_x0018_＀＀_x0008_＀＀_x0001_＀＀_x0001_＀＀犰酨玲䂠뢦亹_x001A_啍敞煣浟慥彮灥⡳〲㈱㌯ⱆ⤰_x0018_＀＀_x0018_＀＀_x0008_＀＀_x0001_＀＀_x0001_＀＀_xD904_㑟䰳㾳뢦亹5啍晞彥獥楴慭整✨慳敬❳✬敭湡Ⱗ愧湮慵❬✬㈫Ⱗ潴慤ⱹⰬ착_x0018_＀＀_x0018_＀＀_x0008_＀＀_x0001_＀＀_x0001_＀＀㭤俟谍䃃뢦亹_x001B_啍偞偟䥒䕃䅟䝖㐨㜰㔵㐬㠰㜴착_x0018_＀＀_x0018_＀＀_x0008_＀＀_x0001_＀＀_x0001_＀＀숮씔䀗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1179</t>
        </r>
      </text>
    </comment>
  </commentList>
</comments>
</file>

<file path=xl/comments2.xml><?xml version="1.0" encoding="utf-8"?>
<comments xmlns="http://schemas.openxmlformats.org/spreadsheetml/2006/main">
  <authors>
    <author>Chang, Diana (Research)</author>
    <author>Lim, Alvin (Research)</author>
    <author>Moore, Joseph Jr. (Research)</author>
    <author>DJF</author>
    <author>moorejos</author>
    <author>visv</author>
    <author>malikat</author>
  </authors>
  <commentList>
    <comment ref="CK7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(G):2.9-3.2bn</t>
        </r>
      </text>
    </comment>
    <comment ref="CL7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2.8-3.1bn</t>
        </r>
      </text>
    </comment>
    <comment ref="CM7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2.9-3.2</t>
        </r>
      </text>
    </comment>
    <comment ref="CP7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5.2-5.6bn</t>
        </r>
      </text>
    </comment>
    <comment ref="CE12" authorId="2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inflated by 100 mm from tessera payment, EOL sale...up 100 mm from NAND, up 30 mm from other per call, DRAM flat</t>
        </r>
      </text>
    </comment>
    <comment ref="CF12" authorId="2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take out the $100 mm of one time expense from 4q; grows by 7% for extra week; add the incremental depreciation</t>
        </r>
      </text>
    </comment>
    <comment ref="BZ1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Currrently about $20mn per Q</t>
        </r>
      </text>
    </comment>
    <comment ref="CK20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(G):17.5-20%</t>
        </r>
      </text>
    </comment>
    <comment ref="CL2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16.5-19%</t>
        </r>
      </text>
    </comment>
    <comment ref="CM2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15.5-18</t>
        </r>
      </text>
    </comment>
    <comment ref="CP20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44-48%</t>
        </r>
      </text>
    </comment>
    <comment ref="BV2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Per 10-Q: Up 4% Q/Q due to higher personnel costs associated with increased headcount for expanded R&amp;D operations</t>
        </r>
      </text>
    </comment>
    <comment ref="BX2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$220-230</t>
        </r>
      </text>
    </comment>
    <comment ref="BY2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$220-230</t>
        </r>
      </text>
    </comment>
    <comment ref="BZ2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$225-235mn</t>
        </r>
      </text>
    </comment>
    <comment ref="CA24" authorId="4">
      <text>
        <r>
          <rPr>
            <b/>
            <sz val="8"/>
            <color indexed="81"/>
            <rFont val="Tahoma"/>
            <family val="2"/>
          </rPr>
          <t>moorejos:</t>
        </r>
        <r>
          <rPr>
            <sz val="8"/>
            <color indexed="81"/>
            <rFont val="Tahoma"/>
            <family val="2"/>
          </rPr>
          <t xml:space="preserve">
guided $235, plus 1/3 elpida est $74mm</t>
        </r>
      </text>
    </comment>
    <comment ref="CB2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Only receive credit for yen depreciation.  Assume 20% yen depreciation from 3q12 levels and ~70% opex is yen-based</t>
        </r>
      </text>
    </comment>
    <comment ref="CH2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 395-405</t>
        </r>
      </text>
    </comment>
    <comment ref="BT32" authorId="5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09/29 - g - $155 to $165</t>
        </r>
      </text>
    </comment>
    <comment ref="BU3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Includes a $13M contribution to a unviersity program and death benefits relating to Appleton.</t>
        </r>
      </text>
    </comment>
    <comment ref="BW3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Below plan due to lower legal costs and lower personnel costs from variable pay plans</t>
        </r>
      </text>
    </comment>
    <comment ref="BX3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$135-145</t>
        </r>
      </text>
    </comment>
    <comment ref="BY3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$135-145</t>
        </r>
      </text>
    </comment>
    <comment ref="BZ3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$135-145mn</t>
        </r>
      </text>
    </comment>
    <comment ref="CA32" authorId="4">
      <text>
        <r>
          <rPr>
            <b/>
            <sz val="8"/>
            <color indexed="81"/>
            <rFont val="Tahoma"/>
            <family val="2"/>
          </rPr>
          <t>moorejos:</t>
        </r>
        <r>
          <rPr>
            <sz val="8"/>
            <color indexed="81"/>
            <rFont val="Tahoma"/>
            <family val="2"/>
          </rPr>
          <t xml:space="preserve">
guided $140, + $54 mm run rate for Epida</t>
        </r>
      </text>
    </comment>
    <comment ref="CB3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Only receive credit for yen depreciation.  Assume 20% yen depreciation from 3q12 levels and ~70% opex is yen-based</t>
        </r>
      </text>
    </comment>
    <comment ref="CH32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175-185</t>
        </r>
      </text>
    </comment>
    <comment ref="B40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Includes asset sale gains, cross-license agreement receipts, restructuring, FX gains and losses, and other</t>
        </r>
      </text>
    </comment>
    <comment ref="CM4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restructuring expense $70mn</t>
        </r>
      </text>
    </comment>
    <comment ref="CL4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525</t>
        </r>
      </text>
    </comment>
    <comment ref="CK49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565-620mn</t>
        </r>
      </text>
    </comment>
    <comment ref="CL4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560-610
A:523</t>
        </r>
      </text>
    </comment>
    <comment ref="CM4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580-630mn</t>
        </r>
      </text>
    </comment>
    <comment ref="CP49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(G):560-640mn</t>
        </r>
      </text>
    </comment>
    <comment ref="CK55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-60 to +20mn</t>
        </r>
      </text>
    </comment>
    <comment ref="CL55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-$70 to +$10mn</t>
        </r>
      </text>
    </comment>
    <comment ref="CM55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-135 to -55</t>
        </r>
      </text>
    </comment>
    <comment ref="BZ61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50-55mn</t>
        </r>
      </text>
    </comment>
    <comment ref="CJ6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95mn</t>
        </r>
      </text>
    </comment>
    <comment ref="CM6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95mn</t>
        </r>
      </text>
    </comment>
    <comment ref="BT63" authorId="5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09/29 - g - $35 to $40 mm</t>
        </r>
      </text>
    </comment>
    <comment ref="BY63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Net Interest Expense Guidance: $55-60mn</t>
        </r>
      </text>
    </comment>
    <comment ref="CL6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Non GAAP net interest expense $65mn</t>
        </r>
      </text>
    </comment>
    <comment ref="CL7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74" authorId="5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09/29 - g - $10 to $20</t>
        </r>
      </text>
    </comment>
    <comment ref="BY7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$10mn guidance</t>
        </r>
      </text>
    </comment>
    <comment ref="BZ7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$5mn</t>
        </r>
      </text>
    </comment>
    <comment ref="CL7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$15mn tax benefit</t>
        </r>
      </text>
    </comment>
    <comment ref="CP74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$60mn</t>
        </r>
      </text>
    </comment>
    <comment ref="CM8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single digit million
</t>
        </r>
      </text>
    </comment>
    <comment ref="B88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net of tax</t>
        </r>
      </text>
    </comment>
    <comment ref="B89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net of tax</t>
        </r>
      </text>
    </comment>
    <comment ref="BL102" authorId="6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actually reported 23c for 1000.7 share count</t>
        </r>
      </text>
    </comment>
    <comment ref="CK104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0.12-0.05 loss per share</t>
        </r>
      </text>
    </comment>
    <comment ref="CL10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-$0.12 to -$0.05</t>
        </r>
      </text>
    </comment>
    <comment ref="CM10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-0.24 to -0.16</t>
        </r>
      </text>
    </comment>
    <comment ref="CN104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starts to exclude SBC expenses</t>
        </r>
      </text>
    </comment>
    <comment ref="CL112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1036 based on $12 share price, less convert dilution</t>
        </r>
      </text>
    </comment>
    <comment ref="CL14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In COGS</t>
        </r>
      </text>
    </comment>
  </commentList>
</comments>
</file>

<file path=xl/comments3.xml><?xml version="1.0" encoding="utf-8"?>
<comments xmlns="http://schemas.openxmlformats.org/spreadsheetml/2006/main">
  <authors>
    <author>DJF</author>
    <author>josuev</author>
    <author>rodrigor</author>
    <author>sergiol</author>
    <author>gonzalan</author>
    <author>Gonzalez, Andres (Research)</author>
    <author>Lim, Alvin (Research)</author>
  </authors>
  <commentList>
    <comment ref="BV12" authorId="0">
      <text>
        <r>
          <rPr>
            <b/>
            <sz val="9"/>
            <color indexed="81"/>
            <rFont val="Tahoma"/>
            <family val="2"/>
          </rPr>
          <t>DJF:</t>
        </r>
        <r>
          <rPr>
            <sz val="9"/>
            <color indexed="81"/>
            <rFont val="Tahoma"/>
            <family val="2"/>
          </rPr>
          <t xml:space="preserve">
Micron sold $97M of back-end inventories associated with Intel's supply chain to Intel in the Q.
Micron also saw a significant reduction of both DRAM and NAND inventories in the Q.</t>
        </r>
      </text>
    </comment>
    <comment ref="BV23" authorId="1">
      <text>
        <r>
          <rPr>
            <sz val="9"/>
            <color indexed="81"/>
            <rFont val="Tahoma"/>
            <family val="2"/>
          </rPr>
          <t>Long-term marketable investments of $361m</t>
        </r>
      </text>
    </comment>
    <comment ref="BY32" authorId="1">
      <text>
        <r>
          <rPr>
            <sz val="8"/>
            <color indexed="81"/>
            <rFont val="Tahoma"/>
            <family val="2"/>
          </rPr>
          <t>Current portion of long-term debt</t>
        </r>
      </text>
    </comment>
    <comment ref="B38" authorId="2">
      <text>
        <r>
          <rPr>
            <b/>
            <sz val="8"/>
            <color indexed="81"/>
            <rFont val="Tahoma"/>
            <family val="2"/>
          </rPr>
          <t>Includes Redeemable common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38" authorId="3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Plugged. Not enough information</t>
        </r>
      </text>
    </comment>
    <comment ref="CC39" authorId="4">
      <text>
        <r>
          <rPr>
            <sz val="8"/>
            <color indexed="81"/>
            <rFont val="Tahoma"/>
            <family val="2"/>
          </rPr>
          <t>Includes Redeemable convertible notes</t>
        </r>
      </text>
    </comment>
    <comment ref="CD39" authorId="5">
      <text>
        <r>
          <rPr>
            <sz val="9"/>
            <color indexed="81"/>
            <rFont val="Tahoma"/>
            <family val="2"/>
          </rPr>
          <t>Includes Redeemable convertible notes</t>
        </r>
      </text>
    </comment>
    <comment ref="B8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Principal Amounts</t>
        </r>
      </text>
    </comment>
    <comment ref="CE111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Due June 1, 2014</t>
        </r>
      </text>
    </comment>
    <comment ref="B122" authorId="0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Entered into 2 new credit facilities in F1Q13:
</t>
        </r>
        <r>
          <rPr>
            <b/>
            <sz val="10"/>
            <color indexed="81"/>
            <rFont val="Tahoma"/>
            <family val="2"/>
          </rPr>
          <t>3 yr. revolver.</t>
        </r>
        <r>
          <rPr>
            <sz val="10"/>
            <color indexed="81"/>
            <rFont val="Tahoma"/>
            <family val="2"/>
          </rPr>
          <t xml:space="preserve">  Entered on 9/5/12.  Capacity up to lessor of $255mn or 80% of pool of receivables. SIBOR + 2.8%
</t>
        </r>
        <r>
          <rPr>
            <b/>
            <sz val="10"/>
            <color indexed="81"/>
            <rFont val="Tahoma"/>
            <family val="2"/>
          </rPr>
          <t>Semi Equipment facility.</t>
        </r>
        <r>
          <rPr>
            <sz val="10"/>
            <color indexed="81"/>
            <rFont val="Tahoma"/>
            <family val="2"/>
          </rPr>
          <t xml:space="preserve">  Entered on 10/2/12 and can draw up to $214mn on facility until 4/4/13.  Payable in 10 equal installments beginning 6 months post draw date. LIBOR +1.6% or fixed negotiated rate at time of draw.  Drew $173mn @ 2.38% on 10/18. </t>
        </r>
      </text>
    </comment>
    <comment ref="B133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related to IMFS agreement - model this out</t>
        </r>
      </text>
    </comment>
    <comment ref="B144" authorId="0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Entered into 2 new credit facilities in F1Q13:
</t>
        </r>
        <r>
          <rPr>
            <b/>
            <sz val="10"/>
            <color indexed="81"/>
            <rFont val="Tahoma"/>
            <family val="2"/>
          </rPr>
          <t>3 yr. revolver.</t>
        </r>
        <r>
          <rPr>
            <sz val="10"/>
            <color indexed="81"/>
            <rFont val="Tahoma"/>
            <family val="2"/>
          </rPr>
          <t xml:space="preserve">  Entered on 9/5/12.  Capacity up to lessor of $255mn or 80% of pool of receivables. SIBOR + 2.8%
</t>
        </r>
        <r>
          <rPr>
            <b/>
            <sz val="10"/>
            <color indexed="81"/>
            <rFont val="Tahoma"/>
            <family val="2"/>
          </rPr>
          <t>Semi Equipment facility.</t>
        </r>
        <r>
          <rPr>
            <sz val="10"/>
            <color indexed="81"/>
            <rFont val="Tahoma"/>
            <family val="2"/>
          </rPr>
          <t xml:space="preserve">  Entered on 10/2/12 and can draw up to $214mn on facility until 4/4/13.  Payable in 10 equal installments beginning 6 months post draw date. LIBOR +1.6% or fixed negotiated rate at time of draw.  Drew $173mn @ 2.38% on 10/18. </t>
        </r>
      </text>
    </comment>
    <comment ref="B15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Payable through August 2016</t>
        </r>
      </text>
    </comment>
    <comment ref="B151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Payable through May 2016</t>
        </r>
      </text>
    </comment>
    <comment ref="B168" authorId="0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Entered into 2 new credit facilities in F1Q13:
</t>
        </r>
        <r>
          <rPr>
            <b/>
            <sz val="10"/>
            <color indexed="81"/>
            <rFont val="Tahoma"/>
            <family val="2"/>
          </rPr>
          <t>3 yr. revolver.</t>
        </r>
        <r>
          <rPr>
            <sz val="10"/>
            <color indexed="81"/>
            <rFont val="Tahoma"/>
            <family val="2"/>
          </rPr>
          <t xml:space="preserve">  Entered on 9/5/12.  Capacity up to lessor of $255mn or 80% of pool of receivables. SIBOR + 2.8%
</t>
        </r>
        <r>
          <rPr>
            <b/>
            <sz val="10"/>
            <color indexed="81"/>
            <rFont val="Tahoma"/>
            <family val="2"/>
          </rPr>
          <t>Semi Equipment facility.</t>
        </r>
        <r>
          <rPr>
            <sz val="10"/>
            <color indexed="81"/>
            <rFont val="Tahoma"/>
            <family val="2"/>
          </rPr>
          <t xml:space="preserve">  Entered on 10/2/12 and can draw up to $214mn on facility until 4/4/13.  Payable in 10 equal installments beginning 6 months post draw date. LIBOR +1.6% or fixed negotiated rate at time of draw.  Drew $173mn @ 2.38% on 10/18. </t>
        </r>
      </text>
    </comment>
    <comment ref="B171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Payable through August 2016</t>
        </r>
      </text>
    </comment>
    <comment ref="B172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Payable through May 2016</t>
        </r>
      </text>
    </comment>
    <comment ref="CL202" authorId="6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26 April closing date</t>
        </r>
      </text>
    </comment>
  </commentList>
</comments>
</file>

<file path=xl/comments4.xml><?xml version="1.0" encoding="utf-8"?>
<comments xmlns="http://schemas.openxmlformats.org/spreadsheetml/2006/main">
  <authors>
    <author>visv</author>
    <author>Lim, Alvin (Research)</author>
    <author>DJF 7/2/12</author>
    <author>DJF</author>
    <author>gonzalan</author>
    <author>rodrigor</author>
  </authors>
  <commentList>
    <comment ref="BU10" authorId="0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09/29 - g - 570 to 580
</t>
        </r>
      </text>
    </comment>
    <comment ref="DZ1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3.2bn</t>
        </r>
      </text>
    </comment>
    <comment ref="CK1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55mn</t>
        </r>
      </text>
    </comment>
    <comment ref="CL1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50mn</t>
        </r>
      </text>
    </comment>
    <comment ref="BU31" authorId="0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FY12 capex of $2bb. Will be 1H loaded
2/3rd for NAND and 1/3rd for DRAM</t>
        </r>
      </text>
    </comment>
    <comment ref="CJ3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$800mn from Intel</t>
        </r>
      </text>
    </comment>
    <comment ref="CK3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1233mn</t>
        </r>
      </text>
    </comment>
    <comment ref="DZ3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$5.0 - $5.5bn </t>
        </r>
      </text>
    </comment>
    <comment ref="CG37" authorId="2">
      <text>
        <r>
          <rPr>
            <b/>
            <sz val="8"/>
            <color indexed="81"/>
            <rFont val="Tahoma"/>
            <family val="2"/>
          </rPr>
          <t>DJF 7/2/12:</t>
        </r>
        <r>
          <rPr>
            <sz val="8"/>
            <color indexed="81"/>
            <rFont val="Tahoma"/>
            <family val="2"/>
          </rPr>
          <t xml:space="preserve">
The remaining 140 billion yen (or approximately $1.75 billion) of payments will be made by the Elpida Companies (using cash flow generated from Micron’s payment for foundry services provided by Elpida, as a Micron subsidiary) in six annual installments payable shortly before the last business day of each calendar year, from 2014 through 2019, with payments of 20 billion yen (or approximately $250 million) in each of 2014 through 2017, and payments of 30 billion yen (or approximately $375 million) in each of 2018 and 2019.
</t>
        </r>
      </text>
    </comment>
    <comment ref="DZ37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250mn payments</t>
        </r>
      </text>
    </comment>
    <comment ref="EB37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250mn payments</t>
        </r>
      </text>
    </comment>
    <comment ref="EC37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375</t>
        </r>
      </text>
    </comment>
    <comment ref="ED37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375</t>
        </r>
      </text>
    </comment>
    <comment ref="BZ38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24% of Rexchip</t>
        </r>
      </text>
    </comment>
    <comment ref="B46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What is this?</t>
        </r>
      </text>
    </comment>
    <comment ref="CG47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1st annual payment related to Elpida</t>
        </r>
      </text>
    </comment>
    <comment ref="CK4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$147mn 6M16</t>
        </r>
      </text>
    </comment>
    <comment ref="DZ5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$800mn from intel</t>
        </r>
      </text>
    </comment>
    <comment ref="BZ56" authorId="3">
      <text>
        <r>
          <rPr>
            <sz val="8"/>
            <color indexed="81"/>
            <rFont val="Tahoma"/>
            <family val="2"/>
          </rPr>
          <t>Plug, since CF is not available in the PR</t>
        </r>
      </text>
    </comment>
    <comment ref="BX66" authorId="3">
      <text>
        <r>
          <rPr>
            <b/>
            <sz val="8"/>
            <color indexed="81"/>
            <rFont val="Tahoma"/>
            <family val="2"/>
          </rPr>
          <t>DJF 9/27/12:</t>
        </r>
        <r>
          <rPr>
            <sz val="8"/>
            <color indexed="81"/>
            <rFont val="Tahoma"/>
            <family val="2"/>
          </rPr>
          <t xml:space="preserve">
Per guidance, $1.6 - 1.9bn, slightly weighted towards F1H13</t>
        </r>
      </text>
    </comment>
    <comment ref="BY66" authorId="3">
      <text>
        <r>
          <rPr>
            <b/>
            <sz val="8"/>
            <color indexed="81"/>
            <rFont val="Tahoma"/>
            <family val="2"/>
          </rPr>
          <t>DJF 9/27/12:</t>
        </r>
        <r>
          <rPr>
            <sz val="8"/>
            <color indexed="81"/>
            <rFont val="Tahoma"/>
            <family val="2"/>
          </rPr>
          <t xml:space="preserve">
Per guidance, $1.6 - 1.9bn, slightly weighted towards F1H13</t>
        </r>
      </text>
    </comment>
    <comment ref="BZ66" authorId="3">
      <text>
        <r>
          <rPr>
            <b/>
            <sz val="8"/>
            <color indexed="81"/>
            <rFont val="Tahoma"/>
            <family val="2"/>
          </rPr>
          <t>DJF 9/27/12:</t>
        </r>
        <r>
          <rPr>
            <sz val="8"/>
            <color indexed="81"/>
            <rFont val="Tahoma"/>
            <family val="2"/>
          </rPr>
          <t xml:space="preserve">
Per guidance, $1.6 - 1.9bn, slightly weighted towards F1H13</t>
        </r>
      </text>
    </comment>
    <comment ref="CA66" authorId="3">
      <text>
        <r>
          <rPr>
            <b/>
            <sz val="8"/>
            <color indexed="81"/>
            <rFont val="Tahoma"/>
            <family val="2"/>
          </rPr>
          <t>DJF 9/27/12:</t>
        </r>
        <r>
          <rPr>
            <sz val="8"/>
            <color indexed="81"/>
            <rFont val="Tahoma"/>
            <family val="2"/>
          </rPr>
          <t xml:space="preserve">
Per guidance, $1.6 - 1.9bn, slightly weighted towards F1H13</t>
        </r>
      </text>
    </comment>
    <comment ref="DZ6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5-5.5</t>
        </r>
      </text>
    </comment>
    <comment ref="B80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Update with Q's?</t>
        </r>
      </text>
    </comment>
    <comment ref="CB81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D&amp;A to increase by ~$20mn for Elpida / Rexchip</t>
        </r>
      </text>
    </comment>
    <comment ref="DZ8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Dep/Amort $3.4bn</t>
        </r>
      </text>
    </comment>
    <comment ref="EB81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Assuming a 5- year life, Elpida D&amp;A catch up ends</t>
        </r>
      </text>
    </comment>
    <comment ref="DW8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estimated per 10-k</t>
        </r>
      </text>
    </comment>
    <comment ref="DX8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estimated per 10-k</t>
        </r>
      </text>
    </comment>
    <comment ref="DY8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estimated per 10-k</t>
        </r>
      </text>
    </comment>
    <comment ref="DZ8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estimated per 10-k</t>
        </r>
      </text>
    </comment>
    <comment ref="EA82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estimated per 10-k</t>
        </r>
      </text>
    </comment>
    <comment ref="BY8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$490-500mn</t>
        </r>
      </text>
    </comment>
    <comment ref="BZ8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$480-490mn</t>
        </r>
      </text>
    </comment>
    <comment ref="DW84" authorId="3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$2bn guidance</t>
        </r>
      </text>
    </comment>
    <comment ref="CC121" authorId="4">
      <text>
        <r>
          <rPr>
            <sz val="8"/>
            <color indexed="81"/>
            <rFont val="Tahoma"/>
            <family val="2"/>
          </rPr>
          <t>Includes adjustment to gain on acquisition of Elpida, Includes amortization of debt discount and other costs and losses from currency hedges</t>
        </r>
      </text>
    </comment>
    <comment ref="N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S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T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U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V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W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X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Y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Z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A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K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L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M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N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O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P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Q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R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S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T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U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V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W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X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  <comment ref="AY157" authorId="5">
      <text>
        <r>
          <rPr>
            <sz val="8"/>
            <color indexed="81"/>
            <rFont val="Tahoma"/>
            <family val="2"/>
          </rPr>
          <t xml:space="preserve">Adjustment due to wrong data in the original model
</t>
        </r>
      </text>
    </comment>
  </commentList>
</comments>
</file>

<file path=xl/comments5.xml><?xml version="1.0" encoding="utf-8"?>
<comments xmlns="http://schemas.openxmlformats.org/spreadsheetml/2006/main">
  <authors>
    <author>Moore, Joseph Jr. (Research)</author>
    <author>Lim, Alvin (Research)</author>
    <author>Chang, Diana (Research)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about 40% per call</t>
        </r>
      </text>
    </comment>
    <comment ref="J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Kipp: 30%
Ken: 33%</t>
        </r>
      </text>
    </comment>
    <comment ref="L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low 20%</t>
        </r>
      </text>
    </comment>
    <comment ref="M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1Q Earnings - mid 20%</t>
        </r>
      </text>
    </comment>
    <comment ref="N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Kipp: Low 20%
</t>
        </r>
      </text>
    </comment>
    <comment ref="O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25%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mid 30s % per call</t>
        </r>
      </text>
    </comment>
    <comment ref="J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Kipp: 35%
Ken: 20-25%</t>
        </r>
      </text>
    </comment>
    <comment ref="L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low 30%</t>
        </r>
      </text>
    </comment>
    <comment ref="M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1Q Earnings - low 30%</t>
        </r>
      </text>
    </comment>
    <comment ref="N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Kipp: 40-50%
</t>
        </r>
      </text>
    </comment>
    <comment ref="O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mid 20%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68% y/y bit growth</t>
        </r>
      </text>
    </comment>
    <comment ref="G9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slightly below 500; bits up 30% q/q
</t>
        </r>
      </text>
    </comment>
    <comment ref="I9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record revenue and bits</t>
        </r>
      </text>
    </comment>
    <comment ref="O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low 20%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mid teens per call</t>
        </r>
      </text>
    </comment>
    <comment ref="J1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Kipp: 25%
Ken: 20%</t>
        </r>
      </text>
    </comment>
    <comment ref="L1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low to mid 20%</t>
        </r>
      </text>
    </comment>
    <comment ref="M1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1Q Earnings - high teens</t>
        </r>
      </text>
    </comment>
    <comment ref="C11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includes networking, graphics, automotive, and other embedded technologies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Kipp: 10% Networking</t>
        </r>
      </text>
    </comment>
    <comment ref="L12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low 20%
</t>
        </r>
      </text>
    </comment>
    <comment ref="M12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1Q Earnings - low 20%</t>
        </r>
      </text>
    </comment>
    <comment ref="N12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high 20%</t>
        </r>
      </text>
    </comment>
    <comment ref="O12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high 20%</t>
        </r>
      </text>
    </comment>
    <comment ref="K1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guided bit sales flat q/q but bit production up high single digits
(A): down 2%</t>
        </r>
      </text>
    </comment>
    <comment ref="L1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flat to up low single digit
(A): down 1%</t>
        </r>
      </text>
    </comment>
    <comment ref="M1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up 2% q/q</t>
        </r>
      </text>
    </comment>
    <comment ref="N1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-9%</t>
        </r>
      </text>
    </comment>
    <comment ref="O1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22%</t>
        </r>
      </text>
    </comment>
    <comment ref="P14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better than 3Q
A: up 20%</t>
        </r>
      </text>
    </comment>
    <comment ref="Q1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up 18% q/q</t>
        </r>
      </text>
    </comment>
    <comment ref="R1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1% q/q growth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guided down high single digits
(A): down 10%</t>
        </r>
      </text>
    </comment>
    <comment ref="L2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Down mid to high single digit
(A): down 7%</t>
        </r>
      </text>
    </comment>
    <comment ref="M2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down 13%</t>
        </r>
      </text>
    </comment>
    <comment ref="N2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-10%</t>
        </r>
      </text>
    </comment>
    <comment ref="O2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-11%</t>
        </r>
      </text>
    </comment>
    <comment ref="P2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down 6%
</t>
        </r>
      </text>
    </comment>
    <comment ref="Q2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up 5%</t>
        </r>
      </text>
    </comment>
    <comment ref="R29" authorId="1">
      <text>
        <r>
          <rPr>
            <b/>
            <sz val="9"/>
            <color indexed="81"/>
            <rFont val="Tahoma"/>
            <family val="2"/>
          </rPr>
          <t>(A): up 21% q/q</t>
        </r>
      </text>
    </comment>
    <comment ref="H34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high 30s % of revs</t>
        </r>
      </text>
    </comment>
    <comment ref="J34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low 30s</t>
        </r>
      </text>
    </comment>
    <comment ref="M3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mid 20% range</t>
        </r>
      </text>
    </comment>
    <comment ref="N3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mid 20%</t>
        </r>
      </text>
    </comment>
    <comment ref="P3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upper 20%</t>
        </r>
      </text>
    </comment>
    <comment ref="Q3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mid 20% range</t>
        </r>
      </text>
    </comment>
    <comment ref="R3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25%</t>
        </r>
      </text>
    </comment>
    <comment ref="H36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mid 20s percent of revs</t>
        </r>
      </text>
    </comment>
    <comment ref="J36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mid 20s</t>
        </r>
      </text>
    </comment>
    <comment ref="M36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low 30% range</t>
        </r>
      </text>
    </comment>
    <comment ref="N36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low 20%</t>
        </r>
      </text>
    </comment>
    <comment ref="P36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25%</t>
        </r>
      </text>
    </comment>
    <comment ref="Q36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approximately 30%</t>
        </r>
      </text>
    </comment>
    <comment ref="R36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high 20% range</t>
        </r>
      </text>
    </comment>
    <comment ref="H38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sub 20% of revs</t>
        </r>
      </text>
    </comment>
    <comment ref="J38" authorId="0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22%</t>
        </r>
      </text>
    </comment>
    <comment ref="M38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high teens %</t>
        </r>
      </text>
    </comment>
    <comment ref="N38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low 20%</t>
        </r>
      </text>
    </comment>
    <comment ref="P38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high teens %</t>
        </r>
      </text>
    </comment>
    <comment ref="Q38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high-teens %</t>
        </r>
      </text>
    </comment>
    <comment ref="R38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25%</t>
        </r>
      </text>
    </comment>
    <comment ref="M4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low 20% </t>
        </r>
      </text>
    </comment>
    <comment ref="N4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high 20%</t>
        </r>
      </text>
    </comment>
    <comment ref="P4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low 30%</t>
        </r>
      </text>
    </comment>
    <comment ref="Q4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mid-20s range</t>
        </r>
      </text>
    </comment>
    <comment ref="R4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low 20s % range</t>
        </r>
      </text>
    </comment>
    <comment ref="D4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K53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guided down low single digits
(A): down 2%</t>
        </r>
      </text>
    </comment>
    <comment ref="L53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down low to mid single digit
(A): down 6%</t>
        </r>
      </text>
    </comment>
    <comment ref="M53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up 5%</t>
        </r>
      </text>
    </comment>
    <comment ref="N53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+11%</t>
        </r>
      </text>
    </comment>
    <comment ref="O53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-10%</t>
        </r>
      </text>
    </comment>
    <comment ref="P53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Better than last qtr on callback
A: up 13% q/q</t>
        </r>
      </text>
    </comment>
    <comment ref="Q53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up 26%</t>
        </r>
      </text>
    </comment>
    <comment ref="R53" authorId="1">
      <text>
        <r>
          <rPr>
            <b/>
            <sz val="9"/>
            <color indexed="81"/>
            <rFont val="Tahoma"/>
            <family val="2"/>
          </rPr>
          <t>A: +18% q/q</t>
        </r>
      </text>
    </comment>
    <comment ref="K5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guided up mid single digits
(A): up 6%</t>
        </r>
      </text>
    </comment>
    <comment ref="L5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Flat
(A): down 1%</t>
        </r>
      </text>
    </comment>
    <comment ref="M5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down 7%
</t>
        </r>
      </text>
    </comment>
    <comment ref="N5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-15%</t>
        </r>
      </text>
    </comment>
    <comment ref="O59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-6%</t>
        </r>
      </text>
    </comment>
    <comment ref="P5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A: down 1%</t>
        </r>
      </text>
    </comment>
    <comment ref="Q5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flat q/q</t>
        </r>
      </text>
    </comment>
    <comment ref="R59" authorId="1">
      <text>
        <r>
          <rPr>
            <b/>
            <sz val="9"/>
            <color indexed="81"/>
            <rFont val="Tahoma"/>
            <family val="2"/>
          </rPr>
          <t>A: down 6%</t>
        </r>
      </text>
    </comment>
    <comment ref="E65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$101 actual</t>
        </r>
      </text>
    </comment>
    <comment ref="D70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10Q
include others</t>
        </r>
      </text>
    </comment>
    <comment ref="D74" authorId="1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</commentList>
</comments>
</file>

<file path=xl/comments6.xml><?xml version="1.0" encoding="utf-8"?>
<comments xmlns="http://schemas.openxmlformats.org/spreadsheetml/2006/main">
  <authors>
    <author>Lim, Alvin (Research)</author>
    <author>Moore, Joseph Jr. (Research)</author>
    <author>Chang, Diana (Research)</author>
  </authors>
  <commentList>
    <comment ref="G6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38% for FY14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35% for FY15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charlie model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old segment model</t>
        </r>
      </text>
    </comment>
    <comment ref="K12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476</t>
        </r>
      </text>
    </comment>
    <comment ref="L12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379</t>
        </r>
      </text>
    </comment>
    <comment ref="M12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$326. 
$705mn for F1H16</t>
        </r>
      </text>
    </comment>
    <comment ref="C13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Charlie Model.</t>
        </r>
      </text>
    </comment>
    <comment ref="C17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previous qtr + incremental depreciation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low 30s, up 7 pts q/q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up 5 pts to high 30s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gms stable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high 30s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low 40s, up a couple of points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flat w/nov low 40s, from call</t>
        </r>
      </text>
    </comment>
    <comment ref="J20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Down vs. 2Q
(A): high 30%</t>
        </r>
      </text>
    </comment>
    <comment ref="K20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Down mid single digit</t>
        </r>
      </text>
    </comment>
    <comment ref="L20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upper 20% range but down q/q</t>
        </r>
      </text>
    </comment>
    <comment ref="M20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~20%</t>
        </r>
      </text>
    </comment>
    <comment ref="N20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~20% in feb, down a couple of pts in 3Q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(A): 28%</t>
        </r>
      </text>
    </comment>
    <comment ref="Q2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A: 44%</t>
        </r>
      </text>
    </comment>
    <comment ref="D24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down 11%
</t>
        </r>
      </text>
    </comment>
    <comment ref="E24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-8%</t>
        </r>
      </text>
    </comment>
    <comment ref="F24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-3%</t>
        </r>
      </text>
    </comment>
    <comment ref="G24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0%</t>
        </r>
      </text>
    </comment>
    <comment ref="H24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-4%</t>
        </r>
      </text>
    </comment>
    <comment ref="I24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-4%</t>
        </r>
      </text>
    </comment>
    <comment ref="J24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down 6%</t>
        </r>
      </text>
    </comment>
    <comment ref="K24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up low single digit
A: up 3%</t>
        </r>
      </text>
    </comment>
    <comment ref="L24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down 10%</t>
        </r>
      </text>
    </comment>
    <comment ref="M24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up 1%</t>
        </r>
      </text>
    </comment>
    <comment ref="N24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down 9%</t>
        </r>
      </text>
    </comment>
    <comment ref="O2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down 8%</t>
        </r>
      </text>
    </comment>
    <comment ref="P24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down 5%</t>
        </r>
      </text>
    </comment>
    <comment ref="Q2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down 6% q/q</t>
        </r>
      </text>
    </comment>
    <comment ref="D36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up slightly q/q to low to mid 30s</t>
        </r>
      </text>
    </comment>
    <comment ref="E36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high 20s, down 5 pts q/q</t>
        </r>
      </text>
    </comment>
    <comment ref="F36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stable</t>
        </r>
      </text>
    </comment>
    <comment ref="G36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mid 20s, down a few points</t>
        </r>
      </text>
    </comment>
    <comment ref="H36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mid 20s from call</t>
        </r>
      </text>
    </comment>
    <comment ref="I36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low 20s, per call</t>
        </r>
      </text>
    </comment>
    <comment ref="J36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Improved vs 2Q in low 20%</t>
        </r>
      </text>
    </comment>
    <comment ref="K36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flat</t>
        </r>
      </text>
    </comment>
    <comment ref="L37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GM Flat q/q in low 20%</t>
        </r>
      </text>
    </comment>
    <comment ref="N37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high teens/20% in Feb qtr, down a couple of points (mid teens)</t>
        </r>
      </text>
    </comment>
    <comment ref="P37" authorId="0">
      <text>
        <r>
          <rPr>
            <sz val="9"/>
            <color indexed="81"/>
            <rFont val="Tahoma"/>
            <family val="2"/>
          </rPr>
          <t xml:space="preserve">
(A): GM 23%</t>
        </r>
      </text>
    </comment>
    <comment ref="Q37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31%</t>
        </r>
      </text>
    </comment>
    <comment ref="D39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trade down 7%</t>
        </r>
      </text>
    </comment>
    <comment ref="E39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-12%</t>
        </r>
      </text>
    </comment>
    <comment ref="F39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0%</t>
        </r>
      </text>
    </comment>
    <comment ref="G39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-2%</t>
        </r>
      </text>
    </comment>
    <comment ref="H39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-5%</t>
        </r>
      </text>
    </comment>
    <comment ref="I39" authorId="1">
      <text>
        <r>
          <rPr>
            <b/>
            <sz val="9"/>
            <color indexed="81"/>
            <rFont val="Tahoma"/>
            <family val="2"/>
          </rPr>
          <t>Moore, Joseph Jr. (Research):</t>
        </r>
        <r>
          <rPr>
            <sz val="9"/>
            <color indexed="81"/>
            <rFont val="Tahoma"/>
            <family val="2"/>
          </rPr>
          <t xml:space="preserve">
-3%</t>
        </r>
      </text>
    </comment>
    <comment ref="J39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up 3%</t>
        </r>
      </text>
    </comment>
    <comment ref="K39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(G): Flat
A: down 1%</t>
        </r>
      </text>
    </comment>
    <comment ref="L39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Down 6%</t>
        </r>
      </text>
    </comment>
    <comment ref="M39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down 12%</t>
        </r>
      </text>
    </comment>
    <comment ref="N39" authorId="0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A: down 3%</t>
        </r>
      </text>
    </comment>
    <comment ref="O3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up 1%</t>
        </r>
      </text>
    </comment>
    <comment ref="P39" authorId="0">
      <text>
        <r>
          <rPr>
            <b/>
            <sz val="9"/>
            <color indexed="81"/>
            <rFont val="Tahoma"/>
            <family val="2"/>
          </rPr>
          <t>(A): down 8%</t>
        </r>
      </text>
    </comment>
    <comment ref="Q39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down 15%</t>
        </r>
      </text>
    </comment>
  </commentList>
</comments>
</file>

<file path=xl/sharedStrings.xml><?xml version="1.0" encoding="utf-8"?>
<sst xmlns="http://schemas.openxmlformats.org/spreadsheetml/2006/main" count="1477" uniqueCount="990">
  <si>
    <t>C2Q03A</t>
  </si>
  <si>
    <t>C3Q03A</t>
  </si>
  <si>
    <t>C4Q03A</t>
  </si>
  <si>
    <t>C1Q04A</t>
  </si>
  <si>
    <t>C2Q04A</t>
  </si>
  <si>
    <t>C3Q04A</t>
  </si>
  <si>
    <t>C4Q04A</t>
  </si>
  <si>
    <t>C1Q05A</t>
  </si>
  <si>
    <t>C2Q05A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</si>
  <si>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</si>
  <si>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</si>
  <si>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</si>
  <si>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</si>
  <si>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</si>
  <si>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</si>
  <si>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</si>
  <si>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</si>
  <si>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</si>
  <si>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</si>
  <si>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</si>
  <si>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</si>
  <si>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</si>
  <si>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</si>
  <si>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</si>
  <si>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</si>
  <si>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</si>
  <si>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</si>
  <si>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</si>
  <si>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</si>
  <si>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</si>
  <si>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</si>
  <si>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</si>
  <si>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</si>
  <si>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</si>
  <si>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</si>
  <si>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</si>
  <si>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F1Q95A</t>
  </si>
  <si>
    <t>F2Q95A</t>
  </si>
  <si>
    <t>F3Q95A</t>
  </si>
  <si>
    <t>F4Q95A</t>
  </si>
  <si>
    <t>F1Q96A</t>
  </si>
  <si>
    <t>F2Q96A</t>
  </si>
  <si>
    <t>F3Q96A</t>
  </si>
  <si>
    <t>F4Q96A</t>
  </si>
  <si>
    <t>F1Q97A</t>
  </si>
  <si>
    <t>F2Q97A</t>
  </si>
  <si>
    <t>F3Q97A</t>
  </si>
  <si>
    <t>F4Q97A</t>
  </si>
  <si>
    <t>F1Q98A</t>
  </si>
  <si>
    <t>F2Q98A</t>
  </si>
  <si>
    <t>F3Q98A</t>
  </si>
  <si>
    <t>F4Q98A</t>
  </si>
  <si>
    <t>F1Q99A</t>
  </si>
  <si>
    <t>F2Q99A</t>
  </si>
  <si>
    <t>F3Q99A</t>
  </si>
  <si>
    <t>F4Q99A</t>
  </si>
  <si>
    <t>F1Q00A</t>
  </si>
  <si>
    <t>F2Q00A</t>
  </si>
  <si>
    <t>F3Q00A</t>
  </si>
  <si>
    <t>F4Q00A</t>
  </si>
  <si>
    <t>F1Q01A</t>
  </si>
  <si>
    <t>F2Q01A</t>
  </si>
  <si>
    <t>F3Q01A</t>
  </si>
  <si>
    <t>F4Q01A</t>
  </si>
  <si>
    <t>F1Q02A</t>
  </si>
  <si>
    <t>F2Q02A</t>
  </si>
  <si>
    <t>F3Q02A</t>
  </si>
  <si>
    <t>F4Q02A</t>
  </si>
  <si>
    <t>F1Q03A</t>
  </si>
  <si>
    <t>F2Q03A</t>
  </si>
  <si>
    <t>F3Q03A</t>
  </si>
  <si>
    <t>F4Q03A</t>
  </si>
  <si>
    <t>F1Q04A</t>
  </si>
  <si>
    <t>F2Q04A</t>
  </si>
  <si>
    <t>F3Q04A</t>
  </si>
  <si>
    <t>F4Q04A</t>
  </si>
  <si>
    <t>F1Q05A</t>
  </si>
  <si>
    <t>F2Q05A</t>
  </si>
  <si>
    <t>F3Q05A</t>
  </si>
  <si>
    <t>F4Q05A</t>
  </si>
  <si>
    <t>F1Q06A</t>
  </si>
  <si>
    <t>F2Q06A</t>
  </si>
  <si>
    <t>F3Q06A</t>
  </si>
  <si>
    <t>F4Q06A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</si>
  <si>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</si>
  <si>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</si>
  <si>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</si>
  <si>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</si>
  <si>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</si>
  <si>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</si>
  <si>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</si>
  <si>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</si>
  <si>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</si>
  <si>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</si>
  <si>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</si>
  <si>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</si>
  <si>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</si>
  <si>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</si>
  <si>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</si>
  <si>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</si>
  <si>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</si>
  <si>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</si>
  <si>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</si>
  <si>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</si>
  <si>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</si>
  <si>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</si>
  <si>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Net Debt Summary</t>
  </si>
  <si>
    <t>Cash</t>
  </si>
  <si>
    <t>Gross Profit-GAAP</t>
  </si>
  <si>
    <t>Net Income-GAAP</t>
  </si>
  <si>
    <t>Short-term Marketable Securities</t>
  </si>
  <si>
    <t>Long-term Marketable Securities</t>
  </si>
  <si>
    <t>Cash &amp; Cash Equivalents</t>
  </si>
  <si>
    <t>Net Debt (Cash)</t>
  </si>
  <si>
    <t>Net Cash per Share (Positive = Net Cash)</t>
  </si>
  <si>
    <t>2.375% Convertible Senior Notes due 2032</t>
  </si>
  <si>
    <t>3.125% Convertible Senior Notes due 2032</t>
  </si>
  <si>
    <t>1.5% Convertible Senior Notes due 2031</t>
  </si>
  <si>
    <t>1.875% Convertible Senior Notes due 2031</t>
  </si>
  <si>
    <t>1.875% Convertible Senior Notes due 2027</t>
  </si>
  <si>
    <t>1.875% Convertible Senior Notes due 2014</t>
  </si>
  <si>
    <t>Subtotal</t>
  </si>
  <si>
    <t>Cash Interest Expense</t>
  </si>
  <si>
    <t>Effective Interest Rates</t>
  </si>
  <si>
    <t>Effective Interest Expense</t>
  </si>
  <si>
    <t>Amortization</t>
  </si>
  <si>
    <t>Capital Leases</t>
  </si>
  <si>
    <t>Total Principal Amount of Debt</t>
  </si>
  <si>
    <t>Principal Amounts of Debt and Capital Leases</t>
  </si>
  <si>
    <t>Book Value of Debt and Capital Leases</t>
  </si>
  <si>
    <t>PBT - GAAP</t>
  </si>
  <si>
    <t>Income Tax Expense (Benefit) GAAP</t>
  </si>
  <si>
    <t>Net Income Attributable to Micron (GAAP)</t>
  </si>
  <si>
    <t>Operating Expenses - Non GAAP</t>
  </si>
  <si>
    <t>Other non operating Income (Expense), net</t>
  </si>
  <si>
    <t>Income Tax non GAAP expenses (benefit) of non GAAP exclusions</t>
  </si>
  <si>
    <t>Income Tax exclusion of non cash taxes from Elpida purchase accounting</t>
  </si>
  <si>
    <t>PAT - GAAP</t>
  </si>
  <si>
    <t>PAT - Non-GAAP</t>
  </si>
  <si>
    <t>PAT - MW</t>
  </si>
  <si>
    <t>Net Income Attributable to Micron (Non GAAP)</t>
  </si>
  <si>
    <t>Net Income Attributable to Micron (MW)</t>
  </si>
  <si>
    <t>Amortization of debt discount</t>
  </si>
  <si>
    <t>MU, Inc. Statement of Cash Flows</t>
  </si>
  <si>
    <t>F3Q13</t>
  </si>
  <si>
    <t>F4Q13</t>
  </si>
  <si>
    <t>Q/Q Change</t>
  </si>
  <si>
    <t>Depreciation</t>
  </si>
  <si>
    <t>EPS</t>
  </si>
  <si>
    <t>F3Q12A</t>
  </si>
  <si>
    <t>Y/Y Change</t>
  </si>
  <si>
    <t>Debt Schedule</t>
  </si>
  <si>
    <t>Depreciation &amp; Amortization Schedule</t>
  </si>
  <si>
    <t>C4Q13</t>
  </si>
  <si>
    <t>One-time Items</t>
  </si>
  <si>
    <t>COGS</t>
  </si>
  <si>
    <t>R&amp;D</t>
  </si>
  <si>
    <t>SG&amp;A</t>
  </si>
  <si>
    <t>SG&amp;A - MW</t>
  </si>
  <si>
    <t>Other OpEx</t>
  </si>
  <si>
    <t>FY1997A</t>
  </si>
  <si>
    <t>FY1998A</t>
  </si>
  <si>
    <t>FY1999A</t>
  </si>
  <si>
    <t>FY2000A</t>
  </si>
  <si>
    <t>C2Q13</t>
  </si>
  <si>
    <t>FY2001A</t>
  </si>
  <si>
    <t>FY2002A</t>
  </si>
  <si>
    <t>FY2003A</t>
  </si>
  <si>
    <t>FY2004A</t>
  </si>
  <si>
    <t>FY2005A</t>
  </si>
  <si>
    <t>FY2006A</t>
  </si>
  <si>
    <t>FY2007A</t>
  </si>
  <si>
    <t>FY2008A</t>
  </si>
  <si>
    <t>FY2009A</t>
  </si>
  <si>
    <t>FY2010A</t>
  </si>
  <si>
    <t>FY2011A</t>
  </si>
  <si>
    <t>FY2016E</t>
  </si>
  <si>
    <t>FY2017E</t>
  </si>
  <si>
    <t>FY2018E</t>
  </si>
  <si>
    <t>FY2019E</t>
  </si>
  <si>
    <t>FY2020E</t>
  </si>
  <si>
    <t>Interest Income</t>
  </si>
  <si>
    <t>Interest Expense</t>
  </si>
  <si>
    <t>Other Interest income 1x</t>
  </si>
  <si>
    <t>Net Income</t>
  </si>
  <si>
    <t>Net Income - MW</t>
  </si>
  <si>
    <t>Interest Income Schedule</t>
  </si>
  <si>
    <t>C2Q12A</t>
  </si>
  <si>
    <t>Interest Rate</t>
  </si>
  <si>
    <t>Long-term Debt (Principal Amounts)</t>
  </si>
  <si>
    <t>Note: Average diluted shares - non GAAP</t>
  </si>
  <si>
    <t>% of Total</t>
  </si>
  <si>
    <t>Total Interest Income (net) and Other Income</t>
  </si>
  <si>
    <t>Operating Margin %</t>
  </si>
  <si>
    <t>Effective Tax Rate</t>
  </si>
  <si>
    <t>GAAP EPS</t>
  </si>
  <si>
    <t>MW EPS</t>
  </si>
  <si>
    <t>Equity Method Income</t>
  </si>
  <si>
    <t>Share Summary</t>
  </si>
  <si>
    <t>Average Basic Shares</t>
  </si>
  <si>
    <t>Average Diluted Shares</t>
  </si>
  <si>
    <t>Note: Last 4 Years Capex</t>
  </si>
  <si>
    <t>Note: Last 2 Years Capex</t>
  </si>
  <si>
    <t>Long-term marketable securities</t>
  </si>
  <si>
    <t>Additions to equity method investments</t>
  </si>
  <si>
    <t>Return of equity method investment</t>
  </si>
  <si>
    <t>Proceeds from sale of PP&amp;E</t>
  </si>
  <si>
    <t>Proceeds from equipment-sale leaseback trans.</t>
  </si>
  <si>
    <t>Cash received from noncontrolling interest</t>
  </si>
  <si>
    <t>Acquisition of noncontrolling interest</t>
  </si>
  <si>
    <t>Distributions to noncontrolling interest</t>
  </si>
  <si>
    <t>F4Q12A</t>
  </si>
  <si>
    <t>C3Q12A</t>
  </si>
  <si>
    <t>% of Revs.</t>
  </si>
  <si>
    <t>F2Q14A</t>
  </si>
  <si>
    <t>C1Q14A</t>
  </si>
  <si>
    <t>Operating Income - MW</t>
  </si>
  <si>
    <t>Intel Senior Note</t>
  </si>
  <si>
    <t>Difference</t>
  </si>
  <si>
    <t>Cash &amp; Equivalents - BOP</t>
  </si>
  <si>
    <t>Cash &amp; Equivalents - EOP</t>
  </si>
  <si>
    <t>Less Accumulated Depreciation</t>
  </si>
  <si>
    <t>Non-cash interest expense and other non-cash items</t>
  </si>
  <si>
    <t>Long-term debt (includes ST debt)</t>
  </si>
  <si>
    <t>EBIT</t>
  </si>
  <si>
    <t>Plus: Depreciation &amp; Amortization</t>
  </si>
  <si>
    <t>Less: Cash Taxes</t>
  </si>
  <si>
    <t>Less: Capital Expenditures</t>
  </si>
  <si>
    <t>Less: Working Capital Investment</t>
  </si>
  <si>
    <t>Operating Income - GAAP</t>
  </si>
  <si>
    <t>Operating Expenses - GAAP</t>
  </si>
  <si>
    <t>2012 Leases</t>
  </si>
  <si>
    <t>2011 Leases</t>
  </si>
  <si>
    <t>Trade NAND</t>
  </si>
  <si>
    <t>FY2012A</t>
  </si>
  <si>
    <t>C4Q12A</t>
  </si>
  <si>
    <t>F1Q13A</t>
  </si>
  <si>
    <t>Coupon Interest Rates</t>
  </si>
  <si>
    <t>Revolver</t>
  </si>
  <si>
    <t>Equipment Facility</t>
  </si>
  <si>
    <t>Share Repurchases</t>
  </si>
  <si>
    <t>Balance Sheet Debt</t>
  </si>
  <si>
    <t>Total Senior Notes</t>
  </si>
  <si>
    <t>Assumed Refinancings</t>
  </si>
  <si>
    <t>Change in LT Debt</t>
  </si>
  <si>
    <t>F1Q14</t>
  </si>
  <si>
    <t>Gross Profit Non-GAAP</t>
  </si>
  <si>
    <t>Non-GAAP Gross Margin</t>
  </si>
  <si>
    <t>Operating Income - Non-GAAP</t>
  </si>
  <si>
    <t>PBT - Non-GAAP</t>
  </si>
  <si>
    <t>Net Income- Non-GAAP</t>
  </si>
  <si>
    <t>Average Non-GAAP Shares</t>
  </si>
  <si>
    <t xml:space="preserve"> </t>
  </si>
  <si>
    <t>Mobile DRAM</t>
  </si>
  <si>
    <t>Total DRAM</t>
  </si>
  <si>
    <t>Total NAND</t>
  </si>
  <si>
    <t>FY2014</t>
  </si>
  <si>
    <t>Elpida Debt</t>
  </si>
  <si>
    <t>FY2015</t>
  </si>
  <si>
    <t>F2Q13A</t>
  </si>
  <si>
    <t>C1Q13A</t>
  </si>
  <si>
    <t>Inotera COGS</t>
  </si>
  <si>
    <t>Total revenues</t>
  </si>
  <si>
    <t>Cons Revs</t>
  </si>
  <si>
    <t>COGS - MW</t>
  </si>
  <si>
    <t>Gross Profit - MW</t>
  </si>
  <si>
    <t>Gross Margin - MW</t>
  </si>
  <si>
    <t>R&amp;D - MW</t>
  </si>
  <si>
    <t>Other OpEx - MW</t>
  </si>
  <si>
    <t>Operating Expenses - MW</t>
  </si>
  <si>
    <t>Total Interest Income (net) and Other Income - MW</t>
  </si>
  <si>
    <t>PBT - MW</t>
  </si>
  <si>
    <t>Taxes-Extraordinary</t>
  </si>
  <si>
    <t>Income Tax Expense (Benefit) - MW</t>
  </si>
  <si>
    <t>Effective tax rate MW</t>
  </si>
  <si>
    <t>Period-end Shares</t>
  </si>
  <si>
    <t>Statutory Tax (%)</t>
  </si>
  <si>
    <t>Actual/Estimate Toggle</t>
  </si>
  <si>
    <t>Fiscal Year</t>
  </si>
  <si>
    <t>Company</t>
  </si>
  <si>
    <t>Fiscal Quarter</t>
  </si>
  <si>
    <t>Calendar Year</t>
  </si>
  <si>
    <t>Calendar Quarter</t>
  </si>
  <si>
    <t>USD</t>
  </si>
  <si>
    <t>A</t>
  </si>
  <si>
    <t>Assets</t>
  </si>
  <si>
    <t>Cash and cash equivalents</t>
  </si>
  <si>
    <t>Accounts receivables, net</t>
  </si>
  <si>
    <t>Prepaid expenses and other current assets</t>
  </si>
  <si>
    <t>Total Current Assets</t>
  </si>
  <si>
    <t>Property and equipment, net</t>
  </si>
  <si>
    <t>Total Assets</t>
  </si>
  <si>
    <t>Liabilities &amp; Shareholders' Equity</t>
  </si>
  <si>
    <t>Accounts payable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</si>
  <si>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</si>
  <si>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</si>
  <si>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</si>
  <si>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</si>
  <si>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</si>
  <si>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</si>
  <si>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</si>
  <si>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</si>
  <si>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</si>
  <si>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Prepaid expenses and other current assets % of Revenues</t>
  </si>
  <si>
    <t>Revenues</t>
  </si>
  <si>
    <t>Cost of Goods Sold</t>
  </si>
  <si>
    <t>Stockholders Equity</t>
  </si>
  <si>
    <t>Preferred stock</t>
  </si>
  <si>
    <t>Common stock</t>
  </si>
  <si>
    <t>2588184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</si>
  <si>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</si>
  <si>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</si>
  <si>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</si>
  <si>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</si>
  <si>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</si>
  <si>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</si>
  <si>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</si>
  <si>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</si>
  <si>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Book value per share</t>
  </si>
  <si>
    <t>Tangible book value</t>
  </si>
  <si>
    <t>Tangible book value per share</t>
  </si>
  <si>
    <t>Net working capital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</si>
  <si>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</si>
  <si>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</si>
  <si>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</si>
  <si>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</si>
  <si>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</si>
  <si>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Adjustments to reconcile net income to net cash provided by operating activities:</t>
  </si>
  <si>
    <t>Changes in current assets and liabilities:</t>
  </si>
  <si>
    <t>Accounts receivable</t>
  </si>
  <si>
    <t>Inventory</t>
  </si>
  <si>
    <t>Prepaid expenses and other assets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</si>
  <si>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</si>
  <si>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</si>
  <si>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</si>
  <si>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</si>
  <si>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</si>
  <si>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</si>
  <si>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</si>
  <si>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</si>
  <si>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</si>
  <si>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F1Q14A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</si>
  <si>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</si>
  <si>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</si>
  <si>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</si>
  <si>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</si>
  <si>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</si>
  <si>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</si>
  <si>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</si>
  <si>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</si>
  <si>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</si>
  <si>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Net PP&amp;E</t>
  </si>
  <si>
    <t>Total Depreciation and Amortization</t>
  </si>
  <si>
    <t>Percentage of Gross PP&amp;E</t>
  </si>
  <si>
    <t>vs. Cash Flow Statement</t>
  </si>
  <si>
    <t>Free Cash Flow</t>
  </si>
  <si>
    <t>Adjusted FCF</t>
  </si>
  <si>
    <t>Gross Margin</t>
  </si>
  <si>
    <t>This sheet contains Factset binary data for use with this workbook's =FDS codes.  Modifying the worksheet's contents may damage the workbook's =FDS functionality.</t>
  </si>
  <si>
    <t>Currency</t>
  </si>
  <si>
    <t>Current Stock Price</t>
  </si>
  <si>
    <t>Count</t>
  </si>
  <si>
    <t>Other non-current assets</t>
  </si>
  <si>
    <t>Restricted cash</t>
  </si>
  <si>
    <t>Intangible assets, net</t>
  </si>
  <si>
    <t>Deferred tax assets, non current</t>
  </si>
  <si>
    <t>Income taxes payable</t>
  </si>
  <si>
    <t>Other changes in assets and liabilities</t>
  </si>
  <si>
    <t>Goodwill</t>
  </si>
  <si>
    <t>Other financing activities</t>
  </si>
  <si>
    <t>Deferred income taxes</t>
  </si>
  <si>
    <t>Net income attributable to non-controlling interest</t>
  </si>
  <si>
    <t>Proceeds from (payments of) long-term debt</t>
  </si>
  <si>
    <t>Minority interest</t>
  </si>
  <si>
    <t>Capital expenditures, net</t>
  </si>
  <si>
    <t>Payment of dividends to stockholders</t>
  </si>
  <si>
    <t>Depreciation and amortization</t>
  </si>
  <si>
    <t>Non-GAAP EPS</t>
  </si>
  <si>
    <t>($ in millions; fiscal year ends in April)</t>
  </si>
  <si>
    <t>Short-term investments</t>
  </si>
  <si>
    <t>Prepaid and deferred income taxes</t>
  </si>
  <si>
    <t>Deferred revenues</t>
  </si>
  <si>
    <t>Accrued expenses and other current liabilities</t>
  </si>
  <si>
    <t>Long-term deferred income taxes payable</t>
  </si>
  <si>
    <t>Other long-term liabilities</t>
  </si>
  <si>
    <t>Treasury stock</t>
  </si>
  <si>
    <t>Stock-based compensation</t>
  </si>
  <si>
    <t>Gain/Loss on disposal of property, plant and equipment</t>
  </si>
  <si>
    <t>Write-down of inventories</t>
  </si>
  <si>
    <t>Tax effect from stock-based compensation</t>
  </si>
  <si>
    <t>Loss (gain) on equity investments, net</t>
  </si>
  <si>
    <t>Payments for repurchases of common stock</t>
  </si>
  <si>
    <t>United States</t>
  </si>
  <si>
    <t>Others</t>
  </si>
  <si>
    <t>MU.O</t>
  </si>
  <si>
    <t>Micron Technology Inc.</t>
  </si>
  <si>
    <t>MU.O,mscalc:closePriceCurrencyCalc</t>
  </si>
  <si>
    <t>MU.O,mscalc:targetPrice,,,,USD</t>
  </si>
  <si>
    <t>MU.O,mscalc:sedolCodeCalc</t>
  </si>
  <si>
    <t>Micron Technology, Inc</t>
  </si>
  <si>
    <t>MU</t>
  </si>
  <si>
    <t>Equity method investments</t>
  </si>
  <si>
    <t>Payments on equipment purchase contracts</t>
  </si>
  <si>
    <t>Acquisitions/dispositions</t>
  </si>
  <si>
    <t>Equipment purchase contracts</t>
  </si>
  <si>
    <t>Micron Technology, Inc Balance Sheet</t>
  </si>
  <si>
    <t>Micron Income Statement</t>
  </si>
  <si>
    <t>($ in millions; fiscal year ends in Aug)</t>
  </si>
  <si>
    <t>Sale/(Purchases) of securities</t>
  </si>
  <si>
    <t>Other</t>
  </si>
  <si>
    <t>NAND</t>
  </si>
  <si>
    <t>Total</t>
  </si>
  <si>
    <t>MU.O,mscalc:targetPrice</t>
  </si>
  <si>
    <t>$AZ$2</t>
  </si>
  <si>
    <t>MU, Inc. Statement of Cash Flows (Cumulative)</t>
  </si>
  <si>
    <t>DRAM</t>
  </si>
  <si>
    <t>GAAP to non-GAAP Reconciliation</t>
  </si>
  <si>
    <t>Non-GAAP adjustments:</t>
  </si>
  <si>
    <t>Flow-through of Elpida inventory step up</t>
  </si>
  <si>
    <t>Rambus settlement</t>
  </si>
  <si>
    <t>Restructure and asset impairments</t>
  </si>
  <si>
    <t>Amortization of debt discount and other costs</t>
  </si>
  <si>
    <t>Loss on restructure of debt</t>
  </si>
  <si>
    <t>(Gain) loss from changes in currency exchange rates</t>
  </si>
  <si>
    <t>Estimated tax effects of above items</t>
  </si>
  <si>
    <t>Non-cash taxes from Elpida purchase accounting</t>
  </si>
  <si>
    <t>Total non-GAAP adjustments</t>
  </si>
  <si>
    <t>Non-GAAP net income atributable to Micron</t>
  </si>
  <si>
    <t>Tax Related</t>
  </si>
  <si>
    <t>Income Tax Expense (Benefit) - Non-GAAP</t>
  </si>
  <si>
    <t>Extraordinary</t>
  </si>
  <si>
    <t>(Gain) on sale of equity interest in Aptina</t>
  </si>
  <si>
    <t>(Gain) on Inotera issuance of shares</t>
  </si>
  <si>
    <t>FY2013A</t>
  </si>
  <si>
    <t>C2Q14</t>
  </si>
  <si>
    <t>F3Q14A</t>
  </si>
  <si>
    <t>Tessera license</t>
  </si>
  <si>
    <t>FY1995A</t>
  </si>
  <si>
    <t>FY1996A</t>
  </si>
  <si>
    <t>Deferred income</t>
  </si>
  <si>
    <t>Cons EPS</t>
  </si>
  <si>
    <t>C4Q94A</t>
  </si>
  <si>
    <t>C1Q95A</t>
  </si>
  <si>
    <t>C2Q95A</t>
  </si>
  <si>
    <t>C3Q95A</t>
  </si>
  <si>
    <t>C4Q95A</t>
  </si>
  <si>
    <t>C1Q96A</t>
  </si>
  <si>
    <t>C2Q96A</t>
  </si>
  <si>
    <t>C3Q96A</t>
  </si>
  <si>
    <t>C4Q96A</t>
  </si>
  <si>
    <t>C1Q97A</t>
  </si>
  <si>
    <t>C2Q97A</t>
  </si>
  <si>
    <t>C3Q97A</t>
  </si>
  <si>
    <t>C3Q13</t>
  </si>
  <si>
    <t>C4Q97A</t>
  </si>
  <si>
    <t>C1Q98A</t>
  </si>
  <si>
    <t>C2Q98A</t>
  </si>
  <si>
    <t>C3Q98A</t>
  </si>
  <si>
    <t>C4Q98A</t>
  </si>
  <si>
    <t>C1Q99A</t>
  </si>
  <si>
    <t>C2Q99A</t>
  </si>
  <si>
    <t>C3Q99A</t>
  </si>
  <si>
    <t>C4Q99A</t>
  </si>
  <si>
    <t>C1Q01A</t>
  </si>
  <si>
    <t>C2Q01A</t>
  </si>
  <si>
    <t>C3Q01A</t>
  </si>
  <si>
    <t>C4Q01A</t>
  </si>
  <si>
    <t>C1Q02A</t>
  </si>
  <si>
    <t>C2Q02A</t>
  </si>
  <si>
    <t>C3Q02A</t>
  </si>
  <si>
    <t>C4Q02A</t>
  </si>
  <si>
    <t>C1Q03A</t>
  </si>
  <si>
    <t>Current Debt</t>
  </si>
  <si>
    <t>Current debt</t>
  </si>
  <si>
    <t>debt to total capital</t>
  </si>
  <si>
    <t>debt to equity</t>
  </si>
  <si>
    <t>net debt to total equity</t>
  </si>
  <si>
    <t>C3Q14</t>
  </si>
  <si>
    <t>F4Q14</t>
  </si>
  <si>
    <t>36</t>
  </si>
  <si>
    <t>Non-cash taxes from Inotera</t>
  </si>
  <si>
    <t>Income Tax exclusion of non cash taxes from Inotera</t>
  </si>
  <si>
    <t>5.25% Senior Note due 2023</t>
  </si>
  <si>
    <t>DRAM revenues</t>
  </si>
  <si>
    <t>DRAM Gbs</t>
  </si>
  <si>
    <t>DRAM COGS breakdown:</t>
  </si>
  <si>
    <t>Inotera Gbs</t>
  </si>
  <si>
    <t>Non-inotera Gbs</t>
  </si>
  <si>
    <t>DRAM ASP</t>
  </si>
  <si>
    <t>NAND revenues</t>
  </si>
  <si>
    <t>Total DRAM COGS:</t>
  </si>
  <si>
    <t>DRAM gross margins</t>
  </si>
  <si>
    <t>NAND Gbs</t>
  </si>
  <si>
    <t>INTC Gbs</t>
  </si>
  <si>
    <t>trade Gbs</t>
  </si>
  <si>
    <t>NAND ASP</t>
  </si>
  <si>
    <t>NAND COGS</t>
  </si>
  <si>
    <t>Other revs</t>
  </si>
  <si>
    <t>Total COGS</t>
  </si>
  <si>
    <t>inotera % of Gbs (10Q)</t>
  </si>
  <si>
    <t>DRAM cost per Gb</t>
  </si>
  <si>
    <t>q/q change</t>
  </si>
  <si>
    <t>INTC COGS</t>
  </si>
  <si>
    <t>TRADE COGS</t>
  </si>
  <si>
    <t>DRAM gross margins Inotera</t>
  </si>
  <si>
    <t>DRAM gross margins ex-inotera</t>
  </si>
  <si>
    <t>NAND trade gross margins</t>
  </si>
  <si>
    <t>NAND overall gross margins</t>
  </si>
  <si>
    <t>COGS ex depreciation</t>
  </si>
  <si>
    <t xml:space="preserve">   inotera profit share</t>
  </si>
  <si>
    <t xml:space="preserve">   inotera rev per Gb</t>
  </si>
  <si>
    <t>Back end costs</t>
  </si>
  <si>
    <t>Other DRAM fab COGS</t>
  </si>
  <si>
    <t>top down COGS</t>
  </si>
  <si>
    <t>Trade NAND cost per bit</t>
  </si>
  <si>
    <t>Other miscellaneous costs</t>
  </si>
  <si>
    <t>Gigabits produced</t>
  </si>
  <si>
    <t>Gigabits shipped</t>
  </si>
  <si>
    <t xml:space="preserve">PC DRAM </t>
  </si>
  <si>
    <t>% of total</t>
  </si>
  <si>
    <t>Server DRAM</t>
  </si>
  <si>
    <t>q/q growth</t>
  </si>
  <si>
    <t>y/y growth</t>
  </si>
  <si>
    <t>premium to PC</t>
  </si>
  <si>
    <t>Overall ASP</t>
  </si>
  <si>
    <t>DRAM revenue</t>
  </si>
  <si>
    <t>shipped to intel</t>
  </si>
  <si>
    <t>trade NAND</t>
  </si>
  <si>
    <t>NAND revenue</t>
  </si>
  <si>
    <t>check: reported revs</t>
  </si>
  <si>
    <t>Other DRAM</t>
  </si>
  <si>
    <t>Nor/other</t>
  </si>
  <si>
    <t>corporate gross margins</t>
  </si>
  <si>
    <t>Average Selling Prices</t>
  </si>
  <si>
    <t>Shipped to intel</t>
  </si>
  <si>
    <t xml:space="preserve">   die cost inotera</t>
  </si>
  <si>
    <t>F1Q15A</t>
  </si>
  <si>
    <t>F2Q15A</t>
  </si>
  <si>
    <t>F4Q14A</t>
  </si>
  <si>
    <t>C1Q15A</t>
  </si>
  <si>
    <t>C4Q14A</t>
  </si>
  <si>
    <t>F3Q15A</t>
  </si>
  <si>
    <t>5.25% Senior Note due 2024</t>
  </si>
  <si>
    <t>5.625% Senior Note due 2026</t>
  </si>
  <si>
    <t xml:space="preserve">  depreciation (for reference)</t>
  </si>
  <si>
    <t>C2Q15A</t>
  </si>
  <si>
    <t>F4Q15A</t>
  </si>
  <si>
    <t>C3Q15A</t>
  </si>
  <si>
    <t>Adjustment to gain on acquisition of Elpida</t>
  </si>
  <si>
    <t>Remeasurement of equity interest</t>
  </si>
  <si>
    <t>F3Q17E</t>
  </si>
  <si>
    <t>FY2016</t>
  </si>
  <si>
    <t>FY2017</t>
  </si>
  <si>
    <t>Amortization of debt discount and other cost</t>
  </si>
  <si>
    <t>Amortization of intangible assets</t>
  </si>
  <si>
    <t>FY2014A</t>
  </si>
  <si>
    <t>FY2015A</t>
  </si>
  <si>
    <t xml:space="preserve">                  </t>
  </si>
  <si>
    <t>C4Q15A</t>
  </si>
  <si>
    <t>F1Q16A</t>
  </si>
  <si>
    <t>CY2015</t>
  </si>
  <si>
    <t>CY2016</t>
  </si>
  <si>
    <t>C1Q16A</t>
  </si>
  <si>
    <t>F2Q16A</t>
  </si>
  <si>
    <t>7.5% Senior Notes due 2023</t>
  </si>
  <si>
    <t>Secured Term Loan Facility (L+600bps, L 75bps floor))</t>
  </si>
  <si>
    <t>F3Q16A</t>
  </si>
  <si>
    <t>C2Q16A</t>
  </si>
  <si>
    <t>C2Q18E</t>
  </si>
  <si>
    <t>C3Q18E</t>
  </si>
  <si>
    <t>F1Q18E</t>
  </si>
  <si>
    <t>F2Q18E</t>
  </si>
  <si>
    <t>F3Q18E</t>
  </si>
  <si>
    <t>F4Q18E</t>
  </si>
  <si>
    <t>CY2017</t>
  </si>
  <si>
    <t>Inotera related</t>
  </si>
  <si>
    <t>FY2018</t>
  </si>
  <si>
    <t>Other expenses</t>
  </si>
  <si>
    <t>Stock compensation expenses</t>
  </si>
  <si>
    <t>Other Opex- non GAAP</t>
  </si>
  <si>
    <t>Change in working capital</t>
  </si>
  <si>
    <t>5.50% Senior Note due 2025</t>
  </si>
  <si>
    <t>F4Q16A</t>
  </si>
  <si>
    <t>C3Q16A</t>
  </si>
  <si>
    <t>FY2016A</t>
  </si>
  <si>
    <t>Equity Method Income - Non GAAP adjustment</t>
  </si>
  <si>
    <t>C4Q16A</t>
  </si>
  <si>
    <t>F1Q17A</t>
  </si>
  <si>
    <t>F2Q17A</t>
  </si>
  <si>
    <t>C1Q17A</t>
  </si>
  <si>
    <t>F3Q17A</t>
  </si>
  <si>
    <t>C2Q17A</t>
  </si>
  <si>
    <t>F4Q17A</t>
  </si>
  <si>
    <t>C3Q17A</t>
  </si>
  <si>
    <t>F4Q19E</t>
  </si>
  <si>
    <t>C4Q18E</t>
  </si>
  <si>
    <t>C1Q19E</t>
  </si>
  <si>
    <t>C2Q19E</t>
  </si>
  <si>
    <t>C3Q19E</t>
  </si>
  <si>
    <t>F1Q19E</t>
  </si>
  <si>
    <t>F2Q19E</t>
  </si>
  <si>
    <t>F3Q19E</t>
  </si>
  <si>
    <t>CY2018</t>
  </si>
  <si>
    <t>FY2017A</t>
  </si>
  <si>
    <t>F1Q20E</t>
  </si>
  <si>
    <t>F2Q20E</t>
  </si>
  <si>
    <t>F3Q20E</t>
  </si>
  <si>
    <t>F4Q20E</t>
  </si>
  <si>
    <t>C4Q19E</t>
  </si>
  <si>
    <t>C1Q20E</t>
  </si>
  <si>
    <t>C2Q20E</t>
  </si>
  <si>
    <t>C3Q20E</t>
  </si>
  <si>
    <t>CY2019</t>
  </si>
  <si>
    <t>FY2019</t>
  </si>
  <si>
    <t>FY2020</t>
  </si>
  <si>
    <t>F1Q18A</t>
  </si>
  <si>
    <t>C4Q17A</t>
  </si>
  <si>
    <t xml:space="preserve">    Manual Calculation    </t>
  </si>
  <si>
    <t>54</t>
  </si>
  <si>
    <t>C1Q18A</t>
  </si>
  <si>
    <t>F2Q18A</t>
  </si>
  <si>
    <t>Impact of U.S. income tax reform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</si>
  <si>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</si>
  <si>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</si>
  <si>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</si>
  <si>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</si>
  <si>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</si>
  <si>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</si>
  <si>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</si>
  <si>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Joseph Moore, Craig Hettenbach</t>
  </si>
  <si>
    <t>Date: 22 Mar 2018</t>
  </si>
  <si>
    <t>Ticker: MU.O</t>
  </si>
  <si>
    <t>Stock Rating: Overweight</t>
  </si>
  <si>
    <t>Industry: Semiconductors</t>
  </si>
  <si>
    <t>Industry View: In-Line</t>
  </si>
  <si>
    <t>Price as of 22 Mar 2018: 57.00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</si>
  <si>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</si>
  <si>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</si>
  <si>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</si>
  <si>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</si>
  <si>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Micron Technology Inc..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</si>
  <si>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</si>
  <si>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</si>
  <si>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</si>
  <si>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</si>
  <si>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</si>
  <si>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</si>
  <si>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</si>
  <si>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</si>
  <si>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</si>
  <si>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</si>
  <si>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</si>
  <si>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</si>
  <si>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</si>
  <si>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</si>
  <si>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</si>
  <si>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</si>
  <si>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</si>
  <si>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</si>
  <si>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</si>
  <si>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</si>
  <si>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</si>
  <si>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</si>
  <si>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</si>
  <si>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</si>
  <si>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</si>
  <si>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</si>
  <si>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</si>
  <si>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</si>
  <si>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</si>
  <si>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</si>
  <si>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</si>
  <si>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</si>
  <si>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</si>
  <si>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</si>
  <si>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</si>
  <si>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</si>
  <si>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</si>
  <si>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</si>
  <si>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</si>
  <si>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</si>
  <si>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</si>
  <si>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</si>
  <si>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</si>
  <si>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</si>
  <si>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</si>
  <si>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</si>
  <si>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</si>
  <si>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</si>
  <si>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</si>
  <si>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</si>
  <si>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</si>
  <si>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</si>
  <si>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</si>
  <si>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</si>
  <si>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</si>
  <si>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</si>
  <si>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</si>
  <si>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</si>
  <si>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</si>
  <si>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</si>
  <si>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</si>
  <si>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</si>
  <si>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</si>
  <si>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</si>
  <si>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</si>
  <si>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</si>
  <si>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</si>
  <si>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</si>
  <si>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</si>
  <si>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</si>
  <si>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</si>
  <si>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</si>
  <si>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</si>
  <si>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</si>
  <si>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</si>
  <si>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</si>
  <si>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</si>
  <si>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</si>
  <si>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</si>
  <si>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</si>
  <si>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</si>
  <si>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</si>
  <si>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</si>
  <si>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</si>
  <si>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</si>
  <si>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</si>
  <si>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</si>
  <si>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</si>
  <si>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</si>
  <si>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</si>
  <si>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</si>
  <si>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</si>
  <si>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</si>
  <si>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</si>
  <si>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</si>
  <si>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</si>
  <si>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</si>
  <si>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</si>
  <si>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</si>
  <si>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</si>
  <si>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</si>
  <si>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</si>
  <si>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</si>
  <si>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</si>
  <si>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</si>
  <si>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</si>
  <si>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</si>
  <si>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</si>
  <si>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</si>
  <si>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</si>
  <si>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</si>
  <si>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</si>
  <si>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</si>
  <si>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</si>
  <si>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</si>
  <si>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</si>
  <si>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</si>
  <si>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</si>
  <si>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</si>
  <si>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</si>
  <si>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</si>
  <si>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</si>
  <si>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</si>
  <si>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</si>
  <si>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</si>
  <si>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</si>
  <si>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</si>
  <si>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</si>
  <si>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</si>
  <si>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</si>
  <si>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</si>
  <si>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</si>
  <si>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</si>
  <si>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</si>
  <si>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</si>
  <si>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</si>
  <si>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</si>
  <si>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</si>
  <si>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</si>
  <si>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</si>
  <si>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</si>
  <si>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</si>
  <si>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</si>
  <si>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</si>
  <si>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</si>
  <si>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</si>
  <si>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</si>
  <si>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</si>
  <si>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</si>
  <si>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</si>
  <si>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</si>
  <si>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</si>
  <si>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</si>
  <si>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</si>
  <si>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</si>
  <si>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</si>
  <si>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</si>
  <si>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</si>
  <si>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</si>
  <si>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</si>
  <si>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</si>
  <si>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</si>
  <si>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</si>
  <si>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</si>
  <si>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</si>
  <si>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</si>
  <si>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</si>
  <si>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</si>
  <si>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</si>
  <si>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</si>
  <si>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</si>
  <si>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</si>
  <si>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</si>
  <si>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</si>
  <si>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</si>
  <si>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Micron Technology Inc..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</si>
  <si>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</si>
  <si>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</si>
  <si>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</si>
  <si>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</si>
  <si>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</si>
  <si>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</si>
  <si>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</si>
  <si>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</si>
  <si>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</si>
  <si>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</si>
  <si>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</si>
  <si>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</si>
  <si>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</si>
  <si>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</si>
  <si>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</si>
  <si>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</si>
  <si>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</si>
  <si>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</si>
  <si>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</si>
  <si>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</si>
  <si>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</si>
  <si>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</si>
  <si>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</si>
  <si>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</si>
  <si>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</si>
  <si>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</si>
  <si>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</si>
  <si>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</si>
  <si>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</si>
  <si>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</si>
  <si>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</si>
  <si>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</si>
  <si>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</si>
  <si>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</si>
  <si>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</si>
  <si>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</si>
  <si>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</si>
  <si>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</si>
  <si>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</si>
  <si>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</si>
  <si>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</si>
  <si>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</si>
  <si>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</si>
  <si>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</si>
  <si>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</si>
  <si>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</si>
  <si>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</si>
  <si>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</si>
  <si>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</si>
  <si>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</si>
  <si>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</si>
  <si>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</si>
  <si>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</si>
  <si>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</si>
  <si>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</si>
  <si>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</si>
  <si>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</si>
  <si>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</si>
  <si>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</si>
  <si>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</si>
  <si>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</si>
  <si>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</si>
  <si>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</si>
  <si>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</si>
  <si>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</si>
  <si>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</si>
  <si>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</si>
  <si>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</si>
  <si>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Micron Technology Inc..</t>
  </si>
  <si>
    <t>Within the last 12 months, Morgan Stanley has provided or is providing investment banking services to,</t>
  </si>
  <si>
    <t>or has an investment banking client relationship with, the following company: Micron Technology Inc..</t>
  </si>
  <si>
    <t>Within the last 12 months, Morgan Stanley has received compensation for products and services other than</t>
  </si>
  <si>
    <t>investment banking services from Micron Technology Inc..</t>
  </si>
  <si>
    <t>In the next 3 months, Morgan Stanley expects to receive or intends to seek compensation for investment</t>
  </si>
  <si>
    <t>banking services from Micron Technology Inc..</t>
  </si>
  <si>
    <t>Within the last 12 months, Morgan Stanley has received compensation for investment banking services from</t>
  </si>
  <si>
    <t>Micron Technology Inc..</t>
  </si>
  <si>
    <t>As of February 28, 2018, Morgan Stanley beneficially owned 1% or more of a class of common equity</t>
  </si>
  <si>
    <t>securities of the following companies covered in Morgan Stanley Research: Micron Technology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</si>
  <si>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</si>
  <si>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</si>
  <si>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</si>
  <si>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</si>
  <si>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</si>
  <si>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Moore.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</si>
  <si>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</si>
  <si>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</si>
  <si>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</si>
  <si>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</si>
  <si>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</si>
  <si>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</si>
  <si>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</si>
  <si>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</si>
  <si>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</si>
  <si>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</si>
  <si>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</si>
  <si>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</si>
  <si>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</si>
  <si>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</si>
  <si>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</si>
  <si>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</si>
  <si>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</si>
  <si>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</si>
  <si>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</si>
  <si>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</si>
  <si>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</si>
  <si>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</si>
  <si>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</si>
  <si>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</si>
  <si>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</si>
  <si>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</si>
  <si>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</si>
  <si>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</si>
  <si>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</si>
  <si>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</si>
  <si>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</si>
  <si>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</si>
  <si>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</si>
  <si>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</si>
  <si>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</si>
  <si>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</si>
  <si>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</si>
  <si>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</si>
  <si>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</si>
  <si>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</si>
  <si>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</si>
  <si>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</si>
  <si>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</si>
  <si>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</si>
  <si>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</si>
  <si>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</si>
  <si>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</si>
  <si>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</si>
  <si>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</si>
  <si>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</si>
  <si>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</si>
  <si>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</si>
  <si>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</si>
  <si>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</si>
  <si>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</si>
  <si>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</si>
  <si>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</si>
  <si>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</si>
  <si>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</si>
  <si>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</si>
  <si>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</si>
  <si>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</si>
  <si>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</si>
  <si>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</si>
  <si>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</si>
  <si>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</si>
  <si>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</si>
  <si>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</si>
  <si>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Quarterly Update</t>
  </si>
  <si>
    <t>NorthAmerica</t>
  </si>
  <si>
    <t>sarlinde</t>
  </si>
  <si>
    <t>MSA32FNJ, MSA89GWN</t>
  </si>
  <si>
    <t>L:\SEMI CAP\Joe Files\Companies\MU\MU_WIP2.xlsm</t>
  </si>
  <si>
    <t>please publish after micron earnings note at midnight</t>
  </si>
  <si>
    <t>[BRO MSA]</t>
  </si>
  <si>
    <t>[PRODUCT MODEL]</t>
  </si>
  <si>
    <t>[EMAIL_ALERT YES]</t>
  </si>
  <si>
    <t>[DISCIPLINE Company]</t>
  </si>
  <si>
    <t>[SUPPRESSED NO]</t>
  </si>
  <si>
    <t>[DOCDAT 2018-03-22]</t>
  </si>
  <si>
    <t>[DOCTIME 19:40]</t>
  </si>
  <si>
    <t>[PSYM MU.O(S&amp;P) (None)]</t>
  </si>
  <si>
    <t>[COU 1]</t>
  </si>
  <si>
    <t>[ANA MSA89GWN]</t>
  </si>
  <si>
    <t>[HL MU.O Model]</t>
  </si>
  <si>
    <t>[IND SEMICO]</t>
  </si>
  <si>
    <t>[PANA MSA32FNJ]</t>
  </si>
  <si>
    <t>Target Price: 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</si>
</sst>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7" formatCode="_(&quot;$&quot;* #,##0.0_);_(&quot;$&quot;* \(#,##0.0\);_(&quot;$&quot;* &quot;-&quot;?_);_(@_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&quot;$&quot;* #,##0.00_);_(&quot;$&quot;* \(#,##0.00\);_(&quot;$&quot;* &quot;-&quot;_);_(@_)"/>
    <numFmt numFmtId="172" formatCode="#,##0.0_);\(#,##0.0\);#,##0.0_);@_)"/>
    <numFmt numFmtId="173" formatCode="_(* #,##0.00_);_(* \(#,##0.00\);_(* &quot;-&quot;?_);_(@_)"/>
    <numFmt numFmtId="174" formatCode="_(* #,##0.0_);_(* \(#,##0.0\);_(* &quot;-&quot;??_);_(@_)"/>
    <numFmt numFmtId="175" formatCode="#,##0.0000_);\(#,##0.0000\)"/>
    <numFmt numFmtId="176" formatCode="#,##0.0_);\(#,##0.0\)"/>
    <numFmt numFmtId="177" formatCode="_(* #,##0.0_);_(* \(#,##0.0\);_(* &quot;-&quot;_);_(@_)"/>
    <numFmt numFmtId="178" formatCode="#,##0.000_);\(#,##0.000\)"/>
    <numFmt numFmtId="179" formatCode="0.0"/>
    <numFmt numFmtId="180" formatCode="_(* #,##0.000_);_(* \(#,##0.000\);_(* &quot;-&quot;??_);_(@_)"/>
    <numFmt numFmtId="181" formatCode="_(* #,##0_);_(* \(#,##0\);_(* &quot;-&quot;??_);_(@_)"/>
    <numFmt numFmtId="182" formatCode="&quot;$&quot;#,##0.00"/>
    <numFmt numFmtId="183" formatCode="&quot;$&quot;#,##0"/>
    <numFmt numFmtId="184" formatCode="_(&quot;$&quot;* #,##0_);_(&quot;$&quot;* \(#,##0\);_(&quot;$&quot;* &quot;-&quot;??_);_(@_)"/>
    <numFmt numFmtId="185" formatCode="_(* #,##0_);_(* \(#,##0\);_(* &quot;-&quot;?_);_(@_)"/>
    <numFmt numFmtId="186" formatCode="_(&quot;$&quot;* #,##0.000_);_(&quot;$&quot;* \(#,##0.000\);_(&quot;$&quot;* &quot;-&quot;??_);_(@_)"/>
    <numFmt numFmtId="187" formatCode="0_)"/>
    <numFmt numFmtId="188" formatCode="0.0%_);\(0.0%\);&quot;–&quot;_)"/>
    <numFmt numFmtId="189" formatCode="&quot;$&quot;#,##0.00_);\(&quot;$&quot;#,##0.00\);\–_);&quot;–&quot;_)"/>
    <numFmt numFmtId="190" formatCode="0%_);\(0%\);&quot;–&quot;_)"/>
    <numFmt numFmtId="191" formatCode="_-* #,##0_-;\-* #,##0_-;_-* &quot;-&quot;_-;_-@_-"/>
    <numFmt numFmtId="192" formatCode="_-&quot;$&quot;* #,##0.00_-;\-&quot;$&quot;* #,##0.00_-;_-&quot;$&quot;* &quot;-&quot;??_-;_-@_-"/>
    <numFmt numFmtId="193" formatCode="_-* #,##0.00_-;\-* #,##0.00_-;_-* &quot;-&quot;??_-;_-@_-"/>
    <numFmt numFmtId="194" formatCode="&quot;Ç&quot;\ &quot;´&quot;&quot;´&quot;&quot;´&quot;&quot;´&quot;\ &quot;»&quot;&quot;»&quot;&quot;»&quot;&quot;»&quot;"/>
    <numFmt numFmtId="195" formatCode="#,##0.0000;[Red]\(#,##0.0000\)"/>
    <numFmt numFmtId="196" formatCode="&quot;$&quot;#,##0.000_);\(&quot;$&quot;#,##0.000\)"/>
    <numFmt numFmtId="197" formatCode="mm/dd/yy\ hh:mm"/>
  </numFmts>
  <fonts count="130">
    <font>
      <sz val="10"/>
      <name val="Arial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b/>
      <sz val="11"/>
      <color indexed="12"/>
      <name val="Arial"/>
      <family val="2"/>
    </font>
    <font>
      <sz val="11"/>
      <color indexed="10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i/>
      <sz val="10"/>
      <name val="Arial"/>
      <family val="2"/>
    </font>
    <font>
      <b/>
      <sz val="8"/>
      <color indexed="81"/>
      <name val="Tahoma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sz val="8"/>
      <color indexed="81"/>
      <name val="Tahoma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8"/>
      <color indexed="10"/>
      <name val="Helvetica"/>
      <family val="2"/>
    </font>
    <font>
      <sz val="9"/>
      <name val="Arial"/>
      <family val="2"/>
    </font>
    <font>
      <sz val="11"/>
      <color indexed="17"/>
      <name val="Arial"/>
      <family val="2"/>
    </font>
    <font>
      <u/>
      <sz val="10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i/>
      <sz val="11"/>
      <color indexed="20"/>
      <name val="Arial"/>
      <family val="2"/>
    </font>
    <font>
      <sz val="11"/>
      <color indexed="20"/>
      <name val="Arial"/>
      <family val="2"/>
    </font>
    <font>
      <b/>
      <u/>
      <sz val="11"/>
      <name val="Arial"/>
      <family val="2"/>
    </font>
    <font>
      <u/>
      <sz val="11"/>
      <color indexed="8"/>
      <name val="Arial"/>
      <family val="2"/>
    </font>
    <font>
      <u/>
      <sz val="11"/>
      <color indexed="17"/>
      <name val="Arial"/>
      <family val="2"/>
    </font>
    <font>
      <sz val="10"/>
      <color indexed="10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indexed="10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1"/>
      <color indexed="55"/>
      <name val="Arial"/>
      <family val="2"/>
    </font>
    <font>
      <i/>
      <sz val="11"/>
      <color indexed="55"/>
      <name val="Arial"/>
      <family val="2"/>
    </font>
    <font>
      <sz val="10"/>
      <color indexed="55"/>
      <name val="Arial"/>
      <family val="2"/>
    </font>
    <font>
      <sz val="11"/>
      <color indexed="58"/>
      <name val="Arial"/>
      <family val="2"/>
    </font>
    <font>
      <sz val="11"/>
      <color indexed="24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24"/>
      <name val="Arial"/>
      <family val="2"/>
    </font>
    <font>
      <sz val="10"/>
      <color indexed="58"/>
      <name val="Arial"/>
      <family val="2"/>
    </font>
    <font>
      <sz val="10"/>
      <color indexed="2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58"/>
      <name val="Arial"/>
      <family val="2"/>
    </font>
    <font>
      <sz val="12"/>
      <name val="新細明體"/>
      <family val="1"/>
      <charset val="136"/>
    </font>
    <font>
      <sz val="12"/>
      <color indexed="8"/>
      <name val="Calibri"/>
      <family val="2"/>
      <charset val="136"/>
    </font>
    <font>
      <u/>
      <sz val="12"/>
      <color indexed="12"/>
      <name val="新細明體"/>
      <family val="1"/>
      <charset val="136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0"/>
      <name val="Helv"/>
      <family val="2"/>
    </font>
    <font>
      <sz val="11"/>
      <name val="ＭＳ Ｐゴシック"/>
      <family val="2"/>
      <charset val="128"/>
    </font>
    <font>
      <b/>
      <sz val="12"/>
      <color indexed="9"/>
      <name val="新細明體"/>
      <family val="1"/>
      <charset val="136"/>
    </font>
    <font>
      <sz val="12"/>
      <color indexed="9"/>
      <name val="新細明體"/>
      <family val="1"/>
      <charset val="136"/>
    </font>
    <font>
      <u/>
      <sz val="7"/>
      <color indexed="12"/>
      <name val="Arial"/>
      <family val="2"/>
    </font>
    <font>
      <sz val="12"/>
      <color indexed="8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theme="1"/>
      <name val="Calibri"/>
      <family val="2"/>
      <charset val="136"/>
      <scheme val="minor"/>
    </font>
    <font>
      <sz val="10"/>
      <color rgb="FF0000FF"/>
      <name val="Arial"/>
      <family val="2"/>
    </font>
    <font>
      <i/>
      <sz val="10"/>
      <color rgb="FF0000FF"/>
      <name val="Arial"/>
      <family val="2"/>
    </font>
    <font>
      <i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Arial"/>
      <family val="2"/>
    </font>
    <font>
      <b/>
      <sz val="12"/>
      <name val="Arial"/>
      <family val="2"/>
    </font>
    <font>
      <b/>
      <sz val="8"/>
      <color indexed="12"/>
      <name val="FrankfurtGothicHeavy"/>
      <family val="2"/>
    </font>
    <font>
      <sz val="12"/>
      <name val="바탕체"/>
      <family val="3"/>
      <charset val="129"/>
    </font>
    <font>
      <b/>
      <sz val="10"/>
      <name val="MS Sans Serif"/>
      <family val="2"/>
    </font>
    <font>
      <sz val="12"/>
      <name val="???"/>
      <family val="1"/>
      <charset val="129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sz val="12"/>
      <name val="뼻뮝"/>
      <family val="1"/>
      <charset val="129"/>
    </font>
    <font>
      <sz val="12"/>
      <name val="바탕체"/>
      <family val="3"/>
    </font>
    <font>
      <b/>
      <sz val="12"/>
      <name val="Times New Roman"/>
      <family val="1"/>
    </font>
    <font>
      <sz val="7"/>
      <name val="Small Fonts"/>
      <family val="2"/>
    </font>
    <font>
      <sz val="10"/>
      <name val="Calibri"/>
      <family val="2"/>
    </font>
    <font>
      <sz val="10"/>
      <name val="Verdana"/>
      <family val="2"/>
    </font>
    <font>
      <i/>
      <sz val="11"/>
      <color rgb="FF2270AB"/>
      <name val="Arial"/>
      <family val="2"/>
    </font>
    <font>
      <sz val="11"/>
      <color rgb="FF2270AB"/>
      <name val="Arial"/>
      <family val="2"/>
    </font>
    <font>
      <sz val="11"/>
      <color theme="9" tint="-0.249977111117893"/>
      <name val="Arial"/>
      <family val="2"/>
    </font>
    <font>
      <sz val="11"/>
      <color rgb="FF137CB1"/>
      <name val="Arial"/>
      <family val="2"/>
    </font>
    <font>
      <sz val="10"/>
      <name val="Courier"/>
      <family val="3"/>
    </font>
    <font>
      <b/>
      <sz val="12"/>
      <color rgb="FF00008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26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5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455">
    <xf numFmtId="0" fontId="0" fillId="0" borderId="0" applyNumberFormat="0" applyFont="0" applyFill="0" applyBorder="0" applyAlignment="0" applyProtection="0"/>
    <xf numFmtId="0" fontId="38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79" fillId="0" borderId="0"/>
    <xf numFmtId="0" fontId="79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" fillId="0" borderId="0"/>
    <xf numFmtId="3" fontId="40" fillId="0" borderId="0"/>
    <xf numFmtId="0" fontId="22" fillId="0" borderId="0" applyFill="0" applyAlignment="0">
      <protection locked="0"/>
    </xf>
    <xf numFmtId="0" fontId="78" fillId="0" borderId="0"/>
    <xf numFmtId="0" fontId="26" fillId="0" borderId="0"/>
    <xf numFmtId="0" fontId="26" fillId="0" borderId="0"/>
    <xf numFmtId="187" fontId="26" fillId="0" borderId="0"/>
    <xf numFmtId="0" fontId="84" fillId="3" borderId="0" applyNumberFormat="0" applyBorder="0" applyAlignment="0" applyProtection="0">
      <alignment vertical="center"/>
    </xf>
    <xf numFmtId="0" fontId="84" fillId="5" borderId="0" applyNumberFormat="0" applyBorder="0" applyAlignment="0" applyProtection="0">
      <alignment vertical="center"/>
    </xf>
    <xf numFmtId="0" fontId="84" fillId="7" borderId="0" applyNumberFormat="0" applyBorder="0" applyAlignment="0" applyProtection="0">
      <alignment vertical="center"/>
    </xf>
    <xf numFmtId="0" fontId="84" fillId="8" borderId="0" applyNumberFormat="0" applyBorder="0" applyAlignment="0" applyProtection="0">
      <alignment vertical="center"/>
    </xf>
    <xf numFmtId="0" fontId="84" fillId="9" borderId="0" applyNumberFormat="0" applyBorder="0" applyAlignment="0" applyProtection="0">
      <alignment vertical="center"/>
    </xf>
    <xf numFmtId="0" fontId="84" fillId="2" borderId="0" applyNumberFormat="0" applyBorder="0" applyAlignment="0" applyProtection="0">
      <alignment vertical="center"/>
    </xf>
    <xf numFmtId="0" fontId="84" fillId="11" borderId="0" applyNumberFormat="0" applyBorder="0" applyAlignment="0" applyProtection="0">
      <alignment vertical="center"/>
    </xf>
    <xf numFmtId="0" fontId="84" fillId="4" borderId="0" applyNumberFormat="0" applyBorder="0" applyAlignment="0" applyProtection="0">
      <alignment vertical="center"/>
    </xf>
    <xf numFmtId="0" fontId="84" fillId="12" borderId="0" applyNumberFormat="0" applyBorder="0" applyAlignment="0" applyProtection="0">
      <alignment vertical="center"/>
    </xf>
    <xf numFmtId="0" fontId="84" fillId="8" borderId="0" applyNumberFormat="0" applyBorder="0" applyAlignment="0" applyProtection="0">
      <alignment vertical="center"/>
    </xf>
    <xf numFmtId="0" fontId="84" fillId="11" borderId="0" applyNumberFormat="0" applyBorder="0" applyAlignment="0" applyProtection="0">
      <alignment vertical="center"/>
    </xf>
    <xf numFmtId="0" fontId="84" fillId="13" borderId="0" applyNumberFormat="0" applyBorder="0" applyAlignment="0" applyProtection="0">
      <alignment vertical="center"/>
    </xf>
    <xf numFmtId="0" fontId="82" fillId="15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82" fillId="12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9" borderId="0" applyNumberFormat="0" applyBorder="0" applyAlignment="0" applyProtection="0">
      <alignment vertical="center"/>
    </xf>
    <xf numFmtId="0" fontId="82" fillId="20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97" fillId="5" borderId="0" applyNumberFormat="0" applyBorder="0" applyAlignment="0" applyProtection="0">
      <alignment vertical="center"/>
    </xf>
    <xf numFmtId="0" fontId="27" fillId="0" borderId="0"/>
    <xf numFmtId="0" fontId="88" fillId="10" borderId="1" applyNumberFormat="0" applyAlignment="0" applyProtection="0">
      <alignment vertical="center"/>
    </xf>
    <xf numFmtId="0" fontId="81" fillId="23" borderId="2" applyNumberFormat="0" applyAlignment="0" applyProtection="0">
      <alignment vertical="center"/>
    </xf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5" fillId="0" borderId="0" applyFont="0" applyFill="0" applyBorder="0" applyAlignment="0" applyProtection="0"/>
    <xf numFmtId="193" fontId="7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66" fillId="0" borderId="0" applyFont="0" applyFill="0" applyBorder="0" applyAlignment="0" applyProtection="0"/>
    <xf numFmtId="192" fontId="74" fillId="0" borderId="0" applyFon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39" fillId="24" borderId="0">
      <alignment horizontal="left"/>
    </xf>
    <xf numFmtId="0" fontId="92" fillId="0" borderId="3" applyNumberFormat="0" applyFill="0" applyAlignment="0" applyProtection="0">
      <alignment vertical="center"/>
    </xf>
    <xf numFmtId="0" fontId="93" fillId="0" borderId="4" applyNumberFormat="0" applyFill="0" applyAlignment="0" applyProtection="0">
      <alignment vertical="center"/>
    </xf>
    <xf numFmtId="0" fontId="94" fillId="0" borderId="5" applyNumberFormat="0" applyFill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top"/>
      <protection locked="0"/>
    </xf>
    <xf numFmtId="0" fontId="95" fillId="2" borderId="1" applyNumberFormat="0" applyAlignment="0" applyProtection="0">
      <alignment vertical="center"/>
    </xf>
    <xf numFmtId="0" fontId="89" fillId="0" borderId="6" applyNumberFormat="0" applyFill="0" applyAlignment="0" applyProtection="0">
      <alignment vertical="center"/>
    </xf>
    <xf numFmtId="0" fontId="85" fillId="6" borderId="0" applyNumberFormat="0" applyBorder="0" applyAlignment="0" applyProtection="0">
      <alignment vertical="center"/>
    </xf>
    <xf numFmtId="0" fontId="66" fillId="0" borderId="0"/>
    <xf numFmtId="0" fontId="64" fillId="0" borderId="0"/>
    <xf numFmtId="0" fontId="66" fillId="0" borderId="0"/>
    <xf numFmtId="0" fontId="22" fillId="0" borderId="0"/>
    <xf numFmtId="0" fontId="74" fillId="0" borderId="0">
      <alignment vertical="center"/>
    </xf>
    <xf numFmtId="0" fontId="5" fillId="0" borderId="0"/>
    <xf numFmtId="166" fontId="10" fillId="0" borderId="0"/>
    <xf numFmtId="0" fontId="5" fillId="0" borderId="0"/>
    <xf numFmtId="0" fontId="74" fillId="16" borderId="7" applyNumberFormat="0" applyFont="0" applyAlignment="0" applyProtection="0">
      <alignment vertical="center"/>
    </xf>
    <xf numFmtId="3" fontId="40" fillId="0" borderId="8" applyBorder="0"/>
    <xf numFmtId="179" fontId="22" fillId="0" borderId="0"/>
    <xf numFmtId="0" fontId="96" fillId="10" borderId="9" applyNumberFormat="0" applyAlignment="0" applyProtection="0">
      <alignment vertical="center"/>
    </xf>
    <xf numFmtId="0" fontId="28" fillId="0" borderId="0">
      <alignment vertical="center"/>
    </xf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65" fillId="0" borderId="0" applyFont="0" applyFill="0" applyBorder="0" applyAlignment="0" applyProtection="0"/>
    <xf numFmtId="9" fontId="74" fillId="0" borderId="0" applyFont="0" applyFill="0" applyBorder="0" applyAlignment="0" applyProtection="0">
      <alignment vertical="center"/>
    </xf>
    <xf numFmtId="49" fontId="40" fillId="0" borderId="0">
      <alignment horizontal="right"/>
    </xf>
    <xf numFmtId="0" fontId="22" fillId="25" borderId="0" applyNumberFormat="0" applyFont="0" applyBorder="0" applyAlignment="0" applyProtection="0"/>
    <xf numFmtId="176" fontId="29" fillId="0" borderId="0"/>
    <xf numFmtId="0" fontId="29" fillId="0" borderId="0"/>
    <xf numFmtId="0" fontId="29" fillId="0" borderId="10">
      <alignment horizontal="centerContinuous"/>
    </xf>
    <xf numFmtId="3" fontId="23" fillId="0" borderId="0"/>
    <xf numFmtId="0" fontId="30" fillId="0" borderId="10"/>
    <xf numFmtId="0" fontId="1" fillId="0" borderId="0"/>
    <xf numFmtId="0" fontId="22" fillId="0" borderId="0"/>
    <xf numFmtId="3" fontId="37" fillId="0" borderId="0" applyNumberFormat="0"/>
    <xf numFmtId="0" fontId="91" fillId="0" borderId="0" applyNumberFormat="0" applyFill="0" applyBorder="0" applyAlignment="0" applyProtection="0">
      <alignment vertical="center"/>
    </xf>
    <xf numFmtId="3" fontId="77" fillId="0" borderId="0"/>
    <xf numFmtId="0" fontId="37" fillId="0" borderId="11">
      <alignment horizontal="center" wrapText="1"/>
    </xf>
    <xf numFmtId="0" fontId="86" fillId="0" borderId="12" applyNumberFormat="0" applyFill="0" applyAlignment="0" applyProtection="0">
      <alignment vertical="center"/>
    </xf>
    <xf numFmtId="3" fontId="37" fillId="0" borderId="13" applyNumberFormat="0"/>
    <xf numFmtId="0" fontId="98" fillId="0" borderId="0" applyNumberFormat="0" applyFill="0" applyBorder="0" applyAlignment="0" applyProtection="0">
      <alignment vertical="center"/>
    </xf>
    <xf numFmtId="168" fontId="78" fillId="0" borderId="0" applyFont="0" applyFill="0" applyBorder="0" applyAlignment="0" applyProtection="0"/>
    <xf numFmtId="0" fontId="80" fillId="0" borderId="0"/>
    <xf numFmtId="0" fontId="74" fillId="0" borderId="0">
      <alignment vertical="center"/>
    </xf>
    <xf numFmtId="0" fontId="99" fillId="0" borderId="0">
      <alignment vertical="center"/>
    </xf>
    <xf numFmtId="0" fontId="99" fillId="0" borderId="0">
      <alignment vertical="center"/>
    </xf>
    <xf numFmtId="193" fontId="75" fillId="0" borderId="0" applyFont="0" applyFill="0" applyBorder="0" applyAlignment="0" applyProtection="0">
      <alignment vertical="center"/>
    </xf>
    <xf numFmtId="191" fontId="74" fillId="0" borderId="0" applyFont="0" applyFill="0" applyBorder="0" applyAlignment="0" applyProtection="0">
      <alignment vertical="center"/>
    </xf>
    <xf numFmtId="0" fontId="78" fillId="0" borderId="0"/>
    <xf numFmtId="3" fontId="40" fillId="0" borderId="0"/>
    <xf numFmtId="9" fontId="75" fillId="0" borderId="0" applyFon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09" fillId="0" borderId="0" applyNumberFormat="0" applyFill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110" fillId="0" borderId="0" applyFont="0" applyFill="0" applyBorder="0" applyAlignment="0" applyProtection="0"/>
    <xf numFmtId="0" fontId="119" fillId="0" borderId="0"/>
    <xf numFmtId="0" fontId="110" fillId="0" borderId="0" applyFont="0" applyFill="0" applyBorder="0" applyAlignment="0" applyProtection="0"/>
    <xf numFmtId="0" fontId="18" fillId="0" borderId="11" applyNumberFormat="0" applyBorder="0" applyAlignment="0">
      <alignment horizontal="left"/>
    </xf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3" fontId="4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4" fontId="11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1" fillId="0" borderId="0"/>
    <xf numFmtId="0" fontId="79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3" fontId="40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87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0" fontId="112" fillId="0" borderId="0" applyFont="0" applyFill="0" applyBorder="0" applyAlignment="0" applyProtection="0"/>
    <xf numFmtId="0" fontId="113" fillId="0" borderId="0" applyFont="0" applyFill="0" applyBorder="0" applyAlignment="0" applyProtection="0"/>
    <xf numFmtId="0" fontId="113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13" fillId="0" borderId="0" applyFont="0" applyFill="0" applyBorder="0" applyAlignment="0" applyProtection="0"/>
    <xf numFmtId="0" fontId="113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8" fontId="74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5" fillId="0" borderId="0"/>
    <xf numFmtId="0" fontId="116" fillId="0" borderId="0"/>
    <xf numFmtId="0" fontId="115" fillId="0" borderId="0"/>
    <xf numFmtId="0" fontId="115" fillId="0" borderId="0"/>
    <xf numFmtId="0" fontId="117" fillId="0" borderId="0"/>
    <xf numFmtId="0" fontId="114" fillId="0" borderId="0"/>
    <xf numFmtId="0" fontId="117" fillId="0" borderId="0"/>
    <xf numFmtId="0" fontId="114" fillId="0" borderId="0"/>
    <xf numFmtId="0" fontId="117" fillId="0" borderId="0"/>
    <xf numFmtId="0" fontId="114" fillId="0" borderId="0"/>
    <xf numFmtId="0" fontId="1" fillId="0" borderId="0"/>
    <xf numFmtId="176" fontId="120" fillId="0" borderId="0" applyFont="0" applyFill="0" applyBorder="0" applyAlignment="0">
      <alignment horizontal="center" wrapText="1"/>
    </xf>
    <xf numFmtId="43" fontId="1" fillId="0" borderId="0" applyFont="0" applyFill="0" applyBorder="0" applyAlignment="0" applyProtection="0"/>
    <xf numFmtId="6" fontId="26" fillId="0" borderId="0" applyFont="0" applyFill="0" applyBorder="0" applyAlignment="0" applyProtection="0"/>
    <xf numFmtId="166" fontId="120" fillId="0" borderId="0" applyFont="0" applyFill="0" applyBorder="0" applyAlignment="0">
      <alignment horizont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38" fontId="23" fillId="26" borderId="0" applyNumberFormat="0" applyBorder="0" applyAlignment="0" applyProtection="0"/>
    <xf numFmtId="0" fontId="106" fillId="0" borderId="28" applyNumberFormat="0" applyAlignment="0" applyProtection="0">
      <alignment horizontal="left" vertical="center"/>
    </xf>
    <xf numFmtId="0" fontId="106" fillId="0" borderId="11">
      <alignment horizontal="left" vertical="center"/>
    </xf>
    <xf numFmtId="10" fontId="23" fillId="29" borderId="22" applyNumberFormat="0" applyBorder="0" applyAlignment="0" applyProtection="0"/>
    <xf numFmtId="37" fontId="121" fillId="0" borderId="0"/>
    <xf numFmtId="195" fontId="1" fillId="0" borderId="0"/>
    <xf numFmtId="0" fontId="122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5" borderId="0" applyNumberFormat="0" applyFont="0" applyBorder="0" applyAlignment="0" applyProtection="0"/>
    <xf numFmtId="0" fontId="1" fillId="25" borderId="0" applyNumberFormat="0" applyFon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10">
      <alignment horizontal="centerContinuous"/>
    </xf>
    <xf numFmtId="0" fontId="29" fillId="0" borderId="10">
      <alignment horizontal="centerContinuous"/>
    </xf>
    <xf numFmtId="0" fontId="29" fillId="0" borderId="10">
      <alignment horizontal="centerContinuous"/>
    </xf>
    <xf numFmtId="0" fontId="29" fillId="0" borderId="10">
      <alignment horizontal="centerContinuous"/>
    </xf>
    <xf numFmtId="0" fontId="29" fillId="0" borderId="10">
      <alignment horizontal="centerContinuous"/>
    </xf>
    <xf numFmtId="0" fontId="29" fillId="0" borderId="10">
      <alignment horizontal="centerContinuous"/>
    </xf>
    <xf numFmtId="0" fontId="1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1" fontId="107" fillId="0" borderId="0" applyFont="0">
      <alignment horizontal="right"/>
    </xf>
    <xf numFmtId="0" fontId="118" fillId="0" borderId="0"/>
    <xf numFmtId="0" fontId="1" fillId="0" borderId="0"/>
    <xf numFmtId="0" fontId="108" fillId="0" borderId="0" applyFont="0" applyFill="0" applyBorder="0" applyAlignment="0" applyProtection="0"/>
    <xf numFmtId="0" fontId="108" fillId="0" borderId="0" applyFon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74" fillId="0" borderId="0"/>
    <xf numFmtId="0" fontId="1" fillId="0" borderId="0" applyNumberFormat="0" applyFill="0" applyBorder="0" applyAlignment="0" applyProtection="0"/>
    <xf numFmtId="41" fontId="123" fillId="0" borderId="0" applyFont="0" applyFill="0" applyBorder="0" applyAlignment="0" applyProtection="0"/>
    <xf numFmtId="44" fontId="12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Fill="0" applyAlignment="0">
      <protection locked="0"/>
    </xf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8" fillId="0" borderId="0"/>
  </cellStyleXfs>
  <cellXfs count="1475">
    <xf numFmtId="0" fontId="0" fillId="0" borderId="0" xfId="0"/>
    <xf numFmtId="0" fontId="1" fillId="0" borderId="0" xfId="1" applyFont="1"/>
    <xf numFmtId="0" fontId="3" fillId="0" borderId="0" xfId="1" applyFont="1" applyFill="1" applyAlignment="1">
      <alignment vertical="center"/>
    </xf>
    <xf numFmtId="0" fontId="4" fillId="0" borderId="0" xfId="68" applyNumberFormat="1" applyFont="1" applyFill="1" applyBorder="1" applyAlignment="1">
      <alignment horizontal="left"/>
    </xf>
    <xf numFmtId="0" fontId="1" fillId="0" borderId="0" xfId="1" applyFont="1" applyFill="1"/>
    <xf numFmtId="164" fontId="1" fillId="0" borderId="0" xfId="1" applyNumberFormat="1" applyFont="1"/>
    <xf numFmtId="0" fontId="1" fillId="0" borderId="13" xfId="1" applyFont="1" applyBorder="1"/>
    <xf numFmtId="0" fontId="6" fillId="0" borderId="0" xfId="1" applyFont="1"/>
    <xf numFmtId="0" fontId="7" fillId="0" borderId="14" xfId="1" applyFont="1" applyBorder="1"/>
    <xf numFmtId="0" fontId="7" fillId="0" borderId="15" xfId="1" applyFont="1" applyBorder="1"/>
    <xf numFmtId="0" fontId="6" fillId="0" borderId="0" xfId="1" applyFont="1" applyFill="1"/>
    <xf numFmtId="0" fontId="8" fillId="0" borderId="16" xfId="1" applyFont="1" applyBorder="1"/>
    <xf numFmtId="0" fontId="8" fillId="0" borderId="17" xfId="1" applyFont="1" applyBorder="1"/>
    <xf numFmtId="0" fontId="6" fillId="0" borderId="0" xfId="1" applyFont="1" applyBorder="1"/>
    <xf numFmtId="0" fontId="6" fillId="0" borderId="18" xfId="1" applyFont="1" applyBorder="1"/>
    <xf numFmtId="1" fontId="9" fillId="26" borderId="19" xfId="67" applyNumberFormat="1" applyFont="1" applyFill="1" applyBorder="1" applyAlignment="1">
      <alignment horizontal="right"/>
    </xf>
    <xf numFmtId="1" fontId="9" fillId="26" borderId="11" xfId="67" applyNumberFormat="1" applyFont="1" applyFill="1" applyBorder="1" applyAlignment="1">
      <alignment horizontal="right"/>
    </xf>
    <xf numFmtId="1" fontId="9" fillId="26" borderId="20" xfId="67" applyNumberFormat="1" applyFont="1" applyFill="1" applyBorder="1" applyAlignment="1">
      <alignment horizontal="right"/>
    </xf>
    <xf numFmtId="0" fontId="6" fillId="0" borderId="21" xfId="1" applyFont="1" applyBorder="1"/>
    <xf numFmtId="1" fontId="9" fillId="26" borderId="22" xfId="67" applyNumberFormat="1" applyFont="1" applyFill="1" applyBorder="1" applyAlignment="1">
      <alignment horizontal="right"/>
    </xf>
    <xf numFmtId="1" fontId="9" fillId="26" borderId="15" xfId="67" applyNumberFormat="1" applyFont="1" applyFill="1" applyBorder="1" applyAlignment="1">
      <alignment horizontal="right"/>
    </xf>
    <xf numFmtId="0" fontId="6" fillId="0" borderId="16" xfId="1" applyFont="1" applyBorder="1"/>
    <xf numFmtId="0" fontId="6" fillId="0" borderId="16" xfId="1" applyFont="1" applyFill="1" applyBorder="1"/>
    <xf numFmtId="0" fontId="6" fillId="0" borderId="17" xfId="1" applyFont="1" applyFill="1" applyBorder="1"/>
    <xf numFmtId="0" fontId="6" fillId="0" borderId="16" xfId="1" applyFont="1" applyFill="1" applyBorder="1" applyAlignment="1">
      <alignment horizontal="left" indent="1"/>
    </xf>
    <xf numFmtId="0" fontId="6" fillId="0" borderId="17" xfId="1" applyFont="1" applyFill="1" applyBorder="1" applyAlignment="1">
      <alignment horizontal="left" indent="1"/>
    </xf>
    <xf numFmtId="164" fontId="11" fillId="0" borderId="0" xfId="1" applyNumberFormat="1" applyFont="1" applyFill="1" applyBorder="1" applyAlignment="1"/>
    <xf numFmtId="164" fontId="6" fillId="0" borderId="0" xfId="1" applyNumberFormat="1" applyFont="1" applyFill="1" applyBorder="1" applyAlignment="1"/>
    <xf numFmtId="164" fontId="6" fillId="0" borderId="17" xfId="1" applyNumberFormat="1" applyFont="1" applyFill="1" applyBorder="1" applyAlignment="1"/>
    <xf numFmtId="164" fontId="6" fillId="0" borderId="16" xfId="1" applyNumberFormat="1" applyFont="1" applyFill="1" applyBorder="1" applyAlignment="1"/>
    <xf numFmtId="0" fontId="8" fillId="0" borderId="16" xfId="1" applyFont="1" applyFill="1" applyBorder="1" applyAlignment="1">
      <alignment horizontal="left" indent="1"/>
    </xf>
    <xf numFmtId="0" fontId="8" fillId="0" borderId="17" xfId="1" applyFont="1" applyFill="1" applyBorder="1" applyAlignment="1">
      <alignment horizontal="left" indent="1"/>
    </xf>
    <xf numFmtId="168" fontId="8" fillId="0" borderId="0" xfId="74" applyNumberFormat="1" applyFont="1" applyFill="1" applyBorder="1" applyAlignment="1"/>
    <xf numFmtId="168" fontId="8" fillId="0" borderId="17" xfId="74" applyNumberFormat="1" applyFont="1" applyFill="1" applyBorder="1" applyAlignment="1"/>
    <xf numFmtId="168" fontId="8" fillId="0" borderId="16" xfId="74" applyNumberFormat="1" applyFont="1" applyFill="1" applyBorder="1" applyAlignment="1"/>
    <xf numFmtId="168" fontId="12" fillId="0" borderId="0" xfId="74" applyNumberFormat="1" applyFont="1" applyFill="1" applyBorder="1" applyAlignment="1"/>
    <xf numFmtId="168" fontId="12" fillId="0" borderId="16" xfId="74" applyNumberFormat="1" applyFont="1" applyFill="1" applyBorder="1" applyAlignment="1"/>
    <xf numFmtId="168" fontId="12" fillId="0" borderId="17" xfId="74" applyNumberFormat="1" applyFont="1" applyFill="1" applyBorder="1" applyAlignment="1"/>
    <xf numFmtId="169" fontId="11" fillId="0" borderId="0" xfId="1" applyNumberFormat="1" applyFont="1" applyFill="1" applyBorder="1" applyAlignment="1"/>
    <xf numFmtId="169" fontId="11" fillId="0" borderId="17" xfId="1" applyNumberFormat="1" applyFont="1" applyFill="1" applyBorder="1" applyAlignment="1"/>
    <xf numFmtId="169" fontId="11" fillId="0" borderId="16" xfId="1" applyNumberFormat="1" applyFont="1" applyFill="1" applyBorder="1" applyAlignment="1"/>
    <xf numFmtId="169" fontId="11" fillId="0" borderId="0" xfId="1" applyNumberFormat="1" applyFont="1" applyFill="1" applyBorder="1"/>
    <xf numFmtId="169" fontId="11" fillId="0" borderId="17" xfId="1" applyNumberFormat="1" applyFont="1" applyFill="1" applyBorder="1"/>
    <xf numFmtId="0" fontId="7" fillId="0" borderId="16" xfId="1" applyFont="1" applyFill="1" applyBorder="1"/>
    <xf numFmtId="0" fontId="7" fillId="0" borderId="17" xfId="1" applyFont="1" applyFill="1" applyBorder="1"/>
    <xf numFmtId="164" fontId="7" fillId="0" borderId="16" xfId="1" applyNumberFormat="1" applyFont="1" applyFill="1" applyBorder="1" applyAlignment="1"/>
    <xf numFmtId="164" fontId="7" fillId="0" borderId="0" xfId="1" applyNumberFormat="1" applyFont="1" applyFill="1" applyBorder="1" applyAlignment="1"/>
    <xf numFmtId="164" fontId="7" fillId="0" borderId="17" xfId="1" applyNumberFormat="1" applyFont="1" applyFill="1" applyBorder="1" applyAlignment="1"/>
    <xf numFmtId="0" fontId="6" fillId="0" borderId="16" xfId="1" applyFont="1" applyFill="1" applyBorder="1" applyAlignment="1">
      <alignment horizontal="left" indent="2"/>
    </xf>
    <xf numFmtId="0" fontId="6" fillId="0" borderId="17" xfId="1" applyFont="1" applyFill="1" applyBorder="1" applyAlignment="1">
      <alignment horizontal="left" indent="2"/>
    </xf>
    <xf numFmtId="169" fontId="11" fillId="0" borderId="16" xfId="1" applyNumberFormat="1" applyFont="1" applyFill="1" applyBorder="1"/>
    <xf numFmtId="171" fontId="6" fillId="0" borderId="16" xfId="1" applyNumberFormat="1" applyFont="1" applyFill="1" applyBorder="1"/>
    <xf numFmtId="171" fontId="6" fillId="0" borderId="0" xfId="1" applyNumberFormat="1" applyFont="1" applyFill="1" applyBorder="1"/>
    <xf numFmtId="171" fontId="6" fillId="0" borderId="17" xfId="1" applyNumberFormat="1" applyFont="1" applyFill="1" applyBorder="1"/>
    <xf numFmtId="171" fontId="7" fillId="0" borderId="16" xfId="1" applyNumberFormat="1" applyFont="1" applyFill="1" applyBorder="1"/>
    <xf numFmtId="171" fontId="7" fillId="0" borderId="0" xfId="1" applyNumberFormat="1" applyFont="1" applyFill="1" applyBorder="1"/>
    <xf numFmtId="0" fontId="6" fillId="0" borderId="23" xfId="1" applyFont="1" applyFill="1" applyBorder="1"/>
    <xf numFmtId="0" fontId="6" fillId="0" borderId="18" xfId="1" applyFont="1" applyFill="1" applyBorder="1"/>
    <xf numFmtId="0" fontId="6" fillId="0" borderId="8" xfId="1" applyFont="1" applyFill="1" applyBorder="1"/>
    <xf numFmtId="0" fontId="6" fillId="0" borderId="0" xfId="1" applyFont="1" applyFill="1" applyBorder="1"/>
    <xf numFmtId="37" fontId="11" fillId="0" borderId="0" xfId="1" applyNumberFormat="1" applyFont="1" applyFill="1" applyBorder="1"/>
    <xf numFmtId="43" fontId="11" fillId="0" borderId="0" xfId="1" applyNumberFormat="1" applyFont="1" applyFill="1" applyBorder="1"/>
    <xf numFmtId="0" fontId="6" fillId="0" borderId="13" xfId="1" applyFont="1" applyFill="1" applyBorder="1"/>
    <xf numFmtId="0" fontId="6" fillId="0" borderId="14" xfId="1" applyFont="1" applyFill="1" applyBorder="1"/>
    <xf numFmtId="0" fontId="6" fillId="0" borderId="15" xfId="1" applyFont="1" applyFill="1" applyBorder="1"/>
    <xf numFmtId="164" fontId="6" fillId="0" borderId="16" xfId="1" applyNumberFormat="1" applyFont="1" applyFill="1" applyBorder="1"/>
    <xf numFmtId="164" fontId="6" fillId="0" borderId="0" xfId="1" applyNumberFormat="1" applyFont="1" applyFill="1" applyBorder="1"/>
    <xf numFmtId="164" fontId="6" fillId="0" borderId="17" xfId="1" applyNumberFormat="1" applyFont="1" applyFill="1" applyBorder="1"/>
    <xf numFmtId="164" fontId="11" fillId="0" borderId="16" xfId="1" applyNumberFormat="1" applyFont="1" applyFill="1" applyBorder="1"/>
    <xf numFmtId="164" fontId="11" fillId="0" borderId="0" xfId="1" applyNumberFormat="1" applyFont="1" applyFill="1" applyBorder="1"/>
    <xf numFmtId="164" fontId="11" fillId="0" borderId="17" xfId="1" applyNumberFormat="1" applyFont="1" applyFill="1" applyBorder="1"/>
    <xf numFmtId="172" fontId="6" fillId="0" borderId="0" xfId="1" applyNumberFormat="1" applyFont="1" applyFill="1" applyBorder="1"/>
    <xf numFmtId="172" fontId="6" fillId="0" borderId="17" xfId="1" applyNumberFormat="1" applyFont="1" applyFill="1" applyBorder="1"/>
    <xf numFmtId="173" fontId="8" fillId="0" borderId="0" xfId="1" applyNumberFormat="1" applyFont="1" applyFill="1" applyBorder="1"/>
    <xf numFmtId="173" fontId="8" fillId="0" borderId="17" xfId="1" applyNumberFormat="1" applyFont="1" applyFill="1" applyBorder="1"/>
    <xf numFmtId="172" fontId="11" fillId="0" borderId="0" xfId="1" applyNumberFormat="1" applyFont="1" applyFill="1" applyBorder="1"/>
    <xf numFmtId="172" fontId="11" fillId="0" borderId="17" xfId="1" applyNumberFormat="1" applyFont="1" applyFill="1" applyBorder="1"/>
    <xf numFmtId="168" fontId="8" fillId="0" borderId="0" xfId="74" applyNumberFormat="1" applyFont="1" applyFill="1" applyBorder="1"/>
    <xf numFmtId="168" fontId="8" fillId="0" borderId="17" xfId="74" applyNumberFormat="1" applyFont="1" applyFill="1" applyBorder="1"/>
    <xf numFmtId="168" fontId="12" fillId="0" borderId="0" xfId="74" applyNumberFormat="1" applyFont="1" applyFill="1" applyBorder="1"/>
    <xf numFmtId="168" fontId="12" fillId="0" borderId="17" xfId="74" applyNumberFormat="1" applyFont="1" applyFill="1" applyBorder="1"/>
    <xf numFmtId="168" fontId="12" fillId="0" borderId="16" xfId="74" applyNumberFormat="1" applyFont="1" applyFill="1" applyBorder="1"/>
    <xf numFmtId="0" fontId="6" fillId="0" borderId="17" xfId="1" applyFont="1" applyFill="1" applyBorder="1" applyAlignment="1">
      <alignment horizontal="left"/>
    </xf>
    <xf numFmtId="169" fontId="6" fillId="0" borderId="16" xfId="1" applyNumberFormat="1" applyFont="1" applyFill="1" applyBorder="1"/>
    <xf numFmtId="169" fontId="6" fillId="0" borderId="0" xfId="1" applyNumberFormat="1" applyFont="1" applyFill="1" applyBorder="1"/>
    <xf numFmtId="169" fontId="6" fillId="0" borderId="17" xfId="1" applyNumberFormat="1" applyFont="1" applyFill="1" applyBorder="1"/>
    <xf numFmtId="0" fontId="6" fillId="0" borderId="18" xfId="1" applyFont="1" applyFill="1" applyBorder="1" applyAlignment="1">
      <alignment horizontal="left"/>
    </xf>
    <xf numFmtId="169" fontId="6" fillId="0" borderId="23" xfId="1" applyNumberFormat="1" applyFont="1" applyFill="1" applyBorder="1"/>
    <xf numFmtId="169" fontId="6" fillId="0" borderId="13" xfId="1" applyNumberFormat="1" applyFont="1" applyFill="1" applyBorder="1"/>
    <xf numFmtId="169" fontId="6" fillId="0" borderId="18" xfId="1" applyNumberFormat="1" applyFont="1" applyFill="1" applyBorder="1"/>
    <xf numFmtId="0" fontId="6" fillId="0" borderId="0" xfId="1" applyFont="1" applyFill="1" applyBorder="1" applyAlignment="1">
      <alignment horizontal="left" wrapText="1" indent="2"/>
    </xf>
    <xf numFmtId="37" fontId="6" fillId="0" borderId="0" xfId="1" applyNumberFormat="1" applyFont="1" applyFill="1" applyAlignment="1">
      <alignment horizontal="center"/>
    </xf>
    <xf numFmtId="166" fontId="7" fillId="0" borderId="17" xfId="67" applyFont="1" applyFill="1" applyBorder="1"/>
    <xf numFmtId="0" fontId="11" fillId="0" borderId="0" xfId="1" applyFont="1" applyFill="1" applyBorder="1"/>
    <xf numFmtId="0" fontId="11" fillId="0" borderId="17" xfId="1" applyFont="1" applyFill="1" applyBorder="1"/>
    <xf numFmtId="0" fontId="11" fillId="0" borderId="16" xfId="1" applyFont="1" applyFill="1" applyBorder="1"/>
    <xf numFmtId="0" fontId="11" fillId="0" borderId="8" xfId="1" applyFont="1" applyFill="1" applyBorder="1"/>
    <xf numFmtId="0" fontId="11" fillId="0" borderId="15" xfId="1" applyFont="1" applyFill="1" applyBorder="1"/>
    <xf numFmtId="164" fontId="6" fillId="0" borderId="21" xfId="1" applyNumberFormat="1" applyFont="1" applyBorder="1"/>
    <xf numFmtId="164" fontId="13" fillId="0" borderId="0" xfId="1" applyNumberFormat="1" applyFont="1" applyFill="1" applyBorder="1"/>
    <xf numFmtId="164" fontId="13" fillId="0" borderId="17" xfId="1" applyNumberFormat="1" applyFont="1" applyFill="1" applyBorder="1"/>
    <xf numFmtId="0" fontId="6" fillId="0" borderId="18" xfId="1" applyFont="1" applyFill="1" applyBorder="1" applyAlignment="1">
      <alignment horizontal="left" indent="1"/>
    </xf>
    <xf numFmtId="164" fontId="6" fillId="0" borderId="13" xfId="1" applyNumberFormat="1" applyFont="1" applyFill="1" applyBorder="1"/>
    <xf numFmtId="164" fontId="6" fillId="0" borderId="18" xfId="1" applyNumberFormat="1" applyFont="1" applyFill="1" applyBorder="1"/>
    <xf numFmtId="166" fontId="7" fillId="0" borderId="17" xfId="67" applyNumberFormat="1" applyFont="1" applyFill="1" applyBorder="1" applyAlignment="1"/>
    <xf numFmtId="164" fontId="7" fillId="0" borderId="8" xfId="1" applyNumberFormat="1" applyFont="1" applyFill="1" applyBorder="1"/>
    <xf numFmtId="164" fontId="7" fillId="0" borderId="15" xfId="1" applyNumberFormat="1" applyFont="1" applyFill="1" applyBorder="1"/>
    <xf numFmtId="164" fontId="7" fillId="0" borderId="14" xfId="1" applyNumberFormat="1" applyFont="1" applyFill="1" applyBorder="1"/>
    <xf numFmtId="164" fontId="7" fillId="0" borderId="0" xfId="1" applyNumberFormat="1" applyFont="1" applyFill="1" applyBorder="1"/>
    <xf numFmtId="164" fontId="7" fillId="0" borderId="17" xfId="1" applyNumberFormat="1" applyFont="1" applyFill="1" applyBorder="1"/>
    <xf numFmtId="164" fontId="11" fillId="0" borderId="0" xfId="42" applyNumberFormat="1" applyFont="1" applyFill="1" applyBorder="1"/>
    <xf numFmtId="164" fontId="11" fillId="0" borderId="17" xfId="42" applyNumberFormat="1" applyFont="1" applyFill="1" applyBorder="1"/>
    <xf numFmtId="166" fontId="7" fillId="0" borderId="20" xfId="67" applyFont="1" applyFill="1" applyBorder="1"/>
    <xf numFmtId="164" fontId="7" fillId="0" borderId="11" xfId="1" applyNumberFormat="1" applyFont="1" applyFill="1" applyBorder="1"/>
    <xf numFmtId="164" fontId="7" fillId="0" borderId="20" xfId="1" applyNumberFormat="1" applyFont="1" applyFill="1" applyBorder="1"/>
    <xf numFmtId="164" fontId="7" fillId="0" borderId="19" xfId="1" applyNumberFormat="1" applyFont="1" applyFill="1" applyBorder="1"/>
    <xf numFmtId="37" fontId="7" fillId="0" borderId="17" xfId="67" applyNumberFormat="1" applyFont="1" applyFill="1" applyBorder="1"/>
    <xf numFmtId="164" fontId="7" fillId="0" borderId="16" xfId="1" applyNumberFormat="1" applyFont="1" applyFill="1" applyBorder="1"/>
    <xf numFmtId="37" fontId="7" fillId="0" borderId="20" xfId="67" applyNumberFormat="1" applyFont="1" applyFill="1" applyBorder="1"/>
    <xf numFmtId="37" fontId="11" fillId="0" borderId="11" xfId="1" applyNumberFormat="1" applyFont="1" applyFill="1" applyBorder="1"/>
    <xf numFmtId="0" fontId="20" fillId="0" borderId="19" xfId="1" applyFont="1" applyFill="1" applyBorder="1"/>
    <xf numFmtId="0" fontId="20" fillId="0" borderId="20" xfId="1" applyFont="1" applyFill="1" applyBorder="1"/>
    <xf numFmtId="174" fontId="20" fillId="0" borderId="11" xfId="42" applyNumberFormat="1" applyFont="1" applyFill="1" applyBorder="1"/>
    <xf numFmtId="174" fontId="20" fillId="0" borderId="20" xfId="42" applyNumberFormat="1" applyFont="1" applyFill="1" applyBorder="1"/>
    <xf numFmtId="174" fontId="20" fillId="0" borderId="19" xfId="42" applyNumberFormat="1" applyFont="1" applyFill="1" applyBorder="1"/>
    <xf numFmtId="175" fontId="11" fillId="0" borderId="0" xfId="1" applyNumberFormat="1" applyFont="1" applyFill="1" applyBorder="1"/>
    <xf numFmtId="175" fontId="11" fillId="0" borderId="8" xfId="1" applyNumberFormat="1" applyFont="1" applyFill="1" applyBorder="1"/>
    <xf numFmtId="43" fontId="11" fillId="0" borderId="8" xfId="1" applyNumberFormat="1" applyFont="1" applyFill="1" applyBorder="1"/>
    <xf numFmtId="37" fontId="11" fillId="0" borderId="13" xfId="1" applyNumberFormat="1" applyFont="1" applyFill="1" applyBorder="1"/>
    <xf numFmtId="0" fontId="7" fillId="26" borderId="19" xfId="1" applyFont="1" applyFill="1" applyBorder="1" applyAlignment="1">
      <alignment horizontal="left"/>
    </xf>
    <xf numFmtId="0" fontId="7" fillId="26" borderId="20" xfId="1" applyFont="1" applyFill="1" applyBorder="1" applyAlignment="1">
      <alignment horizontal="left"/>
    </xf>
    <xf numFmtId="164" fontId="6" fillId="0" borderId="8" xfId="1" applyNumberFormat="1" applyFont="1" applyFill="1" applyBorder="1"/>
    <xf numFmtId="168" fontId="8" fillId="0" borderId="16" xfId="74" applyNumberFormat="1" applyFont="1" applyFill="1" applyBorder="1"/>
    <xf numFmtId="168" fontId="8" fillId="0" borderId="21" xfId="74" applyNumberFormat="1" applyFont="1" applyBorder="1"/>
    <xf numFmtId="176" fontId="6" fillId="0" borderId="0" xfId="1" applyNumberFormat="1" applyFont="1" applyFill="1" applyBorder="1"/>
    <xf numFmtId="176" fontId="6" fillId="0" borderId="17" xfId="1" applyNumberFormat="1" applyFont="1" applyFill="1" applyBorder="1"/>
    <xf numFmtId="176" fontId="6" fillId="0" borderId="16" xfId="1" applyNumberFormat="1" applyFont="1" applyFill="1" applyBorder="1"/>
    <xf numFmtId="176" fontId="6" fillId="0" borderId="13" xfId="1" applyNumberFormat="1" applyFont="1" applyFill="1" applyBorder="1"/>
    <xf numFmtId="176" fontId="6" fillId="0" borderId="18" xfId="1" applyNumberFormat="1" applyFont="1" applyFill="1" applyBorder="1"/>
    <xf numFmtId="176" fontId="6" fillId="0" borderId="23" xfId="1" applyNumberFormat="1" applyFont="1" applyFill="1" applyBorder="1"/>
    <xf numFmtId="0" fontId="6" fillId="0" borderId="15" xfId="1" applyFont="1" applyFill="1" applyBorder="1" applyAlignment="1">
      <alignment horizontal="left"/>
    </xf>
    <xf numFmtId="164" fontId="6" fillId="0" borderId="15" xfId="1" applyNumberFormat="1" applyFont="1" applyFill="1" applyBorder="1"/>
    <xf numFmtId="164" fontId="6" fillId="0" borderId="14" xfId="1" applyNumberFormat="1" applyFont="1" applyFill="1" applyBorder="1"/>
    <xf numFmtId="0" fontId="7" fillId="0" borderId="20" xfId="1" applyFont="1" applyFill="1" applyBorder="1" applyAlignment="1">
      <alignment horizontal="left" indent="1"/>
    </xf>
    <xf numFmtId="177" fontId="7" fillId="0" borderId="11" xfId="1" applyNumberFormat="1" applyFont="1" applyFill="1" applyBorder="1"/>
    <xf numFmtId="177" fontId="7" fillId="0" borderId="20" xfId="1" applyNumberFormat="1" applyFont="1" applyFill="1" applyBorder="1"/>
    <xf numFmtId="177" fontId="7" fillId="0" borderId="19" xfId="1" applyNumberFormat="1" applyFont="1" applyFill="1" applyBorder="1"/>
    <xf numFmtId="37" fontId="7" fillId="0" borderId="0" xfId="67" applyNumberFormat="1" applyFont="1" applyFill="1" applyBorder="1"/>
    <xf numFmtId="164" fontId="6" fillId="0" borderId="11" xfId="1" applyNumberFormat="1" applyFont="1" applyFill="1" applyBorder="1"/>
    <xf numFmtId="174" fontId="6" fillId="0" borderId="8" xfId="42" applyNumberFormat="1" applyFont="1" applyFill="1" applyBorder="1"/>
    <xf numFmtId="174" fontId="6" fillId="0" borderId="20" xfId="42" applyNumberFormat="1" applyFont="1" applyFill="1" applyBorder="1"/>
    <xf numFmtId="174" fontId="6" fillId="0" borderId="14" xfId="42" applyNumberFormat="1" applyFont="1" applyFill="1" applyBorder="1"/>
    <xf numFmtId="174" fontId="6" fillId="0" borderId="15" xfId="42" applyNumberFormat="1" applyFont="1" applyFill="1" applyBorder="1"/>
    <xf numFmtId="0" fontId="6" fillId="0" borderId="21" xfId="1" applyFont="1" applyFill="1" applyBorder="1"/>
    <xf numFmtId="174" fontId="20" fillId="0" borderId="11" xfId="42" applyNumberFormat="1" applyFont="1" applyFill="1" applyBorder="1" applyAlignment="1"/>
    <xf numFmtId="178" fontId="6" fillId="0" borderId="0" xfId="1" applyNumberFormat="1" applyFont="1" applyFill="1" applyBorder="1"/>
    <xf numFmtId="164" fontId="6" fillId="27" borderId="0" xfId="66" applyNumberFormat="1" applyFont="1" applyFill="1" applyBorder="1"/>
    <xf numFmtId="164" fontId="6" fillId="27" borderId="15" xfId="66" applyNumberFormat="1" applyFont="1" applyFill="1" applyBorder="1"/>
    <xf numFmtId="164" fontId="6" fillId="27" borderId="16" xfId="66" applyNumberFormat="1" applyFont="1" applyFill="1" applyBorder="1"/>
    <xf numFmtId="167" fontId="6" fillId="27" borderId="0" xfId="66" applyNumberFormat="1" applyFont="1" applyFill="1" applyBorder="1"/>
    <xf numFmtId="167" fontId="6" fillId="27" borderId="17" xfId="66" applyNumberFormat="1" applyFont="1" applyFill="1" applyBorder="1"/>
    <xf numFmtId="167" fontId="21" fillId="27" borderId="0" xfId="66" applyNumberFormat="1" applyFont="1" applyFill="1" applyBorder="1"/>
    <xf numFmtId="167" fontId="21" fillId="27" borderId="16" xfId="66" applyNumberFormat="1" applyFont="1" applyFill="1" applyBorder="1"/>
    <xf numFmtId="167" fontId="21" fillId="27" borderId="17" xfId="66" applyNumberFormat="1" applyFont="1" applyFill="1" applyBorder="1"/>
    <xf numFmtId="164" fontId="6" fillId="27" borderId="17" xfId="66" applyNumberFormat="1" applyFont="1" applyFill="1" applyBorder="1"/>
    <xf numFmtId="164" fontId="21" fillId="27" borderId="0" xfId="66" applyNumberFormat="1" applyFont="1" applyFill="1" applyBorder="1"/>
    <xf numFmtId="164" fontId="21" fillId="27" borderId="16" xfId="66" applyNumberFormat="1" applyFont="1" applyFill="1" applyBorder="1"/>
    <xf numFmtId="164" fontId="21" fillId="27" borderId="17" xfId="66" applyNumberFormat="1" applyFont="1" applyFill="1" applyBorder="1"/>
    <xf numFmtId="164" fontId="6" fillId="27" borderId="13" xfId="66" applyNumberFormat="1" applyFont="1" applyFill="1" applyBorder="1"/>
    <xf numFmtId="164" fontId="6" fillId="27" borderId="18" xfId="66" applyNumberFormat="1" applyFont="1" applyFill="1" applyBorder="1"/>
    <xf numFmtId="164" fontId="6" fillId="27" borderId="23" xfId="66" applyNumberFormat="1" applyFont="1" applyFill="1" applyBorder="1"/>
    <xf numFmtId="164" fontId="21" fillId="27" borderId="13" xfId="66" applyNumberFormat="1" applyFont="1" applyFill="1" applyBorder="1"/>
    <xf numFmtId="164" fontId="21" fillId="27" borderId="23" xfId="66" applyNumberFormat="1" applyFont="1" applyFill="1" applyBorder="1"/>
    <xf numFmtId="164" fontId="21" fillId="27" borderId="18" xfId="66" applyNumberFormat="1" applyFont="1" applyFill="1" applyBorder="1"/>
    <xf numFmtId="0" fontId="11" fillId="0" borderId="0" xfId="1" applyFont="1" applyAlignment="1">
      <alignment horizontal="center"/>
    </xf>
    <xf numFmtId="0" fontId="1" fillId="0" borderId="0" xfId="1" applyFont="1" applyFill="1" applyBorder="1" applyAlignment="1">
      <alignment horizontal="left" wrapText="1" indent="2"/>
    </xf>
    <xf numFmtId="0" fontId="1" fillId="0" borderId="0" xfId="1" applyFont="1" applyBorder="1"/>
    <xf numFmtId="0" fontId="8" fillId="0" borderId="18" xfId="1" applyFont="1" applyBorder="1"/>
    <xf numFmtId="0" fontId="7" fillId="0" borderId="14" xfId="1" applyFont="1" applyFill="1" applyBorder="1"/>
    <xf numFmtId="37" fontId="6" fillId="0" borderId="0" xfId="1" applyNumberFormat="1" applyFont="1" applyFill="1" applyBorder="1"/>
    <xf numFmtId="37" fontId="6" fillId="0" borderId="17" xfId="1" applyNumberFormat="1" applyFont="1" applyFill="1" applyBorder="1"/>
    <xf numFmtId="37" fontId="6" fillId="0" borderId="16" xfId="1" applyNumberFormat="1" applyFont="1" applyFill="1" applyBorder="1"/>
    <xf numFmtId="37" fontId="6" fillId="0" borderId="15" xfId="1" applyNumberFormat="1" applyFont="1" applyFill="1" applyBorder="1"/>
    <xf numFmtId="0" fontId="6" fillId="0" borderId="16" xfId="1" applyFont="1" applyFill="1" applyBorder="1" applyAlignment="1">
      <alignment horizontal="left" wrapText="1" indent="1"/>
    </xf>
    <xf numFmtId="0" fontId="6" fillId="0" borderId="17" xfId="1" applyFont="1" applyFill="1" applyBorder="1" applyAlignment="1">
      <alignment horizontal="left" wrapText="1" indent="1"/>
    </xf>
    <xf numFmtId="41" fontId="11" fillId="0" borderId="0" xfId="1" applyNumberFormat="1" applyFont="1" applyFill="1" applyBorder="1"/>
    <xf numFmtId="41" fontId="11" fillId="0" borderId="17" xfId="1" applyNumberFormat="1" applyFont="1" applyFill="1" applyBorder="1"/>
    <xf numFmtId="41" fontId="11" fillId="0" borderId="16" xfId="1" applyNumberFormat="1" applyFont="1" applyFill="1" applyBorder="1"/>
    <xf numFmtId="177" fontId="6" fillId="0" borderId="0" xfId="1" applyNumberFormat="1" applyFont="1" applyFill="1" applyBorder="1"/>
    <xf numFmtId="177" fontId="6" fillId="0" borderId="17" xfId="1" applyNumberFormat="1" applyFont="1" applyFill="1" applyBorder="1"/>
    <xf numFmtId="177" fontId="6" fillId="0" borderId="16" xfId="1" applyNumberFormat="1" applyFont="1" applyFill="1" applyBorder="1"/>
    <xf numFmtId="177" fontId="11" fillId="0" borderId="0" xfId="1" applyNumberFormat="1" applyFont="1" applyFill="1" applyBorder="1"/>
    <xf numFmtId="177" fontId="11" fillId="0" borderId="17" xfId="1" applyNumberFormat="1" applyFont="1" applyFill="1" applyBorder="1"/>
    <xf numFmtId="177" fontId="11" fillId="0" borderId="16" xfId="1" applyNumberFormat="1" applyFont="1" applyFill="1" applyBorder="1"/>
    <xf numFmtId="0" fontId="7" fillId="0" borderId="25" xfId="1" applyFont="1" applyFill="1" applyBorder="1" applyAlignment="1">
      <alignment horizontal="left"/>
    </xf>
    <xf numFmtId="0" fontId="7" fillId="0" borderId="26" xfId="1" applyFont="1" applyFill="1" applyBorder="1" applyAlignment="1">
      <alignment horizontal="left"/>
    </xf>
    <xf numFmtId="177" fontId="7" fillId="0" borderId="27" xfId="1" applyNumberFormat="1" applyFont="1" applyFill="1" applyBorder="1"/>
    <xf numFmtId="177" fontId="7" fillId="0" borderId="25" xfId="1" applyNumberFormat="1" applyFont="1" applyFill="1" applyBorder="1"/>
    <xf numFmtId="177" fontId="7" fillId="0" borderId="26" xfId="1" applyNumberFormat="1" applyFont="1" applyFill="1" applyBorder="1"/>
    <xf numFmtId="0" fontId="7" fillId="0" borderId="16" xfId="1" applyFont="1" applyFill="1" applyBorder="1" applyAlignment="1">
      <alignment horizontal="left"/>
    </xf>
    <xf numFmtId="0" fontId="7" fillId="0" borderId="17" xfId="1" applyFont="1" applyFill="1" applyBorder="1" applyAlignment="1">
      <alignment horizontal="left"/>
    </xf>
    <xf numFmtId="177" fontId="13" fillId="0" borderId="0" xfId="1" applyNumberFormat="1" applyFont="1" applyFill="1" applyBorder="1"/>
    <xf numFmtId="177" fontId="7" fillId="0" borderId="0" xfId="1" applyNumberFormat="1" applyFont="1" applyFill="1" applyBorder="1"/>
    <xf numFmtId="177" fontId="7" fillId="0" borderId="16" xfId="1" applyNumberFormat="1" applyFont="1" applyFill="1" applyBorder="1"/>
    <xf numFmtId="177" fontId="7" fillId="0" borderId="17" xfId="1" applyNumberFormat="1" applyFont="1" applyFill="1" applyBorder="1"/>
    <xf numFmtId="177" fontId="15" fillId="0" borderId="0" xfId="1" applyNumberFormat="1" applyFont="1" applyFill="1" applyBorder="1"/>
    <xf numFmtId="177" fontId="15" fillId="0" borderId="17" xfId="1" applyNumberFormat="1" applyFont="1" applyFill="1" applyBorder="1"/>
    <xf numFmtId="177" fontId="15" fillId="0" borderId="16" xfId="1" applyNumberFormat="1" applyFont="1" applyFill="1" applyBorder="1"/>
    <xf numFmtId="0" fontId="7" fillId="0" borderId="23" xfId="1" applyFont="1" applyFill="1" applyBorder="1" applyAlignment="1">
      <alignment horizontal="left"/>
    </xf>
    <xf numFmtId="0" fontId="7" fillId="0" borderId="18" xfId="1" applyFont="1" applyFill="1" applyBorder="1" applyAlignment="1">
      <alignment horizontal="left"/>
    </xf>
    <xf numFmtId="177" fontId="7" fillId="0" borderId="13" xfId="1" applyNumberFormat="1" applyFont="1" applyFill="1" applyBorder="1"/>
    <xf numFmtId="177" fontId="7" fillId="0" borderId="23" xfId="1" applyNumberFormat="1" applyFont="1" applyFill="1" applyBorder="1"/>
    <xf numFmtId="177" fontId="7" fillId="0" borderId="18" xfId="1" applyNumberFormat="1" applyFont="1" applyFill="1" applyBorder="1"/>
    <xf numFmtId="0" fontId="7" fillId="0" borderId="0" xfId="1" applyFont="1" applyFill="1" applyBorder="1" applyAlignment="1">
      <alignment horizontal="left"/>
    </xf>
    <xf numFmtId="177" fontId="7" fillId="0" borderId="8" xfId="1" applyNumberFormat="1" applyFont="1" applyFill="1" applyBorder="1"/>
    <xf numFmtId="0" fontId="6" fillId="0" borderId="20" xfId="1" applyFont="1" applyFill="1" applyBorder="1"/>
    <xf numFmtId="174" fontId="6" fillId="0" borderId="11" xfId="42" applyNumberFormat="1" applyFont="1" applyFill="1" applyBorder="1"/>
    <xf numFmtId="174" fontId="20" fillId="0" borderId="13" xfId="42" applyNumberFormat="1" applyFont="1" applyFill="1" applyBorder="1"/>
    <xf numFmtId="174" fontId="20" fillId="0" borderId="18" xfId="42" applyNumberFormat="1" applyFont="1" applyFill="1" applyBorder="1"/>
    <xf numFmtId="0" fontId="8" fillId="0" borderId="0" xfId="1" applyFont="1" applyFill="1" applyBorder="1"/>
    <xf numFmtId="37" fontId="15" fillId="0" borderId="0" xfId="1" applyNumberFormat="1" applyFont="1" applyFill="1" applyBorder="1"/>
    <xf numFmtId="0" fontId="11" fillId="0" borderId="0" xfId="1" applyFont="1"/>
    <xf numFmtId="0" fontId="6" fillId="0" borderId="13" xfId="1" applyFont="1" applyBorder="1"/>
    <xf numFmtId="1" fontId="7" fillId="26" borderId="11" xfId="67" applyNumberFormat="1" applyFont="1" applyFill="1" applyBorder="1" applyAlignment="1">
      <alignment horizontal="right"/>
    </xf>
    <xf numFmtId="1" fontId="7" fillId="26" borderId="20" xfId="67" applyNumberFormat="1" applyFont="1" applyFill="1" applyBorder="1" applyAlignment="1">
      <alignment horizontal="right"/>
    </xf>
    <xf numFmtId="0" fontId="6" fillId="0" borderId="15" xfId="1" applyFont="1" applyBorder="1"/>
    <xf numFmtId="174" fontId="6" fillId="0" borderId="0" xfId="42" applyNumberFormat="1" applyFont="1" applyFill="1"/>
    <xf numFmtId="174" fontId="6" fillId="0" borderId="17" xfId="42" applyNumberFormat="1" applyFont="1" applyFill="1" applyBorder="1"/>
    <xf numFmtId="174" fontId="6" fillId="0" borderId="0" xfId="42" applyNumberFormat="1" applyFont="1" applyBorder="1"/>
    <xf numFmtId="174" fontId="6" fillId="0" borderId="17" xfId="42" applyNumberFormat="1" applyFont="1" applyBorder="1"/>
    <xf numFmtId="174" fontId="21" fillId="0" borderId="8" xfId="42" applyNumberFormat="1" applyFont="1" applyFill="1" applyBorder="1"/>
    <xf numFmtId="0" fontId="6" fillId="0" borderId="17" xfId="1" applyFont="1" applyBorder="1"/>
    <xf numFmtId="174" fontId="11" fillId="0" borderId="0" xfId="42" applyNumberFormat="1" applyFont="1" applyFill="1"/>
    <xf numFmtId="174" fontId="11" fillId="0" borderId="17" xfId="42" applyNumberFormat="1" applyFont="1" applyFill="1" applyBorder="1"/>
    <xf numFmtId="174" fontId="11" fillId="0" borderId="0" xfId="42" applyNumberFormat="1" applyFont="1" applyBorder="1"/>
    <xf numFmtId="174" fontId="11" fillId="0" borderId="16" xfId="42" applyNumberFormat="1" applyFont="1" applyFill="1" applyBorder="1"/>
    <xf numFmtId="174" fontId="11" fillId="0" borderId="0" xfId="42" applyNumberFormat="1" applyFont="1" applyFill="1" applyBorder="1"/>
    <xf numFmtId="0" fontId="8" fillId="0" borderId="17" xfId="1" applyFont="1" applyBorder="1" applyAlignment="1">
      <alignment horizontal="left" indent="1"/>
    </xf>
    <xf numFmtId="168" fontId="8" fillId="0" borderId="0" xfId="74" applyNumberFormat="1" applyFont="1" applyBorder="1"/>
    <xf numFmtId="168" fontId="8" fillId="0" borderId="13" xfId="74" applyNumberFormat="1" applyFont="1" applyFill="1" applyBorder="1"/>
    <xf numFmtId="168" fontId="8" fillId="0" borderId="18" xfId="74" applyNumberFormat="1" applyFont="1" applyFill="1" applyBorder="1"/>
    <xf numFmtId="174" fontId="21" fillId="0" borderId="13" xfId="42" applyNumberFormat="1" applyFont="1" applyFill="1" applyBorder="1"/>
    <xf numFmtId="174" fontId="6" fillId="0" borderId="18" xfId="42" applyNumberFormat="1" applyFont="1" applyFill="1" applyBorder="1"/>
    <xf numFmtId="174" fontId="6" fillId="0" borderId="13" xfId="42" applyNumberFormat="1" applyFont="1" applyFill="1" applyBorder="1"/>
    <xf numFmtId="174" fontId="6" fillId="0" borderId="23" xfId="42" applyNumberFormat="1" applyFont="1" applyFill="1" applyBorder="1"/>
    <xf numFmtId="174" fontId="6" fillId="0" borderId="0" xfId="42" applyNumberFormat="1" applyFont="1" applyFill="1" applyBorder="1"/>
    <xf numFmtId="174" fontId="6" fillId="0" borderId="16" xfId="42" applyNumberFormat="1" applyFont="1" applyFill="1" applyBorder="1"/>
    <xf numFmtId="0" fontId="7" fillId="0" borderId="18" xfId="1" applyFont="1" applyBorder="1"/>
    <xf numFmtId="174" fontId="7" fillId="0" borderId="11" xfId="42" applyNumberFormat="1" applyFont="1" applyBorder="1"/>
    <xf numFmtId="174" fontId="7" fillId="0" borderId="20" xfId="42" applyNumberFormat="1" applyFont="1" applyBorder="1"/>
    <xf numFmtId="174" fontId="7" fillId="0" borderId="19" xfId="42" applyNumberFormat="1" applyFont="1" applyBorder="1"/>
    <xf numFmtId="174" fontId="6" fillId="0" borderId="11" xfId="42" applyNumberFormat="1" applyFont="1" applyBorder="1"/>
    <xf numFmtId="168" fontId="8" fillId="0" borderId="0" xfId="74" applyNumberFormat="1" applyFont="1" applyFill="1"/>
    <xf numFmtId="168" fontId="11" fillId="0" borderId="0" xfId="1" applyNumberFormat="1" applyFont="1"/>
    <xf numFmtId="174" fontId="11" fillId="0" borderId="0" xfId="1" applyNumberFormat="1" applyFont="1"/>
    <xf numFmtId="0" fontId="13" fillId="0" borderId="0" xfId="1" applyFont="1"/>
    <xf numFmtId="1" fontId="7" fillId="26" borderId="19" xfId="67" applyNumberFormat="1" applyFont="1" applyFill="1" applyBorder="1" applyAlignment="1">
      <alignment horizontal="right"/>
    </xf>
    <xf numFmtId="168" fontId="8" fillId="0" borderId="13" xfId="74" applyNumberFormat="1" applyFont="1" applyBorder="1"/>
    <xf numFmtId="168" fontId="8" fillId="0" borderId="23" xfId="74" applyNumberFormat="1" applyFont="1" applyBorder="1"/>
    <xf numFmtId="177" fontId="6" fillId="0" borderId="0" xfId="1" applyNumberFormat="1" applyFont="1"/>
    <xf numFmtId="177" fontId="6" fillId="0" borderId="15" xfId="1" applyNumberFormat="1" applyFont="1" applyBorder="1"/>
    <xf numFmtId="177" fontId="6" fillId="0" borderId="14" xfId="1" applyNumberFormat="1" applyFont="1" applyBorder="1"/>
    <xf numFmtId="177" fontId="6" fillId="0" borderId="8" xfId="1" applyNumberFormat="1" applyFont="1" applyBorder="1"/>
    <xf numFmtId="177" fontId="6" fillId="0" borderId="13" xfId="1" applyNumberFormat="1" applyFont="1" applyBorder="1"/>
    <xf numFmtId="177" fontId="6" fillId="0" borderId="18" xfId="1" applyNumberFormat="1" applyFont="1" applyBorder="1"/>
    <xf numFmtId="177" fontId="6" fillId="0" borderId="23" xfId="1" applyNumberFormat="1" applyFont="1" applyBorder="1"/>
    <xf numFmtId="0" fontId="22" fillId="0" borderId="0" xfId="1" applyFont="1"/>
    <xf numFmtId="0" fontId="7" fillId="0" borderId="13" xfId="1" applyFont="1" applyFill="1" applyBorder="1" applyAlignment="1">
      <alignment horizontal="left"/>
    </xf>
    <xf numFmtId="0" fontId="7" fillId="0" borderId="20" xfId="1" applyFont="1" applyFill="1" applyBorder="1" applyAlignment="1">
      <alignment horizontal="left"/>
    </xf>
    <xf numFmtId="37" fontId="1" fillId="0" borderId="0" xfId="1" applyNumberFormat="1" applyFont="1" applyFill="1" applyAlignment="1">
      <alignment horizontal="center"/>
    </xf>
    <xf numFmtId="0" fontId="24" fillId="0" borderId="0" xfId="1" applyFont="1"/>
    <xf numFmtId="0" fontId="14" fillId="0" borderId="16" xfId="1" applyNumberFormat="1" applyFont="1" applyFill="1" applyBorder="1" applyAlignment="1"/>
    <xf numFmtId="49" fontId="0" fillId="0" borderId="0" xfId="1" applyNumberFormat="1" applyFont="1"/>
    <xf numFmtId="0" fontId="7" fillId="0" borderId="0" xfId="1" applyFont="1" applyBorder="1"/>
    <xf numFmtId="0" fontId="6" fillId="0" borderId="0" xfId="1" applyFont="1" applyFill="1" applyBorder="1" applyAlignment="1">
      <alignment horizontal="left" indent="1"/>
    </xf>
    <xf numFmtId="181" fontId="6" fillId="0" borderId="0" xfId="42" applyNumberFormat="1" applyFont="1" applyBorder="1"/>
    <xf numFmtId="0" fontId="6" fillId="0" borderId="8" xfId="1" applyFont="1" applyBorder="1"/>
    <xf numFmtId="167" fontId="1" fillId="0" borderId="0" xfId="1" applyNumberFormat="1" applyFont="1"/>
    <xf numFmtId="177" fontId="7" fillId="0" borderId="29" xfId="1" applyNumberFormat="1" applyFont="1" applyFill="1" applyBorder="1"/>
    <xf numFmtId="0" fontId="0" fillId="0" borderId="0" xfId="1" applyFont="1" applyBorder="1"/>
    <xf numFmtId="43" fontId="1" fillId="0" borderId="0" xfId="1" applyNumberFormat="1" applyFont="1" applyFill="1"/>
    <xf numFmtId="43" fontId="11" fillId="0" borderId="0" xfId="1" applyNumberFormat="1" applyFont="1"/>
    <xf numFmtId="169" fontId="11" fillId="0" borderId="0" xfId="1" applyNumberFormat="1" applyFont="1" applyFill="1" applyBorder="1" applyAlignment="1">
      <alignment horizontal="center"/>
    </xf>
    <xf numFmtId="169" fontId="11" fillId="0" borderId="17" xfId="1" applyNumberFormat="1" applyFont="1" applyFill="1" applyBorder="1" applyAlignment="1">
      <alignment horizontal="center"/>
    </xf>
    <xf numFmtId="164" fontId="11" fillId="0" borderId="0" xfId="1" applyNumberFormat="1" applyFont="1" applyFill="1" applyBorder="1" applyAlignment="1">
      <alignment horizontal="center"/>
    </xf>
    <xf numFmtId="164" fontId="11" fillId="0" borderId="17" xfId="1" applyNumberFormat="1" applyFont="1" applyFill="1" applyBorder="1" applyAlignment="1">
      <alignment horizontal="center"/>
    </xf>
    <xf numFmtId="164" fontId="6" fillId="0" borderId="0" xfId="1" applyNumberFormat="1" applyFont="1" applyFill="1" applyBorder="1" applyAlignment="1">
      <alignment horizontal="center"/>
    </xf>
    <xf numFmtId="164" fontId="6" fillId="0" borderId="17" xfId="1" applyNumberFormat="1" applyFont="1" applyFill="1" applyBorder="1" applyAlignment="1">
      <alignment horizontal="center"/>
    </xf>
    <xf numFmtId="172" fontId="11" fillId="0" borderId="0" xfId="1" applyNumberFormat="1" applyFont="1" applyFill="1" applyBorder="1" applyAlignment="1">
      <alignment horizontal="center"/>
    </xf>
    <xf numFmtId="172" fontId="11" fillId="0" borderId="17" xfId="1" applyNumberFormat="1" applyFont="1" applyFill="1" applyBorder="1" applyAlignment="1">
      <alignment horizontal="center"/>
    </xf>
    <xf numFmtId="168" fontId="8" fillId="0" borderId="0" xfId="74" applyNumberFormat="1" applyFont="1" applyFill="1" applyBorder="1" applyAlignment="1">
      <alignment horizontal="center"/>
    </xf>
    <xf numFmtId="168" fontId="8" fillId="0" borderId="17" xfId="74" applyNumberFormat="1" applyFont="1" applyFill="1" applyBorder="1" applyAlignment="1">
      <alignment horizontal="center"/>
    </xf>
    <xf numFmtId="168" fontId="12" fillId="0" borderId="0" xfId="74" applyNumberFormat="1" applyFont="1" applyFill="1" applyBorder="1" applyAlignment="1">
      <alignment horizontal="center"/>
    </xf>
    <xf numFmtId="168" fontId="12" fillId="0" borderId="17" xfId="74" applyNumberFormat="1" applyFont="1" applyFill="1" applyBorder="1" applyAlignment="1">
      <alignment horizontal="center"/>
    </xf>
    <xf numFmtId="169" fontId="6" fillId="0" borderId="0" xfId="1" applyNumberFormat="1" applyFont="1" applyFill="1" applyBorder="1" applyAlignment="1">
      <alignment horizontal="center"/>
    </xf>
    <xf numFmtId="169" fontId="6" fillId="0" borderId="17" xfId="1" applyNumberFormat="1" applyFont="1" applyFill="1" applyBorder="1" applyAlignment="1">
      <alignment horizontal="center"/>
    </xf>
    <xf numFmtId="169" fontId="6" fillId="0" borderId="13" xfId="1" applyNumberFormat="1" applyFont="1" applyFill="1" applyBorder="1" applyAlignment="1">
      <alignment horizontal="center"/>
    </xf>
    <xf numFmtId="169" fontId="6" fillId="0" borderId="18" xfId="1" applyNumberFormat="1" applyFont="1" applyFill="1" applyBorder="1" applyAlignment="1">
      <alignment horizontal="center"/>
    </xf>
    <xf numFmtId="9" fontId="0" fillId="0" borderId="0" xfId="0" applyNumberFormat="1"/>
    <xf numFmtId="0" fontId="0" fillId="0" borderId="0" xfId="0" applyFill="1" applyBorder="1"/>
    <xf numFmtId="0" fontId="0" fillId="0" borderId="0" xfId="0" applyBorder="1"/>
    <xf numFmtId="49" fontId="0" fillId="0" borderId="0" xfId="0" applyNumberFormat="1"/>
    <xf numFmtId="177" fontId="25" fillId="0" borderId="17" xfId="1" applyNumberFormat="1" applyFont="1" applyFill="1" applyBorder="1"/>
    <xf numFmtId="177" fontId="25" fillId="0" borderId="0" xfId="1" applyNumberFormat="1" applyFont="1" applyFill="1" applyBorder="1"/>
    <xf numFmtId="177" fontId="24" fillId="0" borderId="16" xfId="1" applyNumberFormat="1" applyFont="1" applyFill="1" applyBorder="1"/>
    <xf numFmtId="177" fontId="24" fillId="0" borderId="0" xfId="1" applyNumberFormat="1" applyFont="1" applyFill="1" applyBorder="1"/>
    <xf numFmtId="177" fontId="24" fillId="0" borderId="17" xfId="1" applyNumberFormat="1" applyFont="1" applyFill="1" applyBorder="1"/>
    <xf numFmtId="168" fontId="0" fillId="0" borderId="0" xfId="0" applyNumberFormat="1"/>
    <xf numFmtId="0" fontId="0" fillId="0" borderId="16" xfId="0" applyBorder="1"/>
    <xf numFmtId="173" fontId="8" fillId="0" borderId="0" xfId="1" applyNumberFormat="1" applyFont="1" applyFill="1" applyBorder="1" applyAlignment="1">
      <alignment horizontal="center"/>
    </xf>
    <xf numFmtId="173" fontId="8" fillId="0" borderId="17" xfId="1" applyNumberFormat="1" applyFont="1" applyFill="1" applyBorder="1" applyAlignment="1">
      <alignment horizontal="center"/>
    </xf>
    <xf numFmtId="172" fontId="6" fillId="0" borderId="16" xfId="1" applyNumberFormat="1" applyFont="1" applyFill="1" applyBorder="1"/>
    <xf numFmtId="0" fontId="6" fillId="0" borderId="8" xfId="1" applyFont="1" applyFill="1" applyBorder="1" applyAlignment="1">
      <alignment horizontal="center"/>
    </xf>
    <xf numFmtId="164" fontId="19" fillId="0" borderId="0" xfId="1" applyNumberFormat="1" applyFont="1" applyFill="1" applyBorder="1" applyAlignment="1"/>
    <xf numFmtId="0" fontId="18" fillId="0" borderId="0" xfId="0" applyFont="1"/>
    <xf numFmtId="0" fontId="24" fillId="0" borderId="21" xfId="1" applyFont="1" applyBorder="1"/>
    <xf numFmtId="0" fontId="18" fillId="0" borderId="16" xfId="0" applyFont="1" applyBorder="1"/>
    <xf numFmtId="0" fontId="6" fillId="0" borderId="0" xfId="1" applyFont="1" applyFill="1" applyBorder="1" applyAlignment="1">
      <alignment horizontal="center"/>
    </xf>
    <xf numFmtId="164" fontId="6" fillId="0" borderId="23" xfId="1" applyNumberFormat="1" applyFont="1" applyFill="1" applyBorder="1"/>
    <xf numFmtId="174" fontId="6" fillId="0" borderId="19" xfId="42" applyNumberFormat="1" applyFont="1" applyFill="1" applyBorder="1"/>
    <xf numFmtId="174" fontId="20" fillId="0" borderId="23" xfId="42" applyNumberFormat="1" applyFont="1" applyFill="1" applyBorder="1"/>
    <xf numFmtId="174" fontId="21" fillId="0" borderId="14" xfId="42" applyNumberFormat="1" applyFont="1" applyFill="1" applyBorder="1"/>
    <xf numFmtId="168" fontId="8" fillId="0" borderId="16" xfId="74" applyNumberFormat="1" applyFont="1" applyBorder="1"/>
    <xf numFmtId="174" fontId="21" fillId="0" borderId="23" xfId="42" applyNumberFormat="1" applyFont="1" applyFill="1" applyBorder="1"/>
    <xf numFmtId="0" fontId="38" fillId="0" borderId="0" xfId="0" applyFont="1"/>
    <xf numFmtId="0" fontId="11" fillId="0" borderId="0" xfId="1" applyFont="1" applyBorder="1"/>
    <xf numFmtId="0" fontId="24" fillId="0" borderId="16" xfId="1" applyFont="1" applyFill="1" applyBorder="1"/>
    <xf numFmtId="0" fontId="24" fillId="0" borderId="17" xfId="1" applyFont="1" applyFill="1" applyBorder="1"/>
    <xf numFmtId="0" fontId="22" fillId="0" borderId="0" xfId="0" applyFont="1"/>
    <xf numFmtId="0" fontId="24" fillId="0" borderId="21" xfId="1" applyFont="1" applyFill="1" applyBorder="1"/>
    <xf numFmtId="0" fontId="0" fillId="0" borderId="0" xfId="0" applyFill="1"/>
    <xf numFmtId="0" fontId="7" fillId="0" borderId="23" xfId="1" applyFont="1" applyFill="1" applyBorder="1"/>
    <xf numFmtId="0" fontId="8" fillId="0" borderId="23" xfId="1" applyFont="1" applyFill="1" applyBorder="1" applyAlignment="1">
      <alignment horizontal="left" indent="1"/>
    </xf>
    <xf numFmtId="0" fontId="8" fillId="0" borderId="16" xfId="1" applyFont="1" applyFill="1" applyBorder="1"/>
    <xf numFmtId="177" fontId="25" fillId="27" borderId="0" xfId="1" applyNumberFormat="1" applyFont="1" applyFill="1" applyBorder="1"/>
    <xf numFmtId="177" fontId="25" fillId="27" borderId="17" xfId="1" applyNumberFormat="1" applyFont="1" applyFill="1" applyBorder="1"/>
    <xf numFmtId="177" fontId="25" fillId="27" borderId="16" xfId="1" applyNumberFormat="1" applyFont="1" applyFill="1" applyBorder="1"/>
    <xf numFmtId="177" fontId="6" fillId="27" borderId="16" xfId="1" applyNumberFormat="1" applyFont="1" applyFill="1" applyBorder="1"/>
    <xf numFmtId="177" fontId="6" fillId="27" borderId="0" xfId="1" applyNumberFormat="1" applyFont="1" applyFill="1" applyBorder="1"/>
    <xf numFmtId="177" fontId="6" fillId="27" borderId="17" xfId="1" applyNumberFormat="1" applyFont="1" applyFill="1" applyBorder="1"/>
    <xf numFmtId="177" fontId="24" fillId="27" borderId="16" xfId="1" applyNumberFormat="1" applyFont="1" applyFill="1" applyBorder="1"/>
    <xf numFmtId="177" fontId="24" fillId="27" borderId="0" xfId="1" applyNumberFormat="1" applyFont="1" applyFill="1" applyBorder="1"/>
    <xf numFmtId="177" fontId="24" fillId="27" borderId="17" xfId="1" applyNumberFormat="1" applyFont="1" applyFill="1" applyBorder="1"/>
    <xf numFmtId="177" fontId="7" fillId="27" borderId="16" xfId="1" applyNumberFormat="1" applyFont="1" applyFill="1" applyBorder="1"/>
    <xf numFmtId="177" fontId="7" fillId="27" borderId="0" xfId="1" applyNumberFormat="1" applyFont="1" applyFill="1" applyBorder="1"/>
    <xf numFmtId="177" fontId="7" fillId="27" borderId="17" xfId="1" applyNumberFormat="1" applyFont="1" applyFill="1" applyBorder="1"/>
    <xf numFmtId="177" fontId="7" fillId="27" borderId="25" xfId="1" applyNumberFormat="1" applyFont="1" applyFill="1" applyBorder="1"/>
    <xf numFmtId="177" fontId="7" fillId="27" borderId="27" xfId="1" applyNumberFormat="1" applyFont="1" applyFill="1" applyBorder="1"/>
    <xf numFmtId="177" fontId="7" fillId="27" borderId="26" xfId="1" applyNumberFormat="1" applyFont="1" applyFill="1" applyBorder="1"/>
    <xf numFmtId="177" fontId="11" fillId="27" borderId="16" xfId="1" applyNumberFormat="1" applyFont="1" applyFill="1" applyBorder="1"/>
    <xf numFmtId="177" fontId="11" fillId="27" borderId="0" xfId="1" applyNumberFormat="1" applyFont="1" applyFill="1" applyBorder="1"/>
    <xf numFmtId="177" fontId="11" fillId="27" borderId="17" xfId="1" applyNumberFormat="1" applyFont="1" applyFill="1" applyBorder="1"/>
    <xf numFmtId="164" fontId="6" fillId="27" borderId="0" xfId="1" applyNumberFormat="1" applyFont="1" applyFill="1" applyBorder="1" applyAlignment="1"/>
    <xf numFmtId="168" fontId="8" fillId="27" borderId="0" xfId="74" applyNumberFormat="1" applyFont="1" applyFill="1" applyBorder="1" applyAlignment="1"/>
    <xf numFmtId="169" fontId="11" fillId="27" borderId="16" xfId="1" applyNumberFormat="1" applyFont="1" applyFill="1" applyBorder="1"/>
    <xf numFmtId="169" fontId="11" fillId="27" borderId="0" xfId="1" applyNumberFormat="1" applyFont="1" applyFill="1" applyBorder="1"/>
    <xf numFmtId="169" fontId="11" fillId="27" borderId="0" xfId="1" applyNumberFormat="1" applyFont="1" applyFill="1" applyBorder="1" applyAlignment="1"/>
    <xf numFmtId="164" fontId="7" fillId="27" borderId="0" xfId="1" applyNumberFormat="1" applyFont="1" applyFill="1" applyBorder="1" applyAlignment="1"/>
    <xf numFmtId="171" fontId="6" fillId="27" borderId="0" xfId="1" applyNumberFormat="1" applyFont="1" applyFill="1" applyBorder="1"/>
    <xf numFmtId="173" fontId="8" fillId="27" borderId="16" xfId="1" applyNumberFormat="1" applyFont="1" applyFill="1" applyBorder="1"/>
    <xf numFmtId="173" fontId="8" fillId="27" borderId="0" xfId="1" applyNumberFormat="1" applyFont="1" applyFill="1" applyBorder="1"/>
    <xf numFmtId="172" fontId="6" fillId="27" borderId="16" xfId="1" applyNumberFormat="1" applyFont="1" applyFill="1" applyBorder="1"/>
    <xf numFmtId="172" fontId="6" fillId="27" borderId="0" xfId="1" applyNumberFormat="1" applyFont="1" applyFill="1" applyBorder="1"/>
    <xf numFmtId="164" fontId="6" fillId="27" borderId="0" xfId="1" applyNumberFormat="1" applyFont="1" applyFill="1" applyBorder="1"/>
    <xf numFmtId="164" fontId="6" fillId="27" borderId="17" xfId="1" applyNumberFormat="1" applyFont="1" applyFill="1" applyBorder="1"/>
    <xf numFmtId="168" fontId="12" fillId="27" borderId="0" xfId="74" applyNumberFormat="1" applyFont="1" applyFill="1" applyBorder="1"/>
    <xf numFmtId="0" fontId="6" fillId="27" borderId="0" xfId="1" applyFont="1" applyFill="1" applyAlignment="1">
      <alignment horizontal="right"/>
    </xf>
    <xf numFmtId="171" fontId="7" fillId="27" borderId="0" xfId="1" applyNumberFormat="1" applyFont="1" applyFill="1" applyBorder="1"/>
    <xf numFmtId="164" fontId="11" fillId="0" borderId="17" xfId="1" applyNumberFormat="1" applyFont="1" applyFill="1" applyBorder="1" applyAlignment="1"/>
    <xf numFmtId="164" fontId="11" fillId="0" borderId="16" xfId="1" applyNumberFormat="1" applyFont="1" applyFill="1" applyBorder="1" applyAlignment="1"/>
    <xf numFmtId="164" fontId="11" fillId="0" borderId="14" xfId="1" applyNumberFormat="1" applyFont="1" applyFill="1" applyBorder="1"/>
    <xf numFmtId="164" fontId="11" fillId="0" borderId="18" xfId="1" applyNumberFormat="1" applyFont="1" applyFill="1" applyBorder="1"/>
    <xf numFmtId="164" fontId="11" fillId="0" borderId="8" xfId="1" applyNumberFormat="1" applyFont="1" applyFill="1" applyBorder="1"/>
    <xf numFmtId="164" fontId="11" fillId="0" borderId="15" xfId="1" applyNumberFormat="1" applyFont="1" applyFill="1" applyBorder="1"/>
    <xf numFmtId="164" fontId="15" fillId="0" borderId="17" xfId="1" applyNumberFormat="1" applyFont="1" applyFill="1" applyBorder="1"/>
    <xf numFmtId="164" fontId="15" fillId="0" borderId="0" xfId="1" applyNumberFormat="1" applyFont="1" applyFill="1" applyBorder="1"/>
    <xf numFmtId="164" fontId="15" fillId="0" borderId="16" xfId="1" applyNumberFormat="1" applyFont="1" applyFill="1" applyBorder="1"/>
    <xf numFmtId="174" fontId="11" fillId="0" borderId="15" xfId="42" applyNumberFormat="1" applyFont="1" applyFill="1" applyBorder="1"/>
    <xf numFmtId="174" fontId="11" fillId="0" borderId="18" xfId="42" applyNumberFormat="1" applyFont="1" applyFill="1" applyBorder="1"/>
    <xf numFmtId="174" fontId="11" fillId="0" borderId="13" xfId="42" applyNumberFormat="1" applyFont="1" applyFill="1" applyBorder="1"/>
    <xf numFmtId="174" fontId="7" fillId="0" borderId="20" xfId="42" applyNumberFormat="1" applyFont="1" applyFill="1" applyBorder="1"/>
    <xf numFmtId="9" fontId="11" fillId="0" borderId="0" xfId="74" applyFont="1"/>
    <xf numFmtId="174" fontId="7" fillId="0" borderId="11" xfId="42" applyNumberFormat="1" applyFont="1" applyFill="1" applyBorder="1"/>
    <xf numFmtId="43" fontId="11" fillId="0" borderId="0" xfId="42" applyFont="1" applyFill="1" applyBorder="1"/>
    <xf numFmtId="43" fontId="8" fillId="0" borderId="0" xfId="42" applyFont="1" applyFill="1"/>
    <xf numFmtId="0" fontId="7" fillId="0" borderId="17" xfId="1" applyFont="1" applyBorder="1"/>
    <xf numFmtId="0" fontId="19" fillId="0" borderId="0" xfId="1" applyFont="1" applyBorder="1"/>
    <xf numFmtId="0" fontId="19" fillId="0" borderId="21" xfId="1" applyFont="1" applyBorder="1"/>
    <xf numFmtId="0" fontId="19" fillId="0" borderId="16" xfId="1" applyFont="1" applyBorder="1"/>
    <xf numFmtId="181" fontId="24" fillId="0" borderId="16" xfId="42" applyNumberFormat="1" applyFont="1" applyFill="1" applyBorder="1" applyAlignment="1">
      <alignment horizontal="right"/>
    </xf>
    <xf numFmtId="181" fontId="24" fillId="0" borderId="0" xfId="42" applyNumberFormat="1" applyFont="1" applyFill="1" applyBorder="1" applyAlignment="1">
      <alignment horizontal="right"/>
    </xf>
    <xf numFmtId="181" fontId="24" fillId="0" borderId="17" xfId="42" applyNumberFormat="1" applyFont="1" applyFill="1" applyBorder="1" applyAlignment="1">
      <alignment horizontal="right"/>
    </xf>
    <xf numFmtId="0" fontId="19" fillId="0" borderId="16" xfId="1" applyFont="1" applyFill="1" applyBorder="1"/>
    <xf numFmtId="0" fontId="0" fillId="0" borderId="16" xfId="0" applyFill="1" applyBorder="1"/>
    <xf numFmtId="171" fontId="14" fillId="0" borderId="0" xfId="1" applyNumberFormat="1" applyFont="1" applyFill="1" applyBorder="1"/>
    <xf numFmtId="171" fontId="14" fillId="0" borderId="17" xfId="1" applyNumberFormat="1" applyFont="1" applyFill="1" applyBorder="1"/>
    <xf numFmtId="171" fontId="14" fillId="0" borderId="16" xfId="1" applyNumberFormat="1" applyFont="1" applyFill="1" applyBorder="1"/>
    <xf numFmtId="165" fontId="9" fillId="26" borderId="19" xfId="68" applyNumberFormat="1" applyFont="1" applyFill="1" applyBorder="1" applyAlignment="1">
      <alignment horizontal="right"/>
    </xf>
    <xf numFmtId="165" fontId="9" fillId="26" borderId="11" xfId="68" applyNumberFormat="1" applyFont="1" applyFill="1" applyBorder="1" applyAlignment="1">
      <alignment horizontal="right"/>
    </xf>
    <xf numFmtId="165" fontId="9" fillId="26" borderId="20" xfId="68" applyNumberFormat="1" applyFont="1" applyFill="1" applyBorder="1" applyAlignment="1">
      <alignment horizontal="right"/>
    </xf>
    <xf numFmtId="174" fontId="21" fillId="0" borderId="0" xfId="42" applyNumberFormat="1" applyFont="1" applyFill="1" applyBorder="1"/>
    <xf numFmtId="177" fontId="6" fillId="0" borderId="0" xfId="1" applyNumberFormat="1" applyFont="1" applyBorder="1"/>
    <xf numFmtId="177" fontId="6" fillId="0" borderId="17" xfId="1" applyNumberFormat="1" applyFont="1" applyBorder="1"/>
    <xf numFmtId="177" fontId="6" fillId="0" borderId="16" xfId="1" applyNumberFormat="1" applyFont="1" applyBorder="1"/>
    <xf numFmtId="1" fontId="9" fillId="26" borderId="8" xfId="67" applyNumberFormat="1" applyFont="1" applyFill="1" applyBorder="1" applyAlignment="1">
      <alignment horizontal="right"/>
    </xf>
    <xf numFmtId="0" fontId="6" fillId="0" borderId="0" xfId="1" applyNumberFormat="1" applyFont="1" applyFill="1" applyBorder="1"/>
    <xf numFmtId="1" fontId="9" fillId="26" borderId="14" xfId="67" applyNumberFormat="1" applyFont="1" applyFill="1" applyBorder="1" applyAlignment="1">
      <alignment horizontal="right"/>
    </xf>
    <xf numFmtId="1" fontId="15" fillId="26" borderId="19" xfId="67" applyNumberFormat="1" applyFont="1" applyFill="1" applyBorder="1" applyAlignment="1">
      <alignment horizontal="right"/>
    </xf>
    <xf numFmtId="1" fontId="15" fillId="26" borderId="11" xfId="67" applyNumberFormat="1" applyFont="1" applyFill="1" applyBorder="1" applyAlignment="1">
      <alignment horizontal="right"/>
    </xf>
    <xf numFmtId="165" fontId="9" fillId="26" borderId="0" xfId="68" applyNumberFormat="1" applyFont="1" applyFill="1" applyBorder="1" applyAlignment="1">
      <alignment horizontal="right"/>
    </xf>
    <xf numFmtId="165" fontId="9" fillId="26" borderId="17" xfId="68" applyNumberFormat="1" applyFont="1" applyFill="1" applyBorder="1" applyAlignment="1">
      <alignment horizontal="right"/>
    </xf>
    <xf numFmtId="165" fontId="9" fillId="26" borderId="16" xfId="68" applyNumberFormat="1" applyFont="1" applyFill="1" applyBorder="1" applyAlignment="1">
      <alignment horizontal="right"/>
    </xf>
    <xf numFmtId="0" fontId="19" fillId="0" borderId="0" xfId="1" applyFont="1"/>
    <xf numFmtId="0" fontId="34" fillId="0" borderId="0" xfId="1" applyFont="1"/>
    <xf numFmtId="0" fontId="34" fillId="0" borderId="0" xfId="1" applyFont="1" applyBorder="1"/>
    <xf numFmtId="0" fontId="43" fillId="0" borderId="0" xfId="0" applyFont="1"/>
    <xf numFmtId="174" fontId="6" fillId="0" borderId="0" xfId="42" applyNumberFormat="1" applyFont="1"/>
    <xf numFmtId="174" fontId="0" fillId="0" borderId="0" xfId="42" applyNumberFormat="1" applyFont="1"/>
    <xf numFmtId="174" fontId="34" fillId="0" borderId="0" xfId="42" applyNumberFormat="1" applyFont="1"/>
    <xf numFmtId="174" fontId="34" fillId="0" borderId="0" xfId="42" applyNumberFormat="1" applyFont="1" applyBorder="1"/>
    <xf numFmtId="174" fontId="43" fillId="0" borderId="0" xfId="42" applyNumberFormat="1" applyFont="1"/>
    <xf numFmtId="174" fontId="19" fillId="0" borderId="0" xfId="42" applyNumberFormat="1" applyFont="1"/>
    <xf numFmtId="174" fontId="19" fillId="0" borderId="0" xfId="42" applyNumberFormat="1" applyFont="1" applyBorder="1"/>
    <xf numFmtId="174" fontId="18" fillId="0" borderId="0" xfId="42" applyNumberFormat="1" applyFont="1"/>
    <xf numFmtId="174" fontId="44" fillId="0" borderId="0" xfId="42" applyNumberFormat="1" applyFont="1"/>
    <xf numFmtId="0" fontId="1" fillId="0" borderId="0" xfId="1" applyNumberFormat="1" applyFont="1" applyFill="1"/>
    <xf numFmtId="0" fontId="1" fillId="0" borderId="0" xfId="1" applyNumberFormat="1" applyFont="1"/>
    <xf numFmtId="0" fontId="7" fillId="0" borderId="14" xfId="1" applyNumberFormat="1" applyFont="1" applyBorder="1"/>
    <xf numFmtId="0" fontId="8" fillId="0" borderId="16" xfId="1" applyNumberFormat="1" applyFont="1" applyBorder="1"/>
    <xf numFmtId="0" fontId="7" fillId="0" borderId="16" xfId="67" applyNumberFormat="1" applyFont="1" applyFill="1" applyBorder="1"/>
    <xf numFmtId="0" fontId="6" fillId="0" borderId="16" xfId="1" applyNumberFormat="1" applyFont="1" applyFill="1" applyBorder="1" applyAlignment="1">
      <alignment horizontal="left" indent="1"/>
    </xf>
    <xf numFmtId="0" fontId="6" fillId="0" borderId="23" xfId="1" applyNumberFormat="1" applyFont="1" applyFill="1" applyBorder="1" applyAlignment="1">
      <alignment horizontal="left" indent="1"/>
    </xf>
    <xf numFmtId="0" fontId="7" fillId="0" borderId="16" xfId="67" applyNumberFormat="1" applyFont="1" applyFill="1" applyBorder="1" applyAlignment="1"/>
    <xf numFmtId="0" fontId="6" fillId="0" borderId="16" xfId="1" applyNumberFormat="1" applyFont="1" applyFill="1" applyBorder="1"/>
    <xf numFmtId="0" fontId="7" fillId="0" borderId="19" xfId="67" applyNumberFormat="1" applyFont="1" applyFill="1" applyBorder="1"/>
    <xf numFmtId="0" fontId="6" fillId="0" borderId="23" xfId="1" applyNumberFormat="1" applyFont="1" applyFill="1" applyBorder="1"/>
    <xf numFmtId="0" fontId="6" fillId="0" borderId="11" xfId="1" applyNumberFormat="1" applyFont="1" applyFill="1" applyBorder="1"/>
    <xf numFmtId="0" fontId="20" fillId="0" borderId="19" xfId="1" applyNumberFormat="1" applyFont="1" applyFill="1" applyBorder="1"/>
    <xf numFmtId="0" fontId="6" fillId="0" borderId="8" xfId="1" applyNumberFormat="1" applyFont="1" applyFill="1" applyBorder="1"/>
    <xf numFmtId="0" fontId="6" fillId="0" borderId="13" xfId="1" applyNumberFormat="1" applyFont="1" applyFill="1" applyBorder="1"/>
    <xf numFmtId="0" fontId="7" fillId="26" borderId="19" xfId="1" applyNumberFormat="1" applyFont="1" applyFill="1" applyBorder="1" applyAlignment="1">
      <alignment horizontal="left"/>
    </xf>
    <xf numFmtId="0" fontId="14" fillId="0" borderId="16" xfId="1" applyNumberFormat="1" applyFont="1" applyFill="1" applyBorder="1"/>
    <xf numFmtId="0" fontId="6" fillId="0" borderId="14" xfId="1" applyNumberFormat="1" applyFont="1" applyFill="1" applyBorder="1" applyAlignment="1">
      <alignment horizontal="left"/>
    </xf>
    <xf numFmtId="0" fontId="6" fillId="0" borderId="16" xfId="1" applyNumberFormat="1" applyFont="1" applyFill="1" applyBorder="1" applyAlignment="1">
      <alignment horizontal="left"/>
    </xf>
    <xf numFmtId="0" fontId="7" fillId="0" borderId="19" xfId="1" applyNumberFormat="1" applyFont="1" applyFill="1" applyBorder="1" applyAlignment="1">
      <alignment horizontal="left" indent="1"/>
    </xf>
    <xf numFmtId="0" fontId="7" fillId="0" borderId="0" xfId="67" applyNumberFormat="1" applyFont="1" applyFill="1" applyBorder="1"/>
    <xf numFmtId="0" fontId="6" fillId="0" borderId="14" xfId="1" applyNumberFormat="1" applyFont="1" applyFill="1" applyBorder="1"/>
    <xf numFmtId="0" fontId="19" fillId="0" borderId="16" xfId="1" applyNumberFormat="1" applyFont="1" applyFill="1" applyBorder="1"/>
    <xf numFmtId="0" fontId="34" fillId="0" borderId="16" xfId="1" applyNumberFormat="1" applyFont="1" applyFill="1" applyBorder="1" applyAlignment="1">
      <alignment horizontal="left"/>
    </xf>
    <xf numFmtId="0" fontId="24" fillId="0" borderId="16" xfId="1" applyNumberFormat="1" applyFont="1" applyFill="1" applyBorder="1"/>
    <xf numFmtId="0" fontId="6" fillId="0" borderId="0" xfId="1" applyNumberFormat="1" applyFont="1" applyBorder="1"/>
    <xf numFmtId="0" fontId="6" fillId="0" borderId="0" xfId="1" applyNumberFormat="1" applyFont="1"/>
    <xf numFmtId="0" fontId="6" fillId="0" borderId="0" xfId="1" applyNumberFormat="1" applyFont="1" applyFill="1" applyBorder="1" applyAlignment="1">
      <alignment horizontal="left" wrapText="1" indent="2"/>
    </xf>
    <xf numFmtId="0" fontId="1" fillId="0" borderId="0" xfId="1" applyNumberFormat="1" applyFont="1" applyFill="1" applyBorder="1" applyAlignment="1">
      <alignment horizontal="left" wrapText="1" indent="2"/>
    </xf>
    <xf numFmtId="0" fontId="0" fillId="0" borderId="0" xfId="0" applyNumberFormat="1"/>
    <xf numFmtId="0" fontId="19" fillId="26" borderId="19" xfId="1" applyNumberFormat="1" applyFont="1" applyFill="1" applyBorder="1"/>
    <xf numFmtId="0" fontId="6" fillId="26" borderId="11" xfId="1" applyFont="1" applyFill="1" applyBorder="1"/>
    <xf numFmtId="181" fontId="6" fillId="0" borderId="0" xfId="42" applyNumberFormat="1" applyFont="1"/>
    <xf numFmtId="181" fontId="0" fillId="0" borderId="0" xfId="42" applyNumberFormat="1" applyFont="1"/>
    <xf numFmtId="181" fontId="34" fillId="0" borderId="0" xfId="42" applyNumberFormat="1" applyFont="1"/>
    <xf numFmtId="181" fontId="19" fillId="0" borderId="0" xfId="42" applyNumberFormat="1" applyFont="1"/>
    <xf numFmtId="181" fontId="19" fillId="0" borderId="0" xfId="42" applyNumberFormat="1" applyFont="1" applyBorder="1"/>
    <xf numFmtId="181" fontId="18" fillId="0" borderId="0" xfId="42" applyNumberFormat="1" applyFont="1"/>
    <xf numFmtId="181" fontId="34" fillId="0" borderId="0" xfId="42" applyNumberFormat="1" applyFont="1" applyBorder="1"/>
    <xf numFmtId="181" fontId="43" fillId="0" borderId="0" xfId="42" applyNumberFormat="1" applyFont="1"/>
    <xf numFmtId="174" fontId="38" fillId="0" borderId="0" xfId="42" applyNumberFormat="1" applyFont="1"/>
    <xf numFmtId="174" fontId="44" fillId="0" borderId="0" xfId="42" applyNumberFormat="1" applyFont="1" applyBorder="1"/>
    <xf numFmtId="174" fontId="42" fillId="0" borderId="0" xfId="42" applyNumberFormat="1" applyFont="1"/>
    <xf numFmtId="1" fontId="19" fillId="26" borderId="11" xfId="1" applyNumberFormat="1" applyFont="1" applyFill="1" applyBorder="1" applyAlignment="1">
      <alignment horizontal="right"/>
    </xf>
    <xf numFmtId="1" fontId="19" fillId="26" borderId="20" xfId="1" applyNumberFormat="1" applyFont="1" applyFill="1" applyBorder="1" applyAlignment="1">
      <alignment horizontal="right"/>
    </xf>
    <xf numFmtId="1" fontId="19" fillId="26" borderId="19" xfId="1" applyNumberFormat="1" applyFont="1" applyFill="1" applyBorder="1" applyAlignment="1">
      <alignment horizontal="right"/>
    </xf>
    <xf numFmtId="181" fontId="6" fillId="0" borderId="16" xfId="42" applyNumberFormat="1" applyFont="1" applyBorder="1"/>
    <xf numFmtId="181" fontId="6" fillId="0" borderId="17" xfId="42" applyNumberFormat="1" applyFont="1" applyBorder="1"/>
    <xf numFmtId="181" fontId="34" fillId="0" borderId="16" xfId="42" applyNumberFormat="1" applyFont="1" applyBorder="1"/>
    <xf numFmtId="181" fontId="34" fillId="0" borderId="17" xfId="42" applyNumberFormat="1" applyFont="1" applyBorder="1"/>
    <xf numFmtId="181" fontId="19" fillId="0" borderId="16" xfId="42" applyNumberFormat="1" applyFont="1" applyBorder="1"/>
    <xf numFmtId="181" fontId="19" fillId="0" borderId="17" xfId="42" applyNumberFormat="1" applyFont="1" applyBorder="1"/>
    <xf numFmtId="181" fontId="44" fillId="0" borderId="16" xfId="42" applyNumberFormat="1" applyFont="1" applyBorder="1"/>
    <xf numFmtId="181" fontId="44" fillId="0" borderId="0" xfId="42" applyNumberFormat="1" applyFont="1" applyBorder="1"/>
    <xf numFmtId="181" fontId="44" fillId="0" borderId="17" xfId="42" applyNumberFormat="1" applyFont="1" applyBorder="1"/>
    <xf numFmtId="10" fontId="6" fillId="0" borderId="16" xfId="1" applyNumberFormat="1" applyFont="1" applyBorder="1"/>
    <xf numFmtId="10" fontId="6" fillId="0" borderId="0" xfId="1" applyNumberFormat="1" applyFont="1" applyBorder="1"/>
    <xf numFmtId="10" fontId="6" fillId="0" borderId="17" xfId="1" applyNumberFormat="1" applyFont="1" applyBorder="1"/>
    <xf numFmtId="174" fontId="6" fillId="0" borderId="16" xfId="42" applyNumberFormat="1" applyFont="1" applyBorder="1"/>
    <xf numFmtId="174" fontId="34" fillId="0" borderId="16" xfId="42" applyNumberFormat="1" applyFont="1" applyBorder="1"/>
    <xf numFmtId="174" fontId="34" fillId="0" borderId="17" xfId="42" applyNumberFormat="1" applyFont="1" applyBorder="1"/>
    <xf numFmtId="174" fontId="19" fillId="0" borderId="16" xfId="1" applyNumberFormat="1" applyFont="1" applyBorder="1"/>
    <xf numFmtId="174" fontId="19" fillId="0" borderId="0" xfId="1" applyNumberFormat="1" applyFont="1" applyBorder="1"/>
    <xf numFmtId="174" fontId="19" fillId="0" borderId="17" xfId="1" applyNumberFormat="1" applyFont="1" applyBorder="1"/>
    <xf numFmtId="174" fontId="19" fillId="0" borderId="16" xfId="42" applyNumberFormat="1" applyFont="1" applyBorder="1"/>
    <xf numFmtId="174" fontId="19" fillId="0" borderId="17" xfId="42" applyNumberFormat="1" applyFont="1" applyBorder="1"/>
    <xf numFmtId="174" fontId="19" fillId="0" borderId="23" xfId="42" applyNumberFormat="1" applyFont="1" applyBorder="1"/>
    <xf numFmtId="174" fontId="19" fillId="0" borderId="13" xfId="42" applyNumberFormat="1" applyFont="1" applyBorder="1"/>
    <xf numFmtId="174" fontId="19" fillId="0" borderId="18" xfId="42" applyNumberFormat="1" applyFont="1" applyBorder="1"/>
    <xf numFmtId="181" fontId="11" fillId="0" borderId="0" xfId="42" applyNumberFormat="1" applyFont="1" applyBorder="1"/>
    <xf numFmtId="181" fontId="33" fillId="0" borderId="0" xfId="42" applyNumberFormat="1" applyFont="1" applyBorder="1"/>
    <xf numFmtId="174" fontId="44" fillId="0" borderId="16" xfId="42" applyNumberFormat="1" applyFont="1" applyBorder="1"/>
    <xf numFmtId="0" fontId="36" fillId="0" borderId="0" xfId="1" applyFont="1" applyBorder="1"/>
    <xf numFmtId="181" fontId="11" fillId="0" borderId="16" xfId="42" applyNumberFormat="1" applyFont="1" applyBorder="1"/>
    <xf numFmtId="181" fontId="33" fillId="0" borderId="16" xfId="42" applyNumberFormat="1" applyFont="1" applyBorder="1"/>
    <xf numFmtId="10" fontId="11" fillId="0" borderId="16" xfId="1" applyNumberFormat="1" applyFont="1" applyBorder="1"/>
    <xf numFmtId="10" fontId="16" fillId="0" borderId="0" xfId="1" applyNumberFormat="1" applyFont="1" applyFill="1" applyBorder="1"/>
    <xf numFmtId="10" fontId="11" fillId="0" borderId="0" xfId="1" applyNumberFormat="1" applyFont="1" applyBorder="1"/>
    <xf numFmtId="0" fontId="34" fillId="0" borderId="16" xfId="1" applyFont="1" applyBorder="1"/>
    <xf numFmtId="0" fontId="42" fillId="0" borderId="0" xfId="0" applyFont="1"/>
    <xf numFmtId="168" fontId="0" fillId="0" borderId="0" xfId="74" applyNumberFormat="1" applyFont="1"/>
    <xf numFmtId="0" fontId="22" fillId="0" borderId="0" xfId="0" applyFont="1" applyFill="1" applyBorder="1"/>
    <xf numFmtId="44" fontId="0" fillId="0" borderId="0" xfId="46" applyFont="1"/>
    <xf numFmtId="1" fontId="9" fillId="0" borderId="23" xfId="67" applyNumberFormat="1" applyFont="1" applyFill="1" applyBorder="1" applyAlignment="1">
      <alignment horizontal="right"/>
    </xf>
    <xf numFmtId="1" fontId="9" fillId="0" borderId="13" xfId="67" applyNumberFormat="1" applyFont="1" applyFill="1" applyBorder="1" applyAlignment="1">
      <alignment horizontal="right"/>
    </xf>
    <xf numFmtId="1" fontId="9" fillId="0" borderId="18" xfId="67" applyNumberFormat="1" applyFont="1" applyFill="1" applyBorder="1" applyAlignment="1">
      <alignment horizontal="right"/>
    </xf>
    <xf numFmtId="0" fontId="6" fillId="0" borderId="16" xfId="42" applyNumberFormat="1" applyFont="1" applyBorder="1"/>
    <xf numFmtId="0" fontId="34" fillId="0" borderId="16" xfId="42" applyNumberFormat="1" applyFont="1" applyBorder="1"/>
    <xf numFmtId="0" fontId="19" fillId="0" borderId="16" xfId="42" applyNumberFormat="1" applyFont="1" applyBorder="1"/>
    <xf numFmtId="0" fontId="44" fillId="0" borderId="16" xfId="42" applyNumberFormat="1" applyFont="1" applyBorder="1"/>
    <xf numFmtId="0" fontId="6" fillId="0" borderId="16" xfId="1" applyNumberFormat="1" applyFont="1" applyBorder="1"/>
    <xf numFmtId="0" fontId="19" fillId="0" borderId="16" xfId="1" applyNumberFormat="1" applyFont="1" applyBorder="1"/>
    <xf numFmtId="0" fontId="19" fillId="0" borderId="23" xfId="42" applyNumberFormat="1" applyFont="1" applyBorder="1"/>
    <xf numFmtId="0" fontId="34" fillId="0" borderId="21" xfId="1" applyFont="1" applyBorder="1"/>
    <xf numFmtId="0" fontId="34" fillId="0" borderId="16" xfId="1" applyFont="1" applyFill="1" applyBorder="1"/>
    <xf numFmtId="181" fontId="7" fillId="0" borderId="0" xfId="42" applyNumberFormat="1" applyFont="1" applyBorder="1"/>
    <xf numFmtId="181" fontId="6" fillId="0" borderId="16" xfId="42" applyNumberFormat="1" applyFont="1" applyFill="1" applyBorder="1"/>
    <xf numFmtId="181" fontId="34" fillId="0" borderId="16" xfId="42" applyNumberFormat="1" applyFont="1" applyFill="1" applyBorder="1"/>
    <xf numFmtId="181" fontId="24" fillId="0" borderId="0" xfId="42" applyNumberFormat="1" applyFont="1" applyBorder="1"/>
    <xf numFmtId="181" fontId="24" fillId="0" borderId="16" xfId="42" applyNumberFormat="1" applyFont="1" applyFill="1" applyBorder="1"/>
    <xf numFmtId="181" fontId="24" fillId="0" borderId="16" xfId="42" applyNumberFormat="1" applyFont="1" applyBorder="1"/>
    <xf numFmtId="174" fontId="34" fillId="0" borderId="16" xfId="42" applyNumberFormat="1" applyFont="1" applyFill="1" applyBorder="1"/>
    <xf numFmtId="174" fontId="24" fillId="0" borderId="0" xfId="42" applyNumberFormat="1" applyFont="1" applyBorder="1"/>
    <xf numFmtId="174" fontId="24" fillId="0" borderId="16" xfId="42" applyNumberFormat="1" applyFont="1" applyBorder="1"/>
    <xf numFmtId="0" fontId="47" fillId="0" borderId="17" xfId="1" applyFont="1" applyBorder="1"/>
    <xf numFmtId="174" fontId="33" fillId="0" borderId="0" xfId="42" applyNumberFormat="1" applyFont="1" applyBorder="1"/>
    <xf numFmtId="174" fontId="48" fillId="0" borderId="0" xfId="42" applyNumberFormat="1" applyFont="1" applyFill="1" applyBorder="1"/>
    <xf numFmtId="174" fontId="34" fillId="0" borderId="0" xfId="42" applyNumberFormat="1" applyFont="1" applyFill="1" applyBorder="1"/>
    <xf numFmtId="174" fontId="34" fillId="0" borderId="17" xfId="42" applyNumberFormat="1" applyFont="1" applyFill="1" applyBorder="1"/>
    <xf numFmtId="174" fontId="33" fillId="0" borderId="17" xfId="42" applyNumberFormat="1" applyFont="1" applyBorder="1"/>
    <xf numFmtId="174" fontId="33" fillId="0" borderId="0" xfId="42" applyNumberFormat="1" applyFont="1" applyFill="1" applyBorder="1"/>
    <xf numFmtId="174" fontId="33" fillId="0" borderId="17" xfId="42" applyNumberFormat="1" applyFont="1" applyFill="1" applyBorder="1"/>
    <xf numFmtId="0" fontId="4" fillId="0" borderId="0" xfId="68" applyNumberFormat="1" applyFont="1" applyFill="1" applyBorder="1" applyAlignment="1"/>
    <xf numFmtId="0" fontId="7" fillId="0" borderId="14" xfId="1" applyNumberFormat="1" applyFont="1" applyBorder="1" applyAlignment="1"/>
    <xf numFmtId="0" fontId="8" fillId="0" borderId="16" xfId="1" applyNumberFormat="1" applyFont="1" applyBorder="1" applyAlignment="1"/>
    <xf numFmtId="0" fontId="7" fillId="0" borderId="16" xfId="1" applyNumberFormat="1" applyFont="1" applyFill="1" applyBorder="1" applyAlignment="1"/>
    <xf numFmtId="0" fontId="6" fillId="0" borderId="0" xfId="1" applyNumberFormat="1" applyFont="1" applyBorder="1" applyAlignment="1"/>
    <xf numFmtId="0" fontId="7" fillId="26" borderId="19" xfId="1" applyNumberFormat="1" applyFont="1" applyFill="1" applyBorder="1" applyAlignment="1"/>
    <xf numFmtId="0" fontId="8" fillId="0" borderId="16" xfId="1" applyNumberFormat="1" applyFont="1" applyFill="1" applyBorder="1" applyAlignment="1"/>
    <xf numFmtId="0" fontId="19" fillId="0" borderId="16" xfId="1" applyNumberFormat="1" applyFont="1" applyFill="1" applyBorder="1" applyAlignment="1"/>
    <xf numFmtId="0" fontId="0" fillId="0" borderId="0" xfId="0" applyNumberFormat="1" applyAlignment="1"/>
    <xf numFmtId="0" fontId="6" fillId="0" borderId="0" xfId="1" applyNumberFormat="1" applyFont="1" applyFill="1" applyBorder="1" applyAlignment="1">
      <alignment wrapText="1"/>
    </xf>
    <xf numFmtId="181" fontId="24" fillId="0" borderId="0" xfId="42" applyNumberFormat="1" applyFont="1" applyFill="1" applyBorder="1"/>
    <xf numFmtId="0" fontId="8" fillId="0" borderId="16" xfId="1" applyNumberFormat="1" applyFont="1" applyFill="1" applyBorder="1" applyAlignment="1">
      <alignment horizontal="left" indent="1"/>
    </xf>
    <xf numFmtId="0" fontId="34" fillId="0" borderId="17" xfId="1" applyFont="1" applyFill="1" applyBorder="1" applyAlignment="1">
      <alignment horizontal="left" indent="1"/>
    </xf>
    <xf numFmtId="164" fontId="33" fillId="0" borderId="0" xfId="1" applyNumberFormat="1" applyFont="1" applyFill="1" applyBorder="1" applyAlignment="1"/>
    <xf numFmtId="164" fontId="33" fillId="0" borderId="17" xfId="1" applyNumberFormat="1" applyFont="1" applyFill="1" applyBorder="1" applyAlignment="1"/>
    <xf numFmtId="164" fontId="33" fillId="0" borderId="16" xfId="1" applyNumberFormat="1" applyFont="1" applyFill="1" applyBorder="1" applyAlignment="1"/>
    <xf numFmtId="164" fontId="34" fillId="27" borderId="0" xfId="1" applyNumberFormat="1" applyFont="1" applyFill="1" applyBorder="1" applyAlignment="1"/>
    <xf numFmtId="164" fontId="34" fillId="0" borderId="0" xfId="1" applyNumberFormat="1" applyFont="1" applyFill="1" applyBorder="1" applyAlignment="1"/>
    <xf numFmtId="164" fontId="34" fillId="0" borderId="17" xfId="1" applyNumberFormat="1" applyFont="1" applyFill="1" applyBorder="1" applyAlignment="1"/>
    <xf numFmtId="164" fontId="34" fillId="0" borderId="16" xfId="1" applyNumberFormat="1" applyFont="1" applyFill="1" applyBorder="1" applyAlignment="1"/>
    <xf numFmtId="0" fontId="43" fillId="0" borderId="16" xfId="0" applyFont="1" applyBorder="1"/>
    <xf numFmtId="0" fontId="34" fillId="0" borderId="17" xfId="1" applyFont="1" applyFill="1" applyBorder="1"/>
    <xf numFmtId="0" fontId="34" fillId="0" borderId="0" xfId="1" applyFont="1" applyFill="1"/>
    <xf numFmtId="0" fontId="34" fillId="0" borderId="21" xfId="1" applyFont="1" applyFill="1" applyBorder="1"/>
    <xf numFmtId="0" fontId="43" fillId="0" borderId="16" xfId="0" applyFont="1" applyFill="1" applyBorder="1"/>
    <xf numFmtId="0" fontId="43" fillId="0" borderId="0" xfId="0" applyFont="1" applyFill="1"/>
    <xf numFmtId="0" fontId="50" fillId="0" borderId="0" xfId="1" applyFont="1"/>
    <xf numFmtId="181" fontId="6" fillId="25" borderId="0" xfId="42" applyNumberFormat="1" applyFont="1" applyFill="1" applyBorder="1"/>
    <xf numFmtId="181" fontId="6" fillId="25" borderId="0" xfId="42" applyNumberFormat="1" applyFont="1" applyFill="1" applyAlignment="1">
      <alignment horizontal="center"/>
    </xf>
    <xf numFmtId="181" fontId="6" fillId="25" borderId="0" xfId="42" applyNumberFormat="1" applyFont="1" applyFill="1"/>
    <xf numFmtId="174" fontId="44" fillId="0" borderId="17" xfId="42" applyNumberFormat="1" applyFont="1" applyBorder="1"/>
    <xf numFmtId="10" fontId="6" fillId="0" borderId="0" xfId="74" applyNumberFormat="1" applyFont="1" applyBorder="1"/>
    <xf numFmtId="0" fontId="34" fillId="0" borderId="17" xfId="1" applyFont="1" applyBorder="1"/>
    <xf numFmtId="0" fontId="19" fillId="0" borderId="17" xfId="1" applyFont="1" applyBorder="1"/>
    <xf numFmtId="0" fontId="19" fillId="26" borderId="11" xfId="1" applyFont="1" applyFill="1" applyBorder="1" applyAlignment="1">
      <alignment horizontal="right"/>
    </xf>
    <xf numFmtId="0" fontId="19" fillId="26" borderId="19" xfId="1" applyFont="1" applyFill="1" applyBorder="1" applyAlignment="1">
      <alignment horizontal="right"/>
    </xf>
    <xf numFmtId="0" fontId="19" fillId="26" borderId="20" xfId="1" applyFont="1" applyFill="1" applyBorder="1" applyAlignment="1">
      <alignment horizontal="right"/>
    </xf>
    <xf numFmtId="181" fontId="11" fillId="0" borderId="17" xfId="42" applyNumberFormat="1" applyFont="1" applyBorder="1"/>
    <xf numFmtId="181" fontId="33" fillId="0" borderId="17" xfId="42" applyNumberFormat="1" applyFont="1" applyBorder="1"/>
    <xf numFmtId="10" fontId="11" fillId="0" borderId="17" xfId="1" applyNumberFormat="1" applyFont="1" applyBorder="1"/>
    <xf numFmtId="181" fontId="24" fillId="0" borderId="0" xfId="42" applyNumberFormat="1" applyFont="1" applyFill="1"/>
    <xf numFmtId="181" fontId="22" fillId="0" borderId="0" xfId="42" applyNumberFormat="1" applyFont="1" applyFill="1"/>
    <xf numFmtId="168" fontId="11" fillId="0" borderId="0" xfId="1" applyNumberFormat="1" applyFont="1" applyBorder="1"/>
    <xf numFmtId="168" fontId="11" fillId="0" borderId="17" xfId="1" applyNumberFormat="1" applyFont="1" applyBorder="1"/>
    <xf numFmtId="44" fontId="6" fillId="27" borderId="0" xfId="46" applyFont="1" applyFill="1" applyBorder="1"/>
    <xf numFmtId="185" fontId="6" fillId="27" borderId="0" xfId="66" applyNumberFormat="1" applyFont="1" applyFill="1" applyBorder="1"/>
    <xf numFmtId="185" fontId="6" fillId="27" borderId="17" xfId="66" applyNumberFormat="1" applyFont="1" applyFill="1" applyBorder="1"/>
    <xf numFmtId="185" fontId="6" fillId="27" borderId="16" xfId="66" applyNumberFormat="1" applyFont="1" applyFill="1" applyBorder="1"/>
    <xf numFmtId="44" fontId="6" fillId="27" borderId="17" xfId="46" applyFont="1" applyFill="1" applyBorder="1"/>
    <xf numFmtId="44" fontId="6" fillId="27" borderId="16" xfId="46" applyFont="1" applyFill="1" applyBorder="1"/>
    <xf numFmtId="181" fontId="6" fillId="27" borderId="0" xfId="42" applyNumberFormat="1" applyFont="1" applyFill="1" applyBorder="1"/>
    <xf numFmtId="181" fontId="6" fillId="27" borderId="17" xfId="42" applyNumberFormat="1" applyFont="1" applyFill="1" applyBorder="1"/>
    <xf numFmtId="181" fontId="6" fillId="27" borderId="16" xfId="42" applyNumberFormat="1" applyFont="1" applyFill="1" applyBorder="1"/>
    <xf numFmtId="164" fontId="17" fillId="0" borderId="0" xfId="1" applyNumberFormat="1" applyFont="1" applyFill="1" applyBorder="1" applyAlignment="1"/>
    <xf numFmtId="164" fontId="17" fillId="0" borderId="17" xfId="1" applyNumberFormat="1" applyFont="1" applyFill="1" applyBorder="1" applyAlignment="1"/>
    <xf numFmtId="39" fontId="24" fillId="0" borderId="0" xfId="1" applyNumberFormat="1" applyFont="1"/>
    <xf numFmtId="39" fontId="14" fillId="0" borderId="0" xfId="1" applyNumberFormat="1" applyFont="1" applyFill="1" applyBorder="1"/>
    <xf numFmtId="39" fontId="24" fillId="0" borderId="0" xfId="1" applyNumberFormat="1" applyFont="1" applyFill="1" applyBorder="1"/>
    <xf numFmtId="39" fontId="24" fillId="0" borderId="0" xfId="1" applyNumberFormat="1" applyFont="1" applyBorder="1"/>
    <xf numFmtId="39" fontId="22" fillId="0" borderId="0" xfId="0" applyNumberFormat="1" applyFont="1"/>
    <xf numFmtId="176" fontId="15" fillId="0" borderId="0" xfId="1" applyNumberFormat="1" applyFont="1" applyFill="1" applyBorder="1"/>
    <xf numFmtId="164" fontId="34" fillId="0" borderId="21" xfId="1" applyNumberFormat="1" applyFont="1" applyBorder="1"/>
    <xf numFmtId="181" fontId="11" fillId="0" borderId="0" xfId="42" applyNumberFormat="1" applyFont="1" applyFill="1" applyBorder="1"/>
    <xf numFmtId="10" fontId="11" fillId="0" borderId="0" xfId="1" applyNumberFormat="1" applyFont="1" applyFill="1" applyBorder="1"/>
    <xf numFmtId="0" fontId="8" fillId="0" borderId="0" xfId="1" applyFont="1" applyFill="1" applyBorder="1" applyAlignment="1">
      <alignment horizontal="left" indent="1"/>
    </xf>
    <xf numFmtId="0" fontId="8" fillId="0" borderId="18" xfId="1" applyFont="1" applyFill="1" applyBorder="1" applyAlignment="1">
      <alignment horizontal="left" indent="1"/>
    </xf>
    <xf numFmtId="168" fontId="8" fillId="0" borderId="23" xfId="74" applyNumberFormat="1" applyFont="1" applyFill="1" applyBorder="1"/>
    <xf numFmtId="174" fontId="21" fillId="0" borderId="16" xfId="42" applyNumberFormat="1" applyFont="1" applyFill="1" applyBorder="1"/>
    <xf numFmtId="181" fontId="6" fillId="0" borderId="17" xfId="42" applyNumberFormat="1" applyFont="1" applyFill="1" applyBorder="1"/>
    <xf numFmtId="174" fontId="48" fillId="0" borderId="16" xfId="42" applyNumberFormat="1" applyFont="1" applyFill="1" applyBorder="1"/>
    <xf numFmtId="181" fontId="24" fillId="0" borderId="21" xfId="42" applyNumberFormat="1" applyFont="1" applyFill="1" applyBorder="1"/>
    <xf numFmtId="164" fontId="55" fillId="0" borderId="0" xfId="42" applyNumberFormat="1" applyFont="1" applyFill="1" applyBorder="1"/>
    <xf numFmtId="0" fontId="55" fillId="0" borderId="16" xfId="1" applyNumberFormat="1" applyFont="1" applyFill="1" applyBorder="1"/>
    <xf numFmtId="1" fontId="56" fillId="26" borderId="0" xfId="67" applyNumberFormat="1" applyFont="1" applyFill="1" applyBorder="1" applyAlignment="1">
      <alignment horizontal="right"/>
    </xf>
    <xf numFmtId="0" fontId="0" fillId="26" borderId="0" xfId="0" applyFill="1" applyBorder="1"/>
    <xf numFmtId="168" fontId="6" fillId="0" borderId="0" xfId="74" applyNumberFormat="1" applyFont="1" applyFill="1" applyBorder="1" applyAlignment="1"/>
    <xf numFmtId="168" fontId="6" fillId="0" borderId="17" xfId="74" applyNumberFormat="1" applyFont="1" applyFill="1" applyBorder="1" applyAlignment="1"/>
    <xf numFmtId="168" fontId="6" fillId="0" borderId="16" xfId="74" applyNumberFormat="1" applyFont="1" applyFill="1" applyBorder="1" applyAlignment="1"/>
    <xf numFmtId="168" fontId="6" fillId="0" borderId="0" xfId="74" applyNumberFormat="1" applyFont="1"/>
    <xf numFmtId="168" fontId="6" fillId="0" borderId="17" xfId="74" applyNumberFormat="1" applyFont="1" applyFill="1" applyBorder="1"/>
    <xf numFmtId="168" fontId="6" fillId="0" borderId="21" xfId="74" applyNumberFormat="1" applyFont="1" applyBorder="1"/>
    <xf numFmtId="168" fontId="6" fillId="27" borderId="0" xfId="74" applyNumberFormat="1" applyFont="1" applyFill="1" applyBorder="1" applyAlignment="1"/>
    <xf numFmtId="168" fontId="38" fillId="0" borderId="0" xfId="74" applyNumberFormat="1" applyFont="1"/>
    <xf numFmtId="165" fontId="9" fillId="26" borderId="14" xfId="68" applyNumberFormat="1" applyFont="1" applyFill="1" applyBorder="1" applyAlignment="1">
      <alignment horizontal="right"/>
    </xf>
    <xf numFmtId="165" fontId="9" fillId="26" borderId="8" xfId="68" applyNumberFormat="1" applyFont="1" applyFill="1" applyBorder="1" applyAlignment="1">
      <alignment horizontal="right"/>
    </xf>
    <xf numFmtId="41" fontId="6" fillId="0" borderId="17" xfId="1" applyNumberFormat="1" applyFont="1" applyFill="1" applyBorder="1"/>
    <xf numFmtId="181" fontId="38" fillId="0" borderId="0" xfId="42" applyNumberFormat="1" applyFont="1"/>
    <xf numFmtId="0" fontId="16" fillId="0" borderId="16" xfId="42" applyNumberFormat="1" applyFont="1" applyBorder="1"/>
    <xf numFmtId="0" fontId="19" fillId="0" borderId="23" xfId="1" applyNumberFormat="1" applyFont="1" applyBorder="1"/>
    <xf numFmtId="0" fontId="19" fillId="0" borderId="13" xfId="1" applyFont="1" applyBorder="1"/>
    <xf numFmtId="168" fontId="11" fillId="0" borderId="16" xfId="1" applyNumberFormat="1" applyFont="1" applyBorder="1"/>
    <xf numFmtId="0" fontId="19" fillId="0" borderId="23" xfId="1" applyFont="1" applyBorder="1"/>
    <xf numFmtId="0" fontId="19" fillId="0" borderId="18" xfId="1" applyFont="1" applyBorder="1"/>
    <xf numFmtId="164" fontId="6" fillId="0" borderId="0" xfId="74" applyNumberFormat="1" applyFont="1" applyFill="1" applyBorder="1"/>
    <xf numFmtId="164" fontId="6" fillId="0" borderId="17" xfId="74" applyNumberFormat="1" applyFont="1" applyFill="1" applyBorder="1"/>
    <xf numFmtId="164" fontId="6" fillId="0" borderId="16" xfId="74" applyNumberFormat="1" applyFont="1" applyFill="1" applyBorder="1"/>
    <xf numFmtId="0" fontId="24" fillId="0" borderId="16" xfId="1" applyFont="1" applyFill="1" applyBorder="1" applyAlignment="1">
      <alignment horizontal="left" indent="1"/>
    </xf>
    <xf numFmtId="0" fontId="6" fillId="0" borderId="16" xfId="42" applyNumberFormat="1" applyFont="1" applyFill="1" applyBorder="1"/>
    <xf numFmtId="181" fontId="6" fillId="0" borderId="0" xfId="42" applyNumberFormat="1" applyFont="1" applyFill="1" applyBorder="1"/>
    <xf numFmtId="181" fontId="11" fillId="0" borderId="17" xfId="42" applyNumberFormat="1" applyFont="1" applyFill="1" applyBorder="1"/>
    <xf numFmtId="174" fontId="38" fillId="0" borderId="0" xfId="42" applyNumberFormat="1" applyFont="1" applyFill="1"/>
    <xf numFmtId="174" fontId="34" fillId="0" borderId="0" xfId="42" applyNumberFormat="1" applyFont="1" applyFill="1"/>
    <xf numFmtId="0" fontId="34" fillId="0" borderId="16" xfId="42" applyNumberFormat="1" applyFont="1" applyFill="1" applyBorder="1"/>
    <xf numFmtId="181" fontId="33" fillId="0" borderId="0" xfId="42" applyNumberFormat="1" applyFont="1" applyFill="1" applyBorder="1"/>
    <xf numFmtId="181" fontId="33" fillId="0" borderId="17" xfId="42" applyNumberFormat="1" applyFont="1" applyFill="1" applyBorder="1"/>
    <xf numFmtId="181" fontId="34" fillId="0" borderId="0" xfId="42" applyNumberFormat="1" applyFont="1" applyFill="1" applyBorder="1"/>
    <xf numFmtId="181" fontId="34" fillId="0" borderId="17" xfId="42" applyNumberFormat="1" applyFont="1" applyFill="1" applyBorder="1"/>
    <xf numFmtId="174" fontId="43" fillId="0" borderId="0" xfId="42" applyNumberFormat="1" applyFont="1" applyFill="1"/>
    <xf numFmtId="164" fontId="34" fillId="27" borderId="0" xfId="66" applyNumberFormat="1" applyFont="1" applyFill="1" applyBorder="1"/>
    <xf numFmtId="164" fontId="34" fillId="27" borderId="17" xfId="66" applyNumberFormat="1" applyFont="1" applyFill="1" applyBorder="1"/>
    <xf numFmtId="164" fontId="34" fillId="27" borderId="16" xfId="66" applyNumberFormat="1" applyFont="1" applyFill="1" applyBorder="1"/>
    <xf numFmtId="164" fontId="34" fillId="0" borderId="0" xfId="1" applyNumberFormat="1" applyFont="1" applyFill="1" applyBorder="1"/>
    <xf numFmtId="164" fontId="34" fillId="0" borderId="16" xfId="1" applyNumberFormat="1" applyFont="1" applyFill="1" applyBorder="1"/>
    <xf numFmtId="164" fontId="34" fillId="0" borderId="17" xfId="1" applyNumberFormat="1" applyFont="1" applyFill="1" applyBorder="1"/>
    <xf numFmtId="0" fontId="38" fillId="0" borderId="16" xfId="0" applyFont="1" applyFill="1" applyBorder="1"/>
    <xf numFmtId="0" fontId="38" fillId="0" borderId="0" xfId="0" applyFont="1" applyFill="1"/>
    <xf numFmtId="168" fontId="6" fillId="0" borderId="0" xfId="74" applyNumberFormat="1" applyFont="1" applyBorder="1"/>
    <xf numFmtId="168" fontId="7" fillId="0" borderId="16" xfId="74" applyNumberFormat="1" applyFont="1" applyFill="1" applyBorder="1"/>
    <xf numFmtId="168" fontId="7" fillId="0" borderId="17" xfId="74" applyNumberFormat="1" applyFont="1" applyBorder="1"/>
    <xf numFmtId="168" fontId="6" fillId="0" borderId="17" xfId="74" applyNumberFormat="1" applyFont="1" applyBorder="1"/>
    <xf numFmtId="168" fontId="21" fillId="0" borderId="0" xfId="74" applyNumberFormat="1" applyFont="1" applyFill="1" applyBorder="1"/>
    <xf numFmtId="168" fontId="6" fillId="0" borderId="0" xfId="74" applyNumberFormat="1" applyFont="1" applyFill="1" applyBorder="1"/>
    <xf numFmtId="168" fontId="21" fillId="0" borderId="16" xfId="74" applyNumberFormat="1" applyFont="1" applyFill="1" applyBorder="1"/>
    <xf numFmtId="177" fontId="19" fillId="0" borderId="0" xfId="1" applyNumberFormat="1" applyFont="1"/>
    <xf numFmtId="177" fontId="19" fillId="0" borderId="17" xfId="1" applyNumberFormat="1" applyFont="1" applyBorder="1"/>
    <xf numFmtId="177" fontId="19" fillId="0" borderId="0" xfId="1" applyNumberFormat="1" applyFont="1" applyBorder="1"/>
    <xf numFmtId="177" fontId="19" fillId="0" borderId="16" xfId="1" applyNumberFormat="1" applyFont="1" applyBorder="1"/>
    <xf numFmtId="0" fontId="18" fillId="0" borderId="0" xfId="0" applyFont="1" applyBorder="1"/>
    <xf numFmtId="177" fontId="34" fillId="0" borderId="0" xfId="1" applyNumberFormat="1" applyFont="1"/>
    <xf numFmtId="177" fontId="34" fillId="0" borderId="17" xfId="1" applyNumberFormat="1" applyFont="1" applyBorder="1"/>
    <xf numFmtId="177" fontId="34" fillId="0" borderId="0" xfId="1" applyNumberFormat="1" applyFont="1" applyBorder="1"/>
    <xf numFmtId="177" fontId="34" fillId="0" borderId="16" xfId="1" applyNumberFormat="1" applyFont="1" applyBorder="1"/>
    <xf numFmtId="0" fontId="43" fillId="0" borderId="0" xfId="0" applyFont="1" applyBorder="1"/>
    <xf numFmtId="168" fontId="1" fillId="0" borderId="0" xfId="74" applyNumberFormat="1" applyFont="1"/>
    <xf numFmtId="0" fontId="1" fillId="0" borderId="0" xfId="1" applyNumberFormat="1" applyFont="1" applyAlignment="1"/>
    <xf numFmtId="0" fontId="6" fillId="0" borderId="23" xfId="1" applyNumberFormat="1" applyFont="1" applyBorder="1" applyAlignment="1"/>
    <xf numFmtId="0" fontId="6" fillId="0" borderId="16" xfId="1" applyNumberFormat="1" applyFont="1" applyFill="1" applyBorder="1" applyAlignment="1"/>
    <xf numFmtId="0" fontId="6" fillId="0" borderId="16" xfId="74" applyNumberFormat="1" applyFont="1" applyFill="1" applyBorder="1" applyAlignment="1"/>
    <xf numFmtId="0" fontId="34" fillId="0" borderId="16" xfId="1" applyNumberFormat="1" applyFont="1" applyFill="1" applyBorder="1" applyAlignment="1"/>
    <xf numFmtId="0" fontId="6" fillId="0" borderId="0" xfId="1" applyNumberFormat="1" applyFont="1" applyFill="1" applyBorder="1" applyAlignment="1"/>
    <xf numFmtId="0" fontId="19" fillId="26" borderId="19" xfId="1" applyNumberFormat="1" applyFont="1" applyFill="1" applyBorder="1" applyAlignment="1"/>
    <xf numFmtId="0" fontId="6" fillId="0" borderId="23" xfId="1" applyNumberFormat="1" applyFont="1" applyFill="1" applyBorder="1" applyAlignment="1"/>
    <xf numFmtId="0" fontId="6" fillId="0" borderId="8" xfId="1" applyNumberFormat="1" applyFont="1" applyBorder="1" applyAlignment="1"/>
    <xf numFmtId="0" fontId="19" fillId="0" borderId="0" xfId="1" applyNumberFormat="1" applyFont="1" applyBorder="1" applyAlignment="1"/>
    <xf numFmtId="0" fontId="6" fillId="0" borderId="0" xfId="1" applyNumberFormat="1" applyFont="1" applyAlignment="1"/>
    <xf numFmtId="0" fontId="6" fillId="0" borderId="16" xfId="74" applyNumberFormat="1" applyFont="1" applyFill="1" applyBorder="1" applyAlignment="1">
      <alignment horizontal="left" indent="1"/>
    </xf>
    <xf numFmtId="44" fontId="6" fillId="0" borderId="0" xfId="46" applyFont="1"/>
    <xf numFmtId="44" fontId="6" fillId="0" borderId="16" xfId="46" applyFont="1" applyFill="1" applyBorder="1"/>
    <xf numFmtId="44" fontId="6" fillId="0" borderId="17" xfId="46" applyFont="1" applyFill="1" applyBorder="1"/>
    <xf numFmtId="44" fontId="6" fillId="0" borderId="21" xfId="46" applyFont="1" applyBorder="1"/>
    <xf numFmtId="44" fontId="6" fillId="0" borderId="0" xfId="46" applyFont="1" applyFill="1" applyBorder="1"/>
    <xf numFmtId="44" fontId="6" fillId="0" borderId="16" xfId="46" applyFont="1" applyBorder="1"/>
    <xf numFmtId="0" fontId="24" fillId="0" borderId="16" xfId="42" applyNumberFormat="1" applyFont="1" applyBorder="1"/>
    <xf numFmtId="181" fontId="24" fillId="0" borderId="0" xfId="42" applyNumberFormat="1" applyFont="1"/>
    <xf numFmtId="181" fontId="24" fillId="0" borderId="17" xfId="42" applyNumberFormat="1" applyFont="1" applyBorder="1"/>
    <xf numFmtId="174" fontId="24" fillId="0" borderId="17" xfId="42" applyNumberFormat="1" applyFont="1" applyBorder="1"/>
    <xf numFmtId="181" fontId="22" fillId="0" borderId="0" xfId="42" applyNumberFormat="1" applyFont="1"/>
    <xf numFmtId="174" fontId="24" fillId="0" borderId="0" xfId="42" applyNumberFormat="1" applyFont="1"/>
    <xf numFmtId="174" fontId="22" fillId="0" borderId="0" xfId="42" applyNumberFormat="1" applyFont="1"/>
    <xf numFmtId="181" fontId="25" fillId="0" borderId="16" xfId="42" applyNumberFormat="1" applyFont="1" applyBorder="1"/>
    <xf numFmtId="181" fontId="44" fillId="0" borderId="0" xfId="42" applyNumberFormat="1" applyFont="1"/>
    <xf numFmtId="181" fontId="42" fillId="0" borderId="0" xfId="42" applyNumberFormat="1" applyFont="1"/>
    <xf numFmtId="181" fontId="7" fillId="0" borderId="17" xfId="42" applyNumberFormat="1" applyFont="1" applyBorder="1"/>
    <xf numFmtId="181" fontId="7" fillId="0" borderId="16" xfId="42" applyNumberFormat="1" applyFont="1" applyBorder="1"/>
    <xf numFmtId="181" fontId="7" fillId="0" borderId="0" xfId="42" applyNumberFormat="1" applyFont="1" applyFill="1" applyBorder="1"/>
    <xf numFmtId="10" fontId="6" fillId="0" borderId="17" xfId="1" applyNumberFormat="1" applyFont="1" applyFill="1" applyBorder="1"/>
    <xf numFmtId="181" fontId="6" fillId="0" borderId="0" xfId="1" applyNumberFormat="1" applyFont="1" applyBorder="1"/>
    <xf numFmtId="181" fontId="6" fillId="0" borderId="17" xfId="1" applyNumberFormat="1" applyFont="1" applyBorder="1"/>
    <xf numFmtId="10" fontId="11" fillId="25" borderId="16" xfId="1" applyNumberFormat="1" applyFont="1" applyFill="1" applyBorder="1"/>
    <xf numFmtId="174" fontId="19" fillId="0" borderId="17" xfId="1" applyNumberFormat="1" applyFont="1" applyFill="1" applyBorder="1"/>
    <xf numFmtId="0" fontId="16" fillId="0" borderId="16" xfId="1" applyFont="1" applyFill="1" applyBorder="1"/>
    <xf numFmtId="181" fontId="41" fillId="0" borderId="16" xfId="42" applyNumberFormat="1" applyFont="1" applyBorder="1"/>
    <xf numFmtId="181" fontId="16" fillId="0" borderId="0" xfId="42" applyNumberFormat="1" applyFont="1" applyBorder="1"/>
    <xf numFmtId="181" fontId="16" fillId="0" borderId="16" xfId="42" applyNumberFormat="1" applyFont="1" applyBorder="1"/>
    <xf numFmtId="181" fontId="16" fillId="0" borderId="17" xfId="42" applyNumberFormat="1" applyFont="1" applyBorder="1"/>
    <xf numFmtId="181" fontId="16" fillId="0" borderId="0" xfId="42" applyNumberFormat="1" applyFont="1" applyFill="1" applyBorder="1"/>
    <xf numFmtId="0" fontId="24" fillId="0" borderId="16" xfId="42" applyNumberFormat="1" applyFont="1" applyFill="1" applyBorder="1"/>
    <xf numFmtId="181" fontId="7" fillId="0" borderId="17" xfId="42" applyNumberFormat="1" applyFont="1" applyFill="1" applyBorder="1"/>
    <xf numFmtId="43" fontId="6" fillId="0" borderId="21" xfId="1" applyNumberFormat="1" applyFont="1" applyBorder="1"/>
    <xf numFmtId="43" fontId="6" fillId="0" borderId="21" xfId="42" applyFont="1" applyBorder="1"/>
    <xf numFmtId="43" fontId="6" fillId="0" borderId="21" xfId="42" applyFont="1" applyFill="1" applyBorder="1"/>
    <xf numFmtId="181" fontId="6" fillId="0" borderId="0" xfId="42" applyNumberFormat="1" applyFont="1" applyFill="1"/>
    <xf numFmtId="0" fontId="7" fillId="0" borderId="16" xfId="42" applyNumberFormat="1" applyFont="1" applyFill="1" applyBorder="1"/>
    <xf numFmtId="181" fontId="7" fillId="0" borderId="16" xfId="42" applyNumberFormat="1" applyFont="1" applyFill="1" applyBorder="1"/>
    <xf numFmtId="181" fontId="38" fillId="0" borderId="0" xfId="42" applyNumberFormat="1" applyFont="1" applyFill="1"/>
    <xf numFmtId="181" fontId="25" fillId="0" borderId="0" xfId="42" applyNumberFormat="1" applyFont="1" applyBorder="1"/>
    <xf numFmtId="0" fontId="7" fillId="0" borderId="16" xfId="1" applyNumberFormat="1" applyFont="1" applyBorder="1"/>
    <xf numFmtId="181" fontId="49" fillId="0" borderId="16" xfId="42" applyNumberFormat="1" applyFont="1" applyBorder="1"/>
    <xf numFmtId="181" fontId="0" fillId="0" borderId="0" xfId="0" applyNumberFormat="1"/>
    <xf numFmtId="0" fontId="19" fillId="0" borderId="17" xfId="1" applyFont="1" applyFill="1" applyBorder="1"/>
    <xf numFmtId="171" fontId="19" fillId="0" borderId="0" xfId="1" applyNumberFormat="1" applyFont="1" applyFill="1" applyBorder="1"/>
    <xf numFmtId="171" fontId="19" fillId="0" borderId="17" xfId="1" applyNumberFormat="1" applyFont="1" applyFill="1" applyBorder="1"/>
    <xf numFmtId="171" fontId="19" fillId="27" borderId="0" xfId="1" applyNumberFormat="1" applyFont="1" applyFill="1" applyBorder="1"/>
    <xf numFmtId="181" fontId="49" fillId="0" borderId="0" xfId="42" applyNumberFormat="1" applyFont="1" applyFill="1" applyBorder="1"/>
    <xf numFmtId="181" fontId="41" fillId="0" borderId="0" xfId="42" applyNumberFormat="1" applyFont="1" applyFill="1" applyBorder="1"/>
    <xf numFmtId="0" fontId="36" fillId="0" borderId="0" xfId="1" applyFont="1" applyFill="1" applyBorder="1"/>
    <xf numFmtId="168" fontId="6" fillId="0" borderId="0" xfId="74" applyNumberFormat="1" applyFont="1" applyFill="1"/>
    <xf numFmtId="168" fontId="6" fillId="0" borderId="21" xfId="74" applyNumberFormat="1" applyFont="1" applyFill="1" applyBorder="1"/>
    <xf numFmtId="168" fontId="38" fillId="0" borderId="0" xfId="74" applyNumberFormat="1" applyFont="1" applyFill="1"/>
    <xf numFmtId="0" fontId="38" fillId="0" borderId="0" xfId="0" applyFont="1" applyFill="1" applyBorder="1"/>
    <xf numFmtId="185" fontId="6" fillId="0" borderId="0" xfId="1" applyNumberFormat="1" applyFont="1"/>
    <xf numFmtId="185" fontId="6" fillId="0" borderId="15" xfId="1" applyNumberFormat="1" applyFont="1" applyFill="1" applyBorder="1"/>
    <xf numFmtId="185" fontId="11" fillId="0" borderId="8" xfId="1" applyNumberFormat="1" applyFont="1" applyFill="1" applyBorder="1"/>
    <xf numFmtId="185" fontId="11" fillId="0" borderId="15" xfId="1" applyNumberFormat="1" applyFont="1" applyFill="1" applyBorder="1"/>
    <xf numFmtId="185" fontId="13" fillId="0" borderId="15" xfId="1" applyNumberFormat="1" applyFont="1" applyFill="1" applyBorder="1"/>
    <xf numFmtId="185" fontId="13" fillId="0" borderId="0" xfId="1" applyNumberFormat="1" applyFont="1" applyFill="1" applyBorder="1"/>
    <xf numFmtId="185" fontId="6" fillId="0" borderId="21" xfId="1" applyNumberFormat="1" applyFont="1" applyBorder="1"/>
    <xf numFmtId="185" fontId="6" fillId="27" borderId="8" xfId="1" applyNumberFormat="1" applyFont="1" applyFill="1" applyBorder="1"/>
    <xf numFmtId="185" fontId="6" fillId="0" borderId="8" xfId="1" applyNumberFormat="1" applyFont="1" applyFill="1" applyBorder="1"/>
    <xf numFmtId="185" fontId="6" fillId="0" borderId="0" xfId="1" applyNumberFormat="1" applyFont="1" applyFill="1" applyBorder="1"/>
    <xf numFmtId="185" fontId="6" fillId="0" borderId="14" xfId="1" applyNumberFormat="1" applyFont="1" applyFill="1" applyBorder="1"/>
    <xf numFmtId="185" fontId="0" fillId="0" borderId="16" xfId="0" applyNumberFormat="1" applyBorder="1"/>
    <xf numFmtId="185" fontId="0" fillId="0" borderId="0" xfId="0" applyNumberFormat="1"/>
    <xf numFmtId="185" fontId="6" fillId="0" borderId="16" xfId="1" applyNumberFormat="1" applyFont="1" applyFill="1" applyBorder="1" applyAlignment="1"/>
    <xf numFmtId="185" fontId="6" fillId="0" borderId="17" xfId="1" applyNumberFormat="1" applyFont="1" applyFill="1" applyBorder="1"/>
    <xf numFmtId="185" fontId="11" fillId="0" borderId="0" xfId="1" applyNumberFormat="1" applyFont="1" applyFill="1" applyBorder="1"/>
    <xf numFmtId="185" fontId="11" fillId="0" borderId="17" xfId="1" applyNumberFormat="1" applyFont="1" applyFill="1" applyBorder="1" applyAlignment="1"/>
    <xf numFmtId="185" fontId="11" fillId="0" borderId="17" xfId="1" applyNumberFormat="1" applyFont="1" applyFill="1" applyBorder="1"/>
    <xf numFmtId="185" fontId="13" fillId="0" borderId="17" xfId="1" applyNumberFormat="1" applyFont="1" applyFill="1" applyBorder="1"/>
    <xf numFmtId="185" fontId="6" fillId="27" borderId="0" xfId="1" applyNumberFormat="1" applyFont="1" applyFill="1" applyBorder="1"/>
    <xf numFmtId="185" fontId="6" fillId="0" borderId="16" xfId="1" applyNumberFormat="1" applyFont="1" applyFill="1" applyBorder="1"/>
    <xf numFmtId="185" fontId="6" fillId="0" borderId="17" xfId="1" applyNumberFormat="1" applyFont="1" applyFill="1" applyBorder="1" applyAlignment="1"/>
    <xf numFmtId="185" fontId="6" fillId="0" borderId="0" xfId="1" applyNumberFormat="1" applyFont="1" applyFill="1" applyBorder="1" applyAlignment="1"/>
    <xf numFmtId="185" fontId="38" fillId="0" borderId="16" xfId="0" applyNumberFormat="1" applyFont="1" applyBorder="1"/>
    <xf numFmtId="185" fontId="38" fillId="0" borderId="0" xfId="0" applyNumberFormat="1" applyFont="1"/>
    <xf numFmtId="185" fontId="6" fillId="0" borderId="0" xfId="1" applyNumberFormat="1" applyFont="1" applyFill="1"/>
    <xf numFmtId="185" fontId="6" fillId="0" borderId="21" xfId="1" applyNumberFormat="1" applyFont="1" applyFill="1" applyBorder="1"/>
    <xf numFmtId="185" fontId="38" fillId="0" borderId="16" xfId="0" applyNumberFormat="1" applyFont="1" applyFill="1" applyBorder="1"/>
    <xf numFmtId="185" fontId="38" fillId="0" borderId="0" xfId="0" applyNumberFormat="1" applyFont="1" applyFill="1"/>
    <xf numFmtId="0" fontId="43" fillId="0" borderId="0" xfId="0" applyFont="1" applyFill="1" applyBorder="1"/>
    <xf numFmtId="181" fontId="1" fillId="0" borderId="0" xfId="42" applyNumberFormat="1" applyFont="1"/>
    <xf numFmtId="171" fontId="24" fillId="0" borderId="0" xfId="1" applyNumberFormat="1" applyFont="1" applyFill="1" applyBorder="1"/>
    <xf numFmtId="164" fontId="0" fillId="0" borderId="0" xfId="0" applyNumberFormat="1"/>
    <xf numFmtId="43" fontId="0" fillId="0" borderId="0" xfId="0" applyNumberFormat="1"/>
    <xf numFmtId="37" fontId="6" fillId="0" borderId="14" xfId="1" applyNumberFormat="1" applyFont="1" applyFill="1" applyBorder="1"/>
    <xf numFmtId="0" fontId="0" fillId="27" borderId="0" xfId="0" applyFill="1"/>
    <xf numFmtId="42" fontId="6" fillId="0" borderId="0" xfId="1" applyNumberFormat="1" applyFont="1" applyFill="1" applyBorder="1"/>
    <xf numFmtId="0" fontId="0" fillId="27" borderId="0" xfId="0" applyFill="1" applyBorder="1"/>
    <xf numFmtId="171" fontId="19" fillId="0" borderId="16" xfId="1" applyNumberFormat="1" applyFont="1" applyFill="1" applyBorder="1"/>
    <xf numFmtId="171" fontId="24" fillId="0" borderId="23" xfId="1" applyNumberFormat="1" applyFont="1" applyFill="1" applyBorder="1"/>
    <xf numFmtId="171" fontId="24" fillId="0" borderId="13" xfId="1" applyNumberFormat="1" applyFont="1" applyFill="1" applyBorder="1"/>
    <xf numFmtId="171" fontId="24" fillId="0" borderId="18" xfId="1" applyNumberFormat="1" applyFont="1" applyFill="1" applyBorder="1"/>
    <xf numFmtId="171" fontId="24" fillId="27" borderId="0" xfId="1" applyNumberFormat="1" applyFont="1" applyFill="1" applyBorder="1"/>
    <xf numFmtId="0" fontId="22" fillId="0" borderId="16" xfId="0" applyFont="1" applyBorder="1"/>
    <xf numFmtId="181" fontId="49" fillId="0" borderId="17" xfId="42" applyNumberFormat="1" applyFont="1" applyBorder="1"/>
    <xf numFmtId="181" fontId="41" fillId="0" borderId="17" xfId="42" applyNumberFormat="1" applyFont="1" applyBorder="1"/>
    <xf numFmtId="185" fontId="11" fillId="0" borderId="0" xfId="1" applyNumberFormat="1" applyFont="1" applyFill="1" applyBorder="1" applyAlignment="1"/>
    <xf numFmtId="168" fontId="38" fillId="0" borderId="0" xfId="74" applyNumberFormat="1" applyFont="1" applyBorder="1"/>
    <xf numFmtId="181" fontId="11" fillId="0" borderId="15" xfId="42" applyNumberFormat="1" applyFont="1" applyFill="1" applyBorder="1"/>
    <xf numFmtId="181" fontId="6" fillId="0" borderId="21" xfId="1" applyNumberFormat="1" applyFont="1" applyBorder="1"/>
    <xf numFmtId="181" fontId="8" fillId="0" borderId="0" xfId="74" applyNumberFormat="1" applyFont="1" applyFill="1" applyBorder="1"/>
    <xf numFmtId="181" fontId="11" fillId="0" borderId="13" xfId="42" applyNumberFormat="1" applyFont="1" applyFill="1" applyBorder="1"/>
    <xf numFmtId="181" fontId="11" fillId="0" borderId="0" xfId="42" applyNumberFormat="1" applyFont="1" applyFill="1"/>
    <xf numFmtId="181" fontId="11" fillId="0" borderId="18" xfId="42" applyNumberFormat="1" applyFont="1" applyFill="1" applyBorder="1"/>
    <xf numFmtId="181" fontId="6" fillId="0" borderId="13" xfId="42" applyNumberFormat="1" applyFont="1" applyFill="1" applyBorder="1"/>
    <xf numFmtId="181" fontId="7" fillId="0" borderId="11" xfId="42" applyNumberFormat="1" applyFont="1" applyBorder="1"/>
    <xf numFmtId="181" fontId="7" fillId="0" borderId="20" xfId="42" applyNumberFormat="1" applyFont="1" applyBorder="1"/>
    <xf numFmtId="185" fontId="11" fillId="0" borderId="16" xfId="1" applyNumberFormat="1" applyFont="1" applyFill="1" applyBorder="1" applyAlignment="1"/>
    <xf numFmtId="185" fontId="17" fillId="0" borderId="0" xfId="1" applyNumberFormat="1" applyFont="1" applyFill="1" applyBorder="1" applyAlignment="1"/>
    <xf numFmtId="185" fontId="17" fillId="0" borderId="17" xfId="1" applyNumberFormat="1" applyFont="1" applyFill="1" applyBorder="1" applyAlignment="1"/>
    <xf numFmtId="185" fontId="6" fillId="27" borderId="0" xfId="1" applyNumberFormat="1" applyFont="1" applyFill="1" applyBorder="1" applyAlignment="1"/>
    <xf numFmtId="185" fontId="14" fillId="0" borderId="0" xfId="1" applyNumberFormat="1" applyFont="1" applyFill="1" applyBorder="1" applyAlignment="1"/>
    <xf numFmtId="185" fontId="45" fillId="0" borderId="17" xfId="1" applyNumberFormat="1" applyFont="1" applyFill="1" applyBorder="1" applyAlignment="1"/>
    <xf numFmtId="185" fontId="45" fillId="0" borderId="16" xfId="1" applyNumberFormat="1" applyFont="1" applyFill="1" applyBorder="1" applyAlignment="1"/>
    <xf numFmtId="185" fontId="45" fillId="0" borderId="0" xfId="1" applyNumberFormat="1" applyFont="1" applyFill="1" applyBorder="1" applyAlignment="1"/>
    <xf numFmtId="185" fontId="46" fillId="0" borderId="0" xfId="1" applyNumberFormat="1" applyFont="1" applyFill="1" applyBorder="1" applyAlignment="1"/>
    <xf numFmtId="185" fontId="46" fillId="0" borderId="17" xfId="1" applyNumberFormat="1" applyFont="1" applyFill="1" applyBorder="1" applyAlignment="1"/>
    <xf numFmtId="185" fontId="8" fillId="0" borderId="0" xfId="74" applyNumberFormat="1" applyFont="1" applyFill="1" applyBorder="1" applyAlignment="1"/>
    <xf numFmtId="185" fontId="8" fillId="27" borderId="0" xfId="74" applyNumberFormat="1" applyFont="1" applyFill="1" applyBorder="1" applyAlignment="1"/>
    <xf numFmtId="185" fontId="11" fillId="27" borderId="0" xfId="1" applyNumberFormat="1" applyFont="1" applyFill="1" applyBorder="1"/>
    <xf numFmtId="185" fontId="7" fillId="0" borderId="16" xfId="1" applyNumberFormat="1" applyFont="1" applyFill="1" applyBorder="1" applyAlignment="1"/>
    <xf numFmtId="185" fontId="7" fillId="0" borderId="0" xfId="1" applyNumberFormat="1" applyFont="1" applyFill="1" applyBorder="1" applyAlignment="1"/>
    <xf numFmtId="185" fontId="7" fillId="0" borderId="17" xfId="1" applyNumberFormat="1" applyFont="1" applyFill="1" applyBorder="1" applyAlignment="1"/>
    <xf numFmtId="185" fontId="7" fillId="27" borderId="0" xfId="1" applyNumberFormat="1" applyFont="1" applyFill="1" applyBorder="1" applyAlignment="1"/>
    <xf numFmtId="185" fontId="34" fillId="0" borderId="17" xfId="1" applyNumberFormat="1" applyFont="1" applyFill="1" applyBorder="1" applyAlignment="1"/>
    <xf numFmtId="185" fontId="34" fillId="0" borderId="21" xfId="1" applyNumberFormat="1" applyFont="1" applyFill="1" applyBorder="1"/>
    <xf numFmtId="185" fontId="34" fillId="0" borderId="0" xfId="1" applyNumberFormat="1" applyFont="1" applyFill="1" applyBorder="1" applyAlignment="1"/>
    <xf numFmtId="185" fontId="34" fillId="0" borderId="16" xfId="1" applyNumberFormat="1" applyFont="1" applyFill="1" applyBorder="1" applyAlignment="1"/>
    <xf numFmtId="185" fontId="7" fillId="0" borderId="17" xfId="1" applyNumberFormat="1" applyFont="1" applyFill="1" applyBorder="1"/>
    <xf numFmtId="185" fontId="1" fillId="0" borderId="0" xfId="1" applyNumberFormat="1" applyFont="1"/>
    <xf numFmtId="181" fontId="3" fillId="0" borderId="0" xfId="1" applyNumberFormat="1" applyFont="1" applyFill="1" applyAlignment="1">
      <alignment vertical="center"/>
    </xf>
    <xf numFmtId="174" fontId="6" fillId="0" borderId="16" xfId="42" applyNumberFormat="1" applyFont="1" applyBorder="1" applyAlignment="1">
      <alignment horizontal="center"/>
    </xf>
    <xf numFmtId="0" fontId="59" fillId="0" borderId="0" xfId="1" applyFont="1"/>
    <xf numFmtId="0" fontId="60" fillId="0" borderId="16" xfId="1" applyNumberFormat="1" applyFont="1" applyFill="1" applyBorder="1" applyAlignment="1"/>
    <xf numFmtId="0" fontId="60" fillId="0" borderId="17" xfId="1" applyFont="1" applyFill="1" applyBorder="1" applyAlignment="1">
      <alignment horizontal="left" indent="1"/>
    </xf>
    <xf numFmtId="168" fontId="60" fillId="0" borderId="0" xfId="74" applyNumberFormat="1" applyFont="1" applyFill="1" applyBorder="1"/>
    <xf numFmtId="168" fontId="60" fillId="0" borderId="17" xfId="74" applyNumberFormat="1" applyFont="1" applyFill="1" applyBorder="1"/>
    <xf numFmtId="168" fontId="60" fillId="0" borderId="0" xfId="74" applyNumberFormat="1" applyFont="1" applyFill="1" applyBorder="1" applyAlignment="1">
      <alignment horizontal="center"/>
    </xf>
    <xf numFmtId="168" fontId="60" fillId="0" borderId="17" xfId="74" applyNumberFormat="1" applyFont="1" applyFill="1" applyBorder="1" applyAlignment="1">
      <alignment horizontal="center"/>
    </xf>
    <xf numFmtId="168" fontId="60" fillId="0" borderId="0" xfId="74" applyNumberFormat="1" applyFont="1" applyFill="1" applyBorder="1" applyAlignment="1"/>
    <xf numFmtId="168" fontId="60" fillId="0" borderId="17" xfId="74" applyNumberFormat="1" applyFont="1" applyFill="1" applyBorder="1" applyAlignment="1"/>
    <xf numFmtId="0" fontId="59" fillId="0" borderId="21" xfId="1" applyFont="1" applyBorder="1"/>
    <xf numFmtId="168" fontId="60" fillId="0" borderId="16" xfId="74" applyNumberFormat="1" applyFont="1" applyFill="1" applyBorder="1"/>
    <xf numFmtId="168" fontId="60" fillId="27" borderId="0" xfId="74" applyNumberFormat="1" applyFont="1" applyFill="1" applyBorder="1"/>
    <xf numFmtId="0" fontId="61" fillId="0" borderId="16" xfId="0" applyFont="1" applyBorder="1"/>
    <xf numFmtId="0" fontId="61" fillId="0" borderId="0" xfId="0" applyFont="1"/>
    <xf numFmtId="0" fontId="7" fillId="0" borderId="14" xfId="1" applyNumberFormat="1" applyFont="1" applyFill="1" applyBorder="1" applyAlignment="1">
      <alignment horizontal="left"/>
    </xf>
    <xf numFmtId="0" fontId="7" fillId="0" borderId="16" xfId="1" applyNumberFormat="1" applyFont="1" applyFill="1" applyBorder="1" applyAlignment="1">
      <alignment horizontal="left"/>
    </xf>
    <xf numFmtId="43" fontId="6" fillId="0" borderId="16" xfId="1" applyNumberFormat="1" applyFont="1" applyFill="1" applyBorder="1" applyAlignment="1">
      <alignment horizontal="left" indent="1"/>
    </xf>
    <xf numFmtId="0" fontId="47" fillId="0" borderId="16" xfId="1" applyNumberFormat="1" applyFont="1" applyFill="1" applyBorder="1" applyAlignment="1">
      <alignment horizontal="left"/>
    </xf>
    <xf numFmtId="164" fontId="33" fillId="0" borderId="0" xfId="1" applyNumberFormat="1" applyFont="1" applyFill="1" applyBorder="1" applyAlignment="1">
      <alignment horizontal="center"/>
    </xf>
    <xf numFmtId="164" fontId="33" fillId="0" borderId="17" xfId="1" applyNumberFormat="1" applyFont="1" applyFill="1" applyBorder="1" applyAlignment="1">
      <alignment horizontal="center"/>
    </xf>
    <xf numFmtId="185" fontId="47" fillId="0" borderId="16" xfId="1" applyNumberFormat="1" applyFont="1" applyFill="1" applyBorder="1" applyAlignment="1"/>
    <xf numFmtId="185" fontId="47" fillId="0" borderId="0" xfId="1" applyNumberFormat="1" applyFont="1" applyFill="1" applyBorder="1" applyAlignment="1"/>
    <xf numFmtId="0" fontId="42" fillId="0" borderId="16" xfId="0" applyFont="1" applyBorder="1"/>
    <xf numFmtId="164" fontId="62" fillId="0" borderId="16" xfId="1" applyNumberFormat="1" applyFont="1" applyFill="1" applyBorder="1" applyAlignment="1"/>
    <xf numFmtId="164" fontId="62" fillId="0" borderId="0" xfId="1" applyNumberFormat="1" applyFont="1" applyFill="1" applyBorder="1" applyAlignment="1"/>
    <xf numFmtId="164" fontId="62" fillId="0" borderId="17" xfId="1" applyNumberFormat="1" applyFont="1" applyFill="1" applyBorder="1" applyAlignment="1"/>
    <xf numFmtId="164" fontId="63" fillId="0" borderId="0" xfId="1" applyNumberFormat="1" applyFont="1" applyFill="1" applyBorder="1" applyAlignment="1"/>
    <xf numFmtId="164" fontId="63" fillId="0" borderId="17" xfId="1" applyNumberFormat="1" applyFont="1" applyFill="1" applyBorder="1" applyAlignment="1"/>
    <xf numFmtId="164" fontId="63" fillId="0" borderId="16" xfId="1" applyNumberFormat="1" applyFont="1" applyFill="1" applyBorder="1" applyAlignment="1"/>
    <xf numFmtId="0" fontId="22" fillId="0" borderId="0" xfId="0" applyFont="1" applyFill="1"/>
    <xf numFmtId="0" fontId="22" fillId="0" borderId="16" xfId="0" applyFont="1" applyFill="1" applyBorder="1"/>
    <xf numFmtId="164" fontId="34" fillId="0" borderId="0" xfId="1" applyNumberFormat="1" applyFont="1" applyFill="1" applyBorder="1" applyAlignment="1">
      <alignment horizontal="center"/>
    </xf>
    <xf numFmtId="164" fontId="34" fillId="0" borderId="17" xfId="1" applyNumberFormat="1" applyFont="1" applyFill="1" applyBorder="1" applyAlignment="1">
      <alignment horizontal="center"/>
    </xf>
    <xf numFmtId="164" fontId="34" fillId="0" borderId="16" xfId="1" applyNumberFormat="1" applyFont="1" applyFill="1" applyBorder="1" applyAlignment="1">
      <alignment horizontal="center"/>
    </xf>
    <xf numFmtId="185" fontId="17" fillId="0" borderId="16" xfId="1" applyNumberFormat="1" applyFont="1" applyFill="1" applyBorder="1" applyAlignment="1"/>
    <xf numFmtId="0" fontId="22" fillId="0" borderId="0" xfId="1" applyNumberFormat="1" applyFont="1" applyAlignment="1"/>
    <xf numFmtId="169" fontId="0" fillId="0" borderId="0" xfId="0" applyNumberFormat="1"/>
    <xf numFmtId="177" fontId="0" fillId="0" borderId="0" xfId="0" applyNumberFormat="1" applyFill="1"/>
    <xf numFmtId="43" fontId="0" fillId="0" borderId="0" xfId="0" applyNumberFormat="1" applyFill="1"/>
    <xf numFmtId="39" fontId="22" fillId="0" borderId="0" xfId="0" applyNumberFormat="1" applyFont="1" applyFill="1"/>
    <xf numFmtId="169" fontId="11" fillId="0" borderId="0" xfId="2" applyNumberFormat="1" applyFont="1" applyFill="1" applyBorder="1"/>
    <xf numFmtId="164" fontId="11" fillId="0" borderId="0" xfId="2" applyNumberFormat="1" applyFont="1" applyFill="1" applyBorder="1"/>
    <xf numFmtId="0" fontId="22" fillId="0" borderId="0" xfId="0" applyFont="1" applyBorder="1"/>
    <xf numFmtId="169" fontId="6" fillId="0" borderId="16" xfId="1" applyNumberFormat="1" applyFont="1" applyBorder="1"/>
    <xf numFmtId="174" fontId="11" fillId="0" borderId="0" xfId="74" applyNumberFormat="1" applyFont="1"/>
    <xf numFmtId="168" fontId="6" fillId="0" borderId="0" xfId="1" applyNumberFormat="1" applyFont="1"/>
    <xf numFmtId="168" fontId="6" fillId="0" borderId="16" xfId="1" applyNumberFormat="1" applyFont="1" applyFill="1" applyBorder="1"/>
    <xf numFmtId="168" fontId="6" fillId="0" borderId="17" xfId="1" applyNumberFormat="1" applyFont="1" applyFill="1" applyBorder="1"/>
    <xf numFmtId="168" fontId="6" fillId="27" borderId="0" xfId="66" applyNumberFormat="1" applyFont="1" applyFill="1" applyBorder="1"/>
    <xf numFmtId="168" fontId="6" fillId="27" borderId="17" xfId="66" applyNumberFormat="1" applyFont="1" applyFill="1" applyBorder="1"/>
    <xf numFmtId="168" fontId="6" fillId="27" borderId="0" xfId="46" applyNumberFormat="1" applyFont="1" applyFill="1" applyBorder="1"/>
    <xf numFmtId="168" fontId="6" fillId="27" borderId="17" xfId="46" applyNumberFormat="1" applyFont="1" applyFill="1" applyBorder="1"/>
    <xf numFmtId="168" fontId="6" fillId="27" borderId="16" xfId="46" applyNumberFormat="1" applyFont="1" applyFill="1" applyBorder="1"/>
    <xf numFmtId="168" fontId="6" fillId="0" borderId="21" xfId="1" applyNumberFormat="1" applyFont="1" applyBorder="1"/>
    <xf numFmtId="168" fontId="21" fillId="27" borderId="0" xfId="66" applyNumberFormat="1" applyFont="1" applyFill="1" applyBorder="1"/>
    <xf numFmtId="168" fontId="21" fillId="27" borderId="17" xfId="66" applyNumberFormat="1" applyFont="1" applyFill="1" applyBorder="1"/>
    <xf numFmtId="168" fontId="21" fillId="27" borderId="16" xfId="66" applyNumberFormat="1" applyFont="1" applyFill="1" applyBorder="1"/>
    <xf numFmtId="168" fontId="6" fillId="0" borderId="16" xfId="1" applyNumberFormat="1" applyFont="1" applyBorder="1"/>
    <xf numFmtId="164" fontId="11" fillId="0" borderId="0" xfId="1" applyNumberFormat="1" applyFont="1"/>
    <xf numFmtId="170" fontId="11" fillId="0" borderId="0" xfId="1" applyNumberFormat="1" applyFont="1" applyFill="1" applyBorder="1"/>
    <xf numFmtId="43" fontId="6" fillId="0" borderId="16" xfId="1" applyNumberFormat="1" applyFont="1" applyFill="1" applyBorder="1"/>
    <xf numFmtId="188" fontId="8" fillId="0" borderId="16" xfId="74" applyNumberFormat="1" applyFont="1" applyFill="1" applyBorder="1" applyAlignment="1"/>
    <xf numFmtId="188" fontId="8" fillId="0" borderId="0" xfId="74" applyNumberFormat="1" applyFont="1" applyFill="1" applyBorder="1" applyAlignment="1"/>
    <xf numFmtId="188" fontId="8" fillId="0" borderId="17" xfId="74" applyNumberFormat="1" applyFont="1" applyFill="1" applyBorder="1" applyAlignment="1"/>
    <xf numFmtId="188" fontId="12" fillId="27" borderId="0" xfId="74" applyNumberFormat="1" applyFont="1" applyFill="1" applyBorder="1" applyAlignment="1"/>
    <xf numFmtId="188" fontId="12" fillId="0" borderId="0" xfId="74" applyNumberFormat="1" applyFont="1" applyFill="1" applyBorder="1" applyAlignment="1"/>
    <xf numFmtId="188" fontId="12" fillId="0" borderId="17" xfId="74" applyNumberFormat="1" applyFont="1" applyFill="1" applyBorder="1" applyAlignment="1"/>
    <xf numFmtId="188" fontId="8" fillId="27" borderId="0" xfId="74" applyNumberFormat="1" applyFont="1" applyFill="1" applyBorder="1" applyAlignment="1"/>
    <xf numFmtId="188" fontId="8" fillId="0" borderId="21" xfId="1" applyNumberFormat="1" applyFont="1" applyBorder="1"/>
    <xf numFmtId="181" fontId="8" fillId="0" borderId="16" xfId="42" applyNumberFormat="1" applyFont="1" applyFill="1" applyBorder="1" applyAlignment="1"/>
    <xf numFmtId="164" fontId="11" fillId="27" borderId="16" xfId="1" applyNumberFormat="1" applyFont="1" applyFill="1" applyBorder="1" applyAlignment="1"/>
    <xf numFmtId="164" fontId="17" fillId="27" borderId="16" xfId="1" applyNumberFormat="1" applyFont="1" applyFill="1" applyBorder="1" applyAlignment="1"/>
    <xf numFmtId="164" fontId="6" fillId="27" borderId="16" xfId="1" applyNumberFormat="1" applyFont="1" applyFill="1" applyBorder="1" applyAlignment="1"/>
    <xf numFmtId="168" fontId="8" fillId="27" borderId="16" xfId="74" applyNumberFormat="1" applyFont="1" applyFill="1" applyBorder="1" applyAlignment="1"/>
    <xf numFmtId="44" fontId="6" fillId="0" borderId="21" xfId="1" applyNumberFormat="1" applyFont="1" applyFill="1" applyBorder="1"/>
    <xf numFmtId="44" fontId="6" fillId="0" borderId="21" xfId="1" applyNumberFormat="1" applyFont="1" applyBorder="1"/>
    <xf numFmtId="181" fontId="6" fillId="0" borderId="21" xfId="42" applyNumberFormat="1" applyFont="1" applyFill="1" applyBorder="1"/>
    <xf numFmtId="164" fontId="6" fillId="27" borderId="8" xfId="66" applyNumberFormat="1" applyFont="1" applyFill="1" applyBorder="1"/>
    <xf numFmtId="0" fontId="18" fillId="27" borderId="0" xfId="0" applyFont="1" applyFill="1"/>
    <xf numFmtId="188" fontId="31" fillId="27" borderId="0" xfId="0" applyNumberFormat="1" applyFont="1" applyFill="1"/>
    <xf numFmtId="41" fontId="63" fillId="0" borderId="17" xfId="1" applyNumberFormat="1" applyFont="1" applyFill="1" applyBorder="1" applyAlignment="1"/>
    <xf numFmtId="185" fontId="47" fillId="0" borderId="17" xfId="1" applyNumberFormat="1" applyFont="1" applyFill="1" applyBorder="1" applyAlignment="1"/>
    <xf numFmtId="0" fontId="0" fillId="0" borderId="16" xfId="0" applyNumberFormat="1" applyBorder="1" applyAlignment="1"/>
    <xf numFmtId="0" fontId="24" fillId="0" borderId="23" xfId="1" applyNumberFormat="1" applyFont="1" applyFill="1" applyBorder="1" applyAlignment="1"/>
    <xf numFmtId="0" fontId="24" fillId="0" borderId="18" xfId="1" applyFont="1" applyFill="1" applyBorder="1"/>
    <xf numFmtId="171" fontId="6" fillId="0" borderId="17" xfId="1" applyNumberFormat="1" applyFont="1" applyFill="1" applyBorder="1" applyAlignment="1">
      <alignment horizontal="center"/>
    </xf>
    <xf numFmtId="174" fontId="11" fillId="0" borderId="0" xfId="1" applyNumberFormat="1" applyFont="1" applyFill="1" applyBorder="1"/>
    <xf numFmtId="169" fontId="1" fillId="0" borderId="0" xfId="1" applyNumberFormat="1" applyFont="1" applyFill="1"/>
    <xf numFmtId="43" fontId="1" fillId="0" borderId="0" xfId="1" applyNumberFormat="1" applyFont="1"/>
    <xf numFmtId="190" fontId="8" fillId="0" borderId="0" xfId="74" applyNumberFormat="1" applyFont="1" applyFill="1" applyBorder="1"/>
    <xf numFmtId="190" fontId="8" fillId="0" borderId="17" xfId="74" applyNumberFormat="1" applyFont="1" applyFill="1" applyBorder="1"/>
    <xf numFmtId="0" fontId="0" fillId="27" borderId="14" xfId="0" applyFill="1" applyBorder="1"/>
    <xf numFmtId="0" fontId="0" fillId="27" borderId="8" xfId="0" applyFill="1" applyBorder="1"/>
    <xf numFmtId="0" fontId="0" fillId="27" borderId="15" xfId="0" applyFill="1" applyBorder="1"/>
    <xf numFmtId="0" fontId="22" fillId="27" borderId="16" xfId="0" applyFont="1" applyFill="1" applyBorder="1"/>
    <xf numFmtId="0" fontId="0" fillId="27" borderId="16" xfId="0" applyFill="1" applyBorder="1"/>
    <xf numFmtId="0" fontId="0" fillId="27" borderId="17" xfId="0" applyFill="1" applyBorder="1"/>
    <xf numFmtId="0" fontId="22" fillId="27" borderId="0" xfId="0" applyFont="1" applyFill="1" applyBorder="1"/>
    <xf numFmtId="0" fontId="22" fillId="27" borderId="17" xfId="0" applyFont="1" applyFill="1" applyBorder="1"/>
    <xf numFmtId="0" fontId="31" fillId="27" borderId="16" xfId="0" applyFont="1" applyFill="1" applyBorder="1"/>
    <xf numFmtId="0" fontId="31" fillId="27" borderId="0" xfId="0" applyFont="1" applyFill="1" applyBorder="1"/>
    <xf numFmtId="9" fontId="31" fillId="27" borderId="16" xfId="0" applyNumberFormat="1" applyFont="1" applyFill="1" applyBorder="1"/>
    <xf numFmtId="9" fontId="31" fillId="27" borderId="0" xfId="0" applyNumberFormat="1" applyFont="1" applyFill="1" applyBorder="1"/>
    <xf numFmtId="9" fontId="31" fillId="27" borderId="17" xfId="0" applyNumberFormat="1" applyFont="1" applyFill="1" applyBorder="1"/>
    <xf numFmtId="0" fontId="31" fillId="27" borderId="0" xfId="0" applyFont="1" applyFill="1"/>
    <xf numFmtId="9" fontId="31" fillId="27" borderId="0" xfId="0" applyNumberFormat="1" applyFont="1" applyFill="1"/>
    <xf numFmtId="182" fontId="22" fillId="27" borderId="16" xfId="0" applyNumberFormat="1" applyFont="1" applyFill="1" applyBorder="1"/>
    <xf numFmtId="182" fontId="22" fillId="27" borderId="0" xfId="0" applyNumberFormat="1" applyFont="1" applyFill="1" applyBorder="1"/>
    <xf numFmtId="182" fontId="22" fillId="27" borderId="17" xfId="0" applyNumberFormat="1" applyFont="1" applyFill="1" applyBorder="1"/>
    <xf numFmtId="7" fontId="22" fillId="27" borderId="0" xfId="0" applyNumberFormat="1" applyFont="1" applyFill="1" applyBorder="1"/>
    <xf numFmtId="7" fontId="22" fillId="27" borderId="17" xfId="0" applyNumberFormat="1" applyFont="1" applyFill="1" applyBorder="1"/>
    <xf numFmtId="168" fontId="31" fillId="27" borderId="16" xfId="0" applyNumberFormat="1" applyFont="1" applyFill="1" applyBorder="1"/>
    <xf numFmtId="168" fontId="31" fillId="27" borderId="0" xfId="0" applyNumberFormat="1" applyFont="1" applyFill="1" applyBorder="1"/>
    <xf numFmtId="168" fontId="31" fillId="27" borderId="17" xfId="0" applyNumberFormat="1" applyFont="1" applyFill="1" applyBorder="1"/>
    <xf numFmtId="183" fontId="0" fillId="27" borderId="16" xfId="0" applyNumberFormat="1" applyFill="1" applyBorder="1"/>
    <xf numFmtId="183" fontId="22" fillId="27" borderId="0" xfId="0" applyNumberFormat="1" applyFont="1" applyFill="1" applyBorder="1"/>
    <xf numFmtId="183" fontId="22" fillId="27" borderId="16" xfId="0" applyNumberFormat="1" applyFont="1" applyFill="1" applyBorder="1"/>
    <xf numFmtId="183" fontId="22" fillId="27" borderId="17" xfId="0" applyNumberFormat="1" applyFont="1" applyFill="1" applyBorder="1"/>
    <xf numFmtId="183" fontId="0" fillId="27" borderId="0" xfId="0" applyNumberFormat="1" applyFill="1" applyBorder="1"/>
    <xf numFmtId="183" fontId="0" fillId="27" borderId="17" xfId="0" applyNumberFormat="1" applyFill="1" applyBorder="1"/>
    <xf numFmtId="183" fontId="0" fillId="27" borderId="0" xfId="0" applyNumberFormat="1" applyFill="1"/>
    <xf numFmtId="0" fontId="0" fillId="27" borderId="23" xfId="0" applyFill="1" applyBorder="1"/>
    <xf numFmtId="0" fontId="0" fillId="27" borderId="13" xfId="0" applyFill="1" applyBorder="1"/>
    <xf numFmtId="0" fontId="22" fillId="27" borderId="14" xfId="0" applyFont="1" applyFill="1" applyBorder="1"/>
    <xf numFmtId="3" fontId="0" fillId="27" borderId="16" xfId="0" applyNumberFormat="1" applyFill="1" applyBorder="1"/>
    <xf numFmtId="3" fontId="0" fillId="27" borderId="0" xfId="0" applyNumberFormat="1" applyFill="1" applyBorder="1"/>
    <xf numFmtId="3" fontId="0" fillId="27" borderId="17" xfId="0" applyNumberFormat="1" applyFill="1" applyBorder="1"/>
    <xf numFmtId="9" fontId="0" fillId="27" borderId="16" xfId="0" applyNumberFormat="1" applyFill="1" applyBorder="1"/>
    <xf numFmtId="9" fontId="0" fillId="27" borderId="0" xfId="0" applyNumberFormat="1" applyFill="1" applyBorder="1"/>
    <xf numFmtId="9" fontId="0" fillId="27" borderId="17" xfId="0" applyNumberFormat="1" applyFill="1" applyBorder="1"/>
    <xf numFmtId="7" fontId="0" fillId="27" borderId="16" xfId="0" applyNumberFormat="1" applyFill="1" applyBorder="1"/>
    <xf numFmtId="7" fontId="0" fillId="27" borderId="0" xfId="0" applyNumberFormat="1" applyFill="1" applyBorder="1"/>
    <xf numFmtId="7" fontId="0" fillId="27" borderId="17" xfId="0" applyNumberFormat="1" applyFill="1" applyBorder="1"/>
    <xf numFmtId="183" fontId="0" fillId="27" borderId="23" xfId="0" applyNumberFormat="1" applyFill="1" applyBorder="1"/>
    <xf numFmtId="183" fontId="0" fillId="27" borderId="13" xfId="0" applyNumberFormat="1" applyFill="1" applyBorder="1"/>
    <xf numFmtId="183" fontId="0" fillId="27" borderId="18" xfId="0" applyNumberFormat="1" applyFill="1" applyBorder="1"/>
    <xf numFmtId="165" fontId="57" fillId="26" borderId="0" xfId="68" applyNumberFormat="1" applyFont="1" applyFill="1" applyBorder="1" applyAlignment="1">
      <alignment horizontal="right"/>
    </xf>
    <xf numFmtId="0" fontId="68" fillId="27" borderId="0" xfId="0" applyFont="1" applyFill="1" applyBorder="1"/>
    <xf numFmtId="0" fontId="68" fillId="27" borderId="17" xfId="0" applyFont="1" applyFill="1" applyBorder="1"/>
    <xf numFmtId="168" fontId="0" fillId="27" borderId="16" xfId="0" applyNumberFormat="1" applyFill="1" applyBorder="1"/>
    <xf numFmtId="168" fontId="0" fillId="27" borderId="0" xfId="0" applyNumberFormat="1" applyFill="1" applyBorder="1"/>
    <xf numFmtId="168" fontId="0" fillId="27" borderId="17" xfId="0" applyNumberFormat="1" applyFill="1" applyBorder="1"/>
    <xf numFmtId="7" fontId="70" fillId="27" borderId="0" xfId="0" applyNumberFormat="1" applyFont="1" applyFill="1" applyBorder="1"/>
    <xf numFmtId="7" fontId="70" fillId="27" borderId="17" xfId="0" applyNumberFormat="1" applyFont="1" applyFill="1" applyBorder="1"/>
    <xf numFmtId="0" fontId="18" fillId="27" borderId="0" xfId="0" applyFont="1" applyFill="1" applyBorder="1"/>
    <xf numFmtId="0" fontId="22" fillId="27" borderId="32" xfId="0" applyFont="1" applyFill="1" applyBorder="1"/>
    <xf numFmtId="0" fontId="0" fillId="27" borderId="32" xfId="0" applyFill="1" applyBorder="1"/>
    <xf numFmtId="0" fontId="0" fillId="27" borderId="33" xfId="0" applyFill="1" applyBorder="1"/>
    <xf numFmtId="183" fontId="69" fillId="27" borderId="16" xfId="0" applyNumberFormat="1" applyFont="1" applyFill="1" applyBorder="1"/>
    <xf numFmtId="183" fontId="69" fillId="27" borderId="31" xfId="0" applyNumberFormat="1" applyFont="1" applyFill="1" applyBorder="1"/>
    <xf numFmtId="183" fontId="69" fillId="27" borderId="0" xfId="0" applyNumberFormat="1" applyFont="1" applyFill="1" applyBorder="1"/>
    <xf numFmtId="0" fontId="18" fillId="27" borderId="16" xfId="0" applyFont="1" applyFill="1" applyBorder="1"/>
    <xf numFmtId="183" fontId="18" fillId="27" borderId="16" xfId="0" applyNumberFormat="1" applyFont="1" applyFill="1" applyBorder="1"/>
    <xf numFmtId="183" fontId="18" fillId="27" borderId="0" xfId="0" applyNumberFormat="1" applyFont="1" applyFill="1" applyBorder="1"/>
    <xf numFmtId="183" fontId="18" fillId="27" borderId="17" xfId="0" applyNumberFormat="1" applyFont="1" applyFill="1" applyBorder="1"/>
    <xf numFmtId="0" fontId="0" fillId="27" borderId="0" xfId="0" applyFont="1" applyFill="1" applyBorder="1"/>
    <xf numFmtId="0" fontId="31" fillId="27" borderId="13" xfId="0" applyFont="1" applyFill="1" applyBorder="1"/>
    <xf numFmtId="0" fontId="22" fillId="27" borderId="34" xfId="0" applyFont="1" applyFill="1" applyBorder="1"/>
    <xf numFmtId="0" fontId="22" fillId="27" borderId="33" xfId="0" applyFont="1" applyFill="1" applyBorder="1"/>
    <xf numFmtId="0" fontId="72" fillId="27" borderId="0" xfId="0" applyFont="1" applyFill="1" applyBorder="1"/>
    <xf numFmtId="9" fontId="67" fillId="27" borderId="0" xfId="0" applyNumberFormat="1" applyFont="1" applyFill="1" applyBorder="1"/>
    <xf numFmtId="183" fontId="67" fillId="27" borderId="0" xfId="0" applyNumberFormat="1" applyFont="1" applyFill="1" applyBorder="1"/>
    <xf numFmtId="3" fontId="71" fillId="27" borderId="0" xfId="0" applyNumberFormat="1" applyFont="1" applyFill="1" applyBorder="1"/>
    <xf numFmtId="183" fontId="71" fillId="27" borderId="0" xfId="0" applyNumberFormat="1" applyFont="1" applyFill="1" applyBorder="1"/>
    <xf numFmtId="0" fontId="58" fillId="27" borderId="0" xfId="0" applyFont="1" applyFill="1" applyBorder="1"/>
    <xf numFmtId="182" fontId="18" fillId="27" borderId="0" xfId="0" applyNumberFormat="1" applyFont="1" applyFill="1" applyBorder="1"/>
    <xf numFmtId="183" fontId="68" fillId="27" borderId="0" xfId="0" applyNumberFormat="1" applyFont="1" applyFill="1" applyBorder="1"/>
    <xf numFmtId="3" fontId="68" fillId="27" borderId="0" xfId="0" applyNumberFormat="1" applyFont="1" applyFill="1" applyBorder="1"/>
    <xf numFmtId="3" fontId="68" fillId="27" borderId="17" xfId="0" applyNumberFormat="1" applyFont="1" applyFill="1" applyBorder="1"/>
    <xf numFmtId="3" fontId="71" fillId="27" borderId="17" xfId="0" applyNumberFormat="1" applyFont="1" applyFill="1" applyBorder="1"/>
    <xf numFmtId="183" fontId="67" fillId="27" borderId="17" xfId="0" applyNumberFormat="1" applyFont="1" applyFill="1" applyBorder="1"/>
    <xf numFmtId="183" fontId="71" fillId="27" borderId="17" xfId="0" applyNumberFormat="1" applyFont="1" applyFill="1" applyBorder="1"/>
    <xf numFmtId="182" fontId="18" fillId="27" borderId="17" xfId="0" applyNumberFormat="1" applyFont="1" applyFill="1" applyBorder="1"/>
    <xf numFmtId="168" fontId="0" fillId="27" borderId="13" xfId="0" applyNumberFormat="1" applyFill="1" applyBorder="1"/>
    <xf numFmtId="168" fontId="0" fillId="27" borderId="18" xfId="0" applyNumberFormat="1" applyFill="1" applyBorder="1"/>
    <xf numFmtId="183" fontId="68" fillId="27" borderId="17" xfId="0" applyNumberFormat="1" applyFont="1" applyFill="1" applyBorder="1"/>
    <xf numFmtId="0" fontId="22" fillId="27" borderId="23" xfId="0" applyFont="1" applyFill="1" applyBorder="1"/>
    <xf numFmtId="183" fontId="18" fillId="27" borderId="14" xfId="0" applyNumberFormat="1" applyFont="1" applyFill="1" applyBorder="1"/>
    <xf numFmtId="183" fontId="18" fillId="27" borderId="8" xfId="0" applyNumberFormat="1" applyFont="1" applyFill="1" applyBorder="1"/>
    <xf numFmtId="183" fontId="73" fillId="27" borderId="8" xfId="0" applyNumberFormat="1" applyFont="1" applyFill="1" applyBorder="1"/>
    <xf numFmtId="183" fontId="73" fillId="27" borderId="15" xfId="0" applyNumberFormat="1" applyFont="1" applyFill="1" applyBorder="1"/>
    <xf numFmtId="183" fontId="73" fillId="27" borderId="14" xfId="0" applyNumberFormat="1" applyFont="1" applyFill="1" applyBorder="1"/>
    <xf numFmtId="3" fontId="68" fillId="27" borderId="16" xfId="0" applyNumberFormat="1" applyFont="1" applyFill="1" applyBorder="1"/>
    <xf numFmtId="9" fontId="67" fillId="27" borderId="16" xfId="0" applyNumberFormat="1" applyFont="1" applyFill="1" applyBorder="1"/>
    <xf numFmtId="183" fontId="67" fillId="27" borderId="16" xfId="0" applyNumberFormat="1" applyFont="1" applyFill="1" applyBorder="1"/>
    <xf numFmtId="183" fontId="71" fillId="27" borderId="16" xfId="0" applyNumberFormat="1" applyFont="1" applyFill="1" applyBorder="1"/>
    <xf numFmtId="182" fontId="18" fillId="27" borderId="16" xfId="0" applyNumberFormat="1" applyFont="1" applyFill="1" applyBorder="1"/>
    <xf numFmtId="168" fontId="0" fillId="27" borderId="23" xfId="0" applyNumberFormat="1" applyFill="1" applyBorder="1"/>
    <xf numFmtId="183" fontId="68" fillId="27" borderId="16" xfId="0" applyNumberFormat="1" applyFont="1" applyFill="1" applyBorder="1"/>
    <xf numFmtId="0" fontId="68" fillId="27" borderId="16" xfId="0" applyFont="1" applyFill="1" applyBorder="1"/>
    <xf numFmtId="0" fontId="18" fillId="27" borderId="14" xfId="0" applyFont="1" applyFill="1" applyBorder="1"/>
    <xf numFmtId="0" fontId="18" fillId="27" borderId="8" xfId="0" applyFont="1" applyFill="1" applyBorder="1"/>
    <xf numFmtId="7" fontId="18" fillId="27" borderId="0" xfId="0" applyNumberFormat="1" applyFont="1" applyFill="1" applyBorder="1"/>
    <xf numFmtId="7" fontId="18" fillId="27" borderId="16" xfId="0" applyNumberFormat="1" applyFont="1" applyFill="1" applyBorder="1"/>
    <xf numFmtId="7" fontId="18" fillId="27" borderId="17" xfId="0" applyNumberFormat="1" applyFont="1" applyFill="1" applyBorder="1"/>
    <xf numFmtId="188" fontId="31" fillId="27" borderId="0" xfId="0" applyNumberFormat="1" applyFont="1" applyFill="1" applyBorder="1"/>
    <xf numFmtId="0" fontId="22" fillId="27" borderId="13" xfId="0" applyFont="1" applyFill="1" applyBorder="1"/>
    <xf numFmtId="183" fontId="69" fillId="27" borderId="23" xfId="0" applyNumberFormat="1" applyFont="1" applyFill="1" applyBorder="1"/>
    <xf numFmtId="183" fontId="69" fillId="27" borderId="13" xfId="0" applyNumberFormat="1" applyFont="1" applyFill="1" applyBorder="1"/>
    <xf numFmtId="183" fontId="69" fillId="27" borderId="35" xfId="0" applyNumberFormat="1" applyFont="1" applyFill="1" applyBorder="1"/>
    <xf numFmtId="43" fontId="0" fillId="27" borderId="0" xfId="42" applyFont="1" applyFill="1" applyBorder="1"/>
    <xf numFmtId="43" fontId="0" fillId="27" borderId="0" xfId="0" applyNumberFormat="1" applyFill="1" applyBorder="1"/>
    <xf numFmtId="0" fontId="0" fillId="28" borderId="0" xfId="0" applyFill="1"/>
    <xf numFmtId="9" fontId="31" fillId="28" borderId="16" xfId="0" applyNumberFormat="1" applyFont="1" applyFill="1" applyBorder="1"/>
    <xf numFmtId="9" fontId="31" fillId="28" borderId="0" xfId="0" applyNumberFormat="1" applyFont="1" applyFill="1" applyBorder="1"/>
    <xf numFmtId="9" fontId="31" fillId="28" borderId="17" xfId="0" applyNumberFormat="1" applyFont="1" applyFill="1" applyBorder="1"/>
    <xf numFmtId="181" fontId="22" fillId="28" borderId="16" xfId="0" applyNumberFormat="1" applyFont="1" applyFill="1" applyBorder="1"/>
    <xf numFmtId="181" fontId="22" fillId="28" borderId="0" xfId="0" applyNumberFormat="1" applyFont="1" applyFill="1" applyBorder="1"/>
    <xf numFmtId="181" fontId="22" fillId="28" borderId="17" xfId="0" applyNumberFormat="1" applyFont="1" applyFill="1" applyBorder="1"/>
    <xf numFmtId="168" fontId="31" fillId="28" borderId="16" xfId="43" applyNumberFormat="1" applyFont="1" applyFill="1" applyBorder="1"/>
    <xf numFmtId="168" fontId="31" fillId="28" borderId="0" xfId="43" applyNumberFormat="1" applyFont="1" applyFill="1" applyBorder="1"/>
    <xf numFmtId="168" fontId="31" fillId="28" borderId="17" xfId="43" applyNumberFormat="1" applyFont="1" applyFill="1" applyBorder="1"/>
    <xf numFmtId="168" fontId="31" fillId="28" borderId="16" xfId="0" applyNumberFormat="1" applyFont="1" applyFill="1" applyBorder="1"/>
    <xf numFmtId="168" fontId="31" fillId="28" borderId="0" xfId="0" applyNumberFormat="1" applyFont="1" applyFill="1" applyBorder="1"/>
    <xf numFmtId="168" fontId="31" fillId="28" borderId="17" xfId="0" applyNumberFormat="1" applyFont="1" applyFill="1" applyBorder="1"/>
    <xf numFmtId="0" fontId="0" fillId="28" borderId="0" xfId="0" applyFill="1" applyBorder="1"/>
    <xf numFmtId="182" fontId="22" fillId="28" borderId="16" xfId="0" applyNumberFormat="1" applyFont="1" applyFill="1" applyBorder="1"/>
    <xf numFmtId="182" fontId="22" fillId="28" borderId="0" xfId="0" applyNumberFormat="1" applyFont="1" applyFill="1" applyBorder="1"/>
    <xf numFmtId="10" fontId="31" fillId="28" borderId="16" xfId="0" applyNumberFormat="1" applyFont="1" applyFill="1" applyBorder="1"/>
    <xf numFmtId="0" fontId="22" fillId="28" borderId="16" xfId="0" applyFont="1" applyFill="1" applyBorder="1"/>
    <xf numFmtId="0" fontId="22" fillId="28" borderId="0" xfId="0" applyFont="1" applyFill="1" applyBorder="1"/>
    <xf numFmtId="0" fontId="22" fillId="28" borderId="17" xfId="0" applyFont="1" applyFill="1" applyBorder="1"/>
    <xf numFmtId="0" fontId="0" fillId="28" borderId="17" xfId="0" applyFill="1" applyBorder="1"/>
    <xf numFmtId="43" fontId="100" fillId="28" borderId="0" xfId="42" applyFont="1" applyFill="1"/>
    <xf numFmtId="188" fontId="31" fillId="28" borderId="0" xfId="42" applyNumberFormat="1" applyFont="1" applyFill="1"/>
    <xf numFmtId="43" fontId="100" fillId="28" borderId="17" xfId="42" applyFont="1" applyFill="1" applyBorder="1"/>
    <xf numFmtId="188" fontId="31" fillId="28" borderId="17" xfId="42" applyNumberFormat="1" applyFont="1" applyFill="1" applyBorder="1"/>
    <xf numFmtId="182" fontId="22" fillId="28" borderId="17" xfId="0" applyNumberFormat="1" applyFont="1" applyFill="1" applyBorder="1"/>
    <xf numFmtId="9" fontId="0" fillId="28" borderId="0" xfId="0" applyNumberFormat="1" applyFill="1" applyBorder="1"/>
    <xf numFmtId="9" fontId="0" fillId="28" borderId="17" xfId="0" applyNumberFormat="1" applyFill="1" applyBorder="1"/>
    <xf numFmtId="181" fontId="0" fillId="28" borderId="8" xfId="42" applyNumberFormat="1" applyFont="1" applyFill="1" applyBorder="1"/>
    <xf numFmtId="181" fontId="0" fillId="28" borderId="15" xfId="42" applyNumberFormat="1" applyFont="1" applyFill="1" applyBorder="1"/>
    <xf numFmtId="181" fontId="0" fillId="28" borderId="0" xfId="42" applyNumberFormat="1" applyFont="1" applyFill="1" applyBorder="1"/>
    <xf numFmtId="181" fontId="0" fillId="28" borderId="17" xfId="42" applyNumberFormat="1" applyFont="1" applyFill="1" applyBorder="1"/>
    <xf numFmtId="189" fontId="0" fillId="28" borderId="0" xfId="0" applyNumberFormat="1" applyFill="1" applyBorder="1"/>
    <xf numFmtId="189" fontId="0" fillId="28" borderId="17" xfId="0" applyNumberFormat="1" applyFill="1" applyBorder="1"/>
    <xf numFmtId="181" fontId="100" fillId="28" borderId="0" xfId="42" applyNumberFormat="1" applyFont="1" applyFill="1" applyBorder="1"/>
    <xf numFmtId="188" fontId="31" fillId="28" borderId="0" xfId="42" applyNumberFormat="1" applyFont="1" applyFill="1" applyBorder="1"/>
    <xf numFmtId="181" fontId="100" fillId="27" borderId="16" xfId="43" applyNumberFormat="1" applyFont="1" applyFill="1" applyBorder="1"/>
    <xf numFmtId="181" fontId="100" fillId="27" borderId="0" xfId="43" applyNumberFormat="1" applyFont="1" applyFill="1" applyBorder="1"/>
    <xf numFmtId="181" fontId="100" fillId="27" borderId="17" xfId="43" applyNumberFormat="1" applyFont="1" applyFill="1" applyBorder="1"/>
    <xf numFmtId="181" fontId="100" fillId="27" borderId="16" xfId="0" applyNumberFormat="1" applyFont="1" applyFill="1" applyBorder="1"/>
    <xf numFmtId="181" fontId="100" fillId="27" borderId="0" xfId="0" applyNumberFormat="1" applyFont="1" applyFill="1" applyBorder="1"/>
    <xf numFmtId="181" fontId="100" fillId="27" borderId="17" xfId="0" applyNumberFormat="1" applyFont="1" applyFill="1" applyBorder="1"/>
    <xf numFmtId="181" fontId="100" fillId="28" borderId="16" xfId="43" applyNumberFormat="1" applyFont="1" applyFill="1" applyBorder="1"/>
    <xf numFmtId="181" fontId="100" fillId="28" borderId="0" xfId="43" applyNumberFormat="1" applyFont="1" applyFill="1" applyBorder="1"/>
    <xf numFmtId="181" fontId="100" fillId="28" borderId="17" xfId="43" applyNumberFormat="1" applyFont="1" applyFill="1" applyBorder="1"/>
    <xf numFmtId="185" fontId="100" fillId="28" borderId="16" xfId="0" applyNumberFormat="1" applyFont="1" applyFill="1" applyBorder="1"/>
    <xf numFmtId="0" fontId="1" fillId="27" borderId="0" xfId="0" applyFont="1" applyFill="1"/>
    <xf numFmtId="188" fontId="31" fillId="0" borderId="0" xfId="1" applyNumberFormat="1" applyFont="1"/>
    <xf numFmtId="180" fontId="0" fillId="27" borderId="0" xfId="42" applyNumberFormat="1" applyFont="1" applyFill="1" applyBorder="1"/>
    <xf numFmtId="190" fontId="31" fillId="28" borderId="0" xfId="42" applyNumberFormat="1" applyFont="1" applyFill="1" applyBorder="1"/>
    <xf numFmtId="188" fontId="31" fillId="28" borderId="0" xfId="0" applyNumberFormat="1" applyFont="1" applyFill="1" applyBorder="1"/>
    <xf numFmtId="168" fontId="101" fillId="28" borderId="0" xfId="0" applyNumberFormat="1" applyFont="1" applyFill="1" applyBorder="1"/>
    <xf numFmtId="0" fontId="0" fillId="0" borderId="0" xfId="0"/>
    <xf numFmtId="188" fontId="101" fillId="28" borderId="0" xfId="42" applyNumberFormat="1" applyFont="1" applyFill="1" applyBorder="1"/>
    <xf numFmtId="164" fontId="1" fillId="0" borderId="0" xfId="1" applyNumberFormat="1" applyFont="1" applyFill="1"/>
    <xf numFmtId="188" fontId="31" fillId="27" borderId="0" xfId="42" applyNumberFormat="1" applyFont="1" applyFill="1" applyBorder="1"/>
    <xf numFmtId="0" fontId="1" fillId="27" borderId="0" xfId="0" applyFont="1" applyFill="1" applyBorder="1"/>
    <xf numFmtId="3" fontId="71" fillId="27" borderId="16" xfId="0" applyNumberFormat="1" applyFont="1" applyFill="1" applyBorder="1"/>
    <xf numFmtId="7" fontId="22" fillId="27" borderId="16" xfId="0" applyNumberFormat="1" applyFont="1" applyFill="1" applyBorder="1"/>
    <xf numFmtId="0" fontId="0" fillId="0" borderId="0" xfId="0"/>
    <xf numFmtId="164" fontId="7" fillId="0" borderId="17" xfId="1" applyNumberFormat="1" applyFont="1" applyFill="1" applyBorder="1" applyAlignment="1">
      <alignment horizontal="center"/>
    </xf>
    <xf numFmtId="168" fontId="101" fillId="28" borderId="0" xfId="43" applyNumberFormat="1" applyFont="1" applyFill="1" applyBorder="1"/>
    <xf numFmtId="168" fontId="101" fillId="28" borderId="17" xfId="43" applyNumberFormat="1" applyFont="1" applyFill="1" applyBorder="1"/>
    <xf numFmtId="181" fontId="103" fillId="27" borderId="16" xfId="42" applyNumberFormat="1" applyFont="1" applyFill="1" applyBorder="1"/>
    <xf numFmtId="181" fontId="103" fillId="27" borderId="0" xfId="42" applyNumberFormat="1" applyFont="1" applyFill="1" applyBorder="1"/>
    <xf numFmtId="181" fontId="103" fillId="27" borderId="17" xfId="42" applyNumberFormat="1" applyFont="1" applyFill="1" applyBorder="1"/>
    <xf numFmtId="190" fontId="101" fillId="28" borderId="0" xfId="0" applyNumberFormat="1" applyFont="1" applyFill="1" applyBorder="1"/>
    <xf numFmtId="190" fontId="101" fillId="28" borderId="17" xfId="0" applyNumberFormat="1" applyFont="1" applyFill="1" applyBorder="1"/>
    <xf numFmtId="190" fontId="101" fillId="27" borderId="0" xfId="0" applyNumberFormat="1" applyFont="1" applyFill="1" applyBorder="1"/>
    <xf numFmtId="190" fontId="101" fillId="27" borderId="17" xfId="0" applyNumberFormat="1" applyFont="1" applyFill="1" applyBorder="1"/>
    <xf numFmtId="188" fontId="101" fillId="28" borderId="17" xfId="42" applyNumberFormat="1" applyFont="1" applyFill="1" applyBorder="1"/>
    <xf numFmtId="43" fontId="103" fillId="28" borderId="17" xfId="42" applyFont="1" applyFill="1" applyBorder="1"/>
    <xf numFmtId="168" fontId="102" fillId="28" borderId="0" xfId="43" applyNumberFormat="1" applyFont="1" applyFill="1" applyBorder="1"/>
    <xf numFmtId="3" fontId="100" fillId="27" borderId="0" xfId="0" applyNumberFormat="1" applyFont="1" applyFill="1" applyBorder="1"/>
    <xf numFmtId="3" fontId="100" fillId="27" borderId="31" xfId="0" applyNumberFormat="1" applyFont="1" applyFill="1" applyBorder="1"/>
    <xf numFmtId="3" fontId="100" fillId="27" borderId="17" xfId="0" applyNumberFormat="1" applyFont="1" applyFill="1" applyBorder="1"/>
    <xf numFmtId="7" fontId="100" fillId="27" borderId="16" xfId="0" applyNumberFormat="1" applyFont="1" applyFill="1" applyBorder="1"/>
    <xf numFmtId="7" fontId="100" fillId="27" borderId="0" xfId="0" applyNumberFormat="1" applyFont="1" applyFill="1" applyBorder="1"/>
    <xf numFmtId="7" fontId="100" fillId="27" borderId="17" xfId="0" applyNumberFormat="1" applyFont="1" applyFill="1" applyBorder="1"/>
    <xf numFmtId="183" fontId="103" fillId="27" borderId="16" xfId="0" applyNumberFormat="1" applyFont="1" applyFill="1" applyBorder="1"/>
    <xf numFmtId="183" fontId="103" fillId="27" borderId="0" xfId="0" applyNumberFormat="1" applyFont="1" applyFill="1" applyBorder="1"/>
    <xf numFmtId="183" fontId="100" fillId="27" borderId="16" xfId="0" applyNumberFormat="1" applyFont="1" applyFill="1" applyBorder="1"/>
    <xf numFmtId="183" fontId="100" fillId="27" borderId="0" xfId="0" applyNumberFormat="1" applyFont="1" applyFill="1" applyBorder="1"/>
    <xf numFmtId="183" fontId="100" fillId="27" borderId="17" xfId="0" applyNumberFormat="1" applyFont="1" applyFill="1" applyBorder="1"/>
    <xf numFmtId="183" fontId="103" fillId="27" borderId="17" xfId="0" applyNumberFormat="1" applyFont="1" applyFill="1" applyBorder="1"/>
    <xf numFmtId="168" fontId="101" fillId="27" borderId="16" xfId="0" applyNumberFormat="1" applyFont="1" applyFill="1" applyBorder="1"/>
    <xf numFmtId="168" fontId="101" fillId="27" borderId="0" xfId="0" applyNumberFormat="1" applyFont="1" applyFill="1" applyBorder="1"/>
    <xf numFmtId="168" fontId="101" fillId="27" borderId="17" xfId="0" applyNumberFormat="1" applyFont="1" applyFill="1" applyBorder="1"/>
    <xf numFmtId="7" fontId="103" fillId="27" borderId="16" xfId="0" applyNumberFormat="1" applyFont="1" applyFill="1" applyBorder="1"/>
    <xf numFmtId="7" fontId="103" fillId="27" borderId="0" xfId="0" applyNumberFormat="1" applyFont="1" applyFill="1" applyBorder="1"/>
    <xf numFmtId="168" fontId="100" fillId="0" borderId="0" xfId="0" applyNumberFormat="1" applyFont="1"/>
    <xf numFmtId="168" fontId="101" fillId="27" borderId="17" xfId="74" applyNumberFormat="1" applyFont="1" applyFill="1" applyBorder="1"/>
    <xf numFmtId="7" fontId="103" fillId="27" borderId="17" xfId="0" applyNumberFormat="1" applyFont="1" applyFill="1" applyBorder="1"/>
    <xf numFmtId="183" fontId="104" fillId="27" borderId="0" xfId="0" applyNumberFormat="1" applyFont="1" applyFill="1" applyBorder="1"/>
    <xf numFmtId="183" fontId="104" fillId="27" borderId="17" xfId="0" applyNumberFormat="1" applyFont="1" applyFill="1" applyBorder="1"/>
    <xf numFmtId="9" fontId="100" fillId="27" borderId="0" xfId="0" applyNumberFormat="1" applyFont="1" applyFill="1" applyBorder="1"/>
    <xf numFmtId="177" fontId="11" fillId="0" borderId="29" xfId="1" applyNumberFormat="1" applyFont="1" applyFill="1" applyBorder="1"/>
    <xf numFmtId="181" fontId="0" fillId="27" borderId="0" xfId="0" applyNumberFormat="1" applyFill="1"/>
    <xf numFmtId="181" fontId="0" fillId="27" borderId="16" xfId="42" applyNumberFormat="1" applyFont="1" applyFill="1" applyBorder="1"/>
    <xf numFmtId="181" fontId="0" fillId="27" borderId="0" xfId="42" applyNumberFormat="1" applyFont="1" applyFill="1" applyBorder="1"/>
    <xf numFmtId="181" fontId="0" fillId="27" borderId="17" xfId="42" applyNumberFormat="1" applyFont="1" applyFill="1" applyBorder="1"/>
    <xf numFmtId="182" fontId="0" fillId="27" borderId="0" xfId="0" applyNumberFormat="1" applyFill="1"/>
    <xf numFmtId="181" fontId="31" fillId="27" borderId="0" xfId="42" applyNumberFormat="1" applyFont="1" applyFill="1" applyBorder="1"/>
    <xf numFmtId="0" fontId="0" fillId="0" borderId="0" xfId="0"/>
    <xf numFmtId="10" fontId="11" fillId="0" borderId="17" xfId="1" applyNumberFormat="1" applyFont="1" applyFill="1" applyBorder="1"/>
    <xf numFmtId="188" fontId="8" fillId="0" borderId="0" xfId="74" applyNumberFormat="1" applyFont="1" applyFill="1" applyBorder="1"/>
    <xf numFmtId="182" fontId="103" fillId="28" borderId="0" xfId="0" applyNumberFormat="1" applyFont="1" applyFill="1" applyBorder="1"/>
    <xf numFmtId="182" fontId="103" fillId="28" borderId="17" xfId="0" applyNumberFormat="1" applyFont="1" applyFill="1" applyBorder="1"/>
    <xf numFmtId="0" fontId="0" fillId="0" borderId="0" xfId="0"/>
    <xf numFmtId="168" fontId="0" fillId="27" borderId="0" xfId="74" applyNumberFormat="1" applyFont="1" applyFill="1" applyBorder="1"/>
    <xf numFmtId="0" fontId="0" fillId="0" borderId="0" xfId="0"/>
    <xf numFmtId="0" fontId="0" fillId="0" borderId="0" xfId="0"/>
    <xf numFmtId="0" fontId="0" fillId="0" borderId="0" xfId="0"/>
    <xf numFmtId="1" fontId="9" fillId="26" borderId="37" xfId="67" applyNumberFormat="1" applyFont="1" applyFill="1" applyBorder="1" applyAlignment="1">
      <alignment horizontal="right"/>
    </xf>
    <xf numFmtId="181" fontId="1" fillId="0" borderId="0" xfId="1" applyNumberFormat="1" applyFont="1"/>
    <xf numFmtId="174" fontId="0" fillId="27" borderId="0" xfId="42" applyNumberFormat="1" applyFont="1" applyFill="1" applyBorder="1"/>
    <xf numFmtId="0" fontId="0" fillId="0" borderId="0" xfId="0"/>
    <xf numFmtId="181" fontId="100" fillId="27" borderId="0" xfId="42" applyNumberFormat="1" applyFont="1" applyFill="1" applyBorder="1"/>
    <xf numFmtId="181" fontId="100" fillId="28" borderId="0" xfId="42" applyNumberFormat="1" applyFont="1" applyFill="1"/>
    <xf numFmtId="188" fontId="31" fillId="28" borderId="16" xfId="0" applyNumberFormat="1" applyFont="1" applyFill="1" applyBorder="1"/>
    <xf numFmtId="188" fontId="31" fillId="28" borderId="17" xfId="0" applyNumberFormat="1" applyFont="1" applyFill="1" applyBorder="1"/>
    <xf numFmtId="190" fontId="31" fillId="28" borderId="0" xfId="42" applyNumberFormat="1" applyFont="1" applyFill="1"/>
    <xf numFmtId="190" fontId="31" fillId="28" borderId="17" xfId="42" applyNumberFormat="1" applyFont="1" applyFill="1" applyBorder="1"/>
    <xf numFmtId="174" fontId="0" fillId="27" borderId="17" xfId="42" applyNumberFormat="1" applyFont="1" applyFill="1" applyBorder="1"/>
    <xf numFmtId="174" fontId="0" fillId="27" borderId="16" xfId="42" applyNumberFormat="1" applyFont="1" applyFill="1" applyBorder="1"/>
    <xf numFmtId="41" fontId="6" fillId="0" borderId="0" xfId="1" applyNumberFormat="1" applyFont="1" applyFill="1" applyBorder="1"/>
    <xf numFmtId="5" fontId="0" fillId="27" borderId="16" xfId="0" applyNumberFormat="1" applyFill="1" applyBorder="1"/>
    <xf numFmtId="181" fontId="0" fillId="28" borderId="16" xfId="42" applyNumberFormat="1" applyFont="1" applyFill="1" applyBorder="1"/>
    <xf numFmtId="0" fontId="0" fillId="28" borderId="16" xfId="0" applyFill="1" applyBorder="1"/>
    <xf numFmtId="0" fontId="0" fillId="0" borderId="0" xfId="0"/>
    <xf numFmtId="43" fontId="31" fillId="0" borderId="0" xfId="42" applyFont="1"/>
    <xf numFmtId="0" fontId="0" fillId="0" borderId="0" xfId="0"/>
    <xf numFmtId="164" fontId="11" fillId="28" borderId="17" xfId="1" applyNumberFormat="1" applyFont="1" applyFill="1" applyBorder="1"/>
    <xf numFmtId="43" fontId="22" fillId="27" borderId="32" xfId="0" applyNumberFormat="1" applyFont="1" applyFill="1" applyBorder="1"/>
    <xf numFmtId="164" fontId="1" fillId="0" borderId="0" xfId="1" applyNumberFormat="1" applyFont="1" applyBorder="1"/>
    <xf numFmtId="181" fontId="31" fillId="0" borderId="0" xfId="42" applyNumberFormat="1" applyFont="1"/>
    <xf numFmtId="1" fontId="9" fillId="26" borderId="39" xfId="67" applyNumberFormat="1" applyFont="1" applyFill="1" applyBorder="1" applyAlignment="1">
      <alignment horizontal="right"/>
    </xf>
    <xf numFmtId="0" fontId="0" fillId="0" borderId="0" xfId="0"/>
    <xf numFmtId="169" fontId="105" fillId="0" borderId="16" xfId="1" applyNumberFormat="1" applyFont="1" applyBorder="1"/>
    <xf numFmtId="164" fontId="8" fillId="0" borderId="0" xfId="74" applyNumberFormat="1" applyFont="1" applyFill="1" applyBorder="1" applyAlignment="1"/>
    <xf numFmtId="0" fontId="1" fillId="0" borderId="17" xfId="1" applyFont="1" applyBorder="1"/>
    <xf numFmtId="196" fontId="103" fillId="27" borderId="16" xfId="0" applyNumberFormat="1" applyFont="1" applyFill="1" applyBorder="1"/>
    <xf numFmtId="174" fontId="6" fillId="0" borderId="0" xfId="42" applyNumberFormat="1" applyFont="1" applyFill="1"/>
    <xf numFmtId="0" fontId="6" fillId="0" borderId="16" xfId="1" applyNumberFormat="1" applyFont="1" applyFill="1" applyBorder="1" applyAlignment="1">
      <alignment vertical="top"/>
    </xf>
    <xf numFmtId="174" fontId="11" fillId="0" borderId="17" xfId="42" applyNumberFormat="1" applyFont="1" applyFill="1" applyBorder="1"/>
    <xf numFmtId="174" fontId="11" fillId="0" borderId="0" xfId="42" applyNumberFormat="1" applyFont="1" applyFill="1" applyBorder="1"/>
    <xf numFmtId="171" fontId="11" fillId="0" borderId="0" xfId="1" applyNumberFormat="1" applyFont="1" applyFill="1" applyBorder="1"/>
    <xf numFmtId="168" fontId="124" fillId="27" borderId="16" xfId="74" applyNumberFormat="1" applyFont="1" applyFill="1" applyBorder="1" applyAlignment="1"/>
    <xf numFmtId="168" fontId="124" fillId="0" borderId="0" xfId="74" applyNumberFormat="1" applyFont="1" applyFill="1" applyBorder="1" applyAlignment="1"/>
    <xf numFmtId="168" fontId="124" fillId="0" borderId="17" xfId="74" applyNumberFormat="1" applyFont="1" applyFill="1" applyBorder="1" applyAlignment="1"/>
    <xf numFmtId="0" fontId="0" fillId="0" borderId="0" xfId="0"/>
    <xf numFmtId="0" fontId="0" fillId="0" borderId="0" xfId="0"/>
    <xf numFmtId="43" fontId="11" fillId="0" borderId="0" xfId="1" applyNumberFormat="1" applyFont="1" applyBorder="1"/>
    <xf numFmtId="164" fontId="6" fillId="0" borderId="0" xfId="1" applyNumberFormat="1" applyFont="1"/>
    <xf numFmtId="0" fontId="6" fillId="0" borderId="19" xfId="1" applyFont="1" applyFill="1" applyBorder="1"/>
    <xf numFmtId="168" fontId="38" fillId="0" borderId="0" xfId="74" applyNumberFormat="1" applyFont="1" applyFill="1" applyBorder="1"/>
    <xf numFmtId="164" fontId="6" fillId="27" borderId="17" xfId="1" applyNumberFormat="1" applyFont="1" applyFill="1" applyBorder="1" applyAlignment="1"/>
    <xf numFmtId="164" fontId="19" fillId="0" borderId="17" xfId="1" applyNumberFormat="1" applyFont="1" applyFill="1" applyBorder="1" applyAlignment="1"/>
    <xf numFmtId="164" fontId="34" fillId="27" borderId="17" xfId="1" applyNumberFormat="1" applyFont="1" applyFill="1" applyBorder="1" applyAlignment="1"/>
    <xf numFmtId="168" fontId="6" fillId="27" borderId="17" xfId="74" applyNumberFormat="1" applyFont="1" applyFill="1" applyBorder="1" applyAlignment="1"/>
    <xf numFmtId="169" fontId="11" fillId="27" borderId="17" xfId="1" applyNumberFormat="1" applyFont="1" applyFill="1" applyBorder="1"/>
    <xf numFmtId="165" fontId="9" fillId="26" borderId="15" xfId="68" applyNumberFormat="1" applyFont="1" applyFill="1" applyBorder="1" applyAlignment="1">
      <alignment horizontal="right"/>
    </xf>
    <xf numFmtId="182" fontId="1" fillId="27" borderId="0" xfId="0" applyNumberFormat="1" applyFont="1" applyFill="1" applyBorder="1"/>
    <xf numFmtId="181" fontId="31" fillId="28" borderId="16" xfId="42" applyNumberFormat="1" applyFont="1" applyFill="1" applyBorder="1"/>
    <xf numFmtId="183" fontId="1" fillId="27" borderId="16" xfId="0" applyNumberFormat="1" applyFont="1" applyFill="1" applyBorder="1"/>
    <xf numFmtId="0" fontId="0" fillId="27" borderId="0" xfId="0" applyFill="1" applyBorder="1"/>
    <xf numFmtId="0" fontId="0" fillId="27" borderId="17" xfId="0" applyFill="1" applyBorder="1"/>
    <xf numFmtId="183" fontId="0" fillId="27" borderId="0" xfId="0" applyNumberFormat="1" applyFill="1" applyBorder="1"/>
    <xf numFmtId="3" fontId="0" fillId="27" borderId="0" xfId="0" applyNumberFormat="1" applyFill="1" applyBorder="1"/>
    <xf numFmtId="9" fontId="0" fillId="27" borderId="0" xfId="0" applyNumberFormat="1" applyFill="1" applyBorder="1"/>
    <xf numFmtId="7" fontId="0" fillId="27" borderId="0" xfId="0" applyNumberFormat="1" applyFill="1" applyBorder="1"/>
    <xf numFmtId="183" fontId="0" fillId="27" borderId="13" xfId="0" applyNumberFormat="1" applyFill="1" applyBorder="1"/>
    <xf numFmtId="168" fontId="0" fillId="27" borderId="0" xfId="0" applyNumberFormat="1" applyFill="1" applyBorder="1"/>
    <xf numFmtId="183" fontId="18" fillId="27" borderId="0" xfId="0" applyNumberFormat="1" applyFont="1" applyFill="1" applyBorder="1"/>
    <xf numFmtId="182" fontId="18" fillId="27" borderId="0" xfId="0" applyNumberFormat="1" applyFont="1" applyFill="1" applyBorder="1"/>
    <xf numFmtId="168" fontId="0" fillId="27" borderId="13" xfId="0" applyNumberFormat="1" applyFill="1" applyBorder="1"/>
    <xf numFmtId="183" fontId="73" fillId="27" borderId="8" xfId="0" applyNumberFormat="1" applyFont="1" applyFill="1" applyBorder="1"/>
    <xf numFmtId="7" fontId="18" fillId="27" borderId="0" xfId="0" applyNumberFormat="1" applyFont="1" applyFill="1" applyBorder="1"/>
    <xf numFmtId="0" fontId="0" fillId="28" borderId="0" xfId="0" applyFill="1" applyBorder="1"/>
    <xf numFmtId="181" fontId="0" fillId="28" borderId="8" xfId="42" applyNumberFormat="1" applyFont="1" applyFill="1" applyBorder="1"/>
    <xf numFmtId="181" fontId="0" fillId="28" borderId="0" xfId="42" applyNumberFormat="1" applyFont="1" applyFill="1" applyBorder="1"/>
    <xf numFmtId="189" fontId="0" fillId="28" borderId="0" xfId="0" applyNumberFormat="1" applyFill="1" applyBorder="1"/>
    <xf numFmtId="180" fontId="0" fillId="27" borderId="0" xfId="42" applyNumberFormat="1" applyFont="1" applyFill="1" applyBorder="1"/>
    <xf numFmtId="183" fontId="103" fillId="27" borderId="0" xfId="0" applyNumberFormat="1" applyFont="1" applyFill="1" applyBorder="1"/>
    <xf numFmtId="183" fontId="103" fillId="27" borderId="17" xfId="0" applyNumberFormat="1" applyFont="1" applyFill="1" applyBorder="1"/>
    <xf numFmtId="168" fontId="0" fillId="27" borderId="0" xfId="74" applyNumberFormat="1" applyFont="1" applyFill="1" applyBorder="1"/>
    <xf numFmtId="0" fontId="0" fillId="0" borderId="0" xfId="0"/>
    <xf numFmtId="1" fontId="9" fillId="26" borderId="11" xfId="67" applyNumberFormat="1" applyFont="1" applyFill="1" applyBorder="1" applyAlignment="1">
      <alignment horizontal="right"/>
    </xf>
    <xf numFmtId="168" fontId="8" fillId="0" borderId="0" xfId="74" applyNumberFormat="1" applyFont="1" applyFill="1" applyBorder="1" applyAlignment="1"/>
    <xf numFmtId="168" fontId="8" fillId="0" borderId="0" xfId="74" applyNumberFormat="1" applyFont="1" applyFill="1" applyBorder="1" applyAlignment="1">
      <alignment horizontal="center"/>
    </xf>
    <xf numFmtId="168" fontId="12" fillId="0" borderId="0" xfId="74" applyNumberFormat="1" applyFont="1" applyFill="1" applyBorder="1" applyAlignment="1">
      <alignment horizontal="center"/>
    </xf>
    <xf numFmtId="165" fontId="9" fillId="26" borderId="0" xfId="68" applyNumberFormat="1" applyFont="1" applyFill="1" applyBorder="1" applyAlignment="1">
      <alignment horizontal="right"/>
    </xf>
    <xf numFmtId="168" fontId="6" fillId="0" borderId="0" xfId="74" applyNumberFormat="1" applyFont="1" applyFill="1" applyBorder="1" applyAlignment="1"/>
    <xf numFmtId="168" fontId="60" fillId="0" borderId="0" xfId="74" applyNumberFormat="1" applyFont="1" applyFill="1" applyBorder="1" applyAlignment="1">
      <alignment horizontal="center"/>
    </xf>
    <xf numFmtId="188" fontId="8" fillId="0" borderId="0" xfId="74" applyNumberFormat="1" applyFont="1" applyFill="1" applyBorder="1" applyAlignment="1"/>
    <xf numFmtId="181" fontId="31" fillId="0" borderId="0" xfId="42" applyNumberFormat="1" applyFont="1"/>
    <xf numFmtId="185" fontId="11" fillId="0" borderId="0" xfId="434" applyNumberFormat="1" applyFont="1" applyFill="1" applyBorder="1"/>
    <xf numFmtId="0" fontId="42" fillId="0" borderId="0" xfId="0" applyFont="1"/>
    <xf numFmtId="0" fontId="42" fillId="0" borderId="16" xfId="0" applyFont="1" applyBorder="1"/>
    <xf numFmtId="185" fontId="11" fillId="0" borderId="0" xfId="434" applyNumberFormat="1" applyFont="1" applyFill="1" applyBorder="1"/>
    <xf numFmtId="185" fontId="17" fillId="0" borderId="0" xfId="434" applyNumberFormat="1" applyFont="1" applyFill="1" applyBorder="1" applyAlignment="1"/>
    <xf numFmtId="0" fontId="0" fillId="0" borderId="0" xfId="0"/>
    <xf numFmtId="0" fontId="1" fillId="0" borderId="0" xfId="434" applyFont="1"/>
    <xf numFmtId="0" fontId="6" fillId="0" borderId="0" xfId="434" applyFont="1"/>
    <xf numFmtId="0" fontId="6" fillId="0" borderId="0" xfId="434" applyFont="1" applyBorder="1"/>
    <xf numFmtId="1" fontId="9" fillId="26" borderId="19" xfId="67" applyNumberFormat="1" applyFont="1" applyFill="1" applyBorder="1" applyAlignment="1">
      <alignment horizontal="right"/>
    </xf>
    <xf numFmtId="1" fontId="9" fillId="26" borderId="11" xfId="67" applyNumberFormat="1" applyFont="1" applyFill="1" applyBorder="1" applyAlignment="1">
      <alignment horizontal="right"/>
    </xf>
    <xf numFmtId="0" fontId="6" fillId="0" borderId="0" xfId="434" applyFont="1" applyFill="1" applyBorder="1"/>
    <xf numFmtId="37" fontId="11" fillId="0" borderId="0" xfId="434" applyNumberFormat="1" applyFont="1" applyFill="1" applyBorder="1"/>
    <xf numFmtId="164" fontId="6" fillId="0" borderId="0" xfId="434" applyNumberFormat="1" applyFont="1" applyFill="1" applyBorder="1"/>
    <xf numFmtId="168" fontId="8" fillId="0" borderId="0" xfId="74" applyNumberFormat="1" applyFont="1" applyFill="1" applyBorder="1"/>
    <xf numFmtId="168" fontId="12" fillId="0" borderId="0" xfId="74" applyNumberFormat="1" applyFont="1" applyFill="1" applyBorder="1"/>
    <xf numFmtId="37" fontId="6" fillId="0" borderId="0" xfId="434" applyNumberFormat="1" applyFont="1" applyFill="1" applyAlignment="1">
      <alignment horizontal="center"/>
    </xf>
    <xf numFmtId="0" fontId="11" fillId="0" borderId="0" xfId="434" applyFont="1" applyFill="1" applyBorder="1"/>
    <xf numFmtId="164" fontId="7" fillId="0" borderId="8" xfId="434" applyNumberFormat="1" applyFont="1" applyFill="1" applyBorder="1"/>
    <xf numFmtId="164" fontId="7" fillId="0" borderId="0" xfId="434" applyNumberFormat="1" applyFont="1" applyFill="1" applyBorder="1"/>
    <xf numFmtId="164" fontId="11" fillId="0" borderId="0" xfId="42" applyNumberFormat="1" applyFont="1" applyFill="1" applyBorder="1"/>
    <xf numFmtId="164" fontId="7" fillId="0" borderId="11" xfId="434" applyNumberFormat="1" applyFont="1" applyFill="1" applyBorder="1"/>
    <xf numFmtId="174" fontId="20" fillId="0" borderId="11" xfId="42" applyNumberFormat="1" applyFont="1" applyFill="1" applyBorder="1"/>
    <xf numFmtId="174" fontId="20" fillId="0" borderId="19" xfId="42" applyNumberFormat="1" applyFont="1" applyFill="1" applyBorder="1"/>
    <xf numFmtId="175" fontId="11" fillId="0" borderId="8" xfId="434" applyNumberFormat="1" applyFont="1" applyFill="1" applyBorder="1"/>
    <xf numFmtId="168" fontId="8" fillId="0" borderId="16" xfId="74" applyNumberFormat="1" applyFont="1" applyFill="1" applyBorder="1"/>
    <xf numFmtId="176" fontId="6" fillId="0" borderId="0" xfId="434" applyNumberFormat="1" applyFont="1" applyFill="1" applyBorder="1"/>
    <xf numFmtId="176" fontId="6" fillId="0" borderId="13" xfId="434" applyNumberFormat="1" applyFont="1" applyFill="1" applyBorder="1"/>
    <xf numFmtId="177" fontId="7" fillId="0" borderId="11" xfId="434" applyNumberFormat="1" applyFont="1" applyFill="1" applyBorder="1"/>
    <xf numFmtId="174" fontId="6" fillId="0" borderId="8" xfId="42" applyNumberFormat="1" applyFont="1" applyFill="1" applyBorder="1"/>
    <xf numFmtId="174" fontId="6" fillId="0" borderId="14" xfId="42" applyNumberFormat="1" applyFont="1" applyFill="1" applyBorder="1"/>
    <xf numFmtId="0" fontId="11" fillId="0" borderId="0" xfId="434" applyFont="1" applyAlignment="1">
      <alignment horizontal="center"/>
    </xf>
    <xf numFmtId="174" fontId="6" fillId="0" borderId="11" xfId="42" applyNumberFormat="1" applyFont="1" applyFill="1" applyBorder="1"/>
    <xf numFmtId="1" fontId="7" fillId="26" borderId="11" xfId="67" applyNumberFormat="1" applyFont="1" applyFill="1" applyBorder="1" applyAlignment="1">
      <alignment horizontal="right"/>
    </xf>
    <xf numFmtId="174" fontId="6" fillId="0" borderId="0" xfId="42" applyNumberFormat="1" applyFont="1" applyFill="1"/>
    <xf numFmtId="174" fontId="6" fillId="0" borderId="0" xfId="42" applyNumberFormat="1" applyFont="1" applyBorder="1"/>
    <xf numFmtId="174" fontId="11" fillId="0" borderId="0" xfId="42" applyNumberFormat="1" applyFont="1" applyFill="1"/>
    <xf numFmtId="174" fontId="11" fillId="0" borderId="0" xfId="42" applyNumberFormat="1" applyFont="1" applyBorder="1"/>
    <xf numFmtId="174" fontId="11" fillId="0" borderId="0" xfId="42" applyNumberFormat="1" applyFont="1" applyFill="1" applyBorder="1"/>
    <xf numFmtId="168" fontId="8" fillId="0" borderId="13" xfId="74" applyNumberFormat="1" applyFont="1" applyFill="1" applyBorder="1"/>
    <xf numFmtId="174" fontId="6" fillId="0" borderId="13" xfId="42" applyNumberFormat="1" applyFont="1" applyFill="1" applyBorder="1"/>
    <xf numFmtId="1" fontId="7" fillId="26" borderId="19" xfId="67" applyNumberFormat="1" applyFont="1" applyFill="1" applyBorder="1" applyAlignment="1">
      <alignment horizontal="right"/>
    </xf>
    <xf numFmtId="181" fontId="6" fillId="0" borderId="0" xfId="42" applyNumberFormat="1" applyFont="1" applyBorder="1"/>
    <xf numFmtId="164" fontId="11" fillId="0" borderId="8" xfId="434" applyNumberFormat="1" applyFont="1" applyFill="1" applyBorder="1"/>
    <xf numFmtId="9" fontId="11" fillId="0" borderId="0" xfId="74" applyFont="1"/>
    <xf numFmtId="181" fontId="6" fillId="0" borderId="0" xfId="42" applyNumberFormat="1" applyFont="1" applyFill="1" applyBorder="1" applyAlignment="1">
      <alignment horizontal="right"/>
    </xf>
    <xf numFmtId="165" fontId="9" fillId="26" borderId="19" xfId="68" applyNumberFormat="1" applyFont="1" applyFill="1" applyBorder="1" applyAlignment="1">
      <alignment horizontal="right"/>
    </xf>
    <xf numFmtId="165" fontId="9" fillId="26" borderId="11" xfId="68" applyNumberFormat="1" applyFont="1" applyFill="1" applyBorder="1" applyAlignment="1">
      <alignment horizontal="right"/>
    </xf>
    <xf numFmtId="174" fontId="34" fillId="0" borderId="0" xfId="42" applyNumberFormat="1" applyFont="1" applyBorder="1"/>
    <xf numFmtId="174" fontId="7" fillId="0" borderId="0" xfId="42" applyNumberFormat="1" applyFont="1" applyBorder="1"/>
    <xf numFmtId="181" fontId="7" fillId="0" borderId="0" xfId="42" applyNumberFormat="1" applyFont="1" applyBorder="1"/>
    <xf numFmtId="181" fontId="34" fillId="0" borderId="0" xfId="42" applyNumberFormat="1" applyFont="1" applyBorder="1"/>
    <xf numFmtId="1" fontId="7" fillId="26" borderId="11" xfId="434" applyNumberFormat="1" applyFont="1" applyFill="1" applyBorder="1" applyAlignment="1">
      <alignment horizontal="right"/>
    </xf>
    <xf numFmtId="10" fontId="6" fillId="0" borderId="0" xfId="434" applyNumberFormat="1" applyFont="1" applyBorder="1"/>
    <xf numFmtId="174" fontId="7" fillId="0" borderId="0" xfId="434" applyNumberFormat="1" applyFont="1" applyBorder="1"/>
    <xf numFmtId="174" fontId="7" fillId="0" borderId="13" xfId="42" applyNumberFormat="1" applyFont="1" applyBorder="1"/>
    <xf numFmtId="181" fontId="11" fillId="0" borderId="0" xfId="42" applyNumberFormat="1" applyFont="1" applyBorder="1"/>
    <xf numFmtId="174" fontId="33" fillId="0" borderId="0" xfId="42" applyNumberFormat="1" applyFont="1" applyBorder="1"/>
    <xf numFmtId="181" fontId="7" fillId="0" borderId="0" xfId="42" applyNumberFormat="1" applyFont="1" applyFill="1" applyBorder="1"/>
    <xf numFmtId="181" fontId="34" fillId="0" borderId="0" xfId="42" applyNumberFormat="1" applyFont="1" applyFill="1" applyBorder="1"/>
    <xf numFmtId="181" fontId="6" fillId="0" borderId="0" xfId="42" applyNumberFormat="1" applyFont="1" applyFill="1" applyBorder="1"/>
    <xf numFmtId="181" fontId="6" fillId="25" borderId="0" xfId="42" applyNumberFormat="1" applyFont="1" applyFill="1" applyAlignment="1">
      <alignment horizontal="center"/>
    </xf>
    <xf numFmtId="168" fontId="11" fillId="0" borderId="0" xfId="434" applyNumberFormat="1" applyFont="1" applyBorder="1"/>
    <xf numFmtId="181" fontId="11" fillId="0" borderId="0" xfId="42" applyNumberFormat="1" applyFont="1" applyFill="1" applyBorder="1"/>
    <xf numFmtId="164" fontId="6" fillId="0" borderId="0" xfId="74" applyNumberFormat="1" applyFont="1" applyFill="1" applyBorder="1"/>
    <xf numFmtId="168" fontId="6" fillId="0" borderId="0" xfId="74" applyNumberFormat="1" applyFont="1" applyBorder="1"/>
    <xf numFmtId="185" fontId="11" fillId="0" borderId="0" xfId="434" applyNumberFormat="1" applyFont="1" applyFill="1" applyBorder="1"/>
    <xf numFmtId="181" fontId="11" fillId="0" borderId="13" xfId="42" applyNumberFormat="1" applyFont="1" applyFill="1" applyBorder="1"/>
    <xf numFmtId="181" fontId="11" fillId="0" borderId="0" xfId="42" applyNumberFormat="1" applyFont="1" applyFill="1"/>
    <xf numFmtId="181" fontId="7" fillId="0" borderId="11" xfId="42" applyNumberFormat="1" applyFont="1" applyBorder="1"/>
    <xf numFmtId="164" fontId="11" fillId="0" borderId="0" xfId="434" applyNumberFormat="1" applyFont="1" applyFill="1" applyBorder="1"/>
    <xf numFmtId="190" fontId="8" fillId="0" borderId="0" xfId="74" applyNumberFormat="1" applyFont="1" applyFill="1" applyBorder="1"/>
    <xf numFmtId="169" fontId="125" fillId="0" borderId="0" xfId="434" applyNumberFormat="1" applyFont="1" applyFill="1" applyBorder="1"/>
    <xf numFmtId="164" fontId="125" fillId="0" borderId="0" xfId="434" applyNumberFormat="1" applyFont="1" applyFill="1" applyBorder="1"/>
    <xf numFmtId="0" fontId="6" fillId="0" borderId="23" xfId="1" applyNumberFormat="1" applyFont="1" applyFill="1" applyBorder="1" applyAlignment="1">
      <alignment horizontal="left"/>
    </xf>
    <xf numFmtId="185" fontId="6" fillId="0" borderId="18" xfId="1" applyNumberFormat="1" applyFont="1" applyFill="1" applyBorder="1"/>
    <xf numFmtId="185" fontId="6" fillId="0" borderId="13" xfId="1" applyNumberFormat="1" applyFont="1" applyFill="1" applyBorder="1"/>
    <xf numFmtId="185" fontId="6" fillId="0" borderId="23" xfId="1" applyNumberFormat="1" applyFont="1" applyFill="1" applyBorder="1"/>
    <xf numFmtId="185" fontId="0" fillId="0" borderId="0" xfId="0" applyNumberFormat="1" applyBorder="1"/>
    <xf numFmtId="185" fontId="38" fillId="0" borderId="0" xfId="0" applyNumberFormat="1" applyFont="1" applyBorder="1"/>
    <xf numFmtId="1" fontId="9" fillId="26" borderId="40" xfId="67" applyNumberFormat="1" applyFont="1" applyFill="1" applyBorder="1" applyAlignment="1">
      <alignment horizontal="right"/>
    </xf>
    <xf numFmtId="43" fontId="100" fillId="28" borderId="0" xfId="42" applyFont="1" applyFill="1" applyBorder="1"/>
    <xf numFmtId="0" fontId="22" fillId="27" borderId="8" xfId="0" applyFont="1" applyFill="1" applyBorder="1"/>
    <xf numFmtId="43" fontId="100" fillId="28" borderId="16" xfId="42" applyNumberFormat="1" applyFont="1" applyFill="1" applyBorder="1"/>
    <xf numFmtId="43" fontId="103" fillId="28" borderId="0" xfId="42" applyFont="1" applyFill="1" applyBorder="1"/>
    <xf numFmtId="188" fontId="31" fillId="28" borderId="16" xfId="42" applyNumberFormat="1" applyFont="1" applyFill="1" applyBorder="1"/>
    <xf numFmtId="190" fontId="31" fillId="28" borderId="16" xfId="42" applyNumberFormat="1" applyFont="1" applyFill="1" applyBorder="1"/>
    <xf numFmtId="168" fontId="102" fillId="28" borderId="16" xfId="43" applyNumberFormat="1" applyFont="1" applyFill="1" applyBorder="1"/>
    <xf numFmtId="183" fontId="69" fillId="27" borderId="18" xfId="0" applyNumberFormat="1" applyFont="1" applyFill="1" applyBorder="1"/>
    <xf numFmtId="3" fontId="100" fillId="28" borderId="0" xfId="0" applyNumberFormat="1" applyFont="1" applyFill="1" applyBorder="1"/>
    <xf numFmtId="3" fontId="0" fillId="28" borderId="0" xfId="0" applyNumberFormat="1" applyFill="1" applyBorder="1"/>
    <xf numFmtId="168" fontId="0" fillId="28" borderId="0" xfId="0" applyNumberFormat="1" applyFill="1" applyBorder="1"/>
    <xf numFmtId="7" fontId="100" fillId="28" borderId="0" xfId="0" applyNumberFormat="1" applyFont="1" applyFill="1" applyBorder="1"/>
    <xf numFmtId="7" fontId="103" fillId="28" borderId="0" xfId="0" applyNumberFormat="1" applyFont="1" applyFill="1" applyBorder="1"/>
    <xf numFmtId="7" fontId="0" fillId="28" borderId="0" xfId="0" applyNumberFormat="1" applyFill="1" applyBorder="1"/>
    <xf numFmtId="184" fontId="31" fillId="27" borderId="0" xfId="46" applyNumberFormat="1" applyFont="1" applyFill="1" applyBorder="1"/>
    <xf numFmtId="185" fontId="13" fillId="0" borderId="8" xfId="1" applyNumberFormat="1" applyFont="1" applyFill="1" applyBorder="1"/>
    <xf numFmtId="185" fontId="13" fillId="0" borderId="14" xfId="1" applyNumberFormat="1" applyFont="1" applyFill="1" applyBorder="1"/>
    <xf numFmtId="173" fontId="6" fillId="27" borderId="0" xfId="66" applyNumberFormat="1" applyFont="1" applyFill="1" applyBorder="1"/>
    <xf numFmtId="185" fontId="13" fillId="0" borderId="16" xfId="1" applyNumberFormat="1" applyFont="1" applyFill="1" applyBorder="1"/>
    <xf numFmtId="168" fontId="0" fillId="27" borderId="17" xfId="74" applyNumberFormat="1" applyFont="1" applyFill="1" applyBorder="1"/>
    <xf numFmtId="1" fontId="9" fillId="26" borderId="19" xfId="67" applyNumberFormat="1" applyFont="1" applyFill="1" applyBorder="1" applyAlignment="1">
      <alignment horizontal="right"/>
    </xf>
    <xf numFmtId="1" fontId="9" fillId="26" borderId="11" xfId="67" applyNumberFormat="1" applyFont="1" applyFill="1" applyBorder="1" applyAlignment="1">
      <alignment horizontal="right"/>
    </xf>
    <xf numFmtId="1" fontId="9" fillId="26" borderId="20" xfId="67" applyNumberFormat="1" applyFont="1" applyFill="1" applyBorder="1" applyAlignment="1">
      <alignment horizontal="right"/>
    </xf>
    <xf numFmtId="164" fontId="6" fillId="27" borderId="0" xfId="66" applyNumberFormat="1" applyFont="1" applyFill="1" applyBorder="1"/>
    <xf numFmtId="164" fontId="6" fillId="27" borderId="15" xfId="66" applyNumberFormat="1" applyFont="1" applyFill="1" applyBorder="1"/>
    <xf numFmtId="164" fontId="6" fillId="27" borderId="16" xfId="66" applyNumberFormat="1" applyFont="1" applyFill="1" applyBorder="1"/>
    <xf numFmtId="164" fontId="6" fillId="27" borderId="17" xfId="66" applyNumberFormat="1" applyFont="1" applyFill="1" applyBorder="1"/>
    <xf numFmtId="164" fontId="6" fillId="27" borderId="13" xfId="66" applyNumberFormat="1" applyFont="1" applyFill="1" applyBorder="1"/>
    <xf numFmtId="164" fontId="6" fillId="27" borderId="18" xfId="66" applyNumberFormat="1" applyFont="1" applyFill="1" applyBorder="1"/>
    <xf numFmtId="164" fontId="6" fillId="27" borderId="23" xfId="66" applyNumberFormat="1" applyFont="1" applyFill="1" applyBorder="1"/>
    <xf numFmtId="1" fontId="7" fillId="26" borderId="11" xfId="67" applyNumberFormat="1" applyFont="1" applyFill="1" applyBorder="1" applyAlignment="1">
      <alignment horizontal="right"/>
    </xf>
    <xf numFmtId="1" fontId="7" fillId="26" borderId="20" xfId="67" applyNumberFormat="1" applyFont="1" applyFill="1" applyBorder="1" applyAlignment="1">
      <alignment horizontal="right"/>
    </xf>
    <xf numFmtId="174" fontId="6" fillId="0" borderId="0" xfId="42" applyNumberFormat="1" applyFont="1" applyBorder="1"/>
    <xf numFmtId="174" fontId="6" fillId="0" borderId="17" xfId="42" applyNumberFormat="1" applyFont="1" applyBorder="1"/>
    <xf numFmtId="174" fontId="11" fillId="0" borderId="17" xfId="42" applyNumberFormat="1" applyFont="1" applyFill="1" applyBorder="1"/>
    <xf numFmtId="174" fontId="11" fillId="0" borderId="0" xfId="42" applyNumberFormat="1" applyFont="1" applyFill="1" applyBorder="1"/>
    <xf numFmtId="168" fontId="8" fillId="0" borderId="13" xfId="74" applyNumberFormat="1" applyFont="1" applyFill="1" applyBorder="1"/>
    <xf numFmtId="168" fontId="8" fillId="0" borderId="18" xfId="74" applyNumberFormat="1" applyFont="1" applyFill="1" applyBorder="1"/>
    <xf numFmtId="1" fontId="7" fillId="26" borderId="19" xfId="67" applyNumberFormat="1" applyFont="1" applyFill="1" applyBorder="1" applyAlignment="1">
      <alignment horizontal="right"/>
    </xf>
    <xf numFmtId="174" fontId="33" fillId="0" borderId="0" xfId="42" applyNumberFormat="1" applyFont="1" applyBorder="1"/>
    <xf numFmtId="174" fontId="33" fillId="0" borderId="17" xfId="42" applyNumberFormat="1" applyFont="1" applyBorder="1"/>
    <xf numFmtId="44" fontId="6" fillId="27" borderId="0" xfId="46" applyFont="1" applyFill="1" applyBorder="1"/>
    <xf numFmtId="185" fontId="6" fillId="27" borderId="0" xfId="66" applyNumberFormat="1" applyFont="1" applyFill="1" applyBorder="1"/>
    <xf numFmtId="185" fontId="6" fillId="27" borderId="17" xfId="66" applyNumberFormat="1" applyFont="1" applyFill="1" applyBorder="1"/>
    <xf numFmtId="185" fontId="6" fillId="27" borderId="16" xfId="66" applyNumberFormat="1" applyFont="1" applyFill="1" applyBorder="1"/>
    <xf numFmtId="44" fontId="6" fillId="27" borderId="17" xfId="46" applyFont="1" applyFill="1" applyBorder="1"/>
    <xf numFmtId="44" fontId="6" fillId="27" borderId="16" xfId="46" applyFont="1" applyFill="1" applyBorder="1"/>
    <xf numFmtId="181" fontId="6" fillId="27" borderId="0" xfId="42" applyNumberFormat="1" applyFont="1" applyFill="1" applyBorder="1"/>
    <xf numFmtId="181" fontId="6" fillId="27" borderId="17" xfId="42" applyNumberFormat="1" applyFont="1" applyFill="1" applyBorder="1"/>
    <xf numFmtId="181" fontId="6" fillId="27" borderId="16" xfId="42" applyNumberFormat="1" applyFont="1" applyFill="1" applyBorder="1"/>
    <xf numFmtId="164" fontId="34" fillId="27" borderId="0" xfId="66" applyNumberFormat="1" applyFont="1" applyFill="1" applyBorder="1"/>
    <xf numFmtId="164" fontId="34" fillId="27" borderId="17" xfId="66" applyNumberFormat="1" applyFont="1" applyFill="1" applyBorder="1"/>
    <xf numFmtId="164" fontId="34" fillId="27" borderId="16" xfId="66" applyNumberFormat="1" applyFont="1" applyFill="1" applyBorder="1"/>
    <xf numFmtId="168" fontId="6" fillId="0" borderId="0" xfId="74" applyNumberFormat="1" applyFont="1" applyBorder="1"/>
    <xf numFmtId="168" fontId="6" fillId="0" borderId="17" xfId="74" applyNumberFormat="1" applyFont="1" applyBorder="1"/>
    <xf numFmtId="168" fontId="6" fillId="27" borderId="0" xfId="46" applyNumberFormat="1" applyFont="1" applyFill="1" applyBorder="1"/>
    <xf numFmtId="168" fontId="6" fillId="27" borderId="17" xfId="46" applyNumberFormat="1" applyFont="1" applyFill="1" applyBorder="1"/>
    <xf numFmtId="168" fontId="6" fillId="27" borderId="16" xfId="46" applyNumberFormat="1" applyFont="1" applyFill="1" applyBorder="1"/>
    <xf numFmtId="164" fontId="6" fillId="27" borderId="8" xfId="66" applyNumberFormat="1" applyFont="1" applyFill="1" applyBorder="1"/>
    <xf numFmtId="164" fontId="6" fillId="27" borderId="14" xfId="66" applyNumberFormat="1" applyFont="1" applyFill="1" applyBorder="1"/>
    <xf numFmtId="173" fontId="6" fillId="27" borderId="17" xfId="66" applyNumberFormat="1" applyFont="1" applyFill="1" applyBorder="1"/>
    <xf numFmtId="183" fontId="100" fillId="27" borderId="0" xfId="444" applyNumberFormat="1" applyFont="1" applyFill="1" applyBorder="1"/>
    <xf numFmtId="183" fontId="100" fillId="27" borderId="17" xfId="444" applyNumberFormat="1" applyFont="1" applyFill="1" applyBorder="1"/>
    <xf numFmtId="0" fontId="1" fillId="27" borderId="15" xfId="0" applyFont="1" applyFill="1" applyBorder="1"/>
    <xf numFmtId="181" fontId="1" fillId="27" borderId="8" xfId="0" applyNumberFormat="1" applyFont="1" applyFill="1" applyBorder="1"/>
    <xf numFmtId="43" fontId="1" fillId="27" borderId="0" xfId="0" applyNumberFormat="1" applyFont="1" applyFill="1"/>
    <xf numFmtId="43" fontId="34" fillId="0" borderId="17" xfId="42" applyFont="1" applyBorder="1"/>
    <xf numFmtId="0" fontId="24" fillId="0" borderId="17" xfId="1" applyFont="1" applyBorder="1"/>
    <xf numFmtId="9" fontId="100" fillId="27" borderId="16" xfId="0" applyNumberFormat="1" applyFont="1" applyFill="1" applyBorder="1"/>
    <xf numFmtId="9" fontId="100" fillId="27" borderId="17" xfId="0" applyNumberFormat="1" applyFont="1" applyFill="1" applyBorder="1"/>
    <xf numFmtId="43" fontId="11" fillId="0" borderId="0" xfId="42" applyFont="1" applyFill="1" applyBorder="1"/>
    <xf numFmtId="9" fontId="0" fillId="27" borderId="0" xfId="74" applyNumberFormat="1" applyFont="1" applyFill="1" applyBorder="1"/>
    <xf numFmtId="177" fontId="126" fillId="0" borderId="17" xfId="1" applyNumberFormat="1" applyFont="1" applyFill="1" applyBorder="1"/>
    <xf numFmtId="174" fontId="126" fillId="0" borderId="17" xfId="42" applyNumberFormat="1" applyFont="1" applyBorder="1"/>
    <xf numFmtId="190" fontId="101" fillId="27" borderId="16" xfId="0" applyNumberFormat="1" applyFont="1" applyFill="1" applyBorder="1"/>
    <xf numFmtId="190" fontId="101" fillId="28" borderId="16" xfId="0" applyNumberFormat="1" applyFont="1" applyFill="1" applyBorder="1"/>
    <xf numFmtId="168" fontId="101" fillId="28" borderId="16" xfId="43" applyNumberFormat="1" applyFont="1" applyFill="1" applyBorder="1"/>
    <xf numFmtId="181" fontId="0" fillId="28" borderId="16" xfId="0" applyNumberFormat="1" applyFill="1" applyBorder="1"/>
    <xf numFmtId="43" fontId="103" fillId="28" borderId="16" xfId="42" applyFont="1" applyFill="1" applyBorder="1"/>
    <xf numFmtId="188" fontId="101" fillId="28" borderId="16" xfId="42" applyNumberFormat="1" applyFont="1" applyFill="1" applyBorder="1"/>
    <xf numFmtId="43" fontId="100" fillId="28" borderId="16" xfId="42" applyFont="1" applyFill="1" applyBorder="1"/>
    <xf numFmtId="182" fontId="103" fillId="28" borderId="16" xfId="0" applyNumberFormat="1" applyFont="1" applyFill="1" applyBorder="1"/>
    <xf numFmtId="168" fontId="101" fillId="27" borderId="0" xfId="74" applyNumberFormat="1" applyFont="1" applyFill="1" applyBorder="1"/>
    <xf numFmtId="181" fontId="1" fillId="27" borderId="14" xfId="0" applyNumberFormat="1" applyFont="1" applyFill="1" applyBorder="1"/>
    <xf numFmtId="3" fontId="100" fillId="27" borderId="16" xfId="0" applyNumberFormat="1" applyFont="1" applyFill="1" applyBorder="1"/>
    <xf numFmtId="183" fontId="69" fillId="27" borderId="17" xfId="0" applyNumberFormat="1" applyFont="1" applyFill="1" applyBorder="1"/>
    <xf numFmtId="181" fontId="100" fillId="28" borderId="17" xfId="42" applyNumberFormat="1" applyFont="1" applyFill="1" applyBorder="1"/>
    <xf numFmtId="186" fontId="1" fillId="0" borderId="0" xfId="46" applyNumberFormat="1" applyFont="1"/>
    <xf numFmtId="44" fontId="1" fillId="0" borderId="0" xfId="46" applyNumberFormat="1" applyFont="1"/>
    <xf numFmtId="188" fontId="58" fillId="28" borderId="0" xfId="0" applyNumberFormat="1" applyFont="1" applyFill="1" applyBorder="1"/>
    <xf numFmtId="168" fontId="58" fillId="28" borderId="0" xfId="0" applyNumberFormat="1" applyFont="1" applyFill="1" applyBorder="1"/>
    <xf numFmtId="181" fontId="0" fillId="28" borderId="14" xfId="42" applyNumberFormat="1" applyFont="1" applyFill="1" applyBorder="1"/>
    <xf numFmtId="189" fontId="0" fillId="28" borderId="16" xfId="0" applyNumberFormat="1" applyFill="1" applyBorder="1"/>
    <xf numFmtId="181" fontId="100" fillId="28" borderId="16" xfId="42" applyNumberFormat="1" applyFont="1" applyFill="1" applyBorder="1"/>
    <xf numFmtId="9" fontId="0" fillId="28" borderId="16" xfId="0" applyNumberFormat="1" applyFill="1" applyBorder="1"/>
    <xf numFmtId="185" fontId="6" fillId="0" borderId="17" xfId="1" applyNumberFormat="1" applyFont="1" applyBorder="1"/>
    <xf numFmtId="43" fontId="0" fillId="0" borderId="0" xfId="42" applyNumberFormat="1" applyFont="1"/>
    <xf numFmtId="0" fontId="0" fillId="0" borderId="0" xfId="0"/>
    <xf numFmtId="9" fontId="31" fillId="27" borderId="0" xfId="74" applyFont="1" applyFill="1"/>
    <xf numFmtId="0" fontId="0" fillId="0" borderId="0" xfId="0"/>
    <xf numFmtId="169" fontId="6" fillId="0" borderId="0" xfId="1" applyNumberFormat="1" applyFont="1" applyBorder="1"/>
    <xf numFmtId="169" fontId="105" fillId="0" borderId="0" xfId="1" applyNumberFormat="1" applyFont="1" applyBorder="1"/>
    <xf numFmtId="44" fontId="6" fillId="0" borderId="0" xfId="46" applyFont="1" applyBorder="1"/>
    <xf numFmtId="168" fontId="6" fillId="0" borderId="0" xfId="1" applyNumberFormat="1" applyFont="1" applyBorder="1"/>
    <xf numFmtId="0" fontId="42" fillId="0" borderId="0" xfId="0" applyFont="1" applyBorder="1"/>
    <xf numFmtId="185" fontId="38" fillId="0" borderId="0" xfId="0" applyNumberFormat="1" applyFont="1" applyFill="1" applyBorder="1"/>
    <xf numFmtId="0" fontId="61" fillId="0" borderId="0" xfId="0" applyFont="1" applyBorder="1"/>
    <xf numFmtId="164" fontId="6" fillId="0" borderId="21" xfId="1" applyNumberFormat="1" applyFont="1" applyFill="1" applyBorder="1" applyAlignment="1"/>
    <xf numFmtId="169" fontId="11" fillId="0" borderId="21" xfId="1" applyNumberFormat="1" applyFont="1" applyFill="1" applyBorder="1"/>
    <xf numFmtId="185" fontId="6" fillId="0" borderId="24" xfId="1" applyNumberFormat="1" applyFont="1" applyFill="1" applyBorder="1"/>
    <xf numFmtId="172" fontId="6" fillId="0" borderId="21" xfId="1" applyNumberFormat="1" applyFont="1" applyFill="1" applyBorder="1"/>
    <xf numFmtId="173" fontId="8" fillId="0" borderId="21" xfId="1" applyNumberFormat="1" applyFont="1" applyFill="1" applyBorder="1"/>
    <xf numFmtId="164" fontId="6" fillId="0" borderId="21" xfId="1" applyNumberFormat="1" applyFont="1" applyFill="1" applyBorder="1"/>
    <xf numFmtId="168" fontId="11" fillId="0" borderId="21" xfId="74" applyNumberFormat="1" applyFont="1" applyFill="1" applyBorder="1"/>
    <xf numFmtId="169" fontId="6" fillId="0" borderId="21" xfId="1" applyNumberFormat="1" applyFont="1" applyFill="1" applyBorder="1"/>
    <xf numFmtId="169" fontId="6" fillId="0" borderId="30" xfId="1" applyNumberFormat="1" applyFont="1" applyFill="1" applyBorder="1"/>
    <xf numFmtId="164" fontId="33" fillId="0" borderId="21" xfId="1" applyNumberFormat="1" applyFont="1" applyFill="1" applyBorder="1"/>
    <xf numFmtId="168" fontId="60" fillId="0" borderId="21" xfId="74" applyNumberFormat="1" applyFont="1" applyFill="1" applyBorder="1"/>
    <xf numFmtId="173" fontId="8" fillId="27" borderId="17" xfId="1" applyNumberFormat="1" applyFont="1" applyFill="1" applyBorder="1"/>
    <xf numFmtId="172" fontId="6" fillId="27" borderId="17" xfId="1" applyNumberFormat="1" applyFont="1" applyFill="1" applyBorder="1"/>
    <xf numFmtId="168" fontId="12" fillId="27" borderId="17" xfId="74" applyNumberFormat="1" applyFont="1" applyFill="1" applyBorder="1"/>
    <xf numFmtId="10" fontId="6" fillId="0" borderId="17" xfId="74" applyNumberFormat="1" applyFont="1" applyBorder="1"/>
    <xf numFmtId="0" fontId="0" fillId="0" borderId="0" xfId="0"/>
    <xf numFmtId="185" fontId="6" fillId="27" borderId="23" xfId="1" applyNumberFormat="1" applyFont="1" applyFill="1" applyBorder="1"/>
    <xf numFmtId="185" fontId="6" fillId="27" borderId="13" xfId="1" applyNumberFormat="1" applyFont="1" applyFill="1" applyBorder="1"/>
    <xf numFmtId="0" fontId="1" fillId="0" borderId="0" xfId="389"/>
    <xf numFmtId="0" fontId="0" fillId="0" borderId="0" xfId="0"/>
    <xf numFmtId="1" fontId="6" fillId="0" borderId="21" xfId="1" applyNumberFormat="1" applyFont="1" applyBorder="1"/>
    <xf numFmtId="1" fontId="9" fillId="26" borderId="18" xfId="67" applyNumberFormat="1" applyFont="1" applyFill="1" applyBorder="1" applyAlignment="1">
      <alignment horizontal="right"/>
    </xf>
    <xf numFmtId="174" fontId="20" fillId="0" borderId="17" xfId="42" applyNumberFormat="1" applyFont="1" applyFill="1" applyBorder="1"/>
    <xf numFmtId="0" fontId="11" fillId="0" borderId="11" xfId="1" applyFont="1" applyFill="1" applyBorder="1"/>
    <xf numFmtId="0" fontId="0" fillId="0" borderId="0" xfId="0"/>
    <xf numFmtId="164" fontId="127" fillId="0" borderId="16" xfId="1" applyNumberFormat="1" applyFont="1" applyFill="1" applyBorder="1" applyAlignment="1"/>
    <xf numFmtId="164" fontId="127" fillId="0" borderId="0" xfId="1" applyNumberFormat="1" applyFont="1" applyFill="1" applyBorder="1" applyAlignment="1"/>
    <xf numFmtId="164" fontId="127" fillId="0" borderId="17" xfId="1" applyNumberFormat="1" applyFont="1" applyFill="1" applyBorder="1" applyAlignment="1"/>
    <xf numFmtId="164" fontId="126" fillId="0" borderId="0" xfId="1" applyNumberFormat="1" applyFont="1" applyFill="1" applyBorder="1"/>
    <xf numFmtId="174" fontId="126" fillId="0" borderId="0" xfId="42" applyNumberFormat="1" applyFont="1" applyFill="1"/>
    <xf numFmtId="182" fontId="0" fillId="27" borderId="0" xfId="0" applyNumberFormat="1" applyFill="1" applyBorder="1"/>
    <xf numFmtId="183" fontId="1" fillId="27" borderId="0" xfId="0" applyNumberFormat="1" applyFont="1" applyFill="1" applyBorder="1"/>
    <xf numFmtId="183" fontId="1" fillId="27" borderId="17" xfId="0" applyNumberFormat="1" applyFont="1" applyFill="1" applyBorder="1"/>
    <xf numFmtId="168" fontId="11" fillId="0" borderId="16" xfId="74" applyNumberFormat="1" applyFont="1" applyFill="1" applyBorder="1" applyAlignment="1"/>
    <xf numFmtId="168" fontId="11" fillId="0" borderId="0" xfId="74" applyNumberFormat="1" applyFont="1" applyFill="1" applyBorder="1" applyAlignment="1"/>
    <xf numFmtId="0" fontId="0" fillId="0" borderId="0" xfId="0"/>
    <xf numFmtId="164" fontId="125" fillId="0" borderId="0" xfId="1" applyNumberFormat="1" applyFont="1" applyFill="1" applyBorder="1" applyAlignment="1"/>
    <xf numFmtId="0" fontId="12" fillId="0" borderId="0" xfId="74" applyNumberFormat="1" applyFont="1" applyFill="1" applyBorder="1" applyAlignment="1">
      <alignment horizontal="center"/>
    </xf>
    <xf numFmtId="169" fontId="6" fillId="0" borderId="0" xfId="434" applyNumberFormat="1" applyFont="1" applyFill="1" applyBorder="1"/>
    <xf numFmtId="177" fontId="125" fillId="0" borderId="0" xfId="1" applyNumberFormat="1" applyFont="1" applyFill="1" applyBorder="1"/>
    <xf numFmtId="177" fontId="126" fillId="0" borderId="0" xfId="1" applyNumberFormat="1" applyFont="1" applyFill="1" applyBorder="1"/>
    <xf numFmtId="174" fontId="126" fillId="0" borderId="0" xfId="42" applyNumberFormat="1" applyFont="1" applyBorder="1"/>
    <xf numFmtId="2" fontId="31" fillId="27" borderId="0" xfId="42" applyNumberFormat="1" applyFont="1" applyFill="1" applyBorder="1"/>
    <xf numFmtId="168" fontId="0" fillId="27" borderId="0" xfId="74" applyNumberFormat="1" applyFont="1" applyFill="1"/>
    <xf numFmtId="0" fontId="1" fillId="30" borderId="0" xfId="454" applyFont="1" applyFill="1" applyAlignment="1">
      <alignment vertical="top"/>
    </xf>
    <xf numFmtId="0" fontId="1" fillId="30" borderId="0" xfId="389" applyFill="1" applyAlignment="1">
      <alignment vertical="top"/>
    </xf>
    <xf numFmtId="0" fontId="1" fillId="30" borderId="0" xfId="389" applyFill="1"/>
    <xf numFmtId="0" fontId="6" fillId="30" borderId="0" xfId="454" applyFont="1" applyFill="1" applyAlignment="1">
      <alignment horizontal="left" vertical="top"/>
    </xf>
    <xf numFmtId="0" fontId="1" fillId="30" borderId="0" xfId="389" applyFont="1" applyFill="1" applyAlignment="1">
      <alignment vertical="top"/>
    </xf>
    <xf numFmtId="0" fontId="31" fillId="30" borderId="0" xfId="454" applyFont="1" applyFill="1" applyAlignment="1">
      <alignment vertical="top"/>
    </xf>
    <xf numFmtId="0" fontId="0" fillId="30" borderId="0" xfId="0" applyFill="1" applyAlignment="1">
      <alignment vertical="top"/>
    </xf>
    <xf numFmtId="0" fontId="103" fillId="30" borderId="0" xfId="0" applyFont="1" applyFill="1" applyAlignment="1">
      <alignment vertical="top"/>
    </xf>
    <xf numFmtId="0" fontId="129" fillId="30" borderId="0" xfId="0" applyFont="1" applyFill="1" applyAlignment="1">
      <alignment vertical="top"/>
    </xf>
    <xf numFmtId="0" fontId="103" fillId="30" borderId="41" xfId="0" applyFont="1" applyFill="1" applyBorder="1" applyAlignment="1">
      <alignment vertical="top"/>
    </xf>
    <xf numFmtId="9" fontId="103" fillId="30" borderId="41" xfId="0" applyNumberFormat="1" applyFont="1" applyFill="1" applyBorder="1" applyAlignment="1">
      <alignment vertical="top"/>
    </xf>
    <xf numFmtId="3" fontId="103" fillId="30" borderId="41" xfId="0" applyNumberFormat="1" applyFont="1" applyFill="1" applyBorder="1" applyAlignment="1">
      <alignment vertical="top"/>
    </xf>
    <xf numFmtId="2" fontId="1" fillId="0" borderId="0" xfId="389" applyNumberFormat="1" applyAlignment="1">
      <alignment horizontal="left"/>
    </xf>
    <xf numFmtId="0" fontId="1" fillId="0" borderId="0" xfId="389" applyNumberFormat="1" applyAlignment="1">
      <alignment horizontal="left"/>
    </xf>
    <xf numFmtId="1" fontId="1" fillId="0" borderId="0" xfId="389" applyNumberFormat="1" applyAlignment="1">
      <alignment horizontal="left"/>
    </xf>
    <xf numFmtId="0" fontId="1" fillId="0" borderId="0" xfId="389" applyFont="1"/>
    <xf numFmtId="197" fontId="1" fillId="0" borderId="0" xfId="389" applyNumberFormat="1" applyAlignment="1">
      <alignment horizontal="left"/>
    </xf>
    <xf numFmtId="49" fontId="1" fillId="0" borderId="0" xfId="389" applyNumberFormat="1"/>
    <xf numFmtId="0" fontId="0" fillId="30" borderId="44" xfId="0" applyFill="1" applyBorder="1" applyAlignment="1">
      <alignment vertical="top"/>
    </xf>
    <xf numFmtId="0" fontId="103" fillId="30" borderId="0" xfId="0" applyFont="1" applyFill="1" applyAlignment="1">
      <alignment vertical="top"/>
    </xf>
    <xf numFmtId="0" fontId="103" fillId="30" borderId="42" xfId="0" applyFont="1" applyFill="1" applyBorder="1" applyAlignment="1">
      <alignment vertical="top"/>
    </xf>
    <xf numFmtId="0" fontId="103" fillId="30" borderId="43" xfId="0" applyFont="1" applyFill="1" applyBorder="1" applyAlignment="1">
      <alignment vertical="top"/>
    </xf>
    <xf numFmtId="0" fontId="103" fillId="30" borderId="38" xfId="0" applyFont="1" applyFill="1" applyBorder="1" applyAlignment="1">
      <alignment vertical="top"/>
    </xf>
    <xf numFmtId="0" fontId="129" fillId="30" borderId="0" xfId="0" applyFont="1" applyFill="1" applyAlignment="1">
      <alignment vertical="top"/>
    </xf>
    <xf numFmtId="0" fontId="0" fillId="30" borderId="0" xfId="0" applyFill="1" applyAlignment="1">
      <alignment vertical="top"/>
    </xf>
    <xf numFmtId="0" fontId="0" fillId="30" borderId="36" xfId="0" applyFill="1" applyBorder="1" applyAlignment="1">
      <alignment vertical="top"/>
    </xf>
  </cellXfs>
  <cellStyles count="455">
    <cellStyle name=" 1" xfId="106"/>
    <cellStyle name=" 2" xfId="107"/>
    <cellStyle name=" 3" xfId="108"/>
    <cellStyle name=" 4" xfId="109"/>
    <cellStyle name=" 5" xfId="110"/>
    <cellStyle name=" 6" xfId="111"/>
    <cellStyle name=" 7" xfId="112"/>
    <cellStyle name="_x000a_386grabber=M" xfId="1"/>
    <cellStyle name="_x000a_386grabber=M 2" xfId="2"/>
    <cellStyle name="_x000a_386grabber=M 2 2" xfId="434"/>
    <cellStyle name="_x000a_386grabber=M 3" xfId="113"/>
    <cellStyle name="_x000a_386grabber=M 4" xfId="433"/>
    <cellStyle name="%" xfId="114"/>
    <cellStyle name="******************************************" xfId="115"/>
    <cellStyle name="?? [0]_96?? " xfId="116"/>
    <cellStyle name="??&amp;O?&amp;H?_x0008_??_x0007__x0001__x0001_" xfId="117"/>
    <cellStyle name="??_???? " xfId="118"/>
    <cellStyle name="?@疾_2332JT3_2313COP2 " xfId="119"/>
    <cellStyle name="?Q\?1@" xfId="120"/>
    <cellStyle name="_5346ms_Client" xfId="121"/>
    <cellStyle name="_By Technology, Market Share_Copy of Model2018_AAC_(WIP) " xfId="122"/>
    <cellStyle name="_Capex" xfId="123"/>
    <cellStyle name="_CDOC20051118005_1" xfId="3"/>
    <cellStyle name="_CDOC20051118005_2" xfId="4"/>
    <cellStyle name="_Chartered_Copy of Model2018_AAC_(WIP) " xfId="124"/>
    <cellStyle name="_Chartered_Ichia Model2402_Modelware_Copy of Model2018_AAC_(WIP) " xfId="125"/>
    <cellStyle name="_Chartered_Model_2402(New)_Modelware_Copy of Model2018_AAC_(WIP) " xfId="126"/>
    <cellStyle name="_Chartered_Model_3311(New)_Copy of Model2018_AAC_(WIP) " xfId="127"/>
    <cellStyle name="_Copy of Model2018_AAC_(WIP) " xfId="128"/>
    <cellStyle name="_DRAM" xfId="5"/>
    <cellStyle name="_DRAM 2" xfId="435"/>
    <cellStyle name="_GMT_070822" xfId="129"/>
    <cellStyle name="—_GS_Cash " xfId="130"/>
    <cellStyle name="_Ichia Model2402_Modelware_Copy of Model2018_AAC_(WIP) " xfId="131"/>
    <cellStyle name="_Inotera charts" xfId="132"/>
    <cellStyle name="_Inotera quaterly P&amp;L_20140402" xfId="133"/>
    <cellStyle name="_Model_2402(New)_Modelware_Copy of Model2018_AAC_(WIP) " xfId="134"/>
    <cellStyle name="_Model_3311(New)_Copy of Model2018_AAC_(WIP) " xfId="135"/>
    <cellStyle name="_ModelWare" xfId="136"/>
    <cellStyle name="_MW FDS" xfId="137"/>
    <cellStyle name="_MW FDS_5346ms" xfId="138"/>
    <cellStyle name="_MW FDS_5346ms_Frank_option" xfId="139"/>
    <cellStyle name="_MW FDS_Depreciation" xfId="140"/>
    <cellStyle name="_MW FDS_Earnings revision" xfId="141"/>
    <cellStyle name="_MWA RR" xfId="142"/>
    <cellStyle name="_MWA RR_5346ms" xfId="143"/>
    <cellStyle name="_MWA RR_5346ms_Frank_option" xfId="144"/>
    <cellStyle name="_MWA RR_Depreciation" xfId="145"/>
    <cellStyle name="_MWA RR_Earnings revision" xfId="146"/>
    <cellStyle name="_mwareDates" xfId="147"/>
    <cellStyle name="_Performance" xfId="148"/>
    <cellStyle name="_Performance_1" xfId="149"/>
    <cellStyle name="_Powerchip charts" xfId="150"/>
    <cellStyle name="_Production" xfId="151"/>
    <cellStyle name="_Raw Data" xfId="152"/>
    <cellStyle name="_RRS1" xfId="153"/>
    <cellStyle name="_RRS1_5346ms_Client" xfId="154"/>
    <cellStyle name="_RRS10" xfId="155"/>
    <cellStyle name="_RRS11" xfId="156"/>
    <cellStyle name="_RRS12" xfId="157"/>
    <cellStyle name="_RRS14" xfId="158"/>
    <cellStyle name="_RRS16" xfId="159"/>
    <cellStyle name="_RRS17" xfId="160"/>
    <cellStyle name="_RRS21" xfId="161"/>
    <cellStyle name="_RRS25" xfId="162"/>
    <cellStyle name="_RRS3" xfId="163"/>
    <cellStyle name="_RRS33" xfId="164"/>
    <cellStyle name="_RRS38" xfId="165"/>
    <cellStyle name="_RRS5" xfId="166"/>
    <cellStyle name="_RRS7" xfId="167"/>
    <cellStyle name="_Sheet1" xfId="6"/>
    <cellStyle name="_Sheet1 2" xfId="436"/>
    <cellStyle name="_SUMMARY " xfId="7"/>
    <cellStyle name="_SUMMARY _5346ms" xfId="168"/>
    <cellStyle name="_SUMMARY _5346ms_Client" xfId="169"/>
    <cellStyle name="_SUMMARY _5346ms_Frank_option" xfId="170"/>
    <cellStyle name="_SUMMARY _Depreciation" xfId="171"/>
    <cellStyle name="_SUMMARY _Earnings revision" xfId="172"/>
    <cellStyle name="_SUMMARY _Inotera charts" xfId="173"/>
    <cellStyle name="_SUMMARY _Inotera quaterly P&amp;L_20140402" xfId="174"/>
    <cellStyle name="_SUMMARY _ModelWare" xfId="175"/>
    <cellStyle name="_SUMMARY _mwareDates" xfId="176"/>
    <cellStyle name="_SUMMARY _Production" xfId="177"/>
    <cellStyle name="_SUMMARY _RRST1" xfId="178"/>
    <cellStyle name="_SUMMARY _RRST1_1" xfId="179"/>
    <cellStyle name="_SUMMARY _RRST1_2" xfId="180"/>
    <cellStyle name="_SUMMARY _RRST3" xfId="181"/>
    <cellStyle name="_SUMMARY _RRST4" xfId="182"/>
    <cellStyle name="_SUMMARY _RRST7" xfId="183"/>
    <cellStyle name="_Supply Summary_MS_Base" xfId="184"/>
    <cellStyle name="_Template Stats" xfId="8"/>
    <cellStyle name="_US GAAP_Copy of Model2018_AAC_(WIP) " xfId="185"/>
    <cellStyle name="_Wireline Tel Forecast " xfId="9"/>
    <cellStyle name="_Wireline Tel Forecast  2" xfId="437"/>
    <cellStyle name="=C:\WINNT35\SYSTEM32\COMMAND.COM" xfId="186"/>
    <cellStyle name="§Q\?1@" xfId="187"/>
    <cellStyle name="W_Jun98" xfId="10"/>
    <cellStyle name="0_Capex &amp; Depreciation " xfId="11"/>
    <cellStyle name="0_Capex &amp; Depreciation _5346ms" xfId="188"/>
    <cellStyle name="0_Capex &amp; Depreciation _5346ms_Client" xfId="189"/>
    <cellStyle name="0_Capex &amp; Depreciation _5346ms_Frank_option" xfId="190"/>
    <cellStyle name="0_Capex &amp; Depreciation _Depreciation" xfId="191"/>
    <cellStyle name="0_Capex &amp; Depreciation _Earnings revision" xfId="192"/>
    <cellStyle name="0_Capex &amp; Depreciation _RRST1" xfId="193"/>
    <cellStyle name="0_Capex &amp; Depreciation _RRST1_1" xfId="194"/>
    <cellStyle name="0_Capex &amp; Depreciation _RRST3" xfId="195"/>
    <cellStyle name="0_Capex &amp; Depreciation _RRST4" xfId="196"/>
    <cellStyle name="0_Capex &amp; Depreciation _RRST7" xfId="197"/>
    <cellStyle name="0_Copy of Model2018_AAC_(WIP) " xfId="198"/>
    <cellStyle name="0_Handset component data_Copy of Model2018_AAC_(WIP) " xfId="199"/>
    <cellStyle name="0_Valuing BP " xfId="12"/>
    <cellStyle name="0_Valuing BP _5346ms" xfId="200"/>
    <cellStyle name="0_Valuing BP _5346ms_Client" xfId="201"/>
    <cellStyle name="0_Valuing BP _5346ms_Frank_option" xfId="202"/>
    <cellStyle name="0_Valuing BP _Depreciation" xfId="203"/>
    <cellStyle name="0_Valuing BP _Earnings revision" xfId="204"/>
    <cellStyle name="0_Valuing BP _RRST1" xfId="205"/>
    <cellStyle name="0_Valuing BP _RRST1_1" xfId="206"/>
    <cellStyle name="0_Valuing BP _RRST3" xfId="207"/>
    <cellStyle name="0_Valuing BP _RRST4" xfId="208"/>
    <cellStyle name="0_Valuing BP _RRST7" xfId="209"/>
    <cellStyle name="0_Vendor revenues_Copy of Model2018_AAC_(WIP) " xfId="210"/>
    <cellStyle name="0_Wireline Tel Forecast " xfId="13"/>
    <cellStyle name="¹eºÐA²_AIAIC°AuCoE² " xfId="211"/>
    <cellStyle name="20% - Accent1 2" xfId="14"/>
    <cellStyle name="20% - Accent2 2" xfId="15"/>
    <cellStyle name="20% - Accent3 2" xfId="16"/>
    <cellStyle name="20% - Accent4 2" xfId="17"/>
    <cellStyle name="20% - Accent5 2" xfId="18"/>
    <cellStyle name="20% - Accent6 2" xfId="19"/>
    <cellStyle name="40% - Accent1 2" xfId="20"/>
    <cellStyle name="40% - Accent2 2" xfId="21"/>
    <cellStyle name="40% - Accent3 2" xfId="22"/>
    <cellStyle name="40% - Accent4 2" xfId="23"/>
    <cellStyle name="40% - Accent5 2" xfId="24"/>
    <cellStyle name="40% - Accent6 2" xfId="25"/>
    <cellStyle name="60% - Accent1 2" xfId="26"/>
    <cellStyle name="60% - Accent2 2" xfId="27"/>
    <cellStyle name="60% - Accent3 2" xfId="28"/>
    <cellStyle name="60% - Accent4 2" xfId="29"/>
    <cellStyle name="60% - Accent5 2" xfId="30"/>
    <cellStyle name="60% - Accent6 2" xfId="31"/>
    <cellStyle name="A¨­￠￢￠O [0]_¨oCAuCoEⓒ÷ " xfId="212"/>
    <cellStyle name="A¨­￠￢￠O_¨oCAuCoEⓒ÷ " xfId="213"/>
    <cellStyle name="Accent1 2" xfId="32"/>
    <cellStyle name="Accent2 2" xfId="33"/>
    <cellStyle name="Accent3 2" xfId="34"/>
    <cellStyle name="Accent4 2" xfId="35"/>
    <cellStyle name="Accent5 2" xfId="36"/>
    <cellStyle name="Accent6 2" xfId="37"/>
    <cellStyle name="AeE­ [0]_¼oAa½CAu " xfId="214"/>
    <cellStyle name="ÅëÈ­ [0]_cover " xfId="215"/>
    <cellStyle name="AeE­ [0]_INQUIRY ¿μ¾÷AßAø " xfId="216"/>
    <cellStyle name="AeE­_¼oAa½CAu " xfId="217"/>
    <cellStyle name="ÅëÈ­_cover " xfId="218"/>
    <cellStyle name="AeE­_INQUIRY ¿μ¾÷AßAø " xfId="219"/>
    <cellStyle name="AeE¡ⓒ [0]_¨oCAuCoEⓒ÷ " xfId="220"/>
    <cellStyle name="AeE¡ⓒ_¨oCAuCoEⓒ÷ " xfId="221"/>
    <cellStyle name="AÞ¸¶ [0]_¼oAa½CAu " xfId="222"/>
    <cellStyle name="ÄÞ¸¶ [0]_cover " xfId="223"/>
    <cellStyle name="AÞ¸¶ [0]_INQUIRY ¿μ¾÷AßAø " xfId="224"/>
    <cellStyle name="AÞ¸¶_¼oAa½CAu " xfId="225"/>
    <cellStyle name="ÄÞ¸¶_cover " xfId="226"/>
    <cellStyle name="AÞ¸¶_INQUIRY ¿μ¾÷AßAø " xfId="227"/>
    <cellStyle name="_x0001_b" xfId="228"/>
    <cellStyle name="Bad 2" xfId="38"/>
    <cellStyle name="c_HardInc " xfId="39"/>
    <cellStyle name="c_HardInc _RRST1" xfId="229"/>
    <cellStyle name="c_HardInc _RRST1_1" xfId="230"/>
    <cellStyle name="c_HardInc _RRST1_2" xfId="231"/>
    <cellStyle name="c_HardInc _RRST3" xfId="232"/>
    <cellStyle name="c_HardInc _RRST4" xfId="233"/>
    <cellStyle name="c_HardInc _RRST7" xfId="234"/>
    <cellStyle name="C¡IA¨ª_¡ic¨u¡A¨￢I¨￢¡Æ AN¡Æe " xfId="235"/>
    <cellStyle name="C￥AØ_  FAB AIA¤  " xfId="236"/>
    <cellStyle name="Ç¥ÁØ_»ç¾÷ºÎº° ÃÑ°è " xfId="237"/>
    <cellStyle name="C￥AØ_≫c¾÷ºIº° AN°e " xfId="238"/>
    <cellStyle name="Ç¥ÁØ_0N-HANDLING " xfId="239"/>
    <cellStyle name="C￥AØ_¼±AoAc°i_1_³≫ºI°eE¹´e AßA¤A÷AI " xfId="240"/>
    <cellStyle name="Ç¥ÁØ_5-1±¤°í " xfId="241"/>
    <cellStyle name="C￥AØ_5-1±¤°i _6RCB1 " xfId="242"/>
    <cellStyle name="Ç¥ÁØ_Áý°èÇ¥(2¿ù) " xfId="243"/>
    <cellStyle name="C￥AØ_CoAo¹yAI °A¾×¿ⓒ½A " xfId="244"/>
    <cellStyle name="Ç¥ÁØ_cover " xfId="245"/>
    <cellStyle name="Calculation 2" xfId="40"/>
    <cellStyle name="Check Cell 2" xfId="41"/>
    <cellStyle name="Comma" xfId="42" builtinId="3"/>
    <cellStyle name="Comma [1]" xfId="246"/>
    <cellStyle name="Comma 10" xfId="451"/>
    <cellStyle name="Comma 2" xfId="43"/>
    <cellStyle name="Comma 2 2" xfId="247"/>
    <cellStyle name="Comma 3" xfId="44"/>
    <cellStyle name="Comma 3 2" xfId="438"/>
    <cellStyle name="Comma 4" xfId="45"/>
    <cellStyle name="Cur" xfId="248"/>
    <cellStyle name="Currency" xfId="46" builtinId="4"/>
    <cellStyle name="Currency [1]" xfId="249"/>
    <cellStyle name="Currency 10" xfId="453"/>
    <cellStyle name="Currency 2" xfId="47"/>
    <cellStyle name="Currency 2 2" xfId="250"/>
    <cellStyle name="Currency 3" xfId="48"/>
    <cellStyle name="Currency 3 2" xfId="251"/>
    <cellStyle name="Currency 4" xfId="49"/>
    <cellStyle name="Explanatory Text 2" xfId="50"/>
    <cellStyle name="Good 2" xfId="51"/>
    <cellStyle name="Grey" xfId="252"/>
    <cellStyle name="Header_FT Valuation " xfId="52"/>
    <cellStyle name="Header1" xfId="253"/>
    <cellStyle name="Header2" xfId="254"/>
    <cellStyle name="Heading 1 2" xfId="53"/>
    <cellStyle name="Heading 2 2" xfId="54"/>
    <cellStyle name="Heading 3 2" xfId="55"/>
    <cellStyle name="Heading 4 2" xfId="56"/>
    <cellStyle name="Hyperlink 2" xfId="57"/>
    <cellStyle name="Input [yellow]" xfId="255"/>
    <cellStyle name="Input 2" xfId="58"/>
    <cellStyle name="Linked Cell 2" xfId="59"/>
    <cellStyle name="Neutral 2" xfId="60"/>
    <cellStyle name="no dec" xfId="256"/>
    <cellStyle name="Normal" xfId="0" builtinId="0"/>
    <cellStyle name="Normal - Style1" xfId="257"/>
    <cellStyle name="Normal 10" xfId="389"/>
    <cellStyle name="Normal 11" xfId="390"/>
    <cellStyle name="Normal 12" xfId="391"/>
    <cellStyle name="Normal 13" xfId="392"/>
    <cellStyle name="Normal 14" xfId="393"/>
    <cellStyle name="Normal 15" xfId="394"/>
    <cellStyle name="Normal 16" xfId="395"/>
    <cellStyle name="Normal 17" xfId="396"/>
    <cellStyle name="Normal 18" xfId="397"/>
    <cellStyle name="Normal 19" xfId="398"/>
    <cellStyle name="Normal 2" xfId="61"/>
    <cellStyle name="Normal 2 2" xfId="258"/>
    <cellStyle name="Normal 2 3" xfId="439"/>
    <cellStyle name="Normal 20" xfId="399"/>
    <cellStyle name="Normal 21" xfId="400"/>
    <cellStyle name="Normal 22" xfId="401"/>
    <cellStyle name="Normal 23" xfId="402"/>
    <cellStyle name="Normal 24" xfId="403"/>
    <cellStyle name="Normal 25" xfId="404"/>
    <cellStyle name="Normal 26" xfId="405"/>
    <cellStyle name="Normal 27" xfId="406"/>
    <cellStyle name="Normal 28" xfId="407"/>
    <cellStyle name="Normal 29" xfId="408"/>
    <cellStyle name="Normal 3" xfId="62"/>
    <cellStyle name="Normal 3 2" xfId="259"/>
    <cellStyle name="Normal 30" xfId="409"/>
    <cellStyle name="Normal 31" xfId="410"/>
    <cellStyle name="Normal 32" xfId="411"/>
    <cellStyle name="Normal 33" xfId="412"/>
    <cellStyle name="Normal 34" xfId="413"/>
    <cellStyle name="Normal 35" xfId="414"/>
    <cellStyle name="Normal 36" xfId="415"/>
    <cellStyle name="Normal 37" xfId="416"/>
    <cellStyle name="Normal 38" xfId="417"/>
    <cellStyle name="Normal 39" xfId="418"/>
    <cellStyle name="Normal 4" xfId="63"/>
    <cellStyle name="Normal 4 2" xfId="260"/>
    <cellStyle name="Normal 4 3" xfId="440"/>
    <cellStyle name="Normal 40" xfId="419"/>
    <cellStyle name="Normal 41" xfId="387"/>
    <cellStyle name="Normal 42" xfId="420"/>
    <cellStyle name="Normal 43" xfId="421"/>
    <cellStyle name="Normal 44" xfId="422"/>
    <cellStyle name="Normal 45" xfId="423"/>
    <cellStyle name="Normal 46" xfId="424"/>
    <cellStyle name="Normal 47" xfId="425"/>
    <cellStyle name="Normal 48" xfId="426"/>
    <cellStyle name="Normal 49" xfId="427"/>
    <cellStyle name="Normal 5" xfId="64"/>
    <cellStyle name="Normal 5 2" xfId="261"/>
    <cellStyle name="Normal 50" xfId="428"/>
    <cellStyle name="Normal 51" xfId="429"/>
    <cellStyle name="Normal 52" xfId="430"/>
    <cellStyle name="Normal 53" xfId="386"/>
    <cellStyle name="Normal 54" xfId="431"/>
    <cellStyle name="Normal 55" xfId="432"/>
    <cellStyle name="Normal 56" xfId="442"/>
    <cellStyle name="Normal 57" xfId="443"/>
    <cellStyle name="Normal 58" xfId="445"/>
    <cellStyle name="Normal 59" xfId="444"/>
    <cellStyle name="Normal 6" xfId="65"/>
    <cellStyle name="Normal 60" xfId="446"/>
    <cellStyle name="Normal 61" xfId="448"/>
    <cellStyle name="Normal 62" xfId="449"/>
    <cellStyle name="Normal 63" xfId="447"/>
    <cellStyle name="Normal 64" xfId="450"/>
    <cellStyle name="Normal 7" xfId="105"/>
    <cellStyle name="Normal 8" xfId="279"/>
    <cellStyle name="Normal 9" xfId="388"/>
    <cellStyle name="Normal_AMCCBLSH" xfId="66"/>
    <cellStyle name="Normal_Book3" xfId="67"/>
    <cellStyle name="Normal_DisclaimerSheet Samples" xfId="454"/>
    <cellStyle name="Normal_intc(1).o" xfId="68"/>
    <cellStyle name="Note 2" xfId="69"/>
    <cellStyle name="Number" xfId="70"/>
    <cellStyle name="Onedec_FT Valuation " xfId="71"/>
    <cellStyle name="Output 2" xfId="72"/>
    <cellStyle name="p " xfId="73"/>
    <cellStyle name="Percent" xfId="74" builtinId="5"/>
    <cellStyle name="Percent [2]" xfId="262"/>
    <cellStyle name="Percent 10 3" xfId="452"/>
    <cellStyle name="Percent 2" xfId="75"/>
    <cellStyle name="Percent 2 2" xfId="263"/>
    <cellStyle name="Percent 3" xfId="76"/>
    <cellStyle name="Percent 3 2" xfId="264"/>
    <cellStyle name="Percent 4" xfId="77"/>
    <cellStyle name="Ref Numbers" xfId="78"/>
    <cellStyle name="RRSInstruction" xfId="79"/>
    <cellStyle name="RRSInstruction 2" xfId="266"/>
    <cellStyle name="RRSInstruction 3" xfId="265"/>
    <cellStyle name="s_DCFLBO Code_Wireline Tel Forecast " xfId="80"/>
    <cellStyle name="s_HardInc " xfId="81"/>
    <cellStyle name="s_HardInc _RRST1" xfId="267"/>
    <cellStyle name="s_HardInc _RRST1_1" xfId="268"/>
    <cellStyle name="s_HardInc _RRST1_2" xfId="269"/>
    <cellStyle name="s_HardInc _RRST3" xfId="270"/>
    <cellStyle name="s_HardInc _RRST4" xfId="271"/>
    <cellStyle name="s_HardInc _RRST7" xfId="272"/>
    <cellStyle name="s_Valuation " xfId="82"/>
    <cellStyle name="s_Valuation _RRST1" xfId="273"/>
    <cellStyle name="s_Valuation _RRST1_1" xfId="274"/>
    <cellStyle name="s_Valuation _RRST1_2" xfId="275"/>
    <cellStyle name="s_Valuation _RRST3" xfId="276"/>
    <cellStyle name="s_Valuation _RRST4" xfId="277"/>
    <cellStyle name="s_Valuation _RRST7" xfId="278"/>
    <cellStyle name="Source Line" xfId="83"/>
    <cellStyle name="ssp " xfId="84"/>
    <cellStyle name="Style 1" xfId="85"/>
    <cellStyle name="Style 1 2" xfId="86"/>
    <cellStyle name="Style 1 2 2" xfId="441"/>
    <cellStyle name="Style 10" xfId="280"/>
    <cellStyle name="Style 11" xfId="281"/>
    <cellStyle name="Style 12" xfId="282"/>
    <cellStyle name="Style 13" xfId="283"/>
    <cellStyle name="Style 14" xfId="284"/>
    <cellStyle name="Style 15" xfId="285"/>
    <cellStyle name="Style 16" xfId="286"/>
    <cellStyle name="Style 17" xfId="287"/>
    <cellStyle name="Style 18" xfId="288"/>
    <cellStyle name="Style 19" xfId="289"/>
    <cellStyle name="Style 2" xfId="290"/>
    <cellStyle name="Style 20" xfId="291"/>
    <cellStyle name="Style 21" xfId="292"/>
    <cellStyle name="Style 22" xfId="293"/>
    <cellStyle name="Style 23" xfId="294"/>
    <cellStyle name="Style 24" xfId="295"/>
    <cellStyle name="Style 25" xfId="296"/>
    <cellStyle name="Style 26" xfId="297"/>
    <cellStyle name="Style 27" xfId="298"/>
    <cellStyle name="Style 28" xfId="299"/>
    <cellStyle name="Style 29" xfId="300"/>
    <cellStyle name="Style 3" xfId="301"/>
    <cellStyle name="Style 30" xfId="302"/>
    <cellStyle name="Style 31" xfId="303"/>
    <cellStyle name="Style 32" xfId="304"/>
    <cellStyle name="Style 33" xfId="305"/>
    <cellStyle name="Style 34" xfId="306"/>
    <cellStyle name="Style 35" xfId="307"/>
    <cellStyle name="Style 36" xfId="308"/>
    <cellStyle name="Style 37" xfId="309"/>
    <cellStyle name="Style 38" xfId="310"/>
    <cellStyle name="Style 39" xfId="311"/>
    <cellStyle name="Style 4" xfId="312"/>
    <cellStyle name="Style 40" xfId="313"/>
    <cellStyle name="Style 41" xfId="314"/>
    <cellStyle name="Style 42" xfId="315"/>
    <cellStyle name="Style 43" xfId="316"/>
    <cellStyle name="Style 44" xfId="317"/>
    <cellStyle name="Style 45" xfId="318"/>
    <cellStyle name="Style 46" xfId="319"/>
    <cellStyle name="Style 47" xfId="320"/>
    <cellStyle name="Style 48" xfId="321"/>
    <cellStyle name="Style 49" xfId="322"/>
    <cellStyle name="Style 5" xfId="323"/>
    <cellStyle name="Style 50" xfId="324"/>
    <cellStyle name="Style 51" xfId="325"/>
    <cellStyle name="Style 52" xfId="326"/>
    <cellStyle name="Style 53" xfId="327"/>
    <cellStyle name="Style 54" xfId="328"/>
    <cellStyle name="Style 55" xfId="329"/>
    <cellStyle name="Style 56" xfId="330"/>
    <cellStyle name="Style 57" xfId="331"/>
    <cellStyle name="Style 58" xfId="332"/>
    <cellStyle name="Style 59" xfId="333"/>
    <cellStyle name="Style 6" xfId="334"/>
    <cellStyle name="Style 60" xfId="335"/>
    <cellStyle name="Style 61" xfId="336"/>
    <cellStyle name="Style 62" xfId="337"/>
    <cellStyle name="Style 63" xfId="338"/>
    <cellStyle name="Style 64" xfId="339"/>
    <cellStyle name="Style 65" xfId="340"/>
    <cellStyle name="Style 66" xfId="341"/>
    <cellStyle name="Style 67" xfId="342"/>
    <cellStyle name="Style 68" xfId="343"/>
    <cellStyle name="Style 69" xfId="344"/>
    <cellStyle name="Style 7" xfId="345"/>
    <cellStyle name="Style 70" xfId="346"/>
    <cellStyle name="Style 71" xfId="347"/>
    <cellStyle name="Style 72" xfId="348"/>
    <cellStyle name="Style 73" xfId="349"/>
    <cellStyle name="Style 74" xfId="350"/>
    <cellStyle name="Style 75" xfId="351"/>
    <cellStyle name="Style 76" xfId="352"/>
    <cellStyle name="Style 77" xfId="353"/>
    <cellStyle name="Style 78" xfId="354"/>
    <cellStyle name="Style 79" xfId="355"/>
    <cellStyle name="Style 8" xfId="356"/>
    <cellStyle name="Style 80" xfId="357"/>
    <cellStyle name="Style 81" xfId="358"/>
    <cellStyle name="Style 82" xfId="359"/>
    <cellStyle name="Style 83" xfId="360"/>
    <cellStyle name="Style 84" xfId="361"/>
    <cellStyle name="Style 85" xfId="362"/>
    <cellStyle name="Style 86" xfId="363"/>
    <cellStyle name="Style 87" xfId="364"/>
    <cellStyle name="Style 88" xfId="365"/>
    <cellStyle name="Style 89" xfId="366"/>
    <cellStyle name="Style 9" xfId="367"/>
    <cellStyle name="Style 90" xfId="368"/>
    <cellStyle name="Style 91" xfId="369"/>
    <cellStyle name="Style 92" xfId="370"/>
    <cellStyle name="Style 93" xfId="371"/>
    <cellStyle name="Style 94" xfId="372"/>
    <cellStyle name="Style 95" xfId="373"/>
    <cellStyle name="Style 96" xfId="374"/>
    <cellStyle name="Style 97" xfId="375"/>
    <cellStyle name="Table Heading" xfId="87"/>
    <cellStyle name="Title 2" xfId="88"/>
    <cellStyle name="Title Line" xfId="89"/>
    <cellStyle name="Top Row" xfId="90"/>
    <cellStyle name="Total 2" xfId="91"/>
    <cellStyle name="Total Row" xfId="92"/>
    <cellStyle name="Warning Text 2" xfId="93"/>
    <cellStyle name="Year_FT Valuation " xfId="376"/>
    <cellStyle name="パーセント_QTBLNEW" xfId="94"/>
    <cellStyle name="뷭?_BOOKSHIP_실적현황 " xfId="377"/>
    <cellStyle name="쬞\?1@" xfId="378"/>
    <cellStyle name="콤마 [0]_   " xfId="379"/>
    <cellStyle name="콤마_   " xfId="380"/>
    <cellStyle name="표준_2000 NAND Supply side" xfId="95"/>
    <cellStyle name="하이퍼링크_000727 IMT-2000 시설투자물량(4210) 4FA고려 필요 " xfId="381"/>
    <cellStyle name="一般 2" xfId="96"/>
    <cellStyle name="一般 2 2" xfId="382"/>
    <cellStyle name="一般 6" xfId="97"/>
    <cellStyle name="一般 8" xfId="98"/>
    <cellStyle name="一般_2408ms_Web" xfId="383"/>
    <cellStyle name="千分位 6" xfId="99"/>
    <cellStyle name="千分位[0] 2" xfId="100"/>
    <cellStyle name="千分位[0]_Model_5346" xfId="384"/>
    <cellStyle name="標準_Jun98" xfId="101"/>
    <cellStyle name="樣式 1" xfId="102"/>
    <cellStyle name="百分比 5" xfId="103"/>
    <cellStyle name="貨幣_Model_5346" xfId="385"/>
    <cellStyle name="超連結_Index" xfId="10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2270AB"/>
      <color rgb="FF137CB1"/>
      <color rgb="FFFFFF00"/>
      <color rgb="FF0000FF"/>
      <color rgb="FFEAC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 t="s">
        <v xml:space="preserve">    Manual Calculation    </v>
        <stp/>
        <stp>df8b46d4-6147-400f-9e89-fd384d7500a1</stp>
        <tr r="CJ105" s="1"/>
      </tp>
      <tp t="s">
        <v xml:space="preserve">    Manual Calculation    </v>
        <stp/>
        <stp>234fafdd-0fa3-4821-9c73-7716bd0b79fd</stp>
        <tr r="DC8" s="1"/>
      </tp>
      <tp t="s">
        <v xml:space="preserve">    Manual Calculation    </v>
        <stp/>
        <stp>b4a3992d-4041-4de6-9252-831a352f653a</stp>
        <tr r="CL8" s="1"/>
      </tp>
      <tp t="s">
        <v xml:space="preserve">    Manual Calculation    </v>
        <stp/>
        <stp>b4e4285d-9430-40ce-b1c9-927a79f3d1e3</stp>
        <tr r="DY105" s="1"/>
      </tp>
      <tp t="s">
        <v xml:space="preserve">     $      0.86     </v>
        <stp/>
        <stp>5ff809cc-edfe-4dbd-a501-20ec81142f0d</stp>
        <tr r="CS105" s="1"/>
      </tp>
      <tp>
        <v>5957</v>
        <stp/>
        <stp>9d3979c2-1c29-4a42-aaac-55c9eb157a65</stp>
        <tr r="CQ8" s="1"/>
      </tp>
      <tp t="s">
        <v xml:space="preserve">    Manual Calculation    </v>
        <stp/>
        <stp>1f372fba-e467-45f9-b137-525c508c4db2</stp>
        <tr r="DX105" s="1"/>
      </tp>
      <tp>
        <v>7389</v>
        <stp/>
        <stp>33dcad36-4e98-45ea-a814-706be84d71b3</stp>
        <tr r="CU8" s="1"/>
      </tp>
      <tp t="s">
        <v xml:space="preserve">     $        8.96     </v>
        <stp/>
        <stp>b80d7042-2a8c-46aa-a94b-21980bec36f3</stp>
        <tr r="EC105" s="1"/>
      </tp>
      <tp t="s">
        <v xml:space="preserve">    Manual Calculation    </v>
        <stp/>
        <stp>77a4a255-1c44-4246-ba10-22dc79d913e5</stp>
        <tr r="EW105" s="1"/>
      </tp>
      <tp t="s">
        <v xml:space="preserve">    Manual Calculation    </v>
        <stp/>
        <stp>c5cd1592-19c8-4bc4-a002-e7631117380c</stp>
        <tr r="FA105" s="1"/>
      </tp>
      <tp t="s">
        <v xml:space="preserve">    Manual Calculation    </v>
        <stp/>
        <stp>518540d7-2510-43c3-ac5c-0b4bad4258c1</stp>
        <tr r="BY8" s="1"/>
      </tp>
      <tp t="s">
        <v xml:space="preserve">    Manual Calculation    </v>
        <stp/>
        <stp>11217e70-7356-403b-9df3-f2dfc8074fc2</stp>
        <tr r="CG8" s="1"/>
      </tp>
      <tp t="s">
        <v xml:space="preserve">    Manual Calculation    </v>
        <stp/>
        <stp>5a35f8ff-467f-47c7-a5fc-ce7646dc5dc7</stp>
        <tr r="CD8" s="1"/>
      </tp>
      <tp t="s">
        <v xml:space="preserve">    Manual Calculation    </v>
        <stp/>
        <stp>d8217e5f-a429-408b-a9a3-572f04cb17dd</stp>
        <tr r="CM8" s="1"/>
      </tp>
      <tp t="s">
        <v xml:space="preserve">    Manual Calculation    </v>
        <stp/>
        <stp>42d7b8da-186a-4ac3-b142-58fc09e511c2</stp>
        <tr r="CE105" s="1"/>
      </tp>
      <tp t="s">
        <v xml:space="preserve">     $      1.83     </v>
        <stp/>
        <stp>c8b8d328-d0fc-4aab-a942-01d6853d9092</stp>
        <tr r="CQ105" s="1"/>
      </tp>
      <tp t="s">
        <v xml:space="preserve">    Manual Calculation    </v>
        <stp/>
        <stp>009f71d0-802c-4eff-98aa-8d6a8e2960ac</stp>
        <tr r="BW105" s="1"/>
      </tp>
      <tp t="s">
        <v xml:space="preserve">    Manual Calculation    </v>
        <stp/>
        <stp>40292793-719f-4660-9bae-4c25e49be996</stp>
        <tr r="DU105" s="1"/>
      </tp>
      <tp t="s">
        <v xml:space="preserve">     $    0.86     </v>
        <stp/>
        <stp>e03bb9ef-2ca4-4d26-8f67-ab287bda84de</stp>
        <tr r="CO105" s="1"/>
      </tp>
      <tp>
        <v>7516</v>
        <stp/>
        <stp>336cec13-9828-4dc4-a157-e246ff68130a</stp>
        <tr r="CY8" s="1"/>
      </tp>
      <tp t="s">
        <v xml:space="preserve">     $     2.31     </v>
        <stp/>
        <stp>02b60692-be16-4e9d-ab16-fbae8c6492f1</stp>
        <tr r="CX105" s="1"/>
      </tp>
      <tp t="s">
        <v xml:space="preserve">     $      2.58     </v>
        <stp/>
        <stp>15f1153f-2942-4854-98fc-cea296f2e30f</stp>
        <tr r="CU105" s="1"/>
      </tp>
      <tp t="s">
        <v xml:space="preserve">    Manual Calculation    </v>
        <stp/>
        <stp>f1350ba6-a814-421b-a31f-6fb03b35dd1f</stp>
        <tr r="CF105" s="1"/>
      </tp>
      <tp t="s">
        <v xml:space="preserve">    Manual Calculation    </v>
        <stp/>
        <stp>6844686b-5fa3-4109-bf47-a9e420168020</stp>
        <tr r="CA105" s="1"/>
      </tp>
      <tp t="s">
        <v xml:space="preserve">    Manual Calculation    </v>
        <stp/>
        <stp>a1cf45a6-d3c9-4212-b619-6bbcc571464c</stp>
        <tr r="BX105" s="1"/>
      </tp>
      <tp t="s">
        <v xml:space="preserve">    Manual Calculation    </v>
        <stp/>
        <stp>156f52b2-19ab-484b-8678-d72fde7b93c7</stp>
        <tr r="CB8" s="1"/>
      </tp>
      <tp>
        <v>7298</v>
        <stp/>
        <stp>fe017637-7a4b-47e1-9a23-050d3fc1e7c1</stp>
        <tr r="CW8" s="1"/>
      </tp>
      <tp t="s">
        <v xml:space="preserve">    Manual Calculation    </v>
        <stp/>
        <stp>835660c9-801d-4f36-b5fc-5865e2c44b5a</stp>
        <tr r="BZ105" s="1"/>
      </tp>
      <tp t="s">
        <v xml:space="preserve">    Manual Calculation    </v>
        <stp/>
        <stp>15d2d21a-f072-4ce1-8f5b-aa029b90aeab</stp>
        <tr r="DV105" s="1"/>
      </tp>
      <tp t="s">
        <v xml:space="preserve">    Manual Calculation    </v>
        <stp/>
        <stp>673e424c-e800-49bd-b4b4-cfca41b902eb</stp>
        <tr r="DB105" s="1"/>
      </tp>
      <tp t="s">
        <v xml:space="preserve">    Manual Calculation    </v>
        <stp/>
        <stp>cef49987-4948-4e9b-8c84-73193f957de5</stp>
        <tr r="EY105" s="1"/>
      </tp>
      <tp t="s">
        <v xml:space="preserve">    Manual Calculation    </v>
        <stp/>
        <stp>98acf2d4-ef3c-47ca-b514-ba22382d4b7f</stp>
        <tr r="CJ8" s="1"/>
      </tp>
      <tp t="s">
        <v xml:space="preserve">    Manual Calculation    </v>
        <stp/>
        <stp>9c0a1649-6e2c-484c-a2bb-a1d2cbb784bf</stp>
        <tr r="ED105" s="1"/>
      </tp>
      <tp t="s">
        <v xml:space="preserve">     $    10.29     </v>
        <stp/>
        <stp>cbf47c58-7797-4ba1-9cbf-27cd8daa11c9</stp>
        <tr r="EB105" s="1"/>
      </tp>
      <tp t="s">
        <v xml:space="preserve">    Manual Calculation    </v>
        <stp/>
        <stp>3190890a-fd4c-4bd4-a9f1-b4e1ceccf5c9</stp>
        <tr r="CH8" s="1"/>
      </tp>
      <tp t="s">
        <v xml:space="preserve">    Manual Calculation    </v>
        <stp/>
        <stp>08f30072-c19b-442a-b8a6-f43d2771c18e</stp>
        <tr r="CH105" s="1"/>
      </tp>
      <tp t="s">
        <v xml:space="preserve">    Manual Calculation    </v>
        <stp/>
        <stp>c95579ff-415f-47e9-bed6-410463dc01fd</stp>
        <tr r="CK8" s="1"/>
      </tp>
      <tp t="s">
        <v xml:space="preserve">     $        6.41     </v>
        <stp/>
        <stp>1de4979b-16b1-42ca-b983-531fdb8b90b7</stp>
        <tr r="FB105" s="1"/>
      </tp>
      <tp t="s">
        <v xml:space="preserve">    Manual Calculation    </v>
        <stp/>
        <stp>627d792d-6479-48ab-91fc-cc3e64df65a2</stp>
        <tr r="EX105" s="1"/>
      </tp>
      <tp t="s">
        <v xml:space="preserve">     $        9.42     </v>
        <stp/>
        <stp>8fd83853-311e-450e-8fb1-fcca6e7120be</stp>
        <tr r="FD105" s="1"/>
      </tp>
      <tp t="s">
        <v xml:space="preserve">    Manual Calculation    </v>
        <stp/>
        <stp>a4255412-d7dc-488a-8471-980abf29c1d4</stp>
        <tr r="EU105" s="1"/>
      </tp>
      <tp t="s">
        <v xml:space="preserve">    Manual Calculation    </v>
        <stp/>
        <stp>0c4cbecb-f1f3-4531-b49e-a7db22a940f0</stp>
        <tr r="CZ8" s="1"/>
      </tp>
      <tp t="s">
        <v xml:space="preserve">    Manual Calculation    </v>
        <stp/>
        <stp>372535e9-e3eb-4c75-971b-e01db9f41413</stp>
        <tr r="CC8" s="1"/>
      </tp>
      <tp>
        <v>7606</v>
        <stp/>
        <stp>b433648e-67c2-499a-b489-52bc56782543</stp>
        <tr r="CV8" s="1"/>
      </tp>
      <tp t="s">
        <v xml:space="preserve">     $      1.51     </v>
        <stp/>
        <stp>ae6fc69c-75b5-4155-9f93-a3fba2aee78f</stp>
        <tr r="CP105" s="1"/>
      </tp>
      <tp t="s">
        <v xml:space="preserve">    Manual Calculation    </v>
        <stp/>
        <stp>4cb4fa77-ff61-4042-bf57-87c663ad88d7</stp>
        <tr r="CM105" s="1"/>
      </tp>
      <tp t="s">
        <v xml:space="preserve">    Manual Calculation    </v>
        <stp/>
        <stp>5497abff-fc18-4bdd-b9b0-e6da6fcaa92d</stp>
        <tr r="CE8" s="1"/>
      </tp>
      <tp t="s">
        <v xml:space="preserve">     $      4.73     </v>
        <stp/>
        <stp>b61e92f3-8280-4a68-865e-67961a0b2863</stp>
        <tr r="EA105" s="1"/>
      </tp>
      <tp t="s">
        <v xml:space="preserve">    Manual Calculation    </v>
        <stp/>
        <stp>6da042b2-74e8-4bc4-8336-b55c783f4490</stp>
        <tr r="CF8" s="1"/>
      </tp>
      <tp t="s">
        <v xml:space="preserve">     $     2.35     </v>
        <stp/>
        <stp>934cf657-f240-4de2-a57d-73b0f0ae1596</stp>
        <tr r="CW105" s="1"/>
      </tp>
      <tp t="s">
        <v xml:space="preserve">     $     2.65     </v>
        <stp/>
        <stp>673fc204-aece-479b-88a2-7b384b0957a4</stp>
        <tr r="CT105" s="1"/>
      </tp>
      <tp t="s">
        <v xml:space="preserve">    Manual Calculation    </v>
        <stp/>
        <stp>bf6986a7-940a-4c8f-98cf-3913ffda4ce4</stp>
        <tr r="DZ105" s="1"/>
      </tp>
      <tp t="s">
        <v xml:space="preserve">     $     10.51     </v>
        <stp/>
        <stp>b2f7cb6c-a500-4d83-a4ea-5fd6a3dbdcdf</stp>
        <tr r="FC105" s="1"/>
      </tp>
      <tp t="s">
        <v xml:space="preserve">    Manual Calculation    </v>
        <stp/>
        <stp>3fbeb850-ecf0-464b-801d-29a53efaee19</stp>
        <tr r="CZ105" s="1"/>
      </tp>
      <tp t="s">
        <v xml:space="preserve">    Manual Calculation    </v>
        <stp/>
        <stp>988aad71-88c4-44fc-9ebf-659ffdef4ed8</stp>
        <tr r="EZ105" s="1"/>
      </tp>
      <tp t="s">
        <v xml:space="preserve">    Manual Calculation    </v>
        <stp/>
        <stp>ed96e848-1d77-4672-a017-170258699077</stp>
        <tr r="CD105" s="1"/>
      </tp>
      <tp>
        <v>4651</v>
        <stp/>
        <stp>53985012-4586-4a23-a72d-e3bbc1ebbe01</stp>
        <tr r="CS8" s="1"/>
      </tp>
      <tp t="s">
        <v xml:space="preserve">    Manual Calculation    </v>
        <stp/>
        <stp>1b974f5d-16bc-4e9f-b43e-e637472d9006</stp>
        <tr r="CC105" s="1"/>
      </tp>
      <tp t="s">
        <v xml:space="preserve">    Manual Calculation    </v>
        <stp/>
        <stp>9e6d2042-0c24-4c52-91a9-ed16f38fc0fb</stp>
        <tr r="CG105" s="1"/>
      </tp>
      <tp t="s">
        <v xml:space="preserve">    Manual Calculation    </v>
        <stp/>
        <stp>c272e598-48d0-4002-8f70-6b79145e0127</stp>
        <tr r="DA8" s="1"/>
      </tp>
      <tp>
        <v>3945</v>
        <stp/>
        <stp>be18deee-d2df-4b3d-b4b3-70d26e1b1f8a</stp>
        <tr r="CN8" s="1"/>
      </tp>
      <tp t="s">
        <v xml:space="preserve">    Manual Calculation    </v>
        <stp/>
        <stp>66146d21-e991-4662-9845-8a487010a161</stp>
        <tr r="EV105" s="1"/>
      </tp>
      <tp t="s">
        <v xml:space="preserve">    Manual Calculation    </v>
        <stp/>
        <stp>afc02008-ba58-4f47-98c3-cef63c803499</stp>
        <tr r="DA105" s="1"/>
      </tp>
      <tp t="s">
        <v xml:space="preserve">     $    0.28     </v>
        <stp/>
        <stp>a6acbc5e-e433-41cd-bf34-d5c2bcf40cc2</stp>
        <tr r="CR105" s="1"/>
      </tp>
      <tp t="s">
        <v xml:space="preserve">    Manual Calculation    </v>
        <stp/>
        <stp>2844595a-5839-4b0c-9d49-9d94cf01d368</stp>
        <tr r="DC105" s="1"/>
      </tp>
      <tp t="s">
        <v xml:space="preserve">     $      2.30     </v>
        <stp/>
        <stp>2d45d594-43c5-4f5b-b270-a84998b64bf4</stp>
        <tr r="CY105" s="1"/>
      </tp>
      <tp t="s">
        <v xml:space="preserve">    Manual Calculation    </v>
        <stp/>
        <stp>b4040823-2cf8-4bfb-9ab6-301b5d70195f</stp>
        <tr r="BX8" s="1"/>
      </tp>
      <tp>
        <v>7288</v>
        <stp/>
        <stp>56180419-ac38-4396-a6a2-02324b93f068</stp>
        <tr r="CT8" s="1"/>
      </tp>
      <tp t="s">
        <v xml:space="preserve">    Manual Calculation    </v>
        <stp/>
        <stp>3eaa9b3f-7d45-42f2-abd3-11c534ea077a</stp>
        <tr r="CK105" s="1"/>
      </tp>
      <tp t="s">
        <v xml:space="preserve">     $     2.54     </v>
        <stp/>
        <stp>9f45ebd1-c8ec-4c3e-b056-5ad3cc471a77</stp>
        <tr r="CV105" s="1"/>
      </tp>
      <tp t="s">
        <v xml:space="preserve">    Manual Calculation    </v>
        <stp/>
        <stp>571fb09e-ad78-450c-acbb-9708e12d54e7</stp>
        <tr r="CI105" s="1"/>
      </tp>
      <tp>
        <v>4651</v>
        <stp/>
        <stp>6fef910c-f251-4216-b726-21373089aa20</stp>
        <tr r="CO8" s="1"/>
      </tp>
      <tp t="s">
        <v xml:space="preserve">    Manual Calculation    </v>
        <stp/>
        <stp>5c15f92c-aa12-45b1-9479-59ee232d5b26</stp>
        <tr r="CB105" s="1"/>
      </tp>
      <tp>
        <v>3945</v>
        <stp/>
        <stp>ee18feb4-50c9-4e8d-b0b6-a4de249e8f40</stp>
        <tr r="CR8" s="1"/>
      </tp>
      <tp t="s">
        <v xml:space="preserve">    Manual Calculation    </v>
        <stp/>
        <stp>a6070429-a5bf-4cae-b551-e5fbb427bd43</stp>
        <tr r="DW105" s="1"/>
      </tp>
      <tp>
        <v>5414</v>
        <stp/>
        <stp>f0970371-5cd8-4554-8688-a8d04256af4d</stp>
        <tr r="CP8" s="1"/>
      </tp>
      <tp t="s">
        <v xml:space="preserve">     $    0.28     </v>
        <stp/>
        <stp>5eda05a2-56a9-4094-b5b3-6579f23a1b41</stp>
        <tr r="CN105" s="1"/>
      </tp>
      <tp t="s">
        <v xml:space="preserve">    Manual Calculation    </v>
        <stp/>
        <stp>1b2cb404-4b5f-4f24-8270-5c58f06b5e72</stp>
        <tr r="CL105" s="1"/>
      </tp>
      <tp>
        <v>7356</v>
        <stp/>
        <stp>92bc68fd-5996-435d-a8c8-25986bcd085c</stp>
        <tr r="CX8" s="1"/>
      </tp>
      <tp t="s">
        <v xml:space="preserve">    Manual Calculation    </v>
        <stp/>
        <stp>a039b6a5-c479-4f69-b42c-0cdd69166ca9</stp>
        <tr r="CI8" s="1"/>
      </tp>
      <tp t="s">
        <v xml:space="preserve">    Manual Calculation    </v>
        <stp/>
        <stp>5dc2bc28-5c68-4b7b-ac61-f4ec418b14cc</stp>
        <tr r="BY105" s="1"/>
      </tp>
      <tp t="s">
        <v xml:space="preserve">    Manual Calculation    </v>
        <stp/>
        <stp>3d971811-3201-4494-9bbf-c826acc9150d</stp>
        <tr r="DB8" s="1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externalLinks/externalLink1.xml" Type="http://schemas.openxmlformats.org/officeDocument/2006/relationships/externalLink"/>
<Relationship Id="rId12" Target="externalLinks/externalLink2.xml" Type="http://schemas.openxmlformats.org/officeDocument/2006/relationships/externalLink"/>
<Relationship Id="rId13" Target="externalLinks/externalLink3.xml" Type="http://schemas.openxmlformats.org/officeDocument/2006/relationships/externalLink"/>
<Relationship Id="rId14" Target="externalLinks/externalLink4.xml" Type="http://schemas.openxmlformats.org/officeDocument/2006/relationships/externalLink"/>
<Relationship Id="rId15" Target="externalLinks/externalLink5.xml" Type="http://schemas.openxmlformats.org/officeDocument/2006/relationships/externalLink"/>
<Relationship Id="rId16" Target="theme/theme1.xml" Type="http://schemas.openxmlformats.org/officeDocument/2006/relationships/theme"/>
<Relationship Id="rId17" Target="styles.xml" Type="http://schemas.openxmlformats.org/officeDocument/2006/relationships/styles"/>
<Relationship Id="rId18" Target="sharedStrings.xml" Type="http://schemas.openxmlformats.org/officeDocument/2006/relationships/sharedStrings"/>
<Relationship Id="rId19" Target="calcChain.xml" Type="http://schemas.openxmlformats.org/officeDocument/2006/relationships/calcChain"/>
<Relationship Id="rId2" Target="worksheets/sheet2.xml" Type="http://schemas.openxmlformats.org/officeDocument/2006/relationships/worksheet"/>
<Relationship Id="rId20" Target="../customXml/item1.xml" Type="http://schemas.openxmlformats.org/officeDocument/2006/relationships/customXml"/>
<Relationship Id="rId21" Target="../customXml/item2.xml" Type="http://schemas.openxmlformats.org/officeDocument/2006/relationships/customXml"/>
<Relationship Id="rId22" Target="volatileDependencies.xml" Type="http://schemas.openxmlformats.org/officeDocument/2006/relationships/volatileDependencies"/>
<Relationship Id="rId23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 Revenue Distribution</a:t>
            </a:r>
          </a:p>
        </c:rich>
      </c:tx>
      <c:layout>
        <c:manualLayout>
          <c:xMode val="edge"/>
          <c:yMode val="edge"/>
          <c:x val="0.2786526684164479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0996609798775154"/>
          <c:y val="0.14367526975794689"/>
          <c:w val="0.45229002624671916"/>
          <c:h val="0.75381671041119858"/>
        </c:manualLayout>
      </c:layout>
      <c:pieChart>
        <c:varyColors val="1"/>
        <c:ser>
          <c:idx val="0"/>
          <c:order val="0"/>
          <c:dLbls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'Segment model'!$AQ$40:$AQ$42</c:f>
              <c:strCache>
                <c:ptCount val="3"/>
                <c:pt idx="0">
                  <c:v>DRAM</c:v>
                </c:pt>
                <c:pt idx="1">
                  <c:v>NAND</c:v>
                </c:pt>
                <c:pt idx="2">
                  <c:v>Other</c:v>
                </c:pt>
              </c:strCache>
            </c:strRef>
          </c:cat>
          <c:val>
            <c:numRef>
              <c:f>'Segment model'!$AS$40:$AS$42</c:f>
              <c:numCache>
                <c:formatCode>0%</c:formatCode>
                <c:ptCount val="3"/>
                <c:pt idx="0">
                  <c:v>0.64924948412735572</c:v>
                </c:pt>
                <c:pt idx="1">
                  <c:v>0.31453299843412136</c:v>
                </c:pt>
                <c:pt idx="2">
                  <c:v>3.6217517438522848E-2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37100218722659667"/>
          <c:y val="0.91628280839895015"/>
          <c:w val="0.35799562554680664"/>
          <c:h val="8.3717191601049873E-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jpe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jpe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jpe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15574017" name="Picture 1" descr="C:\Users\sarlinde\AppData\Local\Temp\MercuryPriceRatingHistoryChart\MU.O_2018_03_22_18_35_18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47625</xdr:rowOff>
    </xdr:from>
    <xdr:to>
      <xdr:col>1</xdr:col>
      <xdr:colOff>1533525</xdr:colOff>
      <xdr:row>0</xdr:row>
      <xdr:rowOff>781050</xdr:rowOff>
    </xdr:to>
    <xdr:pic>
      <xdr:nvPicPr>
        <xdr:cNvPr id="16516124" name="Picture 674" descr="logo-for-micron-technology-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7094" r="-17094"/>
        <a:stretch>
          <a:fillRect/>
        </a:stretch>
      </xdr:blipFill>
      <xdr:spPr bwMode="auto">
        <a:xfrm>
          <a:off x="152400" y="47625"/>
          <a:ext cx="1495425" cy="733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47625</xdr:rowOff>
    </xdr:from>
    <xdr:to>
      <xdr:col>1</xdr:col>
      <xdr:colOff>1533525</xdr:colOff>
      <xdr:row>0</xdr:row>
      <xdr:rowOff>781050</xdr:rowOff>
    </xdr:to>
    <xdr:pic>
      <xdr:nvPicPr>
        <xdr:cNvPr id="10292083" name="Picture 701" descr="logo-for-micron-technology-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7094" r="-17094"/>
        <a:stretch>
          <a:fillRect/>
        </a:stretch>
      </xdr:blipFill>
      <xdr:spPr bwMode="auto">
        <a:xfrm>
          <a:off x="152400" y="47625"/>
          <a:ext cx="1495425" cy="733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47625</xdr:rowOff>
    </xdr:from>
    <xdr:to>
      <xdr:col>1</xdr:col>
      <xdr:colOff>1533525</xdr:colOff>
      <xdr:row>0</xdr:row>
      <xdr:rowOff>781050</xdr:rowOff>
    </xdr:to>
    <xdr:pic>
      <xdr:nvPicPr>
        <xdr:cNvPr id="13067728" name="Picture 839" descr="logo-for-micron-technology-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7094" r="-17094"/>
        <a:stretch>
          <a:fillRect/>
        </a:stretch>
      </xdr:blipFill>
      <xdr:spPr bwMode="auto">
        <a:xfrm>
          <a:off x="150159" y="47625"/>
          <a:ext cx="1495425" cy="733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437029</xdr:colOff>
      <xdr:row>18</xdr:row>
      <xdr:rowOff>51547</xdr:rowOff>
    </xdr:from>
    <xdr:to>
      <xdr:col>49</xdr:col>
      <xdr:colOff>168088</xdr:colOff>
      <xdr:row>35</xdr:row>
      <xdr:rowOff>127747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TEMP/data/excel/P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3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4.xml.rels><?xml version="1.0" encoding="UTF-8" standalone="yes"?>
<Relationships xmlns="http://schemas.openxmlformats.org/package/2006/relationships">
<Relationship Id="rId1" Target="SEMI%20CAP/Company/MU/MUupdated%20from%2010Q011012_WIP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DONNELLY/COMPANYS/INDUSTRY/ANALYSIS/SEG-ROCE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P"/>
      <sheetName val="BS"/>
      <sheetName val="TOSCO"/>
      <sheetName val="Segment ROCE"/>
      <sheetName val="ROGIC"/>
      <sheetName val="E&amp;P"/>
      <sheetName val="NEPS"/>
      <sheetName val="RefineryMaint"/>
      <sheetName val="Hamaca"/>
      <sheetName val="Bohai"/>
      <sheetName val="Bayu Undan"/>
      <sheetName val="R&amp;M"/>
      <sheetName val="GPM"/>
      <sheetName val="Variance"/>
      <sheetName val="ARCO - Alaska"/>
      <sheetName val="Capex"/>
      <sheetName val="Reserves"/>
      <sheetName val="WACC"/>
      <sheetName val="Valuation"/>
      <sheetName val="NAV"/>
      <sheetName val="Chemical JV"/>
      <sheetName val="Chems"/>
      <sheetName val="EKOFISK"/>
      <sheetName val="PUDS"/>
      <sheetName val="GE Data"/>
      <sheetName val="IndexInformation"/>
      <sheetName val="MainCode"/>
      <sheetName val="NY UPLOAD"/>
      <sheetName val="NY UPLOAD Shadow"/>
      <sheetName val="Distribution"/>
      <sheetName val="Q-Link Source"/>
      <sheetName val="A-Link Source"/>
      <sheetName val="Income Statement"/>
      <sheetName val="Revenue&amp;EBIT"/>
      <sheetName val="Fin. Summary"/>
      <sheetName val="COP"/>
      <sheetName val="XOM"/>
      <sheetName val="New Source Charts"/>
      <sheetName val="Modelware"/>
      <sheetName val="R&amp;MIS"/>
      <sheetName val="E&amp;P Growth &amp; Returns"/>
      <sheetName val="Global Product Sum"/>
      <sheetName val="Scenario"/>
      <sheetName val="Quarter"/>
      <sheetName val="Annual"/>
      <sheetName val="AN"/>
      <sheetName val="COC"/>
      <sheetName val="Inputs"/>
      <sheetName val="ｾｸﾞﾒﾝﾄ"/>
      <sheetName val="単独"/>
      <sheetName val="Factset Profile"/>
      <sheetName val="ca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MW-Cache"/>
      <sheetName val="Balance Sheet"/>
      <sheetName val="Cash Flow"/>
      <sheetName val="Bottom up display"/>
      <sheetName val="NAND Capacity"/>
      <sheetName val="10Q"/>
      <sheetName val="Converts"/>
      <sheetName val="__FDSCACHE__"/>
      <sheetName val="MS Est vs Consensus"/>
      <sheetName val="Bottom up "/>
      <sheetName val="Segment Reported"/>
      <sheetName val="DRAM GM Sensitivity"/>
      <sheetName val="MW Valuation"/>
      <sheetName val="royalty model"/>
      <sheetName val="FCF and CapEx"/>
      <sheetName val="FCF Yield"/>
      <sheetName val="FCF Yield Chart"/>
      <sheetName val="mwareDates"/>
      <sheetName val="MWA RR"/>
      <sheetName val="mwareSettings"/>
      <sheetName val="Rev Model"/>
      <sheetName val="Seasonal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33">
          <cell r="AD33" t="str">
            <v>NA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-ROCE"/>
    </sheetNames>
    <definedNames>
      <definedName name="PrintAll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5.vml" Type="http://schemas.openxmlformats.org/officeDocument/2006/relationships/vmlDrawing"/>
<Relationship Id="rId4" Target="../comments5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6.vml" Type="http://schemas.openxmlformats.org/officeDocument/2006/relationships/vmlDrawing"/>
<Relationship Id="rId3" Target="../comments6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/>
  <sheetData>
    <row r="1" spans="1:2">
      <c r="B1" t="s">
        <v>358</v>
      </c>
    </row>
  </sheetData>
  <phoneticPr fontId="23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2"/>
  <sheetViews>
    <sheetView workbookViewId="0"/>
  </sheetViews>
  <sheetFormatPr defaultRowHeight="12.75"/>
  <sheetData>
    <row r="1" spans="1:52">
      <c r="A1" t="s">
        <v>413</v>
      </c>
    </row>
    <row r="2" spans="1:52">
      <c r="A2" s="272" t="s">
        <v>398</v>
      </c>
      <c r="B2" s="272" t="s">
        <v>309</v>
      </c>
      <c r="C2" s="272" t="s">
        <v>396</v>
      </c>
      <c r="D2" s="272" t="s">
        <v>283</v>
      </c>
      <c r="E2" s="272" t="s">
        <v>397</v>
      </c>
      <c r="F2" s="272" t="s">
        <v>618</v>
      </c>
      <c r="G2" s="272" t="s">
        <v>412</v>
      </c>
      <c r="H2" s="272" t="s">
        <v>479</v>
      </c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301"/>
      <c r="T2" s="301"/>
      <c r="U2" s="301"/>
      <c r="V2" s="301"/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1"/>
      <c r="AT2" s="301"/>
      <c r="AU2" s="301"/>
      <c r="AV2" s="301"/>
      <c r="AW2" s="301"/>
      <c r="AX2" s="301"/>
      <c r="AY2" s="301"/>
      <c r="AZ2" s="301"/>
    </row>
  </sheetData>
  <phoneticPr fontId="23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7"/>
  <sheetViews>
    <sheetView showGridLines="0" workbookViewId="0">
      <selection activeCell="A22" sqref="A22:B23"/>
    </sheetView>
  </sheetViews>
  <sheetFormatPr defaultRowHeight="12.75"/>
  <cols>
    <col min="1" max="1" width="25.7109375" style="1451" customWidth="1"/>
    <col min="2" max="5" width="9.140625" style="1451"/>
    <col min="6" max="6" width="18.7109375" style="1451" customWidth="1"/>
    <col min="7" max="256" width="9.140625" style="1451"/>
    <col min="257" max="257" width="100.7109375" style="1451" customWidth="1"/>
    <col min="258" max="512" width="9.140625" style="1451"/>
    <col min="513" max="513" width="100.7109375" style="1451" customWidth="1"/>
    <col min="514" max="768" width="9.140625" style="1451"/>
    <col min="769" max="769" width="100.7109375" style="1451" customWidth="1"/>
    <col min="770" max="1024" width="9.140625" style="1451"/>
    <col min="1025" max="1025" width="100.7109375" style="1451" customWidth="1"/>
    <col min="1026" max="1280" width="9.140625" style="1451"/>
    <col min="1281" max="1281" width="100.7109375" style="1451" customWidth="1"/>
    <col min="1282" max="1536" width="9.140625" style="1451"/>
    <col min="1537" max="1537" width="100.7109375" style="1451" customWidth="1"/>
    <col min="1538" max="1792" width="9.140625" style="1451"/>
    <col min="1793" max="1793" width="100.7109375" style="1451" customWidth="1"/>
    <col min="1794" max="2048" width="9.140625" style="1451"/>
    <col min="2049" max="2049" width="100.7109375" style="1451" customWidth="1"/>
    <col min="2050" max="2304" width="9.140625" style="1451"/>
    <col min="2305" max="2305" width="100.7109375" style="1451" customWidth="1"/>
    <col min="2306" max="2560" width="9.140625" style="1451"/>
    <col min="2561" max="2561" width="100.7109375" style="1451" customWidth="1"/>
    <col min="2562" max="2816" width="9.140625" style="1451"/>
    <col min="2817" max="2817" width="100.7109375" style="1451" customWidth="1"/>
    <col min="2818" max="3072" width="9.140625" style="1451"/>
    <col min="3073" max="3073" width="100.7109375" style="1451" customWidth="1"/>
    <col min="3074" max="3328" width="9.140625" style="1451"/>
    <col min="3329" max="3329" width="100.7109375" style="1451" customWidth="1"/>
    <col min="3330" max="3584" width="9.140625" style="1451"/>
    <col min="3585" max="3585" width="100.7109375" style="1451" customWidth="1"/>
    <col min="3586" max="3840" width="9.140625" style="1451"/>
    <col min="3841" max="3841" width="100.7109375" style="1451" customWidth="1"/>
    <col min="3842" max="4096" width="9.140625" style="1451"/>
    <col min="4097" max="4097" width="100.7109375" style="1451" customWidth="1"/>
    <col min="4098" max="4352" width="9.140625" style="1451"/>
    <col min="4353" max="4353" width="100.7109375" style="1451" customWidth="1"/>
    <col min="4354" max="4608" width="9.140625" style="1451"/>
    <col min="4609" max="4609" width="100.7109375" style="1451" customWidth="1"/>
    <col min="4610" max="4864" width="9.140625" style="1451"/>
    <col min="4865" max="4865" width="100.7109375" style="1451" customWidth="1"/>
    <col min="4866" max="5120" width="9.140625" style="1451"/>
    <col min="5121" max="5121" width="100.7109375" style="1451" customWidth="1"/>
    <col min="5122" max="5376" width="9.140625" style="1451"/>
    <col min="5377" max="5377" width="100.7109375" style="1451" customWidth="1"/>
    <col min="5378" max="5632" width="9.140625" style="1451"/>
    <col min="5633" max="5633" width="100.7109375" style="1451" customWidth="1"/>
    <col min="5634" max="5888" width="9.140625" style="1451"/>
    <col min="5889" max="5889" width="100.7109375" style="1451" customWidth="1"/>
    <col min="5890" max="6144" width="9.140625" style="1451"/>
    <col min="6145" max="6145" width="100.7109375" style="1451" customWidth="1"/>
    <col min="6146" max="6400" width="9.140625" style="1451"/>
    <col min="6401" max="6401" width="100.7109375" style="1451" customWidth="1"/>
    <col min="6402" max="6656" width="9.140625" style="1451"/>
    <col min="6657" max="6657" width="100.7109375" style="1451" customWidth="1"/>
    <col min="6658" max="6912" width="9.140625" style="1451"/>
    <col min="6913" max="6913" width="100.7109375" style="1451" customWidth="1"/>
    <col min="6914" max="7168" width="9.140625" style="1451"/>
    <col min="7169" max="7169" width="100.7109375" style="1451" customWidth="1"/>
    <col min="7170" max="7424" width="9.140625" style="1451"/>
    <col min="7425" max="7425" width="100.7109375" style="1451" customWidth="1"/>
    <col min="7426" max="7680" width="9.140625" style="1451"/>
    <col min="7681" max="7681" width="100.7109375" style="1451" customWidth="1"/>
    <col min="7682" max="7936" width="9.140625" style="1451"/>
    <col min="7937" max="7937" width="100.7109375" style="1451" customWidth="1"/>
    <col min="7938" max="8192" width="9.140625" style="1451"/>
    <col min="8193" max="8193" width="100.7109375" style="1451" customWidth="1"/>
    <col min="8194" max="8448" width="9.140625" style="1451"/>
    <col min="8449" max="8449" width="100.7109375" style="1451" customWidth="1"/>
    <col min="8450" max="8704" width="9.140625" style="1451"/>
    <col min="8705" max="8705" width="100.7109375" style="1451" customWidth="1"/>
    <col min="8706" max="8960" width="9.140625" style="1451"/>
    <col min="8961" max="8961" width="100.7109375" style="1451" customWidth="1"/>
    <col min="8962" max="9216" width="9.140625" style="1451"/>
    <col min="9217" max="9217" width="100.7109375" style="1451" customWidth="1"/>
    <col min="9218" max="9472" width="9.140625" style="1451"/>
    <col min="9473" max="9473" width="100.7109375" style="1451" customWidth="1"/>
    <col min="9474" max="9728" width="9.140625" style="1451"/>
    <col min="9729" max="9729" width="100.7109375" style="1451" customWidth="1"/>
    <col min="9730" max="9984" width="9.140625" style="1451"/>
    <col min="9985" max="9985" width="100.7109375" style="1451" customWidth="1"/>
    <col min="9986" max="10240" width="9.140625" style="1451"/>
    <col min="10241" max="10241" width="100.7109375" style="1451" customWidth="1"/>
    <col min="10242" max="10496" width="9.140625" style="1451"/>
    <col min="10497" max="10497" width="100.7109375" style="1451" customWidth="1"/>
    <col min="10498" max="10752" width="9.140625" style="1451"/>
    <col min="10753" max="10753" width="100.7109375" style="1451" customWidth="1"/>
    <col min="10754" max="11008" width="9.140625" style="1451"/>
    <col min="11009" max="11009" width="100.7109375" style="1451" customWidth="1"/>
    <col min="11010" max="11264" width="9.140625" style="1451"/>
    <col min="11265" max="11265" width="100.7109375" style="1451" customWidth="1"/>
    <col min="11266" max="11520" width="9.140625" style="1451"/>
    <col min="11521" max="11521" width="100.7109375" style="1451" customWidth="1"/>
    <col min="11522" max="11776" width="9.140625" style="1451"/>
    <col min="11777" max="11777" width="100.7109375" style="1451" customWidth="1"/>
    <col min="11778" max="12032" width="9.140625" style="1451"/>
    <col min="12033" max="12033" width="100.7109375" style="1451" customWidth="1"/>
    <col min="12034" max="12288" width="9.140625" style="1451"/>
    <col min="12289" max="12289" width="100.7109375" style="1451" customWidth="1"/>
    <col min="12290" max="12544" width="9.140625" style="1451"/>
    <col min="12545" max="12545" width="100.7109375" style="1451" customWidth="1"/>
    <col min="12546" max="12800" width="9.140625" style="1451"/>
    <col min="12801" max="12801" width="100.7109375" style="1451" customWidth="1"/>
    <col min="12802" max="13056" width="9.140625" style="1451"/>
    <col min="13057" max="13057" width="100.7109375" style="1451" customWidth="1"/>
    <col min="13058" max="13312" width="9.140625" style="1451"/>
    <col min="13313" max="13313" width="100.7109375" style="1451" customWidth="1"/>
    <col min="13314" max="13568" width="9.140625" style="1451"/>
    <col min="13569" max="13569" width="100.7109375" style="1451" customWidth="1"/>
    <col min="13570" max="13824" width="9.140625" style="1451"/>
    <col min="13825" max="13825" width="100.7109375" style="1451" customWidth="1"/>
    <col min="13826" max="14080" width="9.140625" style="1451"/>
    <col min="14081" max="14081" width="100.7109375" style="1451" customWidth="1"/>
    <col min="14082" max="14336" width="9.140625" style="1451"/>
    <col min="14337" max="14337" width="100.7109375" style="1451" customWidth="1"/>
    <col min="14338" max="14592" width="9.140625" style="1451"/>
    <col min="14593" max="14593" width="100.7109375" style="1451" customWidth="1"/>
    <col min="14594" max="14848" width="9.140625" style="1451"/>
    <col min="14849" max="14849" width="100.7109375" style="1451" customWidth="1"/>
    <col min="14850" max="15104" width="9.140625" style="1451"/>
    <col min="15105" max="15105" width="100.7109375" style="1451" customWidth="1"/>
    <col min="15106" max="15360" width="9.140625" style="1451"/>
    <col min="15361" max="15361" width="100.7109375" style="1451" customWidth="1"/>
    <col min="15362" max="15616" width="9.140625" style="1451"/>
    <col min="15617" max="15617" width="100.7109375" style="1451" customWidth="1"/>
    <col min="15618" max="15872" width="9.140625" style="1451"/>
    <col min="15873" max="15873" width="100.7109375" style="1451" customWidth="1"/>
    <col min="15874" max="16128" width="9.140625" style="1451"/>
    <col min="16129" max="16129" width="100.7109375" style="1451" customWidth="1"/>
    <col min="16130" max="16384" width="9.140625" style="1451"/>
  </cols>
  <sheetData>
    <row r="1" spans="1:8" ht="30" customHeight="1">
      <c r="A1" s="1449"/>
      <c r="B1" s="1450"/>
      <c r="C1" s="1450"/>
      <c r="D1" s="1450"/>
      <c r="E1" s="1450"/>
      <c r="F1" s="1450"/>
      <c r="G1" s="1450"/>
      <c r="H1" s="1450"/>
    </row>
    <row r="2" spans="1:8" ht="14.25">
      <c r="A2" s="1452" t="s">
        <v>626</v>
      </c>
      <c r="B2" s="1450"/>
      <c r="C2" s="1450"/>
      <c r="D2" s="1450"/>
      <c r="E2" s="1450"/>
      <c r="F2" s="1450"/>
      <c r="G2" s="1450"/>
      <c r="H2" s="1450"/>
    </row>
    <row r="3" spans="1:8" ht="14.25">
      <c r="A3" s="1452" t="s">
        <v>627</v>
      </c>
      <c r="B3" s="1450"/>
      <c r="C3" s="1450"/>
      <c r="D3" s="1450"/>
      <c r="E3" s="1450"/>
      <c r="F3" s="1450"/>
      <c r="G3" s="1450"/>
      <c r="H3" s="1450"/>
    </row>
    <row r="4" spans="1:8" ht="14.25">
      <c r="A4" s="1452" t="s">
        <v>392</v>
      </c>
      <c r="B4" s="1450"/>
      <c r="C4" s="1450"/>
      <c r="D4" s="1450"/>
      <c r="E4" s="1450"/>
      <c r="F4" s="1450"/>
      <c r="G4" s="1450"/>
      <c r="H4" s="1450"/>
    </row>
    <row r="5" spans="1:8" ht="14.25">
      <c r="A5" s="1452" t="s">
        <v>628</v>
      </c>
      <c r="B5" s="1450"/>
      <c r="C5" s="1450"/>
      <c r="D5" s="1450"/>
      <c r="E5" s="1450"/>
      <c r="F5" s="1450"/>
      <c r="G5" s="1450"/>
      <c r="H5" s="1450"/>
    </row>
    <row r="6" spans="1:8" ht="14.25">
      <c r="A6" s="1452"/>
      <c r="B6" s="1450"/>
      <c r="C6" s="1450"/>
      <c r="D6" s="1450"/>
      <c r="E6" s="1450"/>
      <c r="F6" s="1450"/>
      <c r="G6" s="1450"/>
      <c r="H6" s="1450"/>
    </row>
    <row r="7" spans="1:8">
      <c r="A7" s="1449" t="s">
        <v>629</v>
      </c>
      <c r="B7" s="1450"/>
      <c r="C7" s="1450"/>
      <c r="D7" s="1450"/>
      <c r="E7" s="1450"/>
      <c r="F7" s="1450"/>
      <c r="G7" s="1450"/>
      <c r="H7" s="1450"/>
    </row>
    <row r="8" spans="1:8">
      <c r="A8" s="1449" t="s">
        <v>630</v>
      </c>
      <c r="B8" s="1450"/>
      <c r="C8" s="1450"/>
      <c r="D8" s="1450"/>
      <c r="E8" s="1450"/>
      <c r="F8" s="1450"/>
      <c r="G8" s="1450"/>
      <c r="H8" s="1450"/>
    </row>
    <row r="9" spans="1:8">
      <c r="A9" s="1449"/>
      <c r="B9" s="1450"/>
      <c r="C9" s="1450"/>
      <c r="D9" s="1450"/>
      <c r="E9" s="1450"/>
      <c r="F9" s="1450"/>
      <c r="G9" s="1450"/>
      <c r="H9" s="1450"/>
    </row>
    <row r="10" spans="1:8">
      <c r="A10" s="1453" t="s">
        <v>631</v>
      </c>
      <c r="B10" s="1450"/>
      <c r="C10" s="1450"/>
      <c r="D10" s="1450"/>
      <c r="E10" s="1450"/>
      <c r="F10" s="1450"/>
      <c r="G10" s="1450"/>
      <c r="H10" s="1450"/>
    </row>
    <row r="11" spans="1:8">
      <c r="A11" s="1453" t="s">
        <v>632</v>
      </c>
      <c r="B11" s="1450"/>
      <c r="C11" s="1450"/>
      <c r="D11" s="1450"/>
      <c r="E11" s="1450"/>
      <c r="F11" s="1450"/>
      <c r="G11" s="1450"/>
      <c r="H11" s="1450"/>
    </row>
    <row r="12" spans="1:8">
      <c r="A12" s="1453" t="s">
        <v>633</v>
      </c>
      <c r="B12" s="1450"/>
      <c r="C12" s="1450"/>
      <c r="D12" s="1450"/>
      <c r="E12" s="1450"/>
      <c r="F12" s="1450"/>
      <c r="G12" s="1450"/>
      <c r="H12" s="1450"/>
    </row>
    <row r="13" spans="1:8">
      <c r="A13" s="1453" t="s">
        <v>634</v>
      </c>
      <c r="B13" s="1450"/>
      <c r="C13" s="1450"/>
      <c r="D13" s="1450"/>
      <c r="E13" s="1450"/>
      <c r="F13" s="1450"/>
      <c r="G13" s="1450"/>
      <c r="H13" s="1450"/>
    </row>
    <row r="14" spans="1:8">
      <c r="A14" s="1453" t="s">
        <v>635</v>
      </c>
      <c r="B14" s="1450"/>
      <c r="C14" s="1450"/>
      <c r="D14" s="1450"/>
      <c r="E14" s="1450"/>
      <c r="F14" s="1450"/>
      <c r="G14" s="1450"/>
      <c r="H14" s="1450"/>
    </row>
    <row r="15" spans="1:8">
      <c r="A15" s="1453" t="s">
        <v>989</v>
      </c>
      <c r="B15" s="1450"/>
      <c r="C15" s="1450"/>
      <c r="D15" s="1450"/>
      <c r="E15" s="1450"/>
      <c r="F15" s="1450"/>
      <c r="G15" s="1450"/>
      <c r="H15" s="1450"/>
    </row>
    <row r="16" spans="1:8">
      <c r="A16" s="1453"/>
      <c r="B16" s="1450"/>
      <c r="C16" s="1450"/>
      <c r="D16" s="1450"/>
      <c r="E16" s="1450"/>
      <c r="F16" s="1450"/>
      <c r="G16" s="1450"/>
      <c r="H16" s="1450"/>
    </row>
    <row r="17" spans="1:8">
      <c r="A17" s="1453" t="s">
        <v>623</v>
      </c>
      <c r="B17" s="1450"/>
      <c r="C17" s="1450"/>
      <c r="D17" s="1450"/>
      <c r="E17" s="1450"/>
      <c r="F17" s="1450"/>
      <c r="G17" s="1450"/>
      <c r="H17" s="1450"/>
    </row>
    <row r="18" spans="1:8">
      <c r="A18" s="1453"/>
      <c r="B18" s="1450"/>
      <c r="C18" s="1450"/>
      <c r="D18" s="1450"/>
      <c r="E18" s="1450"/>
      <c r="F18" s="1450"/>
      <c r="G18" s="1450"/>
      <c r="H18" s="1450"/>
    </row>
    <row r="19" spans="1:8">
      <c r="A19" s="1453" t="s">
        <v>624</v>
      </c>
      <c r="B19" s="1450"/>
      <c r="C19" s="1450"/>
      <c r="D19" s="1450"/>
      <c r="E19" s="1450"/>
      <c r="F19" s="1450"/>
      <c r="G19" s="1450"/>
      <c r="H19" s="1450"/>
    </row>
    <row r="20" spans="1:8">
      <c r="A20" s="1449"/>
      <c r="B20" s="1450"/>
      <c r="C20" s="1450"/>
      <c r="D20" s="1450"/>
      <c r="E20" s="1450"/>
      <c r="F20" s="1450"/>
      <c r="G20" s="1450"/>
      <c r="H20" s="1450"/>
    </row>
    <row r="21" spans="1:8">
      <c r="A21" s="1454" t="s">
        <v>625</v>
      </c>
      <c r="B21" s="1450"/>
      <c r="C21" s="1450"/>
      <c r="D21" s="1450"/>
      <c r="E21" s="1450"/>
      <c r="F21" s="1450"/>
      <c r="G21" s="1450"/>
      <c r="H21" s="1450"/>
    </row>
    <row r="22" spans="1:8">
      <c r="A22" s="1455"/>
      <c r="B22" s="1455"/>
      <c r="C22" s="1455"/>
      <c r="D22" s="1455"/>
      <c r="E22" s="1455"/>
      <c r="F22" s="1455"/>
      <c r="G22" s="1455"/>
      <c r="H22" s="1455"/>
    </row>
    <row r="23" spans="1:8">
      <c r="A23" s="1456" t="s">
        <v>917</v>
      </c>
      <c r="B23" s="1455"/>
      <c r="C23" s="1455"/>
      <c r="D23" s="1455"/>
      <c r="E23" s="1455"/>
      <c r="F23" s="1455"/>
      <c r="G23" s="1455"/>
      <c r="H23" s="1455"/>
    </row>
    <row r="24" spans="1:8">
      <c r="A24" s="1456" t="s">
        <v>918</v>
      </c>
      <c r="B24" s="1455"/>
      <c r="C24" s="1455"/>
      <c r="D24" s="1455"/>
      <c r="E24" s="1455"/>
      <c r="F24" s="1455"/>
      <c r="G24" s="1455"/>
      <c r="H24" s="1455"/>
    </row>
    <row r="25" spans="1:8">
      <c r="A25" s="1456" t="s">
        <v>919</v>
      </c>
      <c r="B25" s="1455"/>
      <c r="C25" s="1455"/>
      <c r="D25" s="1455"/>
      <c r="E25" s="1455"/>
      <c r="F25" s="1455"/>
      <c r="G25" s="1455"/>
      <c r="H25" s="1455"/>
    </row>
    <row r="26" spans="1:8">
      <c r="A26" s="1456" t="s">
        <v>920</v>
      </c>
      <c r="B26" s="1455"/>
      <c r="C26" s="1455"/>
      <c r="D26" s="1455"/>
      <c r="E26" s="1455"/>
      <c r="F26" s="1455"/>
      <c r="G26" s="1455"/>
      <c r="H26" s="1455"/>
    </row>
    <row r="27" spans="1:8">
      <c r="A27" s="1455"/>
      <c r="B27" s="1455"/>
      <c r="C27" s="1455"/>
      <c r="D27" s="1455"/>
      <c r="E27" s="1455"/>
      <c r="F27" s="1455"/>
      <c r="G27" s="1455"/>
      <c r="H27" s="1455"/>
    </row>
    <row r="28" spans="1:8">
      <c r="A28" s="1455"/>
      <c r="B28" s="1455"/>
      <c r="C28" s="1455"/>
      <c r="D28" s="1455"/>
      <c r="E28" s="1455"/>
      <c r="F28" s="1455"/>
      <c r="G28" s="1455"/>
      <c r="H28" s="1455"/>
    </row>
    <row r="29" spans="1:8">
      <c r="A29" s="1456" t="s">
        <v>912</v>
      </c>
      <c r="B29" s="1455"/>
      <c r="C29" s="1455"/>
      <c r="D29" s="1455"/>
      <c r="E29" s="1455"/>
      <c r="F29" s="1455"/>
      <c r="G29" s="1455"/>
      <c r="H29" s="1455"/>
    </row>
    <row r="30" spans="1:8">
      <c r="A30" s="1456" t="s">
        <v>913</v>
      </c>
      <c r="B30" s="1455"/>
      <c r="C30" s="1455"/>
      <c r="D30" s="1455"/>
      <c r="E30" s="1455"/>
      <c r="F30" s="1455"/>
      <c r="G30" s="1455"/>
      <c r="H30" s="1455"/>
    </row>
    <row r="31" spans="1:8">
      <c r="A31" s="1456" t="s">
        <v>914</v>
      </c>
      <c r="B31" s="1455"/>
      <c r="C31" s="1455"/>
      <c r="D31" s="1455"/>
      <c r="E31" s="1455"/>
      <c r="F31" s="1455"/>
      <c r="G31" s="1455"/>
      <c r="H31" s="1455"/>
    </row>
    <row r="32" spans="1:8">
      <c r="A32" s="1456" t="s">
        <v>915</v>
      </c>
      <c r="B32" s="1455"/>
      <c r="C32" s="1455"/>
      <c r="D32" s="1455"/>
      <c r="E32" s="1455"/>
      <c r="F32" s="1455"/>
      <c r="G32" s="1455"/>
      <c r="H32" s="1455"/>
    </row>
    <row r="33" spans="1:8">
      <c r="A33" s="1456" t="s">
        <v>916</v>
      </c>
      <c r="B33" s="1455"/>
      <c r="C33" s="1455"/>
      <c r="D33" s="1455"/>
      <c r="E33" s="1455"/>
      <c r="F33" s="1455"/>
      <c r="G33" s="1455"/>
      <c r="H33" s="1455"/>
    </row>
    <row r="34" spans="1:8">
      <c r="A34" s="1455"/>
      <c r="B34" s="1455"/>
      <c r="C34" s="1455"/>
      <c r="D34" s="1455"/>
      <c r="E34" s="1455"/>
      <c r="F34" s="1455"/>
      <c r="G34" s="1455"/>
      <c r="H34" s="1455"/>
    </row>
    <row r="35" spans="1:8">
      <c r="A35" s="1456" t="s">
        <v>908</v>
      </c>
      <c r="B35" s="1455"/>
      <c r="C35" s="1455"/>
      <c r="D35" s="1455"/>
      <c r="E35" s="1455"/>
      <c r="F35" s="1455"/>
      <c r="G35" s="1455"/>
      <c r="H35" s="1455"/>
    </row>
    <row r="36" spans="1:8">
      <c r="A36" s="1456" t="s">
        <v>909</v>
      </c>
      <c r="B36" s="1455"/>
      <c r="C36" s="1455"/>
      <c r="D36" s="1455"/>
      <c r="E36" s="1455"/>
      <c r="F36" s="1455"/>
      <c r="G36" s="1455"/>
      <c r="H36" s="1455"/>
    </row>
    <row r="37" spans="1:8">
      <c r="A37" s="1456" t="s">
        <v>910</v>
      </c>
      <c r="B37" s="1455"/>
      <c r="C37" s="1455"/>
      <c r="D37" s="1455"/>
      <c r="E37" s="1455"/>
      <c r="F37" s="1455"/>
      <c r="G37" s="1455"/>
      <c r="H37" s="1455"/>
    </row>
    <row r="38" spans="1:8">
      <c r="A38" s="1456" t="s">
        <v>911</v>
      </c>
      <c r="B38" s="1455"/>
      <c r="C38" s="1455"/>
      <c r="D38" s="1455"/>
      <c r="E38" s="1455"/>
      <c r="F38" s="1455"/>
      <c r="G38" s="1455"/>
      <c r="H38" s="1455"/>
    </row>
    <row r="39" spans="1:8">
      <c r="A39" s="1455"/>
      <c r="B39" s="1455"/>
      <c r="C39" s="1455"/>
      <c r="D39" s="1455"/>
      <c r="E39" s="1455"/>
      <c r="F39" s="1455"/>
      <c r="G39" s="1455"/>
      <c r="H39" s="1455"/>
    </row>
    <row r="40" spans="1:8">
      <c r="A40" s="1456" t="s">
        <v>902</v>
      </c>
      <c r="B40" s="1455"/>
      <c r="C40" s="1455"/>
      <c r="D40" s="1455"/>
      <c r="E40" s="1455"/>
      <c r="F40" s="1455"/>
      <c r="G40" s="1455"/>
      <c r="H40" s="1455"/>
    </row>
    <row r="41" spans="1:8">
      <c r="A41" s="1456" t="s">
        <v>903</v>
      </c>
      <c r="B41" s="1455"/>
      <c r="C41" s="1455"/>
      <c r="D41" s="1455"/>
      <c r="E41" s="1455"/>
      <c r="F41" s="1455"/>
      <c r="G41" s="1455"/>
      <c r="H41" s="1455"/>
    </row>
    <row r="42" spans="1:8">
      <c r="A42" s="1456" t="s">
        <v>904</v>
      </c>
      <c r="B42" s="1455"/>
      <c r="C42" s="1455"/>
      <c r="D42" s="1455"/>
      <c r="E42" s="1455"/>
      <c r="F42" s="1455"/>
      <c r="G42" s="1455"/>
      <c r="H42" s="1455"/>
    </row>
    <row r="43" spans="1:8">
      <c r="A43" s="1456" t="s">
        <v>905</v>
      </c>
      <c r="B43" s="1455"/>
      <c r="C43" s="1455"/>
      <c r="D43" s="1455"/>
      <c r="E43" s="1455"/>
      <c r="F43" s="1455"/>
      <c r="G43" s="1455"/>
      <c r="H43" s="1455"/>
    </row>
    <row r="44" spans="1:8">
      <c r="A44" s="1456" t="s">
        <v>906</v>
      </c>
      <c r="B44" s="1455"/>
      <c r="C44" s="1455"/>
      <c r="D44" s="1455"/>
      <c r="E44" s="1455"/>
      <c r="F44" s="1455"/>
      <c r="G44" s="1455"/>
      <c r="H44" s="1455"/>
    </row>
    <row r="45" spans="1:8">
      <c r="A45" s="1456" t="s">
        <v>907</v>
      </c>
      <c r="B45" s="1455"/>
      <c r="C45" s="1455"/>
      <c r="D45" s="1455"/>
      <c r="E45" s="1455"/>
      <c r="F45" s="1455"/>
      <c r="G45" s="1455"/>
      <c r="H45" s="1455"/>
    </row>
    <row r="46" spans="1:8">
      <c r="A46" s="1455"/>
      <c r="B46" s="1455"/>
      <c r="C46" s="1455"/>
      <c r="D46" s="1455"/>
      <c r="E46" s="1455"/>
      <c r="F46" s="1455"/>
      <c r="G46" s="1455"/>
      <c r="H46" s="1455"/>
    </row>
    <row r="47" spans="1:8" ht="15.75">
      <c r="A47" s="1457" t="s">
        <v>636</v>
      </c>
      <c r="B47" s="1455"/>
      <c r="C47" s="1455"/>
      <c r="D47" s="1455"/>
      <c r="E47" s="1455"/>
      <c r="F47" s="1455"/>
      <c r="G47" s="1455"/>
      <c r="H47" s="1455"/>
    </row>
    <row r="48" spans="1:8">
      <c r="A48" s="1455"/>
      <c r="B48" s="1455"/>
      <c r="C48" s="1455"/>
      <c r="D48" s="1455"/>
      <c r="E48" s="1455"/>
      <c r="F48" s="1455"/>
      <c r="G48" s="1455"/>
      <c r="H48" s="1455"/>
    </row>
    <row r="49" spans="1:8">
      <c r="A49" s="1456" t="s">
        <v>898</v>
      </c>
      <c r="B49" s="1455"/>
      <c r="C49" s="1455"/>
      <c r="D49" s="1455"/>
      <c r="E49" s="1455"/>
      <c r="F49" s="1455"/>
      <c r="G49" s="1455"/>
      <c r="H49" s="1455"/>
    </row>
    <row r="50" spans="1:8">
      <c r="A50" s="1456" t="s">
        <v>899</v>
      </c>
      <c r="B50" s="1455"/>
      <c r="C50" s="1455"/>
      <c r="D50" s="1455"/>
      <c r="E50" s="1455"/>
      <c r="F50" s="1455"/>
      <c r="G50" s="1455"/>
      <c r="H50" s="1455"/>
    </row>
    <row r="51" spans="1:8">
      <c r="A51" s="1456" t="s">
        <v>900</v>
      </c>
      <c r="B51" s="1455"/>
      <c r="C51" s="1455"/>
      <c r="D51" s="1455"/>
      <c r="E51" s="1455"/>
      <c r="F51" s="1455"/>
      <c r="G51" s="1455"/>
      <c r="H51" s="1455"/>
    </row>
    <row r="52" spans="1:8">
      <c r="A52" s="1456" t="s">
        <v>901</v>
      </c>
      <c r="B52" s="1455"/>
      <c r="C52" s="1455"/>
      <c r="D52" s="1455"/>
      <c r="E52" s="1455"/>
      <c r="F52" s="1455"/>
      <c r="G52" s="1455"/>
      <c r="H52" s="1455"/>
    </row>
    <row r="53" spans="1:8">
      <c r="A53" s="1455"/>
      <c r="B53" s="1455"/>
      <c r="C53" s="1455"/>
      <c r="D53" s="1455"/>
      <c r="E53" s="1455"/>
      <c r="F53" s="1455"/>
      <c r="G53" s="1455"/>
      <c r="H53" s="1455"/>
    </row>
    <row r="54" spans="1:8">
      <c r="A54" s="1456" t="s">
        <v>637</v>
      </c>
      <c r="B54" s="1455"/>
      <c r="C54" s="1455"/>
      <c r="D54" s="1455"/>
      <c r="E54" s="1455"/>
      <c r="F54" s="1455"/>
      <c r="G54" s="1455"/>
      <c r="H54" s="1455"/>
    </row>
    <row r="55" spans="1:8">
      <c r="A55" s="1455"/>
      <c r="B55" s="1455"/>
      <c r="C55" s="1455"/>
      <c r="D55" s="1455"/>
      <c r="E55" s="1455"/>
      <c r="F55" s="1455"/>
      <c r="G55" s="1455"/>
      <c r="H55" s="1455"/>
    </row>
    <row r="56" spans="1:8" ht="15.75">
      <c r="A56" s="1457" t="s">
        <v>638</v>
      </c>
      <c r="B56" s="1455"/>
      <c r="C56" s="1455"/>
      <c r="D56" s="1455"/>
      <c r="E56" s="1455"/>
      <c r="F56" s="1455"/>
      <c r="G56" s="1455"/>
      <c r="H56" s="1455"/>
    </row>
    <row r="57" spans="1:8">
      <c r="A57" s="1455"/>
      <c r="B57" s="1455"/>
      <c r="C57" s="1455"/>
      <c r="D57" s="1455"/>
      <c r="E57" s="1455"/>
      <c r="F57" s="1455"/>
      <c r="G57" s="1455"/>
      <c r="H57" s="1455"/>
    </row>
    <row r="58" spans="1:8">
      <c r="A58" s="1456" t="s">
        <v>896</v>
      </c>
      <c r="B58" s="1455"/>
      <c r="C58" s="1455"/>
      <c r="D58" s="1455"/>
      <c r="E58" s="1455"/>
      <c r="F58" s="1455"/>
      <c r="G58" s="1455"/>
      <c r="H58" s="1455"/>
    </row>
    <row r="59" spans="1:8">
      <c r="A59" s="1456" t="s">
        <v>897</v>
      </c>
      <c r="B59" s="1455"/>
      <c r="C59" s="1455"/>
      <c r="D59" s="1455"/>
      <c r="E59" s="1455"/>
      <c r="F59" s="1455"/>
      <c r="G59" s="1455"/>
      <c r="H59" s="1455"/>
    </row>
    <row r="60" spans="1:8">
      <c r="A60" s="1455"/>
      <c r="B60" s="1455"/>
      <c r="C60" s="1455"/>
      <c r="D60" s="1455"/>
      <c r="E60" s="1455"/>
      <c r="F60" s="1455"/>
      <c r="G60" s="1455"/>
      <c r="H60" s="1455"/>
    </row>
    <row r="61" spans="1:8" ht="15.75">
      <c r="A61" s="1457" t="s">
        <v>639</v>
      </c>
      <c r="B61" s="1455"/>
      <c r="C61" s="1455"/>
      <c r="D61" s="1455"/>
      <c r="E61" s="1455"/>
      <c r="F61" s="1455"/>
      <c r="G61" s="1455"/>
      <c r="H61" s="1455"/>
    </row>
    <row r="62" spans="1:8">
      <c r="A62" s="1455"/>
      <c r="B62" s="1455"/>
      <c r="C62" s="1455"/>
      <c r="D62" s="1455"/>
      <c r="E62" s="1455"/>
      <c r="F62" s="1455"/>
      <c r="G62" s="1455"/>
      <c r="H62" s="1455"/>
    </row>
    <row r="63" spans="1:8">
      <c r="A63" s="1456" t="s">
        <v>894</v>
      </c>
      <c r="B63" s="1455"/>
      <c r="C63" s="1455"/>
      <c r="D63" s="1455"/>
      <c r="E63" s="1455"/>
      <c r="F63" s="1455"/>
      <c r="G63" s="1455"/>
      <c r="H63" s="1455"/>
    </row>
    <row r="64" spans="1:8">
      <c r="A64" s="1456" t="s">
        <v>895</v>
      </c>
      <c r="B64" s="1455"/>
      <c r="C64" s="1455"/>
      <c r="D64" s="1455"/>
      <c r="E64" s="1455"/>
      <c r="F64" s="1455"/>
      <c r="G64" s="1455"/>
      <c r="H64" s="1455"/>
    </row>
    <row r="65" spans="1:8">
      <c r="A65" s="1455"/>
      <c r="B65" s="1455"/>
      <c r="C65" s="1455"/>
      <c r="D65" s="1455"/>
      <c r="E65" s="1455"/>
      <c r="F65" s="1455"/>
      <c r="G65" s="1455"/>
      <c r="H65" s="1455"/>
    </row>
    <row r="66" spans="1:8">
      <c r="A66" s="1456" t="s">
        <v>892</v>
      </c>
      <c r="B66" s="1455"/>
      <c r="C66" s="1455"/>
      <c r="D66" s="1455"/>
      <c r="E66" s="1455"/>
      <c r="F66" s="1455"/>
      <c r="G66" s="1455"/>
      <c r="H66" s="1455"/>
    </row>
    <row r="67" spans="1:8">
      <c r="A67" s="1456" t="s">
        <v>893</v>
      </c>
      <c r="B67" s="1455"/>
      <c r="C67" s="1455"/>
      <c r="D67" s="1455"/>
      <c r="E67" s="1455"/>
      <c r="F67" s="1455"/>
      <c r="G67" s="1455"/>
      <c r="H67" s="1455"/>
    </row>
    <row r="68" spans="1:8">
      <c r="A68" s="1455"/>
      <c r="B68" s="1455"/>
      <c r="C68" s="1455"/>
      <c r="D68" s="1455"/>
      <c r="E68" s="1455"/>
      <c r="F68" s="1455"/>
      <c r="G68" s="1455"/>
      <c r="H68" s="1455"/>
    </row>
    <row r="69" spans="1:8">
      <c r="A69" s="1456" t="s">
        <v>890</v>
      </c>
      <c r="B69" s="1455"/>
      <c r="C69" s="1455"/>
      <c r="D69" s="1455"/>
      <c r="E69" s="1455"/>
      <c r="F69" s="1455"/>
      <c r="G69" s="1455"/>
      <c r="H69" s="1455"/>
    </row>
    <row r="70" spans="1:8">
      <c r="A70" s="1456" t="s">
        <v>891</v>
      </c>
      <c r="B70" s="1455"/>
      <c r="C70" s="1455"/>
      <c r="D70" s="1455"/>
      <c r="E70" s="1455"/>
      <c r="F70" s="1455"/>
      <c r="G70" s="1455"/>
      <c r="H70" s="1455"/>
    </row>
    <row r="71" spans="1:8">
      <c r="A71" s="1455"/>
      <c r="B71" s="1455"/>
      <c r="C71" s="1455"/>
      <c r="D71" s="1455"/>
      <c r="E71" s="1455"/>
      <c r="F71" s="1455"/>
      <c r="G71" s="1455"/>
      <c r="H71" s="1455"/>
    </row>
    <row r="72" spans="1:8">
      <c r="A72" s="1456" t="s">
        <v>888</v>
      </c>
      <c r="B72" s="1455"/>
      <c r="C72" s="1455"/>
      <c r="D72" s="1455"/>
      <c r="E72" s="1455"/>
      <c r="F72" s="1455"/>
      <c r="G72" s="1455"/>
      <c r="H72" s="1455"/>
    </row>
    <row r="73" spans="1:8">
      <c r="A73" s="1456" t="s">
        <v>889</v>
      </c>
      <c r="B73" s="1455"/>
      <c r="C73" s="1455"/>
      <c r="D73" s="1455"/>
      <c r="E73" s="1455"/>
      <c r="F73" s="1455"/>
      <c r="G73" s="1455"/>
      <c r="H73" s="1455"/>
    </row>
    <row r="74" spans="1:8">
      <c r="A74" s="1455"/>
      <c r="B74" s="1455"/>
      <c r="C74" s="1455"/>
      <c r="D74" s="1455"/>
      <c r="E74" s="1455"/>
      <c r="F74" s="1455"/>
      <c r="G74" s="1455"/>
      <c r="H74" s="1455"/>
    </row>
    <row r="75" spans="1:8">
      <c r="A75" s="1456" t="s">
        <v>886</v>
      </c>
      <c r="B75" s="1455"/>
      <c r="C75" s="1455"/>
      <c r="D75" s="1455"/>
      <c r="E75" s="1455"/>
      <c r="F75" s="1455"/>
      <c r="G75" s="1455"/>
      <c r="H75" s="1455"/>
    </row>
    <row r="76" spans="1:8">
      <c r="A76" s="1456" t="s">
        <v>887</v>
      </c>
      <c r="B76" s="1455"/>
      <c r="C76" s="1455"/>
      <c r="D76" s="1455"/>
      <c r="E76" s="1455"/>
      <c r="F76" s="1455"/>
      <c r="G76" s="1455"/>
      <c r="H76" s="1455"/>
    </row>
    <row r="77" spans="1:8">
      <c r="A77" s="1455"/>
      <c r="B77" s="1455"/>
      <c r="C77" s="1455"/>
      <c r="D77" s="1455"/>
      <c r="E77" s="1455"/>
      <c r="F77" s="1455"/>
      <c r="G77" s="1455"/>
      <c r="H77" s="1455"/>
    </row>
    <row r="78" spans="1:8">
      <c r="A78" s="1456" t="s">
        <v>883</v>
      </c>
      <c r="B78" s="1455"/>
      <c r="C78" s="1455"/>
      <c r="D78" s="1455"/>
      <c r="E78" s="1455"/>
      <c r="F78" s="1455"/>
      <c r="G78" s="1455"/>
      <c r="H78" s="1455"/>
    </row>
    <row r="79" spans="1:8">
      <c r="A79" s="1456" t="s">
        <v>884</v>
      </c>
      <c r="B79" s="1455"/>
      <c r="C79" s="1455"/>
      <c r="D79" s="1455"/>
      <c r="E79" s="1455"/>
      <c r="F79" s="1455"/>
      <c r="G79" s="1455"/>
      <c r="H79" s="1455"/>
    </row>
    <row r="80" spans="1:8">
      <c r="A80" s="1456" t="s">
        <v>885</v>
      </c>
      <c r="B80" s="1455"/>
      <c r="C80" s="1455"/>
      <c r="D80" s="1455"/>
      <c r="E80" s="1455"/>
      <c r="F80" s="1455"/>
      <c r="G80" s="1455"/>
      <c r="H80" s="1455"/>
    </row>
    <row r="81" spans="1:8">
      <c r="A81" s="1455"/>
      <c r="B81" s="1455"/>
      <c r="C81" s="1455"/>
      <c r="D81" s="1455"/>
      <c r="E81" s="1455"/>
      <c r="F81" s="1455"/>
      <c r="G81" s="1455"/>
      <c r="H81" s="1455"/>
    </row>
    <row r="82" spans="1:8">
      <c r="A82" s="1456" t="s">
        <v>640</v>
      </c>
      <c r="B82" s="1455"/>
      <c r="C82" s="1455"/>
      <c r="D82" s="1455"/>
      <c r="E82" s="1455"/>
      <c r="F82" s="1455"/>
      <c r="G82" s="1455"/>
      <c r="H82" s="1455"/>
    </row>
    <row r="83" spans="1:8">
      <c r="A83" s="1455"/>
      <c r="B83" s="1455"/>
      <c r="C83" s="1455"/>
      <c r="D83" s="1455"/>
      <c r="E83" s="1455"/>
      <c r="F83" s="1455"/>
      <c r="G83" s="1455"/>
      <c r="H83" s="1455"/>
    </row>
    <row r="84" spans="1:8">
      <c r="A84" s="1456" t="s">
        <v>878</v>
      </c>
      <c r="B84" s="1455"/>
      <c r="C84" s="1455"/>
      <c r="D84" s="1455"/>
      <c r="E84" s="1455"/>
      <c r="F84" s="1455"/>
      <c r="G84" s="1455"/>
      <c r="H84" s="1455"/>
    </row>
    <row r="85" spans="1:8">
      <c r="A85" s="1456" t="s">
        <v>879</v>
      </c>
      <c r="B85" s="1455"/>
      <c r="C85" s="1455"/>
      <c r="D85" s="1455"/>
      <c r="E85" s="1455"/>
      <c r="F85" s="1455"/>
      <c r="G85" s="1455"/>
      <c r="H85" s="1455"/>
    </row>
    <row r="86" spans="1:8">
      <c r="A86" s="1456" t="s">
        <v>880</v>
      </c>
      <c r="B86" s="1455"/>
      <c r="C86" s="1455"/>
      <c r="D86" s="1455"/>
      <c r="E86" s="1455"/>
      <c r="F86" s="1455"/>
      <c r="G86" s="1455"/>
      <c r="H86" s="1455"/>
    </row>
    <row r="87" spans="1:8">
      <c r="A87" s="1456" t="s">
        <v>881</v>
      </c>
      <c r="B87" s="1455"/>
      <c r="C87" s="1455"/>
      <c r="D87" s="1455"/>
      <c r="E87" s="1455"/>
      <c r="F87" s="1455"/>
      <c r="G87" s="1455"/>
      <c r="H87" s="1455"/>
    </row>
    <row r="88" spans="1:8">
      <c r="A88" s="1456" t="s">
        <v>882</v>
      </c>
      <c r="B88" s="1455"/>
      <c r="C88" s="1455"/>
      <c r="D88" s="1455"/>
      <c r="E88" s="1455"/>
      <c r="F88" s="1455"/>
      <c r="G88" s="1455"/>
      <c r="H88" s="1455"/>
    </row>
    <row r="89" spans="1:8">
      <c r="A89" s="1456" t="s">
        <v>765</v>
      </c>
      <c r="B89" s="1455"/>
      <c r="C89" s="1455"/>
      <c r="D89" s="1455"/>
      <c r="E89" s="1455"/>
      <c r="F89" s="1455"/>
      <c r="G89" s="1455"/>
      <c r="H89" s="1455"/>
    </row>
    <row r="90" spans="1:8">
      <c r="A90" s="1455"/>
      <c r="B90" s="1455"/>
      <c r="C90" s="1455"/>
      <c r="D90" s="1455"/>
      <c r="E90" s="1455"/>
      <c r="F90" s="1455"/>
      <c r="G90" s="1455"/>
      <c r="H90" s="1455"/>
    </row>
    <row r="91" spans="1:8">
      <c r="A91" s="1456" t="s">
        <v>871</v>
      </c>
      <c r="B91" s="1455"/>
      <c r="C91" s="1455"/>
      <c r="D91" s="1455"/>
      <c r="E91" s="1455"/>
      <c r="F91" s="1455"/>
      <c r="G91" s="1455"/>
      <c r="H91" s="1455"/>
    </row>
    <row r="92" spans="1:8">
      <c r="A92" s="1456" t="s">
        <v>872</v>
      </c>
      <c r="B92" s="1455"/>
      <c r="C92" s="1455"/>
      <c r="D92" s="1455"/>
      <c r="E92" s="1455"/>
      <c r="F92" s="1455"/>
      <c r="G92" s="1455"/>
      <c r="H92" s="1455"/>
    </row>
    <row r="93" spans="1:8">
      <c r="A93" s="1456" t="s">
        <v>873</v>
      </c>
      <c r="B93" s="1455"/>
      <c r="C93" s="1455"/>
      <c r="D93" s="1455"/>
      <c r="E93" s="1455"/>
      <c r="F93" s="1455"/>
      <c r="G93" s="1455"/>
      <c r="H93" s="1455"/>
    </row>
    <row r="94" spans="1:8">
      <c r="A94" s="1456" t="s">
        <v>874</v>
      </c>
      <c r="B94" s="1455"/>
      <c r="C94" s="1455"/>
      <c r="D94" s="1455"/>
      <c r="E94" s="1455"/>
      <c r="F94" s="1455"/>
      <c r="G94" s="1455"/>
      <c r="H94" s="1455"/>
    </row>
    <row r="95" spans="1:8">
      <c r="A95" s="1456" t="s">
        <v>875</v>
      </c>
      <c r="B95" s="1455"/>
      <c r="C95" s="1455"/>
      <c r="D95" s="1455"/>
      <c r="E95" s="1455"/>
      <c r="F95" s="1455"/>
      <c r="G95" s="1455"/>
      <c r="H95" s="1455"/>
    </row>
    <row r="96" spans="1:8">
      <c r="A96" s="1456" t="s">
        <v>876</v>
      </c>
      <c r="B96" s="1455"/>
      <c r="C96" s="1455"/>
      <c r="D96" s="1455"/>
      <c r="E96" s="1455"/>
      <c r="F96" s="1455"/>
      <c r="G96" s="1455"/>
      <c r="H96" s="1455"/>
    </row>
    <row r="97" spans="1:8">
      <c r="A97" s="1456" t="s">
        <v>877</v>
      </c>
      <c r="B97" s="1455"/>
      <c r="C97" s="1455"/>
      <c r="D97" s="1455"/>
      <c r="E97" s="1455"/>
      <c r="F97" s="1455"/>
      <c r="G97" s="1455"/>
      <c r="H97" s="1455"/>
    </row>
    <row r="98" spans="1:8">
      <c r="A98" s="1455"/>
      <c r="B98" s="1455"/>
      <c r="C98" s="1455"/>
      <c r="D98" s="1455"/>
      <c r="E98" s="1455"/>
      <c r="F98" s="1455"/>
      <c r="G98" s="1455"/>
      <c r="H98" s="1455"/>
    </row>
    <row r="99" spans="1:8">
      <c r="A99" s="1456" t="s">
        <v>869</v>
      </c>
      <c r="B99" s="1455"/>
      <c r="C99" s="1455"/>
      <c r="D99" s="1455"/>
      <c r="E99" s="1455"/>
      <c r="F99" s="1455"/>
      <c r="G99" s="1455"/>
      <c r="H99" s="1455"/>
    </row>
    <row r="100" spans="1:8">
      <c r="A100" s="1456" t="s">
        <v>870</v>
      </c>
      <c r="B100" s="1455"/>
      <c r="C100" s="1455"/>
      <c r="D100" s="1455"/>
      <c r="E100" s="1455"/>
      <c r="F100" s="1455"/>
      <c r="G100" s="1455"/>
      <c r="H100" s="1455"/>
    </row>
    <row r="101" spans="1:8">
      <c r="A101" s="1455"/>
      <c r="B101" s="1455"/>
      <c r="C101" s="1455"/>
      <c r="D101" s="1455"/>
      <c r="E101" s="1455"/>
      <c r="F101" s="1455"/>
      <c r="G101" s="1455"/>
      <c r="H101" s="1455"/>
    </row>
    <row r="102" spans="1:8" ht="15.75">
      <c r="A102" s="1457" t="s">
        <v>641</v>
      </c>
      <c r="B102" s="1455"/>
      <c r="C102" s="1455"/>
      <c r="D102" s="1455"/>
      <c r="E102" s="1455"/>
      <c r="F102" s="1455"/>
      <c r="G102" s="1455"/>
      <c r="H102" s="1455"/>
    </row>
    <row r="103" spans="1:8">
      <c r="A103" s="1455"/>
      <c r="B103" s="1455"/>
      <c r="C103" s="1455"/>
      <c r="D103" s="1455"/>
      <c r="E103" s="1455"/>
      <c r="F103" s="1455"/>
      <c r="G103" s="1455"/>
      <c r="H103" s="1455"/>
    </row>
    <row r="104" spans="1:8">
      <c r="A104" s="1456" t="s">
        <v>860</v>
      </c>
      <c r="B104" s="1455"/>
      <c r="C104" s="1455"/>
      <c r="D104" s="1455"/>
      <c r="E104" s="1455"/>
      <c r="F104" s="1455"/>
      <c r="G104" s="1455"/>
      <c r="H104" s="1455"/>
    </row>
    <row r="105" spans="1:8">
      <c r="A105" s="1456" t="s">
        <v>861</v>
      </c>
      <c r="B105" s="1455"/>
      <c r="C105" s="1455"/>
      <c r="D105" s="1455"/>
      <c r="E105" s="1455"/>
      <c r="F105" s="1455"/>
      <c r="G105" s="1455"/>
      <c r="H105" s="1455"/>
    </row>
    <row r="106" spans="1:8">
      <c r="A106" s="1456" t="s">
        <v>862</v>
      </c>
      <c r="B106" s="1455"/>
      <c r="C106" s="1455"/>
      <c r="D106" s="1455"/>
      <c r="E106" s="1455"/>
      <c r="F106" s="1455"/>
      <c r="G106" s="1455"/>
      <c r="H106" s="1455"/>
    </row>
    <row r="107" spans="1:8">
      <c r="A107" s="1456" t="s">
        <v>863</v>
      </c>
      <c r="B107" s="1455"/>
      <c r="C107" s="1455"/>
      <c r="D107" s="1455"/>
      <c r="E107" s="1455"/>
      <c r="F107" s="1455"/>
      <c r="G107" s="1455"/>
      <c r="H107" s="1455"/>
    </row>
    <row r="108" spans="1:8">
      <c r="A108" s="1456" t="s">
        <v>864</v>
      </c>
      <c r="B108" s="1455"/>
      <c r="C108" s="1455"/>
      <c r="D108" s="1455"/>
      <c r="E108" s="1455"/>
      <c r="F108" s="1455"/>
      <c r="G108" s="1455"/>
      <c r="H108" s="1455"/>
    </row>
    <row r="109" spans="1:8">
      <c r="A109" s="1456" t="s">
        <v>865</v>
      </c>
      <c r="B109" s="1455"/>
      <c r="C109" s="1455"/>
      <c r="D109" s="1455"/>
      <c r="E109" s="1455"/>
      <c r="F109" s="1455"/>
      <c r="G109" s="1455"/>
      <c r="H109" s="1455"/>
    </row>
    <row r="110" spans="1:8">
      <c r="A110" s="1456" t="s">
        <v>866</v>
      </c>
      <c r="B110" s="1455"/>
      <c r="C110" s="1455"/>
      <c r="D110" s="1455"/>
      <c r="E110" s="1455"/>
      <c r="F110" s="1455"/>
      <c r="G110" s="1455"/>
      <c r="H110" s="1455"/>
    </row>
    <row r="111" spans="1:8">
      <c r="A111" s="1456" t="s">
        <v>867</v>
      </c>
      <c r="B111" s="1455"/>
      <c r="C111" s="1455"/>
      <c r="D111" s="1455"/>
      <c r="E111" s="1455"/>
      <c r="F111" s="1455"/>
      <c r="G111" s="1455"/>
      <c r="H111" s="1455"/>
    </row>
    <row r="112" spans="1:8">
      <c r="A112" s="1456" t="s">
        <v>868</v>
      </c>
      <c r="B112" s="1455"/>
      <c r="C112" s="1455"/>
      <c r="D112" s="1455"/>
      <c r="E112" s="1455"/>
      <c r="F112" s="1455"/>
      <c r="G112" s="1455"/>
      <c r="H112" s="1455"/>
    </row>
    <row r="113" spans="1:8">
      <c r="A113" s="1455"/>
      <c r="B113" s="1455"/>
      <c r="C113" s="1455"/>
      <c r="D113" s="1455"/>
      <c r="E113" s="1455"/>
      <c r="F113" s="1455"/>
      <c r="G113" s="1455"/>
      <c r="H113" s="1455"/>
    </row>
    <row r="114" spans="1:8" ht="15.75">
      <c r="A114" s="1472" t="s">
        <v>642</v>
      </c>
      <c r="B114" s="1472"/>
      <c r="C114" s="1472"/>
      <c r="D114" s="1472"/>
      <c r="E114" s="1472"/>
      <c r="F114" s="1472"/>
      <c r="G114" s="1472"/>
      <c r="H114" s="1472"/>
    </row>
    <row r="115" spans="1:8">
      <c r="A115" s="1468" t="s">
        <v>643</v>
      </c>
      <c r="B115" s="1468"/>
      <c r="C115" s="1468"/>
      <c r="D115" s="1468"/>
      <c r="E115" s="1468"/>
      <c r="F115" s="1468"/>
      <c r="G115" s="1468"/>
      <c r="H115" s="1468"/>
    </row>
    <row r="116" spans="1:8">
      <c r="A116" s="1473"/>
      <c r="B116" s="1473"/>
      <c r="C116" s="1473"/>
      <c r="D116" s="1473"/>
      <c r="E116" s="1473"/>
      <c r="F116" s="1473"/>
      <c r="G116" s="1473"/>
      <c r="H116" s="1473"/>
    </row>
    <row r="117" spans="1:8">
      <c r="A117" s="1468" t="s">
        <v>858</v>
      </c>
      <c r="B117" s="1468"/>
      <c r="C117" s="1468"/>
      <c r="D117" s="1468"/>
      <c r="E117" s="1468"/>
      <c r="F117" s="1468"/>
      <c r="G117" s="1468"/>
      <c r="H117" s="1468"/>
    </row>
    <row r="118" spans="1:8">
      <c r="A118" s="1456" t="s">
        <v>859</v>
      </c>
      <c r="B118" s="1456"/>
      <c r="C118" s="1456"/>
      <c r="D118" s="1456"/>
      <c r="E118" s="1456"/>
      <c r="F118" s="1456"/>
      <c r="G118" s="1456"/>
      <c r="H118" s="1456"/>
    </row>
    <row r="119" spans="1:8">
      <c r="A119" s="1473"/>
      <c r="B119" s="1473"/>
      <c r="C119" s="1473"/>
      <c r="D119" s="1473"/>
      <c r="E119" s="1473"/>
      <c r="F119" s="1473"/>
      <c r="G119" s="1473"/>
      <c r="H119" s="1473"/>
    </row>
    <row r="120" spans="1:8">
      <c r="A120" s="1468" t="s">
        <v>851</v>
      </c>
      <c r="B120" s="1468"/>
      <c r="C120" s="1468"/>
      <c r="D120" s="1468"/>
      <c r="E120" s="1468"/>
      <c r="F120" s="1468"/>
      <c r="G120" s="1468"/>
      <c r="H120" s="1468"/>
    </row>
    <row r="121" spans="1:8">
      <c r="A121" s="1456" t="s">
        <v>852</v>
      </c>
      <c r="B121" s="1456"/>
      <c r="C121" s="1456"/>
      <c r="D121" s="1456"/>
      <c r="E121" s="1456"/>
      <c r="F121" s="1456"/>
      <c r="G121" s="1456"/>
      <c r="H121" s="1456"/>
    </row>
    <row r="122" spans="1:8">
      <c r="A122" s="1456" t="s">
        <v>853</v>
      </c>
      <c r="B122" s="1456"/>
      <c r="C122" s="1456"/>
      <c r="D122" s="1456"/>
      <c r="E122" s="1456"/>
      <c r="F122" s="1456"/>
      <c r="G122" s="1456"/>
      <c r="H122" s="1456"/>
    </row>
    <row r="123" spans="1:8">
      <c r="A123" s="1456" t="s">
        <v>854</v>
      </c>
      <c r="B123" s="1456"/>
      <c r="C123" s="1456"/>
      <c r="D123" s="1456"/>
      <c r="E123" s="1456"/>
      <c r="F123" s="1456"/>
      <c r="G123" s="1456"/>
      <c r="H123" s="1456"/>
    </row>
    <row r="124" spans="1:8">
      <c r="A124" s="1456" t="s">
        <v>855</v>
      </c>
      <c r="B124" s="1456"/>
      <c r="C124" s="1456"/>
      <c r="D124" s="1456"/>
      <c r="E124" s="1456"/>
      <c r="F124" s="1456"/>
      <c r="G124" s="1456"/>
      <c r="H124" s="1456"/>
    </row>
    <row r="125" spans="1:8">
      <c r="A125" s="1456" t="s">
        <v>856</v>
      </c>
      <c r="B125" s="1456"/>
      <c r="C125" s="1456"/>
      <c r="D125" s="1456"/>
      <c r="E125" s="1456"/>
      <c r="F125" s="1456"/>
      <c r="G125" s="1456"/>
      <c r="H125" s="1456"/>
    </row>
    <row r="126" spans="1:8">
      <c r="A126" s="1456" t="s">
        <v>857</v>
      </c>
      <c r="B126" s="1456"/>
      <c r="C126" s="1456"/>
      <c r="D126" s="1456"/>
      <c r="E126" s="1456"/>
      <c r="F126" s="1456"/>
      <c r="G126" s="1456"/>
      <c r="H126" s="1456"/>
    </row>
    <row r="127" spans="1:8">
      <c r="A127" s="1474"/>
      <c r="B127" s="1474"/>
      <c r="C127" s="1474"/>
      <c r="D127" s="1474"/>
      <c r="E127" s="1474"/>
      <c r="F127" s="1474"/>
      <c r="G127" s="1474"/>
      <c r="H127" s="1474"/>
    </row>
    <row r="128" spans="1:8">
      <c r="A128" s="1458"/>
      <c r="B128" s="1469" t="s">
        <v>644</v>
      </c>
      <c r="C128" s="1470"/>
      <c r="D128" s="1469" t="s">
        <v>645</v>
      </c>
      <c r="E128" s="1471"/>
      <c r="F128" s="1470"/>
      <c r="G128" s="1469" t="s">
        <v>646</v>
      </c>
      <c r="H128" s="1470"/>
    </row>
    <row r="129" spans="1:8">
      <c r="A129" s="1458" t="s">
        <v>647</v>
      </c>
      <c r="B129" s="1458" t="s">
        <v>361</v>
      </c>
      <c r="C129" s="1458" t="s">
        <v>191</v>
      </c>
      <c r="D129" s="1458" t="s">
        <v>361</v>
      </c>
      <c r="E129" s="1458" t="s">
        <v>648</v>
      </c>
      <c r="F129" s="1458" t="s">
        <v>649</v>
      </c>
      <c r="G129" s="1458" t="s">
        <v>361</v>
      </c>
      <c r="H129" s="1458" t="s">
        <v>650</v>
      </c>
    </row>
    <row r="130" spans="1:8">
      <c r="A130" s="1458" t="s">
        <v>651</v>
      </c>
      <c r="B130" s="1458">
        <v>1175</v>
      </c>
      <c r="C130" s="1459">
        <v>0.37</v>
      </c>
      <c r="D130" s="1458">
        <v>315</v>
      </c>
      <c r="E130" s="1459">
        <v>0.41</v>
      </c>
      <c r="F130" s="1459">
        <v>0.27</v>
      </c>
      <c r="G130" s="1458">
        <v>555</v>
      </c>
      <c r="H130" s="1459">
        <v>0.39</v>
      </c>
    </row>
    <row r="131" spans="1:8">
      <c r="A131" s="1458" t="s">
        <v>652</v>
      </c>
      <c r="B131" s="1458">
        <v>1369</v>
      </c>
      <c r="C131" s="1459">
        <v>0.43</v>
      </c>
      <c r="D131" s="1458">
        <v>357</v>
      </c>
      <c r="E131" s="1459">
        <v>0.47</v>
      </c>
      <c r="F131" s="1459">
        <v>0.26</v>
      </c>
      <c r="G131" s="1458">
        <v>643</v>
      </c>
      <c r="H131" s="1459">
        <v>0.45</v>
      </c>
    </row>
    <row r="132" spans="1:8">
      <c r="A132" s="1458" t="s">
        <v>653</v>
      </c>
      <c r="B132" s="1458">
        <v>53</v>
      </c>
      <c r="C132" s="1459">
        <v>0.02</v>
      </c>
      <c r="D132" s="1458">
        <v>5</v>
      </c>
      <c r="E132" s="1459">
        <v>0.01</v>
      </c>
      <c r="F132" s="1459">
        <v>0.09</v>
      </c>
      <c r="G132" s="1458">
        <v>7</v>
      </c>
      <c r="H132" s="1459">
        <v>0</v>
      </c>
    </row>
    <row r="133" spans="1:8">
      <c r="A133" s="1458" t="s">
        <v>654</v>
      </c>
      <c r="B133" s="1458">
        <v>552</v>
      </c>
      <c r="C133" s="1459">
        <v>0.18</v>
      </c>
      <c r="D133" s="1458">
        <v>87</v>
      </c>
      <c r="E133" s="1459">
        <v>0.11</v>
      </c>
      <c r="F133" s="1459">
        <v>0.16</v>
      </c>
      <c r="G133" s="1458">
        <v>222</v>
      </c>
      <c r="H133" s="1459">
        <v>0.16</v>
      </c>
    </row>
    <row r="134" spans="1:8">
      <c r="A134" s="1458" t="s">
        <v>411</v>
      </c>
      <c r="B134" s="1460">
        <v>3149</v>
      </c>
      <c r="C134" s="1458"/>
      <c r="D134" s="1458">
        <v>764</v>
      </c>
      <c r="E134" s="1458"/>
      <c r="F134" s="1458"/>
      <c r="G134" s="1458">
        <v>1427</v>
      </c>
      <c r="H134" s="1458"/>
    </row>
    <row r="135" spans="1:8">
      <c r="A135" s="1467"/>
      <c r="B135" s="1467"/>
      <c r="C135" s="1467"/>
      <c r="D135" s="1467"/>
      <c r="E135" s="1467"/>
      <c r="F135" s="1467"/>
      <c r="G135" s="1467"/>
      <c r="H135" s="1467"/>
    </row>
    <row r="136" spans="1:8">
      <c r="A136" s="1468" t="s">
        <v>847</v>
      </c>
      <c r="B136" s="1468"/>
      <c r="C136" s="1468"/>
      <c r="D136" s="1468"/>
      <c r="E136" s="1468"/>
      <c r="F136" s="1468"/>
      <c r="G136" s="1468"/>
      <c r="H136" s="1468"/>
    </row>
    <row r="137" spans="1:8">
      <c r="A137" s="1456" t="s">
        <v>848</v>
      </c>
      <c r="B137" s="1456"/>
      <c r="C137" s="1456"/>
      <c r="D137" s="1456"/>
      <c r="E137" s="1456"/>
      <c r="F137" s="1456"/>
      <c r="G137" s="1456"/>
      <c r="H137" s="1456"/>
    </row>
    <row r="138" spans="1:8">
      <c r="A138" s="1456" t="s">
        <v>849</v>
      </c>
      <c r="B138" s="1456"/>
      <c r="C138" s="1456"/>
      <c r="D138" s="1456"/>
      <c r="E138" s="1456"/>
      <c r="F138" s="1456"/>
      <c r="G138" s="1456"/>
      <c r="H138" s="1456"/>
    </row>
    <row r="139" spans="1:8">
      <c r="A139" s="1456" t="s">
        <v>850</v>
      </c>
      <c r="B139" s="1456"/>
      <c r="C139" s="1456"/>
      <c r="D139" s="1456"/>
      <c r="E139" s="1456"/>
      <c r="F139" s="1456"/>
      <c r="G139" s="1456"/>
      <c r="H139" s="1456"/>
    </row>
    <row r="140" spans="1:8">
      <c r="A140" s="1455"/>
      <c r="B140" s="1455"/>
      <c r="C140" s="1455"/>
      <c r="D140" s="1455"/>
      <c r="E140" s="1455"/>
      <c r="F140" s="1455"/>
      <c r="G140" s="1455"/>
      <c r="H140" s="1455"/>
    </row>
    <row r="141" spans="1:8" ht="15.75">
      <c r="A141" s="1457" t="s">
        <v>655</v>
      </c>
      <c r="B141" s="1455"/>
      <c r="C141" s="1455"/>
      <c r="D141" s="1455"/>
      <c r="E141" s="1455"/>
      <c r="F141" s="1455"/>
      <c r="G141" s="1455"/>
      <c r="H141" s="1455"/>
    </row>
    <row r="142" spans="1:8">
      <c r="A142" s="1455"/>
      <c r="B142" s="1455"/>
      <c r="C142" s="1455"/>
      <c r="D142" s="1455"/>
      <c r="E142" s="1455"/>
      <c r="F142" s="1455"/>
      <c r="G142" s="1455"/>
      <c r="H142" s="1455"/>
    </row>
    <row r="143" spans="1:8">
      <c r="A143" s="1456" t="s">
        <v>845</v>
      </c>
      <c r="B143" s="1455"/>
      <c r="C143" s="1455"/>
      <c r="D143" s="1455"/>
      <c r="E143" s="1455"/>
      <c r="F143" s="1455"/>
      <c r="G143" s="1455"/>
      <c r="H143" s="1455"/>
    </row>
    <row r="144" spans="1:8">
      <c r="A144" s="1456" t="s">
        <v>846</v>
      </c>
      <c r="B144" s="1455"/>
      <c r="C144" s="1455"/>
      <c r="D144" s="1455"/>
      <c r="E144" s="1455"/>
      <c r="F144" s="1455"/>
      <c r="G144" s="1455"/>
      <c r="H144" s="1455"/>
    </row>
    <row r="145" spans="1:8">
      <c r="A145" s="1455"/>
      <c r="B145" s="1455"/>
      <c r="C145" s="1455"/>
      <c r="D145" s="1455"/>
      <c r="E145" s="1455"/>
      <c r="F145" s="1455"/>
      <c r="G145" s="1455"/>
      <c r="H145" s="1455"/>
    </row>
    <row r="146" spans="1:8">
      <c r="A146" s="1456" t="s">
        <v>842</v>
      </c>
      <c r="B146" s="1455"/>
      <c r="C146" s="1455"/>
      <c r="D146" s="1455"/>
      <c r="E146" s="1455"/>
      <c r="F146" s="1455"/>
      <c r="G146" s="1455"/>
      <c r="H146" s="1455"/>
    </row>
    <row r="147" spans="1:8">
      <c r="A147" s="1456" t="s">
        <v>843</v>
      </c>
      <c r="B147" s="1455"/>
      <c r="C147" s="1455"/>
      <c r="D147" s="1455"/>
      <c r="E147" s="1455"/>
      <c r="F147" s="1455"/>
      <c r="G147" s="1455"/>
      <c r="H147" s="1455"/>
    </row>
    <row r="148" spans="1:8">
      <c r="A148" s="1456" t="s">
        <v>844</v>
      </c>
      <c r="B148" s="1455"/>
      <c r="C148" s="1455"/>
      <c r="D148" s="1455"/>
      <c r="E148" s="1455"/>
      <c r="F148" s="1455"/>
      <c r="G148" s="1455"/>
      <c r="H148" s="1455"/>
    </row>
    <row r="149" spans="1:8">
      <c r="A149" s="1455"/>
      <c r="B149" s="1455"/>
      <c r="C149" s="1455"/>
      <c r="D149" s="1455"/>
      <c r="E149" s="1455"/>
      <c r="F149" s="1455"/>
      <c r="G149" s="1455"/>
      <c r="H149" s="1455"/>
    </row>
    <row r="150" spans="1:8">
      <c r="A150" s="1456" t="s">
        <v>839</v>
      </c>
      <c r="B150" s="1455"/>
      <c r="C150" s="1455"/>
      <c r="D150" s="1455"/>
      <c r="E150" s="1455"/>
      <c r="F150" s="1455"/>
      <c r="G150" s="1455"/>
      <c r="H150" s="1455"/>
    </row>
    <row r="151" spans="1:8">
      <c r="A151" s="1456" t="s">
        <v>840</v>
      </c>
      <c r="B151" s="1455"/>
      <c r="C151" s="1455"/>
      <c r="D151" s="1455"/>
      <c r="E151" s="1455"/>
      <c r="F151" s="1455"/>
      <c r="G151" s="1455"/>
      <c r="H151" s="1455"/>
    </row>
    <row r="152" spans="1:8">
      <c r="A152" s="1456" t="s">
        <v>841</v>
      </c>
      <c r="B152" s="1455"/>
      <c r="C152" s="1455"/>
      <c r="D152" s="1455"/>
      <c r="E152" s="1455"/>
      <c r="F152" s="1455"/>
      <c r="G152" s="1455"/>
      <c r="H152" s="1455"/>
    </row>
    <row r="153" spans="1:8">
      <c r="A153" s="1455"/>
      <c r="B153" s="1455"/>
      <c r="C153" s="1455"/>
      <c r="D153" s="1455"/>
      <c r="E153" s="1455"/>
      <c r="F153" s="1455"/>
      <c r="G153" s="1455"/>
      <c r="H153" s="1455"/>
    </row>
    <row r="154" spans="1:8">
      <c r="A154" s="1456" t="s">
        <v>836</v>
      </c>
      <c r="B154" s="1455"/>
      <c r="C154" s="1455"/>
      <c r="D154" s="1455"/>
      <c r="E154" s="1455"/>
      <c r="F154" s="1455"/>
      <c r="G154" s="1455"/>
      <c r="H154" s="1455"/>
    </row>
    <row r="155" spans="1:8">
      <c r="A155" s="1456" t="s">
        <v>837</v>
      </c>
      <c r="B155" s="1455"/>
      <c r="C155" s="1455"/>
      <c r="D155" s="1455"/>
      <c r="E155" s="1455"/>
      <c r="F155" s="1455"/>
      <c r="G155" s="1455"/>
      <c r="H155" s="1455"/>
    </row>
    <row r="156" spans="1:8">
      <c r="A156" s="1456" t="s">
        <v>838</v>
      </c>
      <c r="B156" s="1455"/>
      <c r="C156" s="1455"/>
      <c r="D156" s="1455"/>
      <c r="E156" s="1455"/>
      <c r="F156" s="1455"/>
      <c r="G156" s="1455"/>
      <c r="H156" s="1455"/>
    </row>
    <row r="157" spans="1:8">
      <c r="A157" s="1455"/>
      <c r="B157" s="1455"/>
      <c r="C157" s="1455"/>
      <c r="D157" s="1455"/>
      <c r="E157" s="1455"/>
      <c r="F157" s="1455"/>
      <c r="G157" s="1455"/>
      <c r="H157" s="1455"/>
    </row>
    <row r="158" spans="1:8">
      <c r="A158" s="1456" t="s">
        <v>834</v>
      </c>
      <c r="B158" s="1455"/>
      <c r="C158" s="1455"/>
      <c r="D158" s="1455"/>
      <c r="E158" s="1455"/>
      <c r="F158" s="1455"/>
      <c r="G158" s="1455"/>
      <c r="H158" s="1455"/>
    </row>
    <row r="159" spans="1:8">
      <c r="A159" s="1456" t="s">
        <v>835</v>
      </c>
      <c r="B159" s="1455"/>
      <c r="C159" s="1455"/>
      <c r="D159" s="1455"/>
      <c r="E159" s="1455"/>
      <c r="F159" s="1455"/>
      <c r="G159" s="1455"/>
      <c r="H159" s="1455"/>
    </row>
    <row r="160" spans="1:8">
      <c r="A160" s="1455"/>
      <c r="B160" s="1455"/>
      <c r="C160" s="1455"/>
      <c r="D160" s="1455"/>
      <c r="E160" s="1455"/>
      <c r="F160" s="1455"/>
      <c r="G160" s="1455"/>
      <c r="H160" s="1455"/>
    </row>
    <row r="161" spans="1:8" ht="15.75">
      <c r="A161" s="1457" t="s">
        <v>656</v>
      </c>
      <c r="B161" s="1455"/>
      <c r="C161" s="1455"/>
      <c r="D161" s="1455"/>
      <c r="E161" s="1455"/>
      <c r="F161" s="1455"/>
      <c r="G161" s="1455"/>
      <c r="H161" s="1455"/>
    </row>
    <row r="162" spans="1:8">
      <c r="A162" s="1455"/>
      <c r="B162" s="1455"/>
      <c r="C162" s="1455"/>
      <c r="D162" s="1455"/>
      <c r="E162" s="1455"/>
      <c r="F162" s="1455"/>
      <c r="G162" s="1455"/>
      <c r="H162" s="1455"/>
    </row>
    <row r="163" spans="1:8">
      <c r="A163" s="1456" t="s">
        <v>832</v>
      </c>
      <c r="B163" s="1455"/>
      <c r="C163" s="1455"/>
      <c r="D163" s="1455"/>
      <c r="E163" s="1455"/>
      <c r="F163" s="1455"/>
      <c r="G163" s="1455"/>
      <c r="H163" s="1455"/>
    </row>
    <row r="164" spans="1:8">
      <c r="A164" s="1456" t="s">
        <v>833</v>
      </c>
      <c r="B164" s="1455"/>
      <c r="C164" s="1455"/>
      <c r="D164" s="1455"/>
      <c r="E164" s="1455"/>
      <c r="F164" s="1455"/>
      <c r="G164" s="1455"/>
      <c r="H164" s="1455"/>
    </row>
    <row r="165" spans="1:8">
      <c r="A165" s="1455"/>
      <c r="B165" s="1455"/>
      <c r="C165" s="1455"/>
      <c r="D165" s="1455"/>
      <c r="E165" s="1455"/>
      <c r="F165" s="1455"/>
      <c r="G165" s="1455"/>
      <c r="H165" s="1455"/>
    </row>
    <row r="166" spans="1:8">
      <c r="A166" s="1456" t="s">
        <v>830</v>
      </c>
      <c r="B166" s="1455"/>
      <c r="C166" s="1455"/>
      <c r="D166" s="1455"/>
      <c r="E166" s="1455"/>
      <c r="F166" s="1455"/>
      <c r="G166" s="1455"/>
      <c r="H166" s="1455"/>
    </row>
    <row r="167" spans="1:8">
      <c r="A167" s="1456" t="s">
        <v>831</v>
      </c>
      <c r="B167" s="1455"/>
      <c r="C167" s="1455"/>
      <c r="D167" s="1455"/>
      <c r="E167" s="1455"/>
      <c r="F167" s="1455"/>
      <c r="G167" s="1455"/>
      <c r="H167" s="1455"/>
    </row>
    <row r="168" spans="1:8">
      <c r="A168" s="1455"/>
      <c r="B168" s="1455"/>
      <c r="C168" s="1455"/>
      <c r="D168" s="1455"/>
      <c r="E168" s="1455"/>
      <c r="F168" s="1455"/>
      <c r="G168" s="1455"/>
      <c r="H168" s="1455"/>
    </row>
    <row r="169" spans="1:8">
      <c r="A169" s="1456" t="s">
        <v>828</v>
      </c>
      <c r="B169" s="1455"/>
      <c r="C169" s="1455"/>
      <c r="D169" s="1455"/>
      <c r="E169" s="1455"/>
      <c r="F169" s="1455"/>
      <c r="G169" s="1455"/>
      <c r="H169" s="1455"/>
    </row>
    <row r="170" spans="1:8">
      <c r="A170" s="1456" t="s">
        <v>829</v>
      </c>
      <c r="B170" s="1455"/>
      <c r="C170" s="1455"/>
      <c r="D170" s="1455"/>
      <c r="E170" s="1455"/>
      <c r="F170" s="1455"/>
      <c r="G170" s="1455"/>
      <c r="H170" s="1455"/>
    </row>
    <row r="171" spans="1:8">
      <c r="A171" s="1455"/>
      <c r="B171" s="1455"/>
      <c r="C171" s="1455"/>
      <c r="D171" s="1455"/>
      <c r="E171" s="1455"/>
      <c r="F171" s="1455"/>
      <c r="G171" s="1455"/>
      <c r="H171" s="1455"/>
    </row>
    <row r="172" spans="1:8">
      <c r="A172" s="1456" t="s">
        <v>825</v>
      </c>
      <c r="B172" s="1455"/>
      <c r="C172" s="1455"/>
      <c r="D172" s="1455"/>
      <c r="E172" s="1455"/>
      <c r="F172" s="1455"/>
      <c r="G172" s="1455"/>
      <c r="H172" s="1455"/>
    </row>
    <row r="173" spans="1:8">
      <c r="A173" s="1456" t="s">
        <v>826</v>
      </c>
      <c r="B173" s="1455"/>
      <c r="C173" s="1455"/>
      <c r="D173" s="1455"/>
      <c r="E173" s="1455"/>
      <c r="F173" s="1455"/>
      <c r="G173" s="1455"/>
      <c r="H173" s="1455"/>
    </row>
    <row r="174" spans="1:8">
      <c r="A174" s="1456" t="s">
        <v>827</v>
      </c>
      <c r="B174" s="1455"/>
      <c r="C174" s="1455"/>
      <c r="D174" s="1455"/>
      <c r="E174" s="1455"/>
      <c r="F174" s="1455"/>
      <c r="G174" s="1455"/>
      <c r="H174" s="1455"/>
    </row>
    <row r="175" spans="1:8">
      <c r="A175" s="1455"/>
      <c r="B175" s="1455"/>
      <c r="C175" s="1455"/>
      <c r="D175" s="1455"/>
      <c r="E175" s="1455"/>
      <c r="F175" s="1455"/>
      <c r="G175" s="1455"/>
      <c r="H175" s="1455"/>
    </row>
    <row r="176" spans="1:8">
      <c r="A176" s="1455"/>
      <c r="B176" s="1455"/>
      <c r="C176" s="1455"/>
      <c r="D176" s="1455"/>
      <c r="E176" s="1455"/>
      <c r="F176" s="1455"/>
      <c r="G176" s="1455"/>
      <c r="H176" s="1455"/>
    </row>
    <row r="177" spans="1:8">
      <c r="A177" s="1456" t="s">
        <v>657</v>
      </c>
      <c r="B177" s="1455"/>
      <c r="C177" s="1455"/>
      <c r="D177" s="1455"/>
      <c r="E177" s="1455"/>
      <c r="F177" s="1455"/>
      <c r="G177" s="1455"/>
      <c r="H177" s="1455"/>
    </row>
    <row r="178" spans="1:8">
      <c r="A178" s="1455"/>
      <c r="B178" s="1455"/>
      <c r="C178" s="1455"/>
      <c r="D178" s="1455"/>
      <c r="E178" s="1455"/>
      <c r="F178" s="1455"/>
      <c r="G178" s="1455"/>
      <c r="H178" s="1455"/>
    </row>
    <row r="179" spans="1:8" ht="15.75">
      <c r="A179" s="1457" t="s">
        <v>658</v>
      </c>
      <c r="B179" s="1455"/>
      <c r="C179" s="1455"/>
      <c r="D179" s="1455"/>
      <c r="E179" s="1455"/>
      <c r="F179" s="1455"/>
      <c r="G179" s="1455"/>
      <c r="H179" s="1455"/>
    </row>
    <row r="180" spans="1:8">
      <c r="A180" s="1455"/>
      <c r="B180" s="1455"/>
      <c r="C180" s="1455"/>
      <c r="D180" s="1455"/>
      <c r="E180" s="1455"/>
      <c r="F180" s="1455"/>
      <c r="G180" s="1455"/>
      <c r="H180" s="1455"/>
    </row>
    <row r="181" spans="1:8">
      <c r="A181" s="1455"/>
      <c r="B181" s="1455"/>
      <c r="C181" s="1455"/>
      <c r="D181" s="1455"/>
      <c r="E181" s="1455"/>
      <c r="F181" s="1455"/>
      <c r="G181" s="1455"/>
      <c r="H181" s="1455"/>
    </row>
    <row r="182" spans="1:8">
      <c r="A182" s="1455"/>
      <c r="B182" s="1455"/>
      <c r="C182" s="1455"/>
      <c r="D182" s="1455"/>
      <c r="E182" s="1455"/>
      <c r="F182" s="1455"/>
      <c r="G182" s="1455"/>
      <c r="H182" s="1455"/>
    </row>
    <row r="183" spans="1:8">
      <c r="A183" s="1455"/>
      <c r="B183" s="1455"/>
      <c r="C183" s="1455"/>
      <c r="D183" s="1455"/>
      <c r="E183" s="1455"/>
      <c r="F183" s="1455"/>
      <c r="G183" s="1455"/>
      <c r="H183" s="1455"/>
    </row>
    <row r="184" spans="1:8">
      <c r="A184" s="1455"/>
      <c r="B184" s="1455"/>
      <c r="C184" s="1455"/>
      <c r="D184" s="1455"/>
      <c r="E184" s="1455"/>
      <c r="F184" s="1455"/>
      <c r="G184" s="1455"/>
      <c r="H184" s="1455"/>
    </row>
    <row r="185" spans="1:8">
      <c r="A185" s="1455"/>
      <c r="B185" s="1455"/>
      <c r="C185" s="1455"/>
      <c r="D185" s="1455"/>
      <c r="E185" s="1455"/>
      <c r="F185" s="1455"/>
      <c r="G185" s="1455"/>
      <c r="H185" s="1455"/>
    </row>
    <row r="186" spans="1:8">
      <c r="A186" s="1455"/>
      <c r="B186" s="1455"/>
      <c r="C186" s="1455"/>
      <c r="D186" s="1455"/>
      <c r="E186" s="1455"/>
      <c r="F186" s="1455"/>
      <c r="G186" s="1455"/>
      <c r="H186" s="1455"/>
    </row>
    <row r="187" spans="1:8">
      <c r="A187" s="1455"/>
      <c r="B187" s="1455"/>
      <c r="C187" s="1455"/>
      <c r="D187" s="1455"/>
      <c r="E187" s="1455"/>
      <c r="F187" s="1455"/>
      <c r="G187" s="1455"/>
      <c r="H187" s="1455"/>
    </row>
    <row r="188" spans="1:8">
      <c r="A188" s="1455"/>
      <c r="B188" s="1455"/>
      <c r="C188" s="1455"/>
      <c r="D188" s="1455"/>
      <c r="E188" s="1455"/>
      <c r="F188" s="1455"/>
      <c r="G188" s="1455"/>
      <c r="H188" s="1455"/>
    </row>
    <row r="189" spans="1:8">
      <c r="A189" s="1455"/>
      <c r="B189" s="1455"/>
      <c r="C189" s="1455"/>
      <c r="D189" s="1455"/>
      <c r="E189" s="1455"/>
      <c r="F189" s="1455"/>
      <c r="G189" s="1455"/>
      <c r="H189" s="1455"/>
    </row>
    <row r="190" spans="1:8">
      <c r="A190" s="1455"/>
      <c r="B190" s="1455"/>
      <c r="C190" s="1455"/>
      <c r="D190" s="1455"/>
      <c r="E190" s="1455"/>
      <c r="F190" s="1455"/>
      <c r="G190" s="1455"/>
      <c r="H190" s="1455"/>
    </row>
    <row r="191" spans="1:8">
      <c r="A191" s="1455"/>
      <c r="B191" s="1455"/>
      <c r="C191" s="1455"/>
      <c r="D191" s="1455"/>
      <c r="E191" s="1455"/>
      <c r="F191" s="1455"/>
      <c r="G191" s="1455"/>
      <c r="H191" s="1455"/>
    </row>
    <row r="192" spans="1:8">
      <c r="A192" s="1455"/>
      <c r="B192" s="1455"/>
      <c r="C192" s="1455"/>
      <c r="D192" s="1455"/>
      <c r="E192" s="1455"/>
      <c r="F192" s="1455"/>
      <c r="G192" s="1455"/>
      <c r="H192" s="1455"/>
    </row>
    <row r="193" spans="1:8">
      <c r="A193" s="1455"/>
      <c r="B193" s="1455"/>
      <c r="C193" s="1455"/>
      <c r="D193" s="1455"/>
      <c r="E193" s="1455"/>
      <c r="F193" s="1455"/>
      <c r="G193" s="1455"/>
      <c r="H193" s="1455"/>
    </row>
    <row r="194" spans="1:8">
      <c r="A194" s="1455"/>
      <c r="B194" s="1455"/>
      <c r="C194" s="1455"/>
      <c r="D194" s="1455"/>
      <c r="E194" s="1455"/>
      <c r="F194" s="1455"/>
      <c r="G194" s="1455"/>
      <c r="H194" s="1455"/>
    </row>
    <row r="195" spans="1:8">
      <c r="A195" s="1455"/>
      <c r="B195" s="1455"/>
      <c r="C195" s="1455"/>
      <c r="D195" s="1455"/>
      <c r="E195" s="1455"/>
      <c r="F195" s="1455"/>
      <c r="G195" s="1455"/>
      <c r="H195" s="1455"/>
    </row>
    <row r="196" spans="1:8">
      <c r="A196" s="1455"/>
      <c r="B196" s="1455"/>
      <c r="C196" s="1455"/>
      <c r="D196" s="1455"/>
      <c r="E196" s="1455"/>
      <c r="F196" s="1455"/>
      <c r="G196" s="1455"/>
      <c r="H196" s="1455"/>
    </row>
    <row r="197" spans="1:8">
      <c r="A197" s="1455"/>
      <c r="B197" s="1455"/>
      <c r="C197" s="1455"/>
      <c r="D197" s="1455"/>
      <c r="E197" s="1455"/>
      <c r="F197" s="1455"/>
      <c r="G197" s="1455"/>
      <c r="H197" s="1455"/>
    </row>
    <row r="198" spans="1:8">
      <c r="A198" s="1455"/>
      <c r="B198" s="1455"/>
      <c r="C198" s="1455"/>
      <c r="D198" s="1455"/>
      <c r="E198" s="1455"/>
      <c r="F198" s="1455"/>
      <c r="G198" s="1455"/>
      <c r="H198" s="1455"/>
    </row>
    <row r="199" spans="1:8">
      <c r="A199" s="1455"/>
      <c r="B199" s="1455"/>
      <c r="C199" s="1455"/>
      <c r="D199" s="1455"/>
      <c r="E199" s="1455"/>
      <c r="F199" s="1455"/>
      <c r="G199" s="1455"/>
      <c r="H199" s="1455"/>
    </row>
    <row r="200" spans="1:8">
      <c r="A200" s="1455"/>
      <c r="B200" s="1455"/>
      <c r="C200" s="1455"/>
      <c r="D200" s="1455"/>
      <c r="E200" s="1455"/>
      <c r="F200" s="1455"/>
      <c r="G200" s="1455"/>
      <c r="H200" s="1455"/>
    </row>
    <row r="201" spans="1:8">
      <c r="A201" s="1455"/>
      <c r="B201" s="1455"/>
      <c r="C201" s="1455"/>
      <c r="D201" s="1455"/>
      <c r="E201" s="1455"/>
      <c r="F201" s="1455"/>
      <c r="G201" s="1455"/>
      <c r="H201" s="1455"/>
    </row>
    <row r="202" spans="1:8">
      <c r="A202" s="1455"/>
      <c r="B202" s="1455"/>
      <c r="C202" s="1455"/>
      <c r="D202" s="1455"/>
      <c r="E202" s="1455"/>
      <c r="F202" s="1455"/>
      <c r="G202" s="1455"/>
      <c r="H202" s="1455"/>
    </row>
    <row r="203" spans="1:8">
      <c r="A203" s="1455"/>
      <c r="B203" s="1455"/>
      <c r="C203" s="1455"/>
      <c r="D203" s="1455"/>
      <c r="E203" s="1455"/>
      <c r="F203" s="1455"/>
      <c r="G203" s="1455"/>
      <c r="H203" s="1455"/>
    </row>
    <row r="204" spans="1:8">
      <c r="A204" s="1455"/>
      <c r="B204" s="1455"/>
      <c r="C204" s="1455"/>
      <c r="D204" s="1455"/>
      <c r="E204" s="1455"/>
      <c r="F204" s="1455"/>
      <c r="G204" s="1455"/>
      <c r="H204" s="1455"/>
    </row>
    <row r="205" spans="1:8">
      <c r="A205" s="1455"/>
      <c r="B205" s="1455"/>
      <c r="C205" s="1455"/>
      <c r="D205" s="1455"/>
      <c r="E205" s="1455"/>
      <c r="F205" s="1455"/>
      <c r="G205" s="1455"/>
      <c r="H205" s="1455"/>
    </row>
    <row r="206" spans="1:8" ht="15.75">
      <c r="A206" s="1457" t="s">
        <v>659</v>
      </c>
      <c r="B206" s="1455"/>
      <c r="C206" s="1455"/>
      <c r="D206" s="1455"/>
      <c r="E206" s="1455"/>
      <c r="F206" s="1455"/>
      <c r="G206" s="1455"/>
      <c r="H206" s="1455"/>
    </row>
    <row r="207" spans="1:8">
      <c r="A207" s="1455"/>
      <c r="B207" s="1455"/>
      <c r="C207" s="1455"/>
      <c r="D207" s="1455"/>
      <c r="E207" s="1455"/>
      <c r="F207" s="1455"/>
      <c r="G207" s="1455"/>
      <c r="H207" s="1455"/>
    </row>
    <row r="208" spans="1:8">
      <c r="A208" s="1456" t="s">
        <v>820</v>
      </c>
      <c r="B208" s="1455"/>
      <c r="C208" s="1455"/>
      <c r="D208" s="1455"/>
      <c r="E208" s="1455"/>
      <c r="F208" s="1455"/>
      <c r="G208" s="1455"/>
      <c r="H208" s="1455"/>
    </row>
    <row r="209" spans="1:8">
      <c r="A209" s="1456" t="s">
        <v>821</v>
      </c>
      <c r="B209" s="1455"/>
      <c r="C209" s="1455"/>
      <c r="D209" s="1455"/>
      <c r="E209" s="1455"/>
      <c r="F209" s="1455"/>
      <c r="G209" s="1455"/>
      <c r="H209" s="1455"/>
    </row>
    <row r="210" spans="1:8">
      <c r="A210" s="1456" t="s">
        <v>822</v>
      </c>
      <c r="B210" s="1455"/>
      <c r="C210" s="1455"/>
      <c r="D210" s="1455"/>
      <c r="E210" s="1455"/>
      <c r="F210" s="1455"/>
      <c r="G210" s="1455"/>
      <c r="H210" s="1455"/>
    </row>
    <row r="211" spans="1:8">
      <c r="A211" s="1456" t="s">
        <v>823</v>
      </c>
      <c r="B211" s="1455"/>
      <c r="C211" s="1455"/>
      <c r="D211" s="1455"/>
      <c r="E211" s="1455"/>
      <c r="F211" s="1455"/>
      <c r="G211" s="1455"/>
      <c r="H211" s="1455"/>
    </row>
    <row r="212" spans="1:8">
      <c r="A212" s="1456" t="s">
        <v>824</v>
      </c>
      <c r="B212" s="1455"/>
      <c r="C212" s="1455"/>
      <c r="D212" s="1455"/>
      <c r="E212" s="1455"/>
      <c r="F212" s="1455"/>
      <c r="G212" s="1455"/>
      <c r="H212" s="1455"/>
    </row>
    <row r="213" spans="1:8">
      <c r="A213" s="1455"/>
      <c r="B213" s="1455"/>
      <c r="C213" s="1455"/>
      <c r="D213" s="1455"/>
      <c r="E213" s="1455"/>
      <c r="F213" s="1455"/>
      <c r="G213" s="1455"/>
      <c r="H213" s="1455"/>
    </row>
    <row r="214" spans="1:8">
      <c r="A214" s="1456" t="s">
        <v>817</v>
      </c>
      <c r="B214" s="1455"/>
      <c r="C214" s="1455"/>
      <c r="D214" s="1455"/>
      <c r="E214" s="1455"/>
      <c r="F214" s="1455"/>
      <c r="G214" s="1455"/>
      <c r="H214" s="1455"/>
    </row>
    <row r="215" spans="1:8">
      <c r="A215" s="1456" t="s">
        <v>818</v>
      </c>
      <c r="B215" s="1455"/>
      <c r="C215" s="1455"/>
      <c r="D215" s="1455"/>
      <c r="E215" s="1455"/>
      <c r="F215" s="1455"/>
      <c r="G215" s="1455"/>
      <c r="H215" s="1455"/>
    </row>
    <row r="216" spans="1:8">
      <c r="A216" s="1456" t="s">
        <v>819</v>
      </c>
      <c r="B216" s="1455"/>
      <c r="C216" s="1455"/>
      <c r="D216" s="1455"/>
      <c r="E216" s="1455"/>
      <c r="F216" s="1455"/>
      <c r="G216" s="1455"/>
      <c r="H216" s="1455"/>
    </row>
    <row r="217" spans="1:8" ht="15.75">
      <c r="A217" s="1457" t="s">
        <v>660</v>
      </c>
      <c r="B217" s="1455"/>
      <c r="C217" s="1455"/>
      <c r="D217" s="1455"/>
      <c r="E217" s="1455"/>
      <c r="F217" s="1455"/>
      <c r="G217" s="1455"/>
      <c r="H217" s="1455"/>
    </row>
    <row r="218" spans="1:8">
      <c r="A218" s="1455"/>
      <c r="B218" s="1455"/>
      <c r="C218" s="1455"/>
      <c r="D218" s="1455"/>
      <c r="E218" s="1455"/>
      <c r="F218" s="1455"/>
      <c r="G218" s="1455"/>
      <c r="H218" s="1455"/>
    </row>
    <row r="219" spans="1:8">
      <c r="A219" s="1456" t="s">
        <v>815</v>
      </c>
      <c r="B219" s="1455"/>
      <c r="C219" s="1455"/>
      <c r="D219" s="1455"/>
      <c r="E219" s="1455"/>
      <c r="F219" s="1455"/>
      <c r="G219" s="1455"/>
      <c r="H219" s="1455"/>
    </row>
    <row r="220" spans="1:8">
      <c r="A220" s="1456" t="s">
        <v>816</v>
      </c>
      <c r="B220" s="1455"/>
      <c r="C220" s="1455"/>
      <c r="D220" s="1455"/>
      <c r="E220" s="1455"/>
      <c r="F220" s="1455"/>
      <c r="G220" s="1455"/>
      <c r="H220" s="1455"/>
    </row>
    <row r="221" spans="1:8">
      <c r="A221" s="1455"/>
      <c r="B221" s="1455"/>
      <c r="C221" s="1455"/>
      <c r="D221" s="1455"/>
      <c r="E221" s="1455"/>
      <c r="F221" s="1455"/>
      <c r="G221" s="1455"/>
      <c r="H221" s="1455"/>
    </row>
    <row r="222" spans="1:8">
      <c r="A222" s="1456" t="s">
        <v>808</v>
      </c>
      <c r="B222" s="1455"/>
      <c r="C222" s="1455"/>
      <c r="D222" s="1455"/>
      <c r="E222" s="1455"/>
      <c r="F222" s="1455"/>
      <c r="G222" s="1455"/>
      <c r="H222" s="1455"/>
    </row>
    <row r="223" spans="1:8">
      <c r="A223" s="1456" t="s">
        <v>809</v>
      </c>
      <c r="B223" s="1455"/>
      <c r="C223" s="1455"/>
      <c r="D223" s="1455"/>
      <c r="E223" s="1455"/>
      <c r="F223" s="1455"/>
      <c r="G223" s="1455"/>
      <c r="H223" s="1455"/>
    </row>
    <row r="224" spans="1:8">
      <c r="A224" s="1456" t="s">
        <v>810</v>
      </c>
      <c r="B224" s="1455"/>
      <c r="C224" s="1455"/>
      <c r="D224" s="1455"/>
      <c r="E224" s="1455"/>
      <c r="F224" s="1455"/>
      <c r="G224" s="1455"/>
      <c r="H224" s="1455"/>
    </row>
    <row r="225" spans="1:8">
      <c r="A225" s="1456" t="s">
        <v>811</v>
      </c>
      <c r="B225" s="1455"/>
      <c r="C225" s="1455"/>
      <c r="D225" s="1455"/>
      <c r="E225" s="1455"/>
      <c r="F225" s="1455"/>
      <c r="G225" s="1455"/>
      <c r="H225" s="1455"/>
    </row>
    <row r="226" spans="1:8">
      <c r="A226" s="1456" t="s">
        <v>812</v>
      </c>
      <c r="B226" s="1455"/>
      <c r="C226" s="1455"/>
      <c r="D226" s="1455"/>
      <c r="E226" s="1455"/>
      <c r="F226" s="1455"/>
      <c r="G226" s="1455"/>
      <c r="H226" s="1455"/>
    </row>
    <row r="227" spans="1:8">
      <c r="A227" s="1456" t="s">
        <v>813</v>
      </c>
      <c r="B227" s="1455"/>
      <c r="C227" s="1455"/>
      <c r="D227" s="1455"/>
      <c r="E227" s="1455"/>
      <c r="F227" s="1455"/>
      <c r="G227" s="1455"/>
      <c r="H227" s="1455"/>
    </row>
    <row r="228" spans="1:8">
      <c r="A228" s="1456" t="s">
        <v>814</v>
      </c>
      <c r="B228" s="1455"/>
      <c r="C228" s="1455"/>
      <c r="D228" s="1455"/>
      <c r="E228" s="1455"/>
      <c r="F228" s="1455"/>
      <c r="G228" s="1455"/>
      <c r="H228" s="1455"/>
    </row>
    <row r="229" spans="1:8">
      <c r="A229" s="1455"/>
      <c r="B229" s="1455"/>
      <c r="C229" s="1455"/>
      <c r="D229" s="1455"/>
      <c r="E229" s="1455"/>
      <c r="F229" s="1455"/>
      <c r="G229" s="1455"/>
      <c r="H229" s="1455"/>
    </row>
    <row r="230" spans="1:8">
      <c r="A230" s="1456" t="s">
        <v>805</v>
      </c>
      <c r="B230" s="1455"/>
      <c r="C230" s="1455"/>
      <c r="D230" s="1455"/>
      <c r="E230" s="1455"/>
      <c r="F230" s="1455"/>
      <c r="G230" s="1455"/>
      <c r="H230" s="1455"/>
    </row>
    <row r="231" spans="1:8">
      <c r="A231" s="1456" t="s">
        <v>806</v>
      </c>
      <c r="B231" s="1455"/>
      <c r="C231" s="1455"/>
      <c r="D231" s="1455"/>
      <c r="E231" s="1455"/>
      <c r="F231" s="1455"/>
      <c r="G231" s="1455"/>
      <c r="H231" s="1455"/>
    </row>
    <row r="232" spans="1:8">
      <c r="A232" s="1456" t="s">
        <v>807</v>
      </c>
      <c r="B232" s="1455"/>
      <c r="C232" s="1455"/>
      <c r="D232" s="1455"/>
      <c r="E232" s="1455"/>
      <c r="F232" s="1455"/>
      <c r="G232" s="1455"/>
      <c r="H232" s="1455"/>
    </row>
    <row r="233" spans="1:8">
      <c r="A233" s="1455"/>
      <c r="B233" s="1455"/>
      <c r="C233" s="1455"/>
      <c r="D233" s="1455"/>
      <c r="E233" s="1455"/>
      <c r="F233" s="1455"/>
      <c r="G233" s="1455"/>
      <c r="H233" s="1455"/>
    </row>
    <row r="234" spans="1:8">
      <c r="A234" s="1456" t="s">
        <v>800</v>
      </c>
      <c r="B234" s="1455"/>
      <c r="C234" s="1455"/>
      <c r="D234" s="1455"/>
      <c r="E234" s="1455"/>
      <c r="F234" s="1455"/>
      <c r="G234" s="1455"/>
      <c r="H234" s="1455"/>
    </row>
    <row r="235" spans="1:8">
      <c r="A235" s="1456" t="s">
        <v>801</v>
      </c>
      <c r="B235" s="1455"/>
      <c r="C235" s="1455"/>
      <c r="D235" s="1455"/>
      <c r="E235" s="1455"/>
      <c r="F235" s="1455"/>
      <c r="G235" s="1455"/>
      <c r="H235" s="1455"/>
    </row>
    <row r="236" spans="1:8">
      <c r="A236" s="1456" t="s">
        <v>802</v>
      </c>
      <c r="B236" s="1455"/>
      <c r="C236" s="1455"/>
      <c r="D236" s="1455"/>
      <c r="E236" s="1455"/>
      <c r="F236" s="1455"/>
      <c r="G236" s="1455"/>
      <c r="H236" s="1455"/>
    </row>
    <row r="237" spans="1:8">
      <c r="A237" s="1456" t="s">
        <v>803</v>
      </c>
      <c r="B237" s="1455"/>
      <c r="C237" s="1455"/>
      <c r="D237" s="1455"/>
      <c r="E237" s="1455"/>
      <c r="F237" s="1455"/>
      <c r="G237" s="1455"/>
      <c r="H237" s="1455"/>
    </row>
    <row r="238" spans="1:8">
      <c r="A238" s="1456" t="s">
        <v>804</v>
      </c>
      <c r="B238" s="1455"/>
      <c r="C238" s="1455"/>
      <c r="D238" s="1455"/>
      <c r="E238" s="1455"/>
      <c r="F238" s="1455"/>
      <c r="G238" s="1455"/>
      <c r="H238" s="1455"/>
    </row>
    <row r="239" spans="1:8">
      <c r="A239" s="1455"/>
      <c r="B239" s="1455"/>
      <c r="C239" s="1455"/>
      <c r="D239" s="1455"/>
      <c r="E239" s="1455"/>
      <c r="F239" s="1455"/>
      <c r="G239" s="1455"/>
      <c r="H239" s="1455"/>
    </row>
    <row r="240" spans="1:8">
      <c r="A240" s="1456" t="s">
        <v>794</v>
      </c>
      <c r="B240" s="1455"/>
      <c r="C240" s="1455"/>
      <c r="D240" s="1455"/>
      <c r="E240" s="1455"/>
      <c r="F240" s="1455"/>
      <c r="G240" s="1455"/>
      <c r="H240" s="1455"/>
    </row>
    <row r="241" spans="1:8">
      <c r="A241" s="1456" t="s">
        <v>795</v>
      </c>
      <c r="B241" s="1455"/>
      <c r="C241" s="1455"/>
      <c r="D241" s="1455"/>
      <c r="E241" s="1455"/>
      <c r="F241" s="1455"/>
      <c r="G241" s="1455"/>
      <c r="H241" s="1455"/>
    </row>
    <row r="242" spans="1:8">
      <c r="A242" s="1456" t="s">
        <v>796</v>
      </c>
      <c r="B242" s="1455"/>
      <c r="C242" s="1455"/>
      <c r="D242" s="1455"/>
      <c r="E242" s="1455"/>
      <c r="F242" s="1455"/>
      <c r="G242" s="1455"/>
      <c r="H242" s="1455"/>
    </row>
    <row r="243" spans="1:8">
      <c r="A243" s="1456" t="s">
        <v>797</v>
      </c>
      <c r="B243" s="1455"/>
      <c r="C243" s="1455"/>
      <c r="D243" s="1455"/>
      <c r="E243" s="1455"/>
      <c r="F243" s="1455"/>
      <c r="G243" s="1455"/>
      <c r="H243" s="1455"/>
    </row>
    <row r="244" spans="1:8">
      <c r="A244" s="1456" t="s">
        <v>798</v>
      </c>
      <c r="B244" s="1455"/>
      <c r="C244" s="1455"/>
      <c r="D244" s="1455"/>
      <c r="E244" s="1455"/>
      <c r="F244" s="1455"/>
      <c r="G244" s="1455"/>
      <c r="H244" s="1455"/>
    </row>
    <row r="245" spans="1:8">
      <c r="A245" s="1456" t="s">
        <v>799</v>
      </c>
      <c r="B245" s="1455"/>
      <c r="C245" s="1455"/>
      <c r="D245" s="1455"/>
      <c r="E245" s="1455"/>
      <c r="F245" s="1455"/>
      <c r="G245" s="1455"/>
      <c r="H245" s="1455"/>
    </row>
    <row r="246" spans="1:8">
      <c r="A246" s="1455"/>
      <c r="B246" s="1455"/>
      <c r="C246" s="1455"/>
      <c r="D246" s="1455"/>
      <c r="E246" s="1455"/>
      <c r="F246" s="1455"/>
      <c r="G246" s="1455"/>
      <c r="H246" s="1455"/>
    </row>
    <row r="247" spans="1:8">
      <c r="A247" s="1456" t="s">
        <v>784</v>
      </c>
      <c r="B247" s="1455"/>
      <c r="C247" s="1455"/>
      <c r="D247" s="1455"/>
      <c r="E247" s="1455"/>
      <c r="F247" s="1455"/>
      <c r="G247" s="1455"/>
      <c r="H247" s="1455"/>
    </row>
    <row r="248" spans="1:8">
      <c r="A248" s="1456" t="s">
        <v>785</v>
      </c>
      <c r="B248" s="1455"/>
      <c r="C248" s="1455"/>
      <c r="D248" s="1455"/>
      <c r="E248" s="1455"/>
      <c r="F248" s="1455"/>
      <c r="G248" s="1455"/>
      <c r="H248" s="1455"/>
    </row>
    <row r="249" spans="1:8">
      <c r="A249" s="1456" t="s">
        <v>786</v>
      </c>
      <c r="B249" s="1455"/>
      <c r="C249" s="1455"/>
      <c r="D249" s="1455"/>
      <c r="E249" s="1455"/>
      <c r="F249" s="1455"/>
      <c r="G249" s="1455"/>
      <c r="H249" s="1455"/>
    </row>
    <row r="250" spans="1:8">
      <c r="A250" s="1456" t="s">
        <v>787</v>
      </c>
      <c r="B250" s="1455"/>
      <c r="C250" s="1455"/>
      <c r="D250" s="1455"/>
      <c r="E250" s="1455"/>
      <c r="F250" s="1455"/>
      <c r="G250" s="1455"/>
      <c r="H250" s="1455"/>
    </row>
    <row r="251" spans="1:8">
      <c r="A251" s="1456" t="s">
        <v>788</v>
      </c>
      <c r="B251" s="1455"/>
      <c r="C251" s="1455"/>
      <c r="D251" s="1455"/>
      <c r="E251" s="1455"/>
      <c r="F251" s="1455"/>
      <c r="G251" s="1455"/>
      <c r="H251" s="1455"/>
    </row>
    <row r="252" spans="1:8">
      <c r="A252" s="1456" t="s">
        <v>789</v>
      </c>
      <c r="B252" s="1455"/>
      <c r="C252" s="1455"/>
      <c r="D252" s="1455"/>
      <c r="E252" s="1455"/>
      <c r="F252" s="1455"/>
      <c r="G252" s="1455"/>
      <c r="H252" s="1455"/>
    </row>
    <row r="253" spans="1:8">
      <c r="A253" s="1456" t="s">
        <v>790</v>
      </c>
      <c r="B253" s="1455"/>
      <c r="C253" s="1455"/>
      <c r="D253" s="1455"/>
      <c r="E253" s="1455"/>
      <c r="F253" s="1455"/>
      <c r="G253" s="1455"/>
      <c r="H253" s="1455"/>
    </row>
    <row r="254" spans="1:8">
      <c r="A254" s="1456" t="s">
        <v>791</v>
      </c>
      <c r="B254" s="1455"/>
      <c r="C254" s="1455"/>
      <c r="D254" s="1455"/>
      <c r="E254" s="1455"/>
      <c r="F254" s="1455"/>
      <c r="G254" s="1455"/>
      <c r="H254" s="1455"/>
    </row>
    <row r="255" spans="1:8">
      <c r="A255" s="1456" t="s">
        <v>792</v>
      </c>
      <c r="B255" s="1455"/>
      <c r="C255" s="1455"/>
      <c r="D255" s="1455"/>
      <c r="E255" s="1455"/>
      <c r="F255" s="1455"/>
      <c r="G255" s="1455"/>
      <c r="H255" s="1455"/>
    </row>
    <row r="256" spans="1:8">
      <c r="A256" s="1456" t="s">
        <v>793</v>
      </c>
      <c r="B256" s="1455"/>
      <c r="C256" s="1455"/>
      <c r="D256" s="1455"/>
      <c r="E256" s="1455"/>
      <c r="F256" s="1455"/>
      <c r="G256" s="1455"/>
      <c r="H256" s="1455"/>
    </row>
    <row r="257" spans="1:8">
      <c r="A257" s="1455"/>
      <c r="B257" s="1455"/>
      <c r="C257" s="1455"/>
      <c r="D257" s="1455"/>
      <c r="E257" s="1455"/>
      <c r="F257" s="1455"/>
      <c r="G257" s="1455"/>
      <c r="H257" s="1455"/>
    </row>
    <row r="258" spans="1:8">
      <c r="A258" s="1456" t="s">
        <v>782</v>
      </c>
      <c r="B258" s="1455"/>
      <c r="C258" s="1455"/>
      <c r="D258" s="1455"/>
      <c r="E258" s="1455"/>
      <c r="F258" s="1455"/>
      <c r="G258" s="1455"/>
      <c r="H258" s="1455"/>
    </row>
    <row r="259" spans="1:8">
      <c r="A259" s="1456" t="s">
        <v>783</v>
      </c>
      <c r="B259" s="1455"/>
      <c r="C259" s="1455"/>
      <c r="D259" s="1455"/>
      <c r="E259" s="1455"/>
      <c r="F259" s="1455"/>
      <c r="G259" s="1455"/>
      <c r="H259" s="1455"/>
    </row>
    <row r="260" spans="1:8">
      <c r="A260" s="1455"/>
      <c r="B260" s="1455"/>
      <c r="C260" s="1455"/>
      <c r="D260" s="1455"/>
      <c r="E260" s="1455"/>
      <c r="F260" s="1455"/>
      <c r="G260" s="1455"/>
      <c r="H260" s="1455"/>
    </row>
    <row r="261" spans="1:8">
      <c r="A261" s="1456" t="s">
        <v>766</v>
      </c>
      <c r="B261" s="1455"/>
      <c r="C261" s="1455"/>
      <c r="D261" s="1455"/>
      <c r="E261" s="1455"/>
      <c r="F261" s="1455"/>
      <c r="G261" s="1455"/>
      <c r="H261" s="1455"/>
    </row>
    <row r="262" spans="1:8">
      <c r="A262" s="1456" t="s">
        <v>767</v>
      </c>
      <c r="B262" s="1455"/>
      <c r="C262" s="1455"/>
      <c r="D262" s="1455"/>
      <c r="E262" s="1455"/>
      <c r="F262" s="1455"/>
      <c r="G262" s="1455"/>
      <c r="H262" s="1455"/>
    </row>
    <row r="263" spans="1:8">
      <c r="A263" s="1456" t="s">
        <v>768</v>
      </c>
      <c r="B263" s="1455"/>
      <c r="C263" s="1455"/>
      <c r="D263" s="1455"/>
      <c r="E263" s="1455"/>
      <c r="F263" s="1455"/>
      <c r="G263" s="1455"/>
      <c r="H263" s="1455"/>
    </row>
    <row r="264" spans="1:8">
      <c r="A264" s="1456" t="s">
        <v>769</v>
      </c>
      <c r="B264" s="1455"/>
      <c r="C264" s="1455"/>
      <c r="D264" s="1455"/>
      <c r="E264" s="1455"/>
      <c r="F264" s="1455"/>
      <c r="G264" s="1455"/>
      <c r="H264" s="1455"/>
    </row>
    <row r="265" spans="1:8">
      <c r="A265" s="1456" t="s">
        <v>770</v>
      </c>
      <c r="B265" s="1455"/>
      <c r="C265" s="1455"/>
      <c r="D265" s="1455"/>
      <c r="E265" s="1455"/>
      <c r="F265" s="1455"/>
      <c r="G265" s="1455"/>
      <c r="H265" s="1455"/>
    </row>
    <row r="266" spans="1:8">
      <c r="A266" s="1456" t="s">
        <v>771</v>
      </c>
      <c r="B266" s="1455"/>
      <c r="C266" s="1455"/>
      <c r="D266" s="1455"/>
      <c r="E266" s="1455"/>
      <c r="F266" s="1455"/>
      <c r="G266" s="1455"/>
      <c r="H266" s="1455"/>
    </row>
    <row r="267" spans="1:8">
      <c r="A267" s="1456" t="s">
        <v>772</v>
      </c>
      <c r="B267" s="1455"/>
      <c r="C267" s="1455"/>
      <c r="D267" s="1455"/>
      <c r="E267" s="1455"/>
      <c r="F267" s="1455"/>
      <c r="G267" s="1455"/>
      <c r="H267" s="1455"/>
    </row>
    <row r="268" spans="1:8">
      <c r="A268" s="1456" t="s">
        <v>773</v>
      </c>
      <c r="B268" s="1455"/>
      <c r="C268" s="1455"/>
      <c r="D268" s="1455"/>
      <c r="E268" s="1455"/>
      <c r="F268" s="1455"/>
      <c r="G268" s="1455"/>
      <c r="H268" s="1455"/>
    </row>
    <row r="269" spans="1:8">
      <c r="A269" s="1456" t="s">
        <v>774</v>
      </c>
      <c r="B269" s="1455"/>
      <c r="C269" s="1455"/>
      <c r="D269" s="1455"/>
      <c r="E269" s="1455"/>
      <c r="F269" s="1455"/>
      <c r="G269" s="1455"/>
      <c r="H269" s="1455"/>
    </row>
    <row r="270" spans="1:8">
      <c r="A270" s="1456" t="s">
        <v>775</v>
      </c>
      <c r="B270" s="1455"/>
      <c r="C270" s="1455"/>
      <c r="D270" s="1455"/>
      <c r="E270" s="1455"/>
      <c r="F270" s="1455"/>
      <c r="G270" s="1455"/>
      <c r="H270" s="1455"/>
    </row>
    <row r="271" spans="1:8">
      <c r="A271" s="1456" t="s">
        <v>776</v>
      </c>
      <c r="B271" s="1455"/>
      <c r="C271" s="1455"/>
      <c r="D271" s="1455"/>
      <c r="E271" s="1455"/>
      <c r="F271" s="1455"/>
      <c r="G271" s="1455"/>
      <c r="H271" s="1455"/>
    </row>
    <row r="272" spans="1:8">
      <c r="A272" s="1456" t="s">
        <v>777</v>
      </c>
      <c r="B272" s="1455"/>
      <c r="C272" s="1455"/>
      <c r="D272" s="1455"/>
      <c r="E272" s="1455"/>
      <c r="F272" s="1455"/>
      <c r="G272" s="1455"/>
      <c r="H272" s="1455"/>
    </row>
    <row r="273" spans="1:8">
      <c r="A273" s="1456" t="s">
        <v>778</v>
      </c>
      <c r="B273" s="1455"/>
      <c r="C273" s="1455"/>
      <c r="D273" s="1455"/>
      <c r="E273" s="1455"/>
      <c r="F273" s="1455"/>
      <c r="G273" s="1455"/>
      <c r="H273" s="1455"/>
    </row>
    <row r="274" spans="1:8">
      <c r="A274" s="1456" t="s">
        <v>779</v>
      </c>
      <c r="B274" s="1455"/>
      <c r="C274" s="1455"/>
      <c r="D274" s="1455"/>
      <c r="E274" s="1455"/>
      <c r="F274" s="1455"/>
      <c r="G274" s="1455"/>
      <c r="H274" s="1455"/>
    </row>
    <row r="275" spans="1:8">
      <c r="A275" s="1456" t="s">
        <v>780</v>
      </c>
      <c r="B275" s="1455"/>
      <c r="C275" s="1455"/>
      <c r="D275" s="1455"/>
      <c r="E275" s="1455"/>
      <c r="F275" s="1455"/>
      <c r="G275" s="1455"/>
      <c r="H275" s="1455"/>
    </row>
    <row r="276" spans="1:8">
      <c r="A276" s="1456" t="s">
        <v>781</v>
      </c>
      <c r="B276" s="1455"/>
      <c r="C276" s="1455"/>
      <c r="D276" s="1455"/>
      <c r="E276" s="1455"/>
      <c r="F276" s="1455"/>
      <c r="G276" s="1455"/>
      <c r="H276" s="1455"/>
    </row>
    <row r="277" spans="1:8">
      <c r="A277" s="1455"/>
      <c r="B277" s="1455"/>
      <c r="C277" s="1455"/>
      <c r="D277" s="1455"/>
      <c r="E277" s="1455"/>
      <c r="F277" s="1455"/>
      <c r="G277" s="1455"/>
      <c r="H277" s="1455"/>
    </row>
    <row r="278" spans="1:8">
      <c r="A278" s="1456" t="s">
        <v>759</v>
      </c>
      <c r="B278" s="1455"/>
      <c r="C278" s="1455"/>
      <c r="D278" s="1455"/>
      <c r="E278" s="1455"/>
      <c r="F278" s="1455"/>
      <c r="G278" s="1455"/>
      <c r="H278" s="1455"/>
    </row>
    <row r="279" spans="1:8">
      <c r="A279" s="1456" t="s">
        <v>760</v>
      </c>
      <c r="B279" s="1455"/>
      <c r="C279" s="1455"/>
      <c r="D279" s="1455"/>
      <c r="E279" s="1455"/>
      <c r="F279" s="1455"/>
      <c r="G279" s="1455"/>
      <c r="H279" s="1455"/>
    </row>
    <row r="280" spans="1:8">
      <c r="A280" s="1456" t="s">
        <v>761</v>
      </c>
      <c r="B280" s="1455"/>
      <c r="C280" s="1455"/>
      <c r="D280" s="1455"/>
      <c r="E280" s="1455"/>
      <c r="F280" s="1455"/>
      <c r="G280" s="1455"/>
      <c r="H280" s="1455"/>
    </row>
    <row r="281" spans="1:8">
      <c r="A281" s="1456" t="s">
        <v>762</v>
      </c>
      <c r="B281" s="1455"/>
      <c r="C281" s="1455"/>
      <c r="D281" s="1455"/>
      <c r="E281" s="1455"/>
      <c r="F281" s="1455"/>
      <c r="G281" s="1455"/>
      <c r="H281" s="1455"/>
    </row>
    <row r="282" spans="1:8">
      <c r="A282" s="1456" t="s">
        <v>763</v>
      </c>
      <c r="B282" s="1455"/>
      <c r="C282" s="1455"/>
      <c r="D282" s="1455"/>
      <c r="E282" s="1455"/>
      <c r="F282" s="1455"/>
      <c r="G282" s="1455"/>
      <c r="H282" s="1455"/>
    </row>
    <row r="283" spans="1:8">
      <c r="A283" s="1456" t="s">
        <v>764</v>
      </c>
      <c r="B283" s="1455"/>
      <c r="C283" s="1455"/>
      <c r="D283" s="1455"/>
      <c r="E283" s="1455"/>
      <c r="F283" s="1455"/>
      <c r="G283" s="1455"/>
      <c r="H283" s="1455"/>
    </row>
    <row r="284" spans="1:8">
      <c r="A284" s="1456" t="s">
        <v>765</v>
      </c>
      <c r="B284" s="1455"/>
      <c r="C284" s="1455"/>
      <c r="D284" s="1455"/>
      <c r="E284" s="1455"/>
      <c r="F284" s="1455"/>
      <c r="G284" s="1455"/>
      <c r="H284" s="1455"/>
    </row>
    <row r="285" spans="1:8">
      <c r="A285" s="1455"/>
      <c r="B285" s="1455"/>
      <c r="C285" s="1455"/>
      <c r="D285" s="1455"/>
      <c r="E285" s="1455"/>
      <c r="F285" s="1455"/>
      <c r="G285" s="1455"/>
      <c r="H285" s="1455"/>
    </row>
    <row r="286" spans="1:8">
      <c r="A286" s="1456" t="s">
        <v>750</v>
      </c>
      <c r="B286" s="1455"/>
      <c r="C286" s="1455"/>
      <c r="D286" s="1455"/>
      <c r="E286" s="1455"/>
      <c r="F286" s="1455"/>
      <c r="G286" s="1455"/>
      <c r="H286" s="1455"/>
    </row>
    <row r="287" spans="1:8">
      <c r="A287" s="1456" t="s">
        <v>751</v>
      </c>
      <c r="B287" s="1455"/>
      <c r="C287" s="1455"/>
      <c r="D287" s="1455"/>
      <c r="E287" s="1455"/>
      <c r="F287" s="1455"/>
      <c r="G287" s="1455"/>
      <c r="H287" s="1455"/>
    </row>
    <row r="288" spans="1:8">
      <c r="A288" s="1456" t="s">
        <v>752</v>
      </c>
      <c r="B288" s="1455"/>
      <c r="C288" s="1455"/>
      <c r="D288" s="1455"/>
      <c r="E288" s="1455"/>
      <c r="F288" s="1455"/>
      <c r="G288" s="1455"/>
      <c r="H288" s="1455"/>
    </row>
    <row r="289" spans="1:8">
      <c r="A289" s="1456" t="s">
        <v>753</v>
      </c>
      <c r="B289" s="1455"/>
      <c r="C289" s="1455"/>
      <c r="D289" s="1455"/>
      <c r="E289" s="1455"/>
      <c r="F289" s="1455"/>
      <c r="G289" s="1455"/>
      <c r="H289" s="1455"/>
    </row>
    <row r="290" spans="1:8">
      <c r="A290" s="1456" t="s">
        <v>754</v>
      </c>
      <c r="B290" s="1455"/>
      <c r="C290" s="1455"/>
      <c r="D290" s="1455"/>
      <c r="E290" s="1455"/>
      <c r="F290" s="1455"/>
      <c r="G290" s="1455"/>
      <c r="H290" s="1455"/>
    </row>
    <row r="291" spans="1:8">
      <c r="A291" s="1456" t="s">
        <v>755</v>
      </c>
      <c r="B291" s="1455"/>
      <c r="C291" s="1455"/>
      <c r="D291" s="1455"/>
      <c r="E291" s="1455"/>
      <c r="F291" s="1455"/>
      <c r="G291" s="1455"/>
      <c r="H291" s="1455"/>
    </row>
    <row r="292" spans="1:8">
      <c r="A292" s="1456" t="s">
        <v>756</v>
      </c>
      <c r="B292" s="1455"/>
      <c r="C292" s="1455"/>
      <c r="D292" s="1455"/>
      <c r="E292" s="1455"/>
      <c r="F292" s="1455"/>
      <c r="G292" s="1455"/>
      <c r="H292" s="1455"/>
    </row>
    <row r="293" spans="1:8">
      <c r="A293" s="1456" t="s">
        <v>757</v>
      </c>
      <c r="B293" s="1455"/>
      <c r="C293" s="1455"/>
      <c r="D293" s="1455"/>
      <c r="E293" s="1455"/>
      <c r="F293" s="1455"/>
      <c r="G293" s="1455"/>
      <c r="H293" s="1455"/>
    </row>
    <row r="294" spans="1:8">
      <c r="A294" s="1456" t="s">
        <v>758</v>
      </c>
      <c r="B294" s="1455"/>
      <c r="C294" s="1455"/>
      <c r="D294" s="1455"/>
      <c r="E294" s="1455"/>
      <c r="F294" s="1455"/>
      <c r="G294" s="1455"/>
      <c r="H294" s="1455"/>
    </row>
    <row r="295" spans="1:8">
      <c r="A295" s="1455"/>
      <c r="B295" s="1455"/>
      <c r="C295" s="1455"/>
      <c r="D295" s="1455"/>
      <c r="E295" s="1455"/>
      <c r="F295" s="1455"/>
      <c r="G295" s="1455"/>
      <c r="H295" s="1455"/>
    </row>
    <row r="296" spans="1:8">
      <c r="A296" s="1456" t="s">
        <v>743</v>
      </c>
      <c r="B296" s="1455"/>
      <c r="C296" s="1455"/>
      <c r="D296" s="1455"/>
      <c r="E296" s="1455"/>
      <c r="F296" s="1455"/>
      <c r="G296" s="1455"/>
      <c r="H296" s="1455"/>
    </row>
    <row r="297" spans="1:8">
      <c r="A297" s="1456" t="s">
        <v>744</v>
      </c>
      <c r="B297" s="1455"/>
      <c r="C297" s="1455"/>
      <c r="D297" s="1455"/>
      <c r="E297" s="1455"/>
      <c r="F297" s="1455"/>
      <c r="G297" s="1455"/>
      <c r="H297" s="1455"/>
    </row>
    <row r="298" spans="1:8">
      <c r="A298" s="1456" t="s">
        <v>745</v>
      </c>
      <c r="B298" s="1455"/>
      <c r="C298" s="1455"/>
      <c r="D298" s="1455"/>
      <c r="E298" s="1455"/>
      <c r="F298" s="1455"/>
      <c r="G298" s="1455"/>
      <c r="H298" s="1455"/>
    </row>
    <row r="299" spans="1:8">
      <c r="A299" s="1456" t="s">
        <v>746</v>
      </c>
      <c r="B299" s="1455"/>
      <c r="C299" s="1455"/>
      <c r="D299" s="1455"/>
      <c r="E299" s="1455"/>
      <c r="F299" s="1455"/>
      <c r="G299" s="1455"/>
      <c r="H299" s="1455"/>
    </row>
    <row r="300" spans="1:8">
      <c r="A300" s="1456" t="s">
        <v>747</v>
      </c>
      <c r="B300" s="1455"/>
      <c r="C300" s="1455"/>
      <c r="D300" s="1455"/>
      <c r="E300" s="1455"/>
      <c r="F300" s="1455"/>
      <c r="G300" s="1455"/>
      <c r="H300" s="1455"/>
    </row>
    <row r="301" spans="1:8">
      <c r="A301" s="1456" t="s">
        <v>748</v>
      </c>
      <c r="B301" s="1455"/>
      <c r="C301" s="1455"/>
      <c r="D301" s="1455"/>
      <c r="E301" s="1455"/>
      <c r="F301" s="1455"/>
      <c r="G301" s="1455"/>
      <c r="H301" s="1455"/>
    </row>
    <row r="302" spans="1:8">
      <c r="A302" s="1456" t="s">
        <v>749</v>
      </c>
      <c r="B302" s="1455"/>
      <c r="C302" s="1455"/>
      <c r="D302" s="1455"/>
      <c r="E302" s="1455"/>
      <c r="F302" s="1455"/>
      <c r="G302" s="1455"/>
      <c r="H302" s="1455"/>
    </row>
    <row r="303" spans="1:8">
      <c r="A303" s="1455"/>
      <c r="B303" s="1455"/>
      <c r="C303" s="1455"/>
      <c r="D303" s="1455"/>
      <c r="E303" s="1455"/>
      <c r="F303" s="1455"/>
      <c r="G303" s="1455"/>
      <c r="H303" s="1455"/>
    </row>
    <row r="304" spans="1:8">
      <c r="A304" s="1456" t="s">
        <v>740</v>
      </c>
      <c r="B304" s="1455"/>
      <c r="C304" s="1455"/>
      <c r="D304" s="1455"/>
      <c r="E304" s="1455"/>
      <c r="F304" s="1455"/>
      <c r="G304" s="1455"/>
      <c r="H304" s="1455"/>
    </row>
    <row r="305" spans="1:8">
      <c r="A305" s="1456" t="s">
        <v>741</v>
      </c>
      <c r="B305" s="1455"/>
      <c r="C305" s="1455"/>
      <c r="D305" s="1455"/>
      <c r="E305" s="1455"/>
      <c r="F305" s="1455"/>
      <c r="G305" s="1455"/>
      <c r="H305" s="1455"/>
    </row>
    <row r="306" spans="1:8">
      <c r="A306" s="1456" t="s">
        <v>742</v>
      </c>
      <c r="B306" s="1455"/>
      <c r="C306" s="1455"/>
      <c r="D306" s="1455"/>
      <c r="E306" s="1455"/>
      <c r="F306" s="1455"/>
      <c r="G306" s="1455"/>
      <c r="H306" s="1455"/>
    </row>
    <row r="307" spans="1:8">
      <c r="A307" s="1455"/>
      <c r="B307" s="1455"/>
      <c r="C307" s="1455"/>
      <c r="D307" s="1455"/>
      <c r="E307" s="1455"/>
      <c r="F307" s="1455"/>
      <c r="G307" s="1455"/>
      <c r="H307" s="1455"/>
    </row>
    <row r="308" spans="1:8">
      <c r="A308" s="1456" t="s">
        <v>738</v>
      </c>
      <c r="B308" s="1455"/>
      <c r="C308" s="1455"/>
      <c r="D308" s="1455"/>
      <c r="E308" s="1455"/>
      <c r="F308" s="1455"/>
      <c r="G308" s="1455"/>
      <c r="H308" s="1455"/>
    </row>
    <row r="309" spans="1:8">
      <c r="A309" s="1456" t="s">
        <v>739</v>
      </c>
      <c r="B309" s="1455"/>
      <c r="C309" s="1455"/>
      <c r="D309" s="1455"/>
      <c r="E309" s="1455"/>
      <c r="F309" s="1455"/>
      <c r="G309" s="1455"/>
      <c r="H309" s="1455"/>
    </row>
    <row r="310" spans="1:8">
      <c r="A310" s="1455"/>
      <c r="B310" s="1455"/>
      <c r="C310" s="1455"/>
      <c r="D310" s="1455"/>
      <c r="E310" s="1455"/>
      <c r="F310" s="1455"/>
      <c r="G310" s="1455"/>
      <c r="H310" s="1455"/>
    </row>
    <row r="311" spans="1:8">
      <c r="A311" s="1456" t="s">
        <v>725</v>
      </c>
      <c r="B311" s="1455"/>
      <c r="C311" s="1455"/>
      <c r="D311" s="1455"/>
      <c r="E311" s="1455"/>
      <c r="F311" s="1455"/>
      <c r="G311" s="1455"/>
      <c r="H311" s="1455"/>
    </row>
    <row r="312" spans="1:8">
      <c r="A312" s="1456" t="s">
        <v>726</v>
      </c>
      <c r="B312" s="1455"/>
      <c r="C312" s="1455"/>
      <c r="D312" s="1455"/>
      <c r="E312" s="1455"/>
      <c r="F312" s="1455"/>
      <c r="G312" s="1455"/>
      <c r="H312" s="1455"/>
    </row>
    <row r="313" spans="1:8">
      <c r="A313" s="1456" t="s">
        <v>727</v>
      </c>
      <c r="B313" s="1455"/>
      <c r="C313" s="1455"/>
      <c r="D313" s="1455"/>
      <c r="E313" s="1455"/>
      <c r="F313" s="1455"/>
      <c r="G313" s="1455"/>
      <c r="H313" s="1455"/>
    </row>
    <row r="314" spans="1:8">
      <c r="A314" s="1456" t="s">
        <v>728</v>
      </c>
      <c r="B314" s="1455"/>
      <c r="C314" s="1455"/>
      <c r="D314" s="1455"/>
      <c r="E314" s="1455"/>
      <c r="F314" s="1455"/>
      <c r="G314" s="1455"/>
      <c r="H314" s="1455"/>
    </row>
    <row r="315" spans="1:8">
      <c r="A315" s="1456" t="s">
        <v>729</v>
      </c>
      <c r="B315" s="1455"/>
      <c r="C315" s="1455"/>
      <c r="D315" s="1455"/>
      <c r="E315" s="1455"/>
      <c r="F315" s="1455"/>
      <c r="G315" s="1455"/>
      <c r="H315" s="1455"/>
    </row>
    <row r="316" spans="1:8">
      <c r="A316" s="1456" t="s">
        <v>730</v>
      </c>
      <c r="B316" s="1455"/>
      <c r="C316" s="1455"/>
      <c r="D316" s="1455"/>
      <c r="E316" s="1455"/>
      <c r="F316" s="1455"/>
      <c r="G316" s="1455"/>
      <c r="H316" s="1455"/>
    </row>
    <row r="317" spans="1:8">
      <c r="A317" s="1456" t="s">
        <v>731</v>
      </c>
      <c r="B317" s="1455"/>
      <c r="C317" s="1455"/>
      <c r="D317" s="1455"/>
      <c r="E317" s="1455"/>
      <c r="F317" s="1455"/>
      <c r="G317" s="1455"/>
      <c r="H317" s="1455"/>
    </row>
    <row r="318" spans="1:8">
      <c r="A318" s="1456" t="s">
        <v>732</v>
      </c>
      <c r="B318" s="1455"/>
      <c r="C318" s="1455"/>
      <c r="D318" s="1455"/>
      <c r="E318" s="1455"/>
      <c r="F318" s="1455"/>
      <c r="G318" s="1455"/>
      <c r="H318" s="1455"/>
    </row>
    <row r="319" spans="1:8">
      <c r="A319" s="1456" t="s">
        <v>733</v>
      </c>
      <c r="B319" s="1455"/>
      <c r="C319" s="1455"/>
      <c r="D319" s="1455"/>
      <c r="E319" s="1455"/>
      <c r="F319" s="1455"/>
      <c r="G319" s="1455"/>
      <c r="H319" s="1455"/>
    </row>
    <row r="320" spans="1:8">
      <c r="A320" s="1456" t="s">
        <v>734</v>
      </c>
      <c r="B320" s="1455"/>
      <c r="C320" s="1455"/>
      <c r="D320" s="1455"/>
      <c r="E320" s="1455"/>
      <c r="F320" s="1455"/>
      <c r="G320" s="1455"/>
      <c r="H320" s="1455"/>
    </row>
    <row r="321" spans="1:8">
      <c r="A321" s="1456" t="s">
        <v>735</v>
      </c>
      <c r="B321" s="1455"/>
      <c r="C321" s="1455"/>
      <c r="D321" s="1455"/>
      <c r="E321" s="1455"/>
      <c r="F321" s="1455"/>
      <c r="G321" s="1455"/>
      <c r="H321" s="1455"/>
    </row>
    <row r="322" spans="1:8">
      <c r="A322" s="1456" t="s">
        <v>736</v>
      </c>
      <c r="B322" s="1455"/>
      <c r="C322" s="1455"/>
      <c r="D322" s="1455"/>
      <c r="E322" s="1455"/>
      <c r="F322" s="1455"/>
      <c r="G322" s="1455"/>
      <c r="H322" s="1455"/>
    </row>
    <row r="323" spans="1:8">
      <c r="A323" s="1456" t="s">
        <v>737</v>
      </c>
      <c r="B323" s="1455"/>
      <c r="C323" s="1455"/>
      <c r="D323" s="1455"/>
      <c r="E323" s="1455"/>
      <c r="F323" s="1455"/>
      <c r="G323" s="1455"/>
      <c r="H323" s="1455"/>
    </row>
    <row r="324" spans="1:8">
      <c r="A324" s="1455"/>
      <c r="B324" s="1455"/>
      <c r="C324" s="1455"/>
      <c r="D324" s="1455"/>
      <c r="E324" s="1455"/>
      <c r="F324" s="1455"/>
      <c r="G324" s="1455"/>
      <c r="H324" s="1455"/>
    </row>
    <row r="325" spans="1:8">
      <c r="A325" s="1456" t="s">
        <v>717</v>
      </c>
      <c r="B325" s="1455"/>
      <c r="C325" s="1455"/>
      <c r="D325" s="1455"/>
      <c r="E325" s="1455"/>
      <c r="F325" s="1455"/>
      <c r="G325" s="1455"/>
      <c r="H325" s="1455"/>
    </row>
    <row r="326" spans="1:8">
      <c r="A326" s="1456" t="s">
        <v>718</v>
      </c>
      <c r="B326" s="1455"/>
      <c r="C326" s="1455"/>
      <c r="D326" s="1455"/>
      <c r="E326" s="1455"/>
      <c r="F326" s="1455"/>
      <c r="G326" s="1455"/>
      <c r="H326" s="1455"/>
    </row>
    <row r="327" spans="1:8">
      <c r="A327" s="1456" t="s">
        <v>719</v>
      </c>
      <c r="B327" s="1455"/>
      <c r="C327" s="1455"/>
      <c r="D327" s="1455"/>
      <c r="E327" s="1455"/>
      <c r="F327" s="1455"/>
      <c r="G327" s="1455"/>
      <c r="H327" s="1455"/>
    </row>
    <row r="328" spans="1:8">
      <c r="A328" s="1456" t="s">
        <v>720</v>
      </c>
      <c r="B328" s="1455"/>
      <c r="C328" s="1455"/>
      <c r="D328" s="1455"/>
      <c r="E328" s="1455"/>
      <c r="F328" s="1455"/>
      <c r="G328" s="1455"/>
      <c r="H328" s="1455"/>
    </row>
    <row r="329" spans="1:8">
      <c r="A329" s="1456" t="s">
        <v>721</v>
      </c>
      <c r="B329" s="1455"/>
      <c r="C329" s="1455"/>
      <c r="D329" s="1455"/>
      <c r="E329" s="1455"/>
      <c r="F329" s="1455"/>
      <c r="G329" s="1455"/>
      <c r="H329" s="1455"/>
    </row>
    <row r="330" spans="1:8">
      <c r="A330" s="1456" t="s">
        <v>722</v>
      </c>
      <c r="B330" s="1455"/>
      <c r="C330" s="1455"/>
      <c r="D330" s="1455"/>
      <c r="E330" s="1455"/>
      <c r="F330" s="1455"/>
      <c r="G330" s="1455"/>
      <c r="H330" s="1455"/>
    </row>
    <row r="331" spans="1:8">
      <c r="A331" s="1456" t="s">
        <v>723</v>
      </c>
      <c r="B331" s="1455"/>
      <c r="C331" s="1455"/>
      <c r="D331" s="1455"/>
      <c r="E331" s="1455"/>
      <c r="F331" s="1455"/>
      <c r="G331" s="1455"/>
      <c r="H331" s="1455"/>
    </row>
    <row r="332" spans="1:8">
      <c r="A332" s="1456" t="s">
        <v>724</v>
      </c>
      <c r="B332" s="1455"/>
      <c r="C332" s="1455"/>
      <c r="D332" s="1455"/>
      <c r="E332" s="1455"/>
      <c r="F332" s="1455"/>
      <c r="G332" s="1455"/>
      <c r="H332" s="1455"/>
    </row>
    <row r="333" spans="1:8">
      <c r="A333" s="1455"/>
      <c r="B333" s="1455"/>
      <c r="C333" s="1455"/>
      <c r="D333" s="1455"/>
      <c r="E333" s="1455"/>
      <c r="F333" s="1455"/>
      <c r="G333" s="1455"/>
      <c r="H333" s="1455"/>
    </row>
    <row r="334" spans="1:8">
      <c r="A334" s="1456" t="s">
        <v>682</v>
      </c>
      <c r="B334" s="1455"/>
      <c r="C334" s="1455"/>
      <c r="D334" s="1455"/>
      <c r="E334" s="1455"/>
      <c r="F334" s="1455"/>
      <c r="G334" s="1455"/>
      <c r="H334" s="1455"/>
    </row>
    <row r="335" spans="1:8">
      <c r="A335" s="1456" t="s">
        <v>683</v>
      </c>
      <c r="B335" s="1455"/>
      <c r="C335" s="1455"/>
      <c r="D335" s="1455"/>
      <c r="E335" s="1455"/>
      <c r="F335" s="1455"/>
      <c r="G335" s="1455"/>
      <c r="H335" s="1455"/>
    </row>
    <row r="336" spans="1:8">
      <c r="A336" s="1456" t="s">
        <v>684</v>
      </c>
      <c r="B336" s="1455"/>
      <c r="C336" s="1455"/>
      <c r="D336" s="1455"/>
      <c r="E336" s="1455"/>
      <c r="F336" s="1455"/>
      <c r="G336" s="1455"/>
      <c r="H336" s="1455"/>
    </row>
    <row r="337" spans="1:8">
      <c r="A337" s="1456" t="s">
        <v>685</v>
      </c>
      <c r="B337" s="1455"/>
      <c r="C337" s="1455"/>
      <c r="D337" s="1455"/>
      <c r="E337" s="1455"/>
      <c r="F337" s="1455"/>
      <c r="G337" s="1455"/>
      <c r="H337" s="1455"/>
    </row>
    <row r="338" spans="1:8">
      <c r="A338" s="1456" t="s">
        <v>686</v>
      </c>
      <c r="B338" s="1455"/>
      <c r="C338" s="1455"/>
      <c r="D338" s="1455"/>
      <c r="E338" s="1455"/>
      <c r="F338" s="1455"/>
      <c r="G338" s="1455"/>
      <c r="H338" s="1455"/>
    </row>
    <row r="339" spans="1:8">
      <c r="A339" s="1456" t="s">
        <v>687</v>
      </c>
      <c r="B339" s="1455"/>
      <c r="C339" s="1455"/>
      <c r="D339" s="1455"/>
      <c r="E339" s="1455"/>
      <c r="F339" s="1455"/>
      <c r="G339" s="1455"/>
      <c r="H339" s="1455"/>
    </row>
    <row r="340" spans="1:8">
      <c r="A340" s="1456" t="s">
        <v>688</v>
      </c>
      <c r="B340" s="1455"/>
      <c r="C340" s="1455"/>
      <c r="D340" s="1455"/>
      <c r="E340" s="1455"/>
      <c r="F340" s="1455"/>
      <c r="G340" s="1455"/>
      <c r="H340" s="1455"/>
    </row>
    <row r="341" spans="1:8">
      <c r="A341" s="1456" t="s">
        <v>689</v>
      </c>
      <c r="B341" s="1455"/>
      <c r="C341" s="1455"/>
      <c r="D341" s="1455"/>
      <c r="E341" s="1455"/>
      <c r="F341" s="1455"/>
      <c r="G341" s="1455"/>
      <c r="H341" s="1455"/>
    </row>
    <row r="342" spans="1:8">
      <c r="A342" s="1456" t="s">
        <v>690</v>
      </c>
      <c r="B342" s="1455"/>
      <c r="C342" s="1455"/>
      <c r="D342" s="1455"/>
      <c r="E342" s="1455"/>
      <c r="F342" s="1455"/>
      <c r="G342" s="1455"/>
      <c r="H342" s="1455"/>
    </row>
    <row r="343" spans="1:8">
      <c r="A343" s="1456" t="s">
        <v>691</v>
      </c>
      <c r="B343" s="1455"/>
      <c r="C343" s="1455"/>
      <c r="D343" s="1455"/>
      <c r="E343" s="1455"/>
      <c r="F343" s="1455"/>
      <c r="G343" s="1455"/>
      <c r="H343" s="1455"/>
    </row>
    <row r="344" spans="1:8">
      <c r="A344" s="1456" t="s">
        <v>692</v>
      </c>
      <c r="B344" s="1455"/>
      <c r="C344" s="1455"/>
      <c r="D344" s="1455"/>
      <c r="E344" s="1455"/>
      <c r="F344" s="1455"/>
      <c r="G344" s="1455"/>
      <c r="H344" s="1455"/>
    </row>
    <row r="345" spans="1:8">
      <c r="A345" s="1456" t="s">
        <v>693</v>
      </c>
      <c r="B345" s="1455"/>
      <c r="C345" s="1455"/>
      <c r="D345" s="1455"/>
      <c r="E345" s="1455"/>
      <c r="F345" s="1455"/>
      <c r="G345" s="1455"/>
      <c r="H345" s="1455"/>
    </row>
    <row r="346" spans="1:8">
      <c r="A346" s="1456" t="s">
        <v>694</v>
      </c>
      <c r="B346" s="1455"/>
      <c r="C346" s="1455"/>
      <c r="D346" s="1455"/>
      <c r="E346" s="1455"/>
      <c r="F346" s="1455"/>
      <c r="G346" s="1455"/>
      <c r="H346" s="1455"/>
    </row>
    <row r="347" spans="1:8">
      <c r="A347" s="1456" t="s">
        <v>695</v>
      </c>
      <c r="B347" s="1455"/>
      <c r="C347" s="1455"/>
      <c r="D347" s="1455"/>
      <c r="E347" s="1455"/>
      <c r="F347" s="1455"/>
      <c r="G347" s="1455"/>
      <c r="H347" s="1455"/>
    </row>
    <row r="348" spans="1:8">
      <c r="A348" s="1456" t="s">
        <v>696</v>
      </c>
      <c r="B348" s="1455"/>
      <c r="C348" s="1455"/>
      <c r="D348" s="1455"/>
      <c r="E348" s="1455"/>
      <c r="F348" s="1455"/>
      <c r="G348" s="1455"/>
      <c r="H348" s="1455"/>
    </row>
    <row r="349" spans="1:8">
      <c r="A349" s="1456" t="s">
        <v>697</v>
      </c>
      <c r="B349" s="1455"/>
      <c r="C349" s="1455"/>
      <c r="D349" s="1455"/>
      <c r="E349" s="1455"/>
      <c r="F349" s="1455"/>
      <c r="G349" s="1455"/>
      <c r="H349" s="1455"/>
    </row>
    <row r="350" spans="1:8">
      <c r="A350" s="1456" t="s">
        <v>698</v>
      </c>
      <c r="B350" s="1455"/>
      <c r="C350" s="1455"/>
      <c r="D350" s="1455"/>
      <c r="E350" s="1455"/>
      <c r="F350" s="1455"/>
      <c r="G350" s="1455"/>
      <c r="H350" s="1455"/>
    </row>
    <row r="351" spans="1:8">
      <c r="A351" s="1456" t="s">
        <v>699</v>
      </c>
      <c r="B351" s="1455"/>
      <c r="C351" s="1455"/>
      <c r="D351" s="1455"/>
      <c r="E351" s="1455"/>
      <c r="F351" s="1455"/>
      <c r="G351" s="1455"/>
      <c r="H351" s="1455"/>
    </row>
    <row r="352" spans="1:8">
      <c r="A352" s="1456" t="s">
        <v>700</v>
      </c>
      <c r="B352" s="1455"/>
      <c r="C352" s="1455"/>
      <c r="D352" s="1455"/>
      <c r="E352" s="1455"/>
      <c r="F352" s="1455"/>
      <c r="G352" s="1455"/>
      <c r="H352" s="1455"/>
    </row>
    <row r="353" spans="1:8">
      <c r="A353" s="1456" t="s">
        <v>701</v>
      </c>
      <c r="B353" s="1455"/>
      <c r="C353" s="1455"/>
      <c r="D353" s="1455"/>
      <c r="E353" s="1455"/>
      <c r="F353" s="1455"/>
      <c r="G353" s="1455"/>
      <c r="H353" s="1455"/>
    </row>
    <row r="354" spans="1:8">
      <c r="A354" s="1456" t="s">
        <v>702</v>
      </c>
      <c r="B354" s="1455"/>
      <c r="C354" s="1455"/>
      <c r="D354" s="1455"/>
      <c r="E354" s="1455"/>
      <c r="F354" s="1455"/>
      <c r="G354" s="1455"/>
      <c r="H354" s="1455"/>
    </row>
    <row r="355" spans="1:8">
      <c r="A355" s="1456" t="s">
        <v>703</v>
      </c>
      <c r="B355" s="1455"/>
      <c r="C355" s="1455"/>
      <c r="D355" s="1455"/>
      <c r="E355" s="1455"/>
      <c r="F355" s="1455"/>
      <c r="G355" s="1455"/>
      <c r="H355" s="1455"/>
    </row>
    <row r="356" spans="1:8">
      <c r="A356" s="1456" t="s">
        <v>704</v>
      </c>
      <c r="B356" s="1455"/>
      <c r="C356" s="1455"/>
      <c r="D356" s="1455"/>
      <c r="E356" s="1455"/>
      <c r="F356" s="1455"/>
      <c r="G356" s="1455"/>
      <c r="H356" s="1455"/>
    </row>
    <row r="357" spans="1:8">
      <c r="A357" s="1456" t="s">
        <v>705</v>
      </c>
      <c r="B357" s="1455"/>
      <c r="C357" s="1455"/>
      <c r="D357" s="1455"/>
      <c r="E357" s="1455"/>
      <c r="F357" s="1455"/>
      <c r="G357" s="1455"/>
      <c r="H357" s="1455"/>
    </row>
    <row r="358" spans="1:8">
      <c r="A358" s="1456" t="s">
        <v>706</v>
      </c>
      <c r="B358" s="1455"/>
      <c r="C358" s="1455"/>
      <c r="D358" s="1455"/>
      <c r="E358" s="1455"/>
      <c r="F358" s="1455"/>
      <c r="G358" s="1455"/>
      <c r="H358" s="1455"/>
    </row>
    <row r="359" spans="1:8">
      <c r="A359" s="1456" t="s">
        <v>707</v>
      </c>
      <c r="B359" s="1455"/>
      <c r="C359" s="1455"/>
      <c r="D359" s="1455"/>
      <c r="E359" s="1455"/>
      <c r="F359" s="1455"/>
      <c r="G359" s="1455"/>
      <c r="H359" s="1455"/>
    </row>
    <row r="360" spans="1:8">
      <c r="A360" s="1456" t="s">
        <v>708</v>
      </c>
      <c r="B360" s="1455"/>
      <c r="C360" s="1455"/>
      <c r="D360" s="1455"/>
      <c r="E360" s="1455"/>
      <c r="F360" s="1455"/>
      <c r="G360" s="1455"/>
      <c r="H360" s="1455"/>
    </row>
    <row r="361" spans="1:8">
      <c r="A361" s="1456" t="s">
        <v>709</v>
      </c>
      <c r="B361" s="1455"/>
      <c r="C361" s="1455"/>
      <c r="D361" s="1455"/>
      <c r="E361" s="1455"/>
      <c r="F361" s="1455"/>
      <c r="G361" s="1455"/>
      <c r="H361" s="1455"/>
    </row>
    <row r="362" spans="1:8">
      <c r="A362" s="1456" t="s">
        <v>710</v>
      </c>
      <c r="B362" s="1455"/>
      <c r="C362" s="1455"/>
      <c r="D362" s="1455"/>
      <c r="E362" s="1455"/>
      <c r="F362" s="1455"/>
      <c r="G362" s="1455"/>
      <c r="H362" s="1455"/>
    </row>
    <row r="363" spans="1:8">
      <c r="A363" s="1456" t="s">
        <v>711</v>
      </c>
      <c r="B363" s="1455"/>
      <c r="C363" s="1455"/>
      <c r="D363" s="1455"/>
      <c r="E363" s="1455"/>
      <c r="F363" s="1455"/>
      <c r="G363" s="1455"/>
      <c r="H363" s="1455"/>
    </row>
    <row r="364" spans="1:8">
      <c r="A364" s="1456" t="s">
        <v>712</v>
      </c>
      <c r="B364" s="1455"/>
      <c r="C364" s="1455"/>
      <c r="D364" s="1455"/>
      <c r="E364" s="1455"/>
      <c r="F364" s="1455"/>
      <c r="G364" s="1455"/>
      <c r="H364" s="1455"/>
    </row>
    <row r="365" spans="1:8">
      <c r="A365" s="1456" t="s">
        <v>713</v>
      </c>
      <c r="B365" s="1455"/>
      <c r="C365" s="1455"/>
      <c r="D365" s="1455"/>
      <c r="E365" s="1455"/>
      <c r="F365" s="1455"/>
      <c r="G365" s="1455"/>
      <c r="H365" s="1455"/>
    </row>
    <row r="366" spans="1:8">
      <c r="A366" s="1456" t="s">
        <v>714</v>
      </c>
      <c r="B366" s="1455"/>
      <c r="C366" s="1455"/>
      <c r="D366" s="1455"/>
      <c r="E366" s="1455"/>
      <c r="F366" s="1455"/>
      <c r="G366" s="1455"/>
      <c r="H366" s="1455"/>
    </row>
    <row r="367" spans="1:8">
      <c r="A367" s="1456" t="s">
        <v>715</v>
      </c>
      <c r="B367" s="1455"/>
      <c r="C367" s="1455"/>
      <c r="D367" s="1455"/>
      <c r="E367" s="1455"/>
      <c r="F367" s="1455"/>
      <c r="G367" s="1455"/>
      <c r="H367" s="1455"/>
    </row>
    <row r="368" spans="1:8">
      <c r="A368" s="1456" t="s">
        <v>716</v>
      </c>
      <c r="B368" s="1455"/>
      <c r="C368" s="1455"/>
      <c r="D368" s="1455"/>
      <c r="E368" s="1455"/>
      <c r="F368" s="1455"/>
      <c r="G368" s="1455"/>
      <c r="H368" s="1455"/>
    </row>
    <row r="369" spans="1:8">
      <c r="A369" s="1455"/>
      <c r="B369" s="1455"/>
      <c r="C369" s="1455"/>
      <c r="D369" s="1455"/>
      <c r="E369" s="1455"/>
      <c r="F369" s="1455"/>
      <c r="G369" s="1455"/>
      <c r="H369" s="1455"/>
    </row>
    <row r="370" spans="1:8">
      <c r="A370" s="1456" t="s">
        <v>674</v>
      </c>
      <c r="B370" s="1455"/>
      <c r="C370" s="1455"/>
      <c r="D370" s="1455"/>
      <c r="E370" s="1455"/>
      <c r="F370" s="1455"/>
      <c r="G370" s="1455"/>
      <c r="H370" s="1455"/>
    </row>
    <row r="371" spans="1:8">
      <c r="A371" s="1456" t="s">
        <v>678</v>
      </c>
      <c r="B371" s="1455"/>
      <c r="C371" s="1455"/>
      <c r="D371" s="1455"/>
      <c r="E371" s="1455"/>
      <c r="F371" s="1455"/>
      <c r="G371" s="1455"/>
      <c r="H371" s="1455"/>
    </row>
    <row r="372" spans="1:8">
      <c r="A372" s="1456" t="s">
        <v>679</v>
      </c>
      <c r="B372" s="1455"/>
      <c r="C372" s="1455"/>
      <c r="D372" s="1455"/>
      <c r="E372" s="1455"/>
      <c r="F372" s="1455"/>
      <c r="G372" s="1455"/>
      <c r="H372" s="1455"/>
    </row>
    <row r="373" spans="1:8">
      <c r="A373" s="1456" t="s">
        <v>680</v>
      </c>
      <c r="B373" s="1455"/>
      <c r="C373" s="1455"/>
      <c r="D373" s="1455"/>
      <c r="E373" s="1455"/>
      <c r="F373" s="1455"/>
      <c r="G373" s="1455"/>
      <c r="H373" s="1455"/>
    </row>
    <row r="374" spans="1:8">
      <c r="A374" s="1456" t="s">
        <v>681</v>
      </c>
      <c r="B374" s="1455"/>
      <c r="C374" s="1455"/>
      <c r="D374" s="1455"/>
      <c r="E374" s="1455"/>
      <c r="F374" s="1455"/>
      <c r="G374" s="1455"/>
      <c r="H374" s="1455"/>
    </row>
    <row r="375" spans="1:8">
      <c r="A375" s="1455"/>
      <c r="B375" s="1455"/>
      <c r="C375" s="1455"/>
      <c r="D375" s="1455"/>
      <c r="E375" s="1455"/>
      <c r="F375" s="1455"/>
      <c r="G375" s="1455"/>
      <c r="H375" s="1455"/>
    </row>
    <row r="376" spans="1:8">
      <c r="A376" s="1456" t="s">
        <v>674</v>
      </c>
      <c r="B376" s="1455"/>
      <c r="C376" s="1455"/>
      <c r="D376" s="1455"/>
      <c r="E376" s="1455"/>
      <c r="F376" s="1455"/>
      <c r="G376" s="1455"/>
      <c r="H376" s="1455"/>
    </row>
    <row r="377" spans="1:8">
      <c r="A377" s="1456" t="s">
        <v>675</v>
      </c>
      <c r="B377" s="1455"/>
      <c r="C377" s="1455"/>
      <c r="D377" s="1455"/>
      <c r="E377" s="1455"/>
      <c r="F377" s="1455"/>
      <c r="G377" s="1455"/>
      <c r="H377" s="1455"/>
    </row>
    <row r="378" spans="1:8">
      <c r="A378" s="1456" t="s">
        <v>676</v>
      </c>
      <c r="B378" s="1455"/>
      <c r="C378" s="1455"/>
      <c r="D378" s="1455"/>
      <c r="E378" s="1455"/>
      <c r="F378" s="1455"/>
      <c r="G378" s="1455"/>
      <c r="H378" s="1455"/>
    </row>
    <row r="379" spans="1:8">
      <c r="A379" s="1456" t="s">
        <v>677</v>
      </c>
      <c r="B379" s="1455"/>
      <c r="C379" s="1455"/>
      <c r="D379" s="1455"/>
      <c r="E379" s="1455"/>
      <c r="F379" s="1455"/>
      <c r="G379" s="1455"/>
      <c r="H379" s="1455"/>
    </row>
    <row r="380" spans="1:8">
      <c r="A380" s="1455"/>
      <c r="B380" s="1455"/>
      <c r="C380" s="1455"/>
      <c r="D380" s="1455"/>
      <c r="E380" s="1455"/>
      <c r="F380" s="1455"/>
      <c r="G380" s="1455"/>
      <c r="H380" s="1455"/>
    </row>
    <row r="381" spans="1:8">
      <c r="A381" s="1456" t="s">
        <v>668</v>
      </c>
      <c r="B381" s="1455"/>
      <c r="C381" s="1455"/>
      <c r="D381" s="1455"/>
      <c r="E381" s="1455"/>
      <c r="F381" s="1455"/>
      <c r="G381" s="1455"/>
      <c r="H381" s="1455"/>
    </row>
    <row r="382" spans="1:8">
      <c r="A382" s="1456" t="s">
        <v>669</v>
      </c>
      <c r="B382" s="1455"/>
      <c r="C382" s="1455"/>
      <c r="D382" s="1455"/>
      <c r="E382" s="1455"/>
      <c r="F382" s="1455"/>
      <c r="G382" s="1455"/>
      <c r="H382" s="1455"/>
    </row>
    <row r="383" spans="1:8">
      <c r="A383" s="1456" t="s">
        <v>670</v>
      </c>
      <c r="B383" s="1455"/>
      <c r="C383" s="1455"/>
      <c r="D383" s="1455"/>
      <c r="E383" s="1455"/>
      <c r="F383" s="1455"/>
      <c r="G383" s="1455"/>
      <c r="H383" s="1455"/>
    </row>
    <row r="384" spans="1:8">
      <c r="A384" s="1456" t="s">
        <v>671</v>
      </c>
      <c r="B384" s="1455"/>
      <c r="C384" s="1455"/>
      <c r="D384" s="1455"/>
      <c r="E384" s="1455"/>
      <c r="F384" s="1455"/>
      <c r="G384" s="1455"/>
      <c r="H384" s="1455"/>
    </row>
    <row r="385" spans="1:8">
      <c r="A385" s="1456" t="s">
        <v>672</v>
      </c>
      <c r="B385" s="1455"/>
      <c r="C385" s="1455"/>
      <c r="D385" s="1455"/>
      <c r="E385" s="1455"/>
      <c r="F385" s="1455"/>
      <c r="G385" s="1455"/>
      <c r="H385" s="1455"/>
    </row>
    <row r="386" spans="1:8">
      <c r="A386" s="1456" t="s">
        <v>673</v>
      </c>
      <c r="B386" s="1455"/>
      <c r="C386" s="1455"/>
      <c r="D386" s="1455"/>
      <c r="E386" s="1455"/>
      <c r="F386" s="1455"/>
      <c r="G386" s="1455"/>
      <c r="H386" s="1455"/>
    </row>
    <row r="387" spans="1:8">
      <c r="A387" s="1455"/>
      <c r="B387" s="1455"/>
      <c r="C387" s="1455"/>
      <c r="D387" s="1455"/>
      <c r="E387" s="1455"/>
      <c r="F387" s="1455"/>
      <c r="G387" s="1455"/>
      <c r="H387" s="1455"/>
    </row>
    <row r="388" spans="1:8">
      <c r="A388" s="1456" t="s">
        <v>663</v>
      </c>
      <c r="B388" s="1455"/>
      <c r="C388" s="1455"/>
      <c r="D388" s="1455"/>
      <c r="E388" s="1455"/>
      <c r="F388" s="1455"/>
      <c r="G388" s="1455"/>
      <c r="H388" s="1455"/>
    </row>
    <row r="389" spans="1:8">
      <c r="A389" s="1456" t="s">
        <v>664</v>
      </c>
      <c r="B389" s="1455"/>
      <c r="C389" s="1455"/>
      <c r="D389" s="1455"/>
      <c r="E389" s="1455"/>
      <c r="F389" s="1455"/>
      <c r="G389" s="1455"/>
      <c r="H389" s="1455"/>
    </row>
    <row r="390" spans="1:8">
      <c r="A390" s="1456" t="s">
        <v>665</v>
      </c>
      <c r="B390" s="1455"/>
      <c r="C390" s="1455"/>
      <c r="D390" s="1455"/>
      <c r="E390" s="1455"/>
      <c r="F390" s="1455"/>
      <c r="G390" s="1455"/>
      <c r="H390" s="1455"/>
    </row>
    <row r="391" spans="1:8">
      <c r="A391" s="1456" t="s">
        <v>666</v>
      </c>
      <c r="B391" s="1455"/>
      <c r="C391" s="1455"/>
      <c r="D391" s="1455"/>
      <c r="E391" s="1455"/>
      <c r="F391" s="1455"/>
      <c r="G391" s="1455"/>
      <c r="H391" s="1455"/>
    </row>
    <row r="392" spans="1:8">
      <c r="A392" s="1456" t="s">
        <v>667</v>
      </c>
      <c r="B392" s="1455"/>
      <c r="C392" s="1455"/>
      <c r="D392" s="1455"/>
      <c r="E392" s="1455"/>
      <c r="F392" s="1455"/>
      <c r="G392" s="1455"/>
      <c r="H392" s="1455"/>
    </row>
    <row r="393" spans="1:8">
      <c r="A393" s="1455"/>
      <c r="B393" s="1455"/>
      <c r="C393" s="1455"/>
      <c r="D393" s="1455"/>
      <c r="E393" s="1455"/>
      <c r="F393" s="1455"/>
      <c r="G393" s="1455"/>
      <c r="H393" s="1455"/>
    </row>
    <row r="394" spans="1:8">
      <c r="A394" s="1456" t="s">
        <v>661</v>
      </c>
      <c r="B394" s="1455"/>
      <c r="C394" s="1455"/>
      <c r="D394" s="1455"/>
      <c r="E394" s="1455"/>
      <c r="F394" s="1455"/>
      <c r="G394" s="1455"/>
      <c r="H394" s="1455"/>
    </row>
    <row r="395" spans="1:8">
      <c r="A395" s="1456" t="s">
        <v>662</v>
      </c>
      <c r="B395" s="1455"/>
      <c r="C395" s="1455"/>
      <c r="D395" s="1455"/>
      <c r="E395" s="1455"/>
      <c r="F395" s="1455"/>
      <c r="G395" s="1455"/>
      <c r="H395" s="1455"/>
    </row>
    <row r="397" spans="1:8">
      <c r="A397" s="1451" t="s">
        <v>921</v>
      </c>
    </row>
  </sheetData>
  <mergeCells count="12">
    <mergeCell ref="A120:H120"/>
    <mergeCell ref="A127:H127"/>
    <mergeCell ref="A114:H114"/>
    <mergeCell ref="A115:H115"/>
    <mergeCell ref="A116:H116"/>
    <mergeCell ref="A117:H117"/>
    <mergeCell ref="A119:H119"/>
    <mergeCell ref="A135:H135"/>
    <mergeCell ref="A136:H136"/>
    <mergeCell ref="B128:C128"/>
    <mergeCell ref="D128:F128"/>
    <mergeCell ref="G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A1:FU256"/>
  <sheetViews>
    <sheetView showGridLines="0" zoomScale="85" zoomScaleNormal="85" workbookViewId="0">
      <pane xSplit="3" ySplit="6" topLeftCell="CN7" activePane="bottomRight" state="frozen"/>
      <selection pane="topRight"/>
      <selection pane="bottomLeft"/>
      <selection pane="bottomRight" activeCell="CN7" sqref="CN7"/>
    </sheetView>
  </sheetViews>
  <sheetFormatPr defaultRowHeight="14.25" customHeight="1" outlineLevelRow="2" outlineLevelCol="1"/>
  <cols>
    <col min="1" max="1" width="1.7109375" customWidth="1"/>
    <col min="2" max="2" width="62.42578125" style="545" customWidth="1"/>
    <col min="3" max="3" width="1.7109375" customWidth="1"/>
    <col min="4" max="4" width="9.42578125" style="1395" hidden="1" customWidth="1" outlineLevel="1" collapsed="1"/>
    <col min="5" max="5" width="10" style="1395" hidden="1" customWidth="1" outlineLevel="1"/>
    <col min="6" max="6" width="9.42578125" style="1395" hidden="1" customWidth="1" outlineLevel="1"/>
    <col min="7" max="7" width="10" style="1395" hidden="1" customWidth="1" outlineLevel="1"/>
    <col min="8" max="8" width="9.42578125" style="1395" hidden="1" customWidth="1" outlineLevel="1" collapsed="1"/>
    <col min="9" max="9" width="10" style="1395" hidden="1" customWidth="1" outlineLevel="1"/>
    <col min="10" max="10" width="9.42578125" style="1395" hidden="1" customWidth="1" outlineLevel="1"/>
    <col min="11" max="11" width="10" style="1395" hidden="1" customWidth="1" outlineLevel="1"/>
    <col min="12" max="12" width="9.42578125" style="1395" hidden="1" customWidth="1" outlineLevel="1" collapsed="1"/>
    <col min="13" max="13" width="10" style="1395" hidden="1" customWidth="1" outlineLevel="1"/>
    <col min="14" max="14" width="9.42578125" style="1395" hidden="1" customWidth="1" outlineLevel="1"/>
    <col min="15" max="15" width="10" style="1395" hidden="1" customWidth="1" outlineLevel="1"/>
    <col min="16" max="16" width="9.42578125" style="1395" hidden="1" customWidth="1" outlineLevel="1" collapsed="1"/>
    <col min="17" max="17" width="10" style="1395" hidden="1" customWidth="1" outlineLevel="1"/>
    <col min="18" max="18" width="9.42578125" style="1395" hidden="1" customWidth="1" outlineLevel="1"/>
    <col min="19" max="19" width="10" style="1395" hidden="1" customWidth="1" outlineLevel="1"/>
    <col min="20" max="20" width="9.42578125" style="1395" hidden="1" customWidth="1" outlineLevel="1" collapsed="1"/>
    <col min="21" max="21" width="10" style="1395" hidden="1" customWidth="1" outlineLevel="1"/>
    <col min="22" max="22" width="9.42578125" style="1395" hidden="1" customWidth="1" outlineLevel="1"/>
    <col min="23" max="23" width="10" style="1395" hidden="1" customWidth="1" outlineLevel="1"/>
    <col min="24" max="24" width="9.42578125" style="1395" hidden="1" customWidth="1" outlineLevel="1" collapsed="1"/>
    <col min="25" max="25" width="10" style="1395" hidden="1" customWidth="1" outlineLevel="1"/>
    <col min="26" max="26" width="9.42578125" style="1395" hidden="1" customWidth="1" outlineLevel="1"/>
    <col min="27" max="27" width="10" style="1395" hidden="1" customWidth="1" outlineLevel="1"/>
    <col min="28" max="28" width="9.42578125" style="1395" hidden="1" customWidth="1" outlineLevel="1" collapsed="1"/>
    <col min="29" max="29" width="10" style="1395" hidden="1" customWidth="1" outlineLevel="1"/>
    <col min="30" max="30" width="9.42578125" style="1395" hidden="1" customWidth="1" outlineLevel="1"/>
    <col min="31" max="31" width="10" style="1395" hidden="1" customWidth="1" outlineLevel="1"/>
    <col min="32" max="32" width="9.42578125" style="1395" hidden="1" customWidth="1" outlineLevel="1" collapsed="1"/>
    <col min="33" max="33" width="10" style="1395" hidden="1" customWidth="1" outlineLevel="1"/>
    <col min="34" max="34" width="9.42578125" style="1395" hidden="1" customWidth="1" outlineLevel="1"/>
    <col min="35" max="35" width="10" style="1395" hidden="1" customWidth="1" outlineLevel="1"/>
    <col min="36" max="36" width="9.42578125" style="1395" hidden="1" customWidth="1" outlineLevel="1" collapsed="1"/>
    <col min="37" max="37" width="10" style="1395" hidden="1" customWidth="1" outlineLevel="1"/>
    <col min="38" max="38" width="9.42578125" style="1395" hidden="1" customWidth="1" outlineLevel="1"/>
    <col min="39" max="39" width="10" style="1395" hidden="1" customWidth="1" outlineLevel="1"/>
    <col min="40" max="40" width="9.42578125" style="1395" hidden="1" customWidth="1" outlineLevel="1" collapsed="1"/>
    <col min="41" max="41" width="10" style="1395" hidden="1" customWidth="1" outlineLevel="1"/>
    <col min="42" max="42" width="9.42578125" style="1395" hidden="1" customWidth="1" outlineLevel="1"/>
    <col min="43" max="43" width="10" style="1395" hidden="1" customWidth="1" outlineLevel="1"/>
    <col min="44" max="44" width="9.42578125" style="1395" hidden="1" customWidth="1" outlineLevel="1" collapsed="1"/>
    <col min="45" max="45" width="10" style="1395" hidden="1" customWidth="1" outlineLevel="1"/>
    <col min="46" max="46" width="9.42578125" style="1395" hidden="1" customWidth="1" outlineLevel="1"/>
    <col min="47" max="47" width="10" style="1395" hidden="1" customWidth="1" outlineLevel="1"/>
    <col min="48" max="48" width="9.42578125" style="1395" hidden="1" customWidth="1" outlineLevel="1" collapsed="1"/>
    <col min="49" max="49" width="10" style="1395" hidden="1" customWidth="1" outlineLevel="1"/>
    <col min="50" max="50" width="9.42578125" style="1395" hidden="1" customWidth="1" outlineLevel="1"/>
    <col min="51" max="51" width="10" style="1395" hidden="1" customWidth="1" outlineLevel="1"/>
    <col min="52" max="52" width="9.42578125" style="1395" hidden="1" customWidth="1" outlineLevel="1" collapsed="1"/>
    <col min="53" max="53" width="10" style="1395" hidden="1" customWidth="1" outlineLevel="1"/>
    <col min="54" max="54" width="9.42578125" style="1395" hidden="1" customWidth="1" outlineLevel="1"/>
    <col min="55" max="55" width="10" style="1395" hidden="1" customWidth="1" outlineLevel="1"/>
    <col min="56" max="56" width="9.42578125" style="1395" hidden="1" customWidth="1" outlineLevel="1" collapsed="1"/>
    <col min="57" max="57" width="10" style="1395" hidden="1" customWidth="1" outlineLevel="1"/>
    <col min="58" max="58" width="9.42578125" style="1395" hidden="1" customWidth="1" outlineLevel="1"/>
    <col min="59" max="59" width="10" style="1395" hidden="1" customWidth="1" outlineLevel="1"/>
    <col min="60" max="60" width="9.42578125" style="1395" hidden="1" customWidth="1" outlineLevel="1" collapsed="1"/>
    <col min="61" max="61" width="10" style="1395" hidden="1" customWidth="1" outlineLevel="1"/>
    <col min="62" max="62" width="9.42578125" style="1395" hidden="1" customWidth="1" outlineLevel="1"/>
    <col min="63" max="63" width="10" style="1395" hidden="1" customWidth="1" outlineLevel="1"/>
    <col min="64" max="64" width="9.42578125" style="1395" hidden="1" customWidth="1" outlineLevel="1" collapsed="1"/>
    <col min="65" max="65" width="10" style="1395" hidden="1" customWidth="1" outlineLevel="1"/>
    <col min="66" max="66" width="9.42578125" style="1395" hidden="1" customWidth="1" outlineLevel="1"/>
    <col min="67" max="67" width="10" style="1395" hidden="1" customWidth="1" outlineLevel="1"/>
    <col min="68" max="68" width="9.42578125" style="1395" hidden="1" customWidth="1" outlineLevel="1" collapsed="1"/>
    <col min="69" max="69" width="10" style="1395" hidden="1" customWidth="1" outlineLevel="1"/>
    <col min="70" max="70" width="9.42578125" style="1395" hidden="1" customWidth="1" outlineLevel="1"/>
    <col min="71" max="71" width="10" style="1395" hidden="1" customWidth="1" outlineLevel="1"/>
    <col min="72" max="72" width="9.42578125" style="1395" hidden="1" customWidth="1" outlineLevel="1" collapsed="1"/>
    <col min="73" max="73" width="10" style="1395" hidden="1" customWidth="1" outlineLevel="1"/>
    <col min="74" max="74" width="9.42578125" style="1395" hidden="1" customWidth="1" outlineLevel="1"/>
    <col min="75" max="75" width="10" style="1395" hidden="1" customWidth="1" outlineLevel="1"/>
    <col min="76" max="76" width="9.42578125" hidden="1" customWidth="1" outlineLevel="1" collapsed="1"/>
    <col min="77" max="77" width="10" hidden="1" customWidth="1" outlineLevel="1"/>
    <col min="78" max="78" width="9.42578125" hidden="1" customWidth="1" outlineLevel="1"/>
    <col min="79" max="79" width="10" hidden="1" customWidth="1" outlineLevel="1"/>
    <col min="80" max="80" width="9.5703125" hidden="1" customWidth="1" outlineLevel="1" collapsed="1"/>
    <col min="81" max="82" width="9.42578125" hidden="1" customWidth="1" outlineLevel="1"/>
    <col min="83" max="83" width="10.28515625" hidden="1" customWidth="1" outlineLevel="1"/>
    <col min="84" max="84" width="9.42578125" hidden="1" customWidth="1" outlineLevel="1" collapsed="1"/>
    <col min="85" max="86" width="9.42578125" hidden="1" customWidth="1" outlineLevel="1"/>
    <col min="87" max="87" width="10.28515625" style="1080" hidden="1" customWidth="1" outlineLevel="1"/>
    <col min="88" max="88" width="10.7109375" style="1129" hidden="1" customWidth="1" outlineLevel="1"/>
    <col min="89" max="89" width="9.42578125" style="1137" hidden="1" customWidth="1" outlineLevel="1"/>
    <col min="90" max="90" width="11.42578125" style="1152" hidden="1" customWidth="1" outlineLevel="1"/>
    <col min="91" max="91" width="10.28515625" hidden="1" customWidth="1" outlineLevel="1"/>
    <col min="92" max="92" width="9.7109375" style="1080" customWidth="1" collapsed="1"/>
    <col min="93" max="93" width="9.42578125" style="1207" bestFit="1" customWidth="1"/>
    <col min="94" max="95" width="10.28515625" style="1080" bestFit="1" customWidth="1"/>
    <col min="96" max="96" width="9.7109375" style="1429" customWidth="1" collapsed="1"/>
    <col min="97" max="99" width="10.28515625" style="1152" bestFit="1" customWidth="1"/>
    <col min="100" max="103" width="10.28515625" style="1395" bestFit="1" customWidth="1"/>
    <col min="104" max="107" width="10.28515625" style="1397" hidden="1" customWidth="1" outlineLevel="1"/>
    <col min="108" max="108" width="4.5703125" customWidth="1" collapsed="1"/>
    <col min="109" max="123" width="11.42578125" hidden="1" customWidth="1" outlineLevel="1"/>
    <col min="124" max="127" width="11.42578125" style="1395" hidden="1" customWidth="1" outlineLevel="1"/>
    <col min="128" max="130" width="11.42578125" style="1424" hidden="1" customWidth="1" outlineLevel="1"/>
    <col min="131" max="131" width="10.7109375" style="1152" customWidth="1" collapsed="1"/>
    <col min="132" max="132" width="10.7109375" style="1395" customWidth="1"/>
    <col min="133" max="133" width="11.42578125" customWidth="1"/>
    <col min="134" max="134" width="11.42578125" hidden="1" customWidth="1" outlineLevel="1"/>
    <col min="135" max="135" width="4.42578125" style="279" customWidth="1" collapsed="1"/>
    <col min="136" max="149" width="11.42578125" hidden="1" customWidth="1" outlineLevel="1"/>
    <col min="150" max="151" width="11.42578125" style="1395" hidden="1" customWidth="1" outlineLevel="1"/>
    <col min="152" max="154" width="11.42578125" hidden="1" customWidth="1" outlineLevel="1"/>
    <col min="155" max="155" width="11.42578125" style="1133" hidden="1" customWidth="1" outlineLevel="1"/>
    <col min="156" max="157" width="11.42578125" style="1424" hidden="1" customWidth="1" outlineLevel="1"/>
    <col min="158" max="158" width="11.42578125" style="1395" customWidth="1" collapsed="1"/>
    <col min="159" max="159" width="11.42578125" style="1397" customWidth="1" collapsed="1"/>
    <col min="160" max="160" width="11.42578125" style="1397" customWidth="1"/>
    <col min="161" max="161" width="11.42578125" customWidth="1"/>
    <col min="162" max="164" width="11.42578125" style="1395" customWidth="1"/>
    <col min="165" max="165" width="42.28515625" hidden="1" customWidth="1" outlineLevel="1"/>
    <col min="166" max="166" width="13.7109375" hidden="1" customWidth="1" outlineLevel="1"/>
    <col min="167" max="167" width="9.140625" hidden="1" customWidth="1" outlineLevel="1"/>
    <col min="168" max="168" width="9.7109375" hidden="1" customWidth="1" outlineLevel="1"/>
    <col min="169" max="171" width="9.140625" hidden="1" customWidth="1" outlineLevel="1"/>
    <col min="172" max="172" width="9.140625" collapsed="1"/>
  </cols>
  <sheetData>
    <row r="1" spans="1:177" ht="67.5" customHeight="1">
      <c r="A1" s="1"/>
      <c r="B1" s="539"/>
      <c r="C1" s="1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817"/>
      <c r="CC1" s="2"/>
      <c r="CD1" s="2"/>
      <c r="CE1" s="2"/>
      <c r="CF1" s="817"/>
      <c r="CG1" s="2"/>
      <c r="CH1" s="2"/>
      <c r="CI1" s="2"/>
      <c r="CJ1" s="817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817"/>
      <c r="CW1" s="2"/>
      <c r="CX1" s="2"/>
      <c r="CY1" s="2"/>
      <c r="CZ1" s="817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O1" s="1"/>
    </row>
    <row r="2" spans="1:177" ht="18" customHeight="1">
      <c r="A2" s="1161"/>
      <c r="B2" s="537" t="s">
        <v>399</v>
      </c>
      <c r="C2" s="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816"/>
      <c r="CC2" s="1"/>
      <c r="CD2" s="5"/>
      <c r="CE2" s="1"/>
      <c r="CF2" s="816" t="s">
        <v>252</v>
      </c>
      <c r="CG2" s="1"/>
      <c r="CH2" s="5"/>
      <c r="CI2" s="5"/>
      <c r="CJ2" s="816"/>
      <c r="CK2" s="1"/>
      <c r="CL2" s="5"/>
      <c r="CM2" s="1135" t="s">
        <v>252</v>
      </c>
      <c r="CN2" s="1135" t="s">
        <v>252</v>
      </c>
      <c r="CO2" s="1"/>
      <c r="CP2" s="1135"/>
      <c r="CQ2" s="1135"/>
      <c r="CR2" s="1135"/>
      <c r="CS2" s="1135"/>
      <c r="CT2" s="1385"/>
      <c r="CU2" s="1135"/>
      <c r="CV2" s="1386"/>
      <c r="CW2" s="1135"/>
      <c r="CX2" s="1385"/>
      <c r="CY2" s="1135"/>
      <c r="CZ2" s="1386"/>
      <c r="DA2" s="1135"/>
      <c r="DB2" s="1385"/>
      <c r="DC2" s="1135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4"/>
      <c r="DS2" s="1"/>
      <c r="DT2" s="4"/>
      <c r="DU2" s="4"/>
      <c r="DV2" s="4"/>
      <c r="DW2" s="4"/>
      <c r="DX2" s="4"/>
      <c r="DY2" s="4"/>
      <c r="DZ2" s="4"/>
      <c r="EA2" s="1"/>
      <c r="EB2" s="1"/>
      <c r="EC2" s="176"/>
      <c r="ED2" s="176"/>
      <c r="EE2" s="176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4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O2" s="1"/>
    </row>
    <row r="3" spans="1:177" ht="14.25" customHeight="1">
      <c r="A3" s="1161"/>
      <c r="B3" s="854" t="s">
        <v>400</v>
      </c>
      <c r="C3" s="6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7"/>
      <c r="BA3" s="277"/>
      <c r="BB3" s="277"/>
      <c r="BC3" s="277"/>
      <c r="BD3" s="277"/>
      <c r="BE3" s="277"/>
      <c r="BF3" s="277"/>
      <c r="BG3" s="277"/>
      <c r="BH3" s="277"/>
      <c r="BI3" s="277"/>
      <c r="BJ3" s="277"/>
      <c r="BK3" s="277"/>
      <c r="BL3" s="277"/>
      <c r="BM3" s="277"/>
      <c r="BN3" s="277"/>
      <c r="BO3" s="277"/>
      <c r="BP3" s="277"/>
      <c r="BQ3" s="277"/>
      <c r="BR3" s="277"/>
      <c r="BS3" s="277"/>
      <c r="BT3" s="277"/>
      <c r="BU3" s="277"/>
      <c r="BV3" s="277"/>
      <c r="BW3" s="277"/>
      <c r="BX3" s="277"/>
      <c r="BY3" s="277"/>
      <c r="BZ3" s="277"/>
      <c r="CA3" s="277"/>
      <c r="CB3" s="277"/>
      <c r="CC3" s="277"/>
      <c r="CD3" s="277"/>
      <c r="CE3" s="277"/>
      <c r="CF3" s="1068"/>
      <c r="CG3" s="1068"/>
      <c r="CH3" s="1068"/>
      <c r="CI3" s="277"/>
      <c r="CJ3" s="1156"/>
      <c r="CK3" s="1156"/>
      <c r="CL3" s="1156"/>
      <c r="CM3" s="1156"/>
      <c r="CN3" s="1156"/>
      <c r="CO3" s="1216"/>
      <c r="CP3" s="1156" t="s">
        <v>252</v>
      </c>
      <c r="CQ3" s="1216" t="s">
        <v>252</v>
      </c>
      <c r="CR3" s="1216"/>
      <c r="CS3" s="1156" t="s">
        <v>252</v>
      </c>
      <c r="CT3" s="1156"/>
      <c r="CU3" s="1156"/>
      <c r="CV3" s="1216"/>
      <c r="CW3" s="1216"/>
      <c r="CX3" s="1216"/>
      <c r="CY3" s="1216"/>
      <c r="CZ3" s="1216"/>
      <c r="DA3" s="1216"/>
      <c r="DB3" s="1216"/>
      <c r="DC3" s="1216"/>
      <c r="DD3" s="1151"/>
      <c r="DE3" s="1151"/>
      <c r="DF3" s="1151"/>
      <c r="DG3" s="1151"/>
      <c r="DH3" s="1151"/>
      <c r="DI3" s="1151"/>
      <c r="DJ3" s="1151"/>
      <c r="DK3" s="1151"/>
      <c r="DL3" s="1151"/>
      <c r="DM3" s="1151"/>
      <c r="DN3" s="1151"/>
      <c r="DO3" s="1151"/>
      <c r="DP3" s="1151"/>
      <c r="DQ3" s="1151"/>
      <c r="DR3" s="1151"/>
      <c r="DS3" s="1151"/>
      <c r="DT3" s="1151"/>
      <c r="DU3" s="1151"/>
      <c r="DV3" s="1151"/>
      <c r="DW3" s="1151"/>
      <c r="DX3" s="1151"/>
      <c r="DY3" s="1151"/>
      <c r="DZ3" s="1151"/>
      <c r="EA3" s="1151"/>
      <c r="EB3" s="1151"/>
      <c r="EC3" s="1151"/>
      <c r="ED3" s="1151"/>
      <c r="EE3" s="1155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4"/>
      <c r="ES3" s="1"/>
      <c r="ET3" s="1"/>
      <c r="EU3" s="1"/>
      <c r="EV3" s="277"/>
      <c r="EW3" s="277"/>
      <c r="EX3" s="277"/>
      <c r="EY3" s="277"/>
      <c r="EZ3" s="277"/>
      <c r="FA3" s="277"/>
      <c r="FB3" s="277"/>
      <c r="FC3" s="277"/>
      <c r="FD3" s="277"/>
      <c r="FO3" s="1"/>
    </row>
    <row r="4" spans="1:177" ht="14.25" customHeight="1">
      <c r="A4" s="7"/>
      <c r="B4" s="538" t="s">
        <v>406</v>
      </c>
      <c r="C4" s="9"/>
      <c r="D4" s="1318" t="s">
        <v>441</v>
      </c>
      <c r="E4" s="1319" t="s">
        <v>442</v>
      </c>
      <c r="F4" s="1319" t="s">
        <v>443</v>
      </c>
      <c r="G4" s="1320" t="s">
        <v>444</v>
      </c>
      <c r="H4" s="1318" t="s">
        <v>445</v>
      </c>
      <c r="I4" s="1319" t="s">
        <v>446</v>
      </c>
      <c r="J4" s="1319" t="s">
        <v>447</v>
      </c>
      <c r="K4" s="1320" t="s">
        <v>448</v>
      </c>
      <c r="L4" s="1318" t="s">
        <v>449</v>
      </c>
      <c r="M4" s="1319" t="s">
        <v>450</v>
      </c>
      <c r="N4" s="1319" t="s">
        <v>451</v>
      </c>
      <c r="O4" s="1320" t="s">
        <v>452</v>
      </c>
      <c r="P4" s="1318" t="s">
        <v>454</v>
      </c>
      <c r="Q4" s="1319" t="s">
        <v>455</v>
      </c>
      <c r="R4" s="1319" t="s">
        <v>456</v>
      </c>
      <c r="S4" s="1320" t="s">
        <v>457</v>
      </c>
      <c r="T4" s="1318" t="s">
        <v>458</v>
      </c>
      <c r="U4" s="1319" t="s">
        <v>459</v>
      </c>
      <c r="V4" s="1319" t="s">
        <v>460</v>
      </c>
      <c r="W4" s="1320" t="s">
        <v>461</v>
      </c>
      <c r="X4" s="1318" t="s">
        <v>458</v>
      </c>
      <c r="Y4" s="1319" t="s">
        <v>459</v>
      </c>
      <c r="Z4" s="1319" t="s">
        <v>460</v>
      </c>
      <c r="AA4" s="1320" t="s">
        <v>461</v>
      </c>
      <c r="AB4" s="1318" t="s">
        <v>462</v>
      </c>
      <c r="AC4" s="1319" t="s">
        <v>463</v>
      </c>
      <c r="AD4" s="1319" t="s">
        <v>464</v>
      </c>
      <c r="AE4" s="1320" t="s">
        <v>465</v>
      </c>
      <c r="AF4" s="1318" t="s">
        <v>466</v>
      </c>
      <c r="AG4" s="1319" t="s">
        <v>467</v>
      </c>
      <c r="AH4" s="1319" t="s">
        <v>468</v>
      </c>
      <c r="AI4" s="1320" t="s">
        <v>469</v>
      </c>
      <c r="AJ4" s="1318" t="s">
        <v>470</v>
      </c>
      <c r="AK4" s="1319" t="s">
        <v>471</v>
      </c>
      <c r="AL4" s="1319" t="s">
        <v>0</v>
      </c>
      <c r="AM4" s="1320" t="s">
        <v>1</v>
      </c>
      <c r="AN4" s="1318" t="s">
        <v>2</v>
      </c>
      <c r="AO4" s="1319" t="s">
        <v>3</v>
      </c>
      <c r="AP4" s="1319" t="s">
        <v>4</v>
      </c>
      <c r="AQ4" s="1320" t="s">
        <v>5</v>
      </c>
      <c r="AR4" s="1318" t="s">
        <v>6</v>
      </c>
      <c r="AS4" s="1319" t="s">
        <v>7</v>
      </c>
      <c r="AT4" s="1319" t="s">
        <v>8</v>
      </c>
      <c r="AU4" s="1320" t="s">
        <v>9</v>
      </c>
      <c r="AV4" s="1318" t="s">
        <v>10</v>
      </c>
      <c r="AW4" s="1319" t="s">
        <v>11</v>
      </c>
      <c r="AX4" s="1319" t="s">
        <v>12</v>
      </c>
      <c r="AY4" s="1320" t="s">
        <v>13</v>
      </c>
      <c r="AZ4" s="1318" t="s">
        <v>14</v>
      </c>
      <c r="BA4" s="1319" t="s">
        <v>15</v>
      </c>
      <c r="BB4" s="1319" t="s">
        <v>16</v>
      </c>
      <c r="BC4" s="1320" t="s">
        <v>17</v>
      </c>
      <c r="BD4" s="1318" t="s">
        <v>18</v>
      </c>
      <c r="BE4" s="1319" t="s">
        <v>19</v>
      </c>
      <c r="BF4" s="1319" t="s">
        <v>20</v>
      </c>
      <c r="BG4" s="1320" t="s">
        <v>21</v>
      </c>
      <c r="BH4" s="1318" t="s">
        <v>22</v>
      </c>
      <c r="BI4" s="1319" t="s">
        <v>23</v>
      </c>
      <c r="BJ4" s="1319" t="s">
        <v>24</v>
      </c>
      <c r="BK4" s="1320" t="s">
        <v>25</v>
      </c>
      <c r="BL4" s="1318" t="s">
        <v>26</v>
      </c>
      <c r="BM4" s="1319" t="s">
        <v>27</v>
      </c>
      <c r="BN4" s="1319" t="s">
        <v>28</v>
      </c>
      <c r="BO4" s="1320" t="s">
        <v>29</v>
      </c>
      <c r="BP4" s="1318" t="s">
        <v>30</v>
      </c>
      <c r="BQ4" s="1319" t="s">
        <v>31</v>
      </c>
      <c r="BR4" s="1319" t="s">
        <v>32</v>
      </c>
      <c r="BS4" s="1320" t="s">
        <v>33</v>
      </c>
      <c r="BT4" s="1318" t="s">
        <v>34</v>
      </c>
      <c r="BU4" s="1319" t="s">
        <v>35</v>
      </c>
      <c r="BV4" s="1319" t="s">
        <v>187</v>
      </c>
      <c r="BW4" s="1320" t="s">
        <v>212</v>
      </c>
      <c r="BX4" s="15" t="s">
        <v>235</v>
      </c>
      <c r="BY4" s="16" t="s">
        <v>260</v>
      </c>
      <c r="BZ4" s="16" t="s">
        <v>164</v>
      </c>
      <c r="CA4" s="17" t="s">
        <v>453</v>
      </c>
      <c r="CB4" s="15" t="s">
        <v>153</v>
      </c>
      <c r="CC4" s="16" t="s">
        <v>215</v>
      </c>
      <c r="CD4" s="16" t="s">
        <v>434</v>
      </c>
      <c r="CE4" s="17" t="s">
        <v>477</v>
      </c>
      <c r="CF4" s="15" t="s">
        <v>540</v>
      </c>
      <c r="CG4" s="16" t="s">
        <v>539</v>
      </c>
      <c r="CH4" s="16" t="s">
        <v>545</v>
      </c>
      <c r="CI4" s="17" t="s">
        <v>547</v>
      </c>
      <c r="CJ4" s="15" t="s">
        <v>558</v>
      </c>
      <c r="CK4" s="16" t="s">
        <v>562</v>
      </c>
      <c r="CL4" s="16" t="s">
        <v>567</v>
      </c>
      <c r="CM4" s="17" t="s">
        <v>583</v>
      </c>
      <c r="CN4" s="15" t="s">
        <v>586</v>
      </c>
      <c r="CO4" s="1208" t="s">
        <v>589</v>
      </c>
      <c r="CP4" s="16" t="s">
        <v>591</v>
      </c>
      <c r="CQ4" s="17" t="s">
        <v>593</v>
      </c>
      <c r="CR4" s="1318" t="s">
        <v>616</v>
      </c>
      <c r="CS4" s="16" t="s">
        <v>619</v>
      </c>
      <c r="CT4" s="16" t="s">
        <v>568</v>
      </c>
      <c r="CU4" s="17" t="s">
        <v>569</v>
      </c>
      <c r="CV4" s="1318" t="s">
        <v>595</v>
      </c>
      <c r="CW4" s="1319" t="s">
        <v>596</v>
      </c>
      <c r="CX4" s="1319" t="s">
        <v>597</v>
      </c>
      <c r="CY4" s="1320" t="s">
        <v>598</v>
      </c>
      <c r="CZ4" s="1318" t="s">
        <v>608</v>
      </c>
      <c r="DA4" s="1319" t="s">
        <v>609</v>
      </c>
      <c r="DB4" s="1319" t="s">
        <v>610</v>
      </c>
      <c r="DC4" s="1320" t="s">
        <v>611</v>
      </c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10"/>
      <c r="DS4" s="7"/>
      <c r="DT4" s="10"/>
      <c r="DU4" s="10"/>
      <c r="DV4" s="10"/>
      <c r="DW4" s="10"/>
      <c r="DX4" s="10"/>
      <c r="DY4" s="10"/>
      <c r="DZ4" s="10"/>
      <c r="EC4" s="7"/>
      <c r="ED4" s="7"/>
      <c r="EE4" s="231"/>
      <c r="EF4" s="406" t="str">
        <f t="shared" ref="EF4:EO4" si="0">"CY"&amp;EF175</f>
        <v>CY1995</v>
      </c>
      <c r="EG4" s="404" t="str">
        <f t="shared" si="0"/>
        <v>CY1996</v>
      </c>
      <c r="EH4" s="404" t="str">
        <f t="shared" si="0"/>
        <v>CY1997</v>
      </c>
      <c r="EI4" s="404" t="str">
        <f t="shared" si="0"/>
        <v>CY1998</v>
      </c>
      <c r="EJ4" s="404" t="str">
        <f t="shared" si="0"/>
        <v>CY1999</v>
      </c>
      <c r="EK4" s="404" t="str">
        <f t="shared" si="0"/>
        <v>CY2000</v>
      </c>
      <c r="EL4" s="404" t="str">
        <f t="shared" si="0"/>
        <v>CY2001</v>
      </c>
      <c r="EM4" s="404" t="str">
        <f t="shared" si="0"/>
        <v>CY2002</v>
      </c>
      <c r="EN4" s="404" t="str">
        <f t="shared" si="0"/>
        <v>CY2003</v>
      </c>
      <c r="EO4" s="404" t="str">
        <f t="shared" si="0"/>
        <v>CY2004</v>
      </c>
      <c r="EP4" s="404" t="str">
        <f>"CY"&amp;EP175</f>
        <v>CY2005</v>
      </c>
      <c r="EQ4" s="404" t="str">
        <f t="shared" ref="EQ4:EX4" si="1">"CY"&amp;EQ175</f>
        <v>CY2006</v>
      </c>
      <c r="ER4" s="404" t="str">
        <f t="shared" si="1"/>
        <v>CY2007</v>
      </c>
      <c r="ES4" s="404" t="str">
        <f t="shared" si="1"/>
        <v>CY2008</v>
      </c>
      <c r="ET4" s="404" t="str">
        <f t="shared" si="1"/>
        <v>CY2009</v>
      </c>
      <c r="EU4" s="404" t="str">
        <f t="shared" si="1"/>
        <v>CY2010</v>
      </c>
      <c r="EV4" s="404" t="str">
        <f t="shared" si="1"/>
        <v>CY2011</v>
      </c>
      <c r="EW4" s="404" t="str">
        <f t="shared" si="1"/>
        <v>CY2012</v>
      </c>
      <c r="EX4" s="404" t="str">
        <f t="shared" si="1"/>
        <v>CY2013</v>
      </c>
      <c r="EY4" s="404" t="str">
        <f>"CY"&amp;EY175</f>
        <v>CY2014</v>
      </c>
      <c r="EZ4" s="404" t="s">
        <v>560</v>
      </c>
      <c r="FA4" s="404" t="s">
        <v>561</v>
      </c>
      <c r="FB4" s="404" t="s">
        <v>574</v>
      </c>
      <c r="FC4" s="404" t="s">
        <v>602</v>
      </c>
      <c r="FD4" s="20" t="s">
        <v>612</v>
      </c>
      <c r="FO4" s="7"/>
    </row>
    <row r="5" spans="1:177" ht="14.25" customHeight="1">
      <c r="A5" s="7"/>
      <c r="B5" s="901" t="s">
        <v>407</v>
      </c>
      <c r="C5" s="12"/>
      <c r="D5" s="411">
        <v>34668</v>
      </c>
      <c r="E5" s="1212">
        <v>34758</v>
      </c>
      <c r="F5" s="1212">
        <v>34850</v>
      </c>
      <c r="G5" s="410">
        <v>34942</v>
      </c>
      <c r="H5" s="411">
        <v>35033</v>
      </c>
      <c r="I5" s="1212">
        <v>35124</v>
      </c>
      <c r="J5" s="1212">
        <v>35216</v>
      </c>
      <c r="K5" s="410">
        <v>35308</v>
      </c>
      <c r="L5" s="411">
        <v>35399</v>
      </c>
      <c r="M5" s="1212">
        <v>35489</v>
      </c>
      <c r="N5" s="1212">
        <v>35581</v>
      </c>
      <c r="O5" s="410">
        <v>35673</v>
      </c>
      <c r="P5" s="411">
        <v>35764</v>
      </c>
      <c r="Q5" s="1212">
        <v>35854</v>
      </c>
      <c r="R5" s="1212">
        <v>35946</v>
      </c>
      <c r="S5" s="410">
        <v>36038</v>
      </c>
      <c r="T5" s="411">
        <v>36129</v>
      </c>
      <c r="U5" s="1212">
        <v>36219</v>
      </c>
      <c r="V5" s="1212">
        <v>36311</v>
      </c>
      <c r="W5" s="410">
        <v>36403</v>
      </c>
      <c r="X5" s="411">
        <v>36494</v>
      </c>
      <c r="Y5" s="1212">
        <v>36585</v>
      </c>
      <c r="Z5" s="1212">
        <v>36677</v>
      </c>
      <c r="AA5" s="410">
        <v>36769</v>
      </c>
      <c r="AB5" s="411">
        <v>36860</v>
      </c>
      <c r="AC5" s="1212">
        <v>36950</v>
      </c>
      <c r="AD5" s="1212">
        <v>37042</v>
      </c>
      <c r="AE5" s="410">
        <v>37134</v>
      </c>
      <c r="AF5" s="411">
        <v>37225</v>
      </c>
      <c r="AG5" s="1212">
        <v>37315</v>
      </c>
      <c r="AH5" s="1212">
        <v>37407</v>
      </c>
      <c r="AI5" s="410">
        <v>37499</v>
      </c>
      <c r="AJ5" s="411">
        <v>37590</v>
      </c>
      <c r="AK5" s="1212">
        <v>37680</v>
      </c>
      <c r="AL5" s="1212">
        <v>37772</v>
      </c>
      <c r="AM5" s="410">
        <v>37864</v>
      </c>
      <c r="AN5" s="411">
        <v>37955</v>
      </c>
      <c r="AO5" s="1212">
        <v>38046</v>
      </c>
      <c r="AP5" s="1212">
        <v>38138</v>
      </c>
      <c r="AQ5" s="410">
        <v>38230</v>
      </c>
      <c r="AR5" s="411">
        <v>38321</v>
      </c>
      <c r="AS5" s="1212">
        <v>38411</v>
      </c>
      <c r="AT5" s="1212">
        <v>38503</v>
      </c>
      <c r="AU5" s="410">
        <v>38595</v>
      </c>
      <c r="AV5" s="411">
        <v>38686</v>
      </c>
      <c r="AW5" s="1212">
        <v>38776</v>
      </c>
      <c r="AX5" s="1212">
        <v>38868</v>
      </c>
      <c r="AY5" s="410">
        <v>38960</v>
      </c>
      <c r="AZ5" s="411">
        <v>39051</v>
      </c>
      <c r="BA5" s="1212">
        <v>39141</v>
      </c>
      <c r="BB5" s="1212">
        <v>39233</v>
      </c>
      <c r="BC5" s="410">
        <v>39325</v>
      </c>
      <c r="BD5" s="411">
        <v>39416</v>
      </c>
      <c r="BE5" s="1212">
        <v>39507</v>
      </c>
      <c r="BF5" s="1212">
        <v>39599</v>
      </c>
      <c r="BG5" s="410">
        <v>39691</v>
      </c>
      <c r="BH5" s="411">
        <v>39782</v>
      </c>
      <c r="BI5" s="1212">
        <v>39872</v>
      </c>
      <c r="BJ5" s="1212">
        <v>39964</v>
      </c>
      <c r="BK5" s="410">
        <v>40056</v>
      </c>
      <c r="BL5" s="411">
        <v>40147</v>
      </c>
      <c r="BM5" s="1212">
        <v>40237</v>
      </c>
      <c r="BN5" s="1212">
        <v>40329</v>
      </c>
      <c r="BO5" s="410">
        <v>40421</v>
      </c>
      <c r="BP5" s="411">
        <v>40512</v>
      </c>
      <c r="BQ5" s="1212">
        <v>40602</v>
      </c>
      <c r="BR5" s="1212">
        <v>40694</v>
      </c>
      <c r="BS5" s="410">
        <v>40786</v>
      </c>
      <c r="BT5" s="411">
        <v>40877</v>
      </c>
      <c r="BU5" s="1212">
        <v>40968</v>
      </c>
      <c r="BV5" s="1212">
        <v>41060</v>
      </c>
      <c r="BW5" s="410">
        <v>41152</v>
      </c>
      <c r="BX5" s="411">
        <v>41243</v>
      </c>
      <c r="BY5" s="409">
        <v>41333</v>
      </c>
      <c r="BZ5" s="409">
        <v>41425</v>
      </c>
      <c r="CA5" s="410">
        <v>41517</v>
      </c>
      <c r="CB5" s="411">
        <v>41608</v>
      </c>
      <c r="CC5" s="409">
        <v>41698</v>
      </c>
      <c r="CD5" s="409">
        <v>41790</v>
      </c>
      <c r="CE5" s="410">
        <v>41882</v>
      </c>
      <c r="CF5" s="411">
        <v>41973</v>
      </c>
      <c r="CG5" s="409">
        <v>42063</v>
      </c>
      <c r="CH5" s="409">
        <v>42155</v>
      </c>
      <c r="CI5" s="410">
        <v>42247</v>
      </c>
      <c r="CJ5" s="411">
        <v>42338</v>
      </c>
      <c r="CK5" s="409">
        <v>42429</v>
      </c>
      <c r="CL5" s="409">
        <v>42521</v>
      </c>
      <c r="CM5" s="410">
        <v>42613</v>
      </c>
      <c r="CN5" s="411">
        <v>42704</v>
      </c>
      <c r="CO5" s="1212">
        <v>42794</v>
      </c>
      <c r="CP5" s="409">
        <v>42886</v>
      </c>
      <c r="CQ5" s="410">
        <v>42978</v>
      </c>
      <c r="CR5" s="411">
        <v>43069</v>
      </c>
      <c r="CS5" s="409">
        <v>43159</v>
      </c>
      <c r="CT5" s="409">
        <v>43251</v>
      </c>
      <c r="CU5" s="410">
        <v>43343</v>
      </c>
      <c r="CV5" s="411">
        <v>43434</v>
      </c>
      <c r="CW5" s="1212">
        <v>43524</v>
      </c>
      <c r="CX5" s="1212">
        <v>43616</v>
      </c>
      <c r="CY5" s="410">
        <v>43708</v>
      </c>
      <c r="CZ5" s="411">
        <v>43799</v>
      </c>
      <c r="DA5" s="1212">
        <v>43889</v>
      </c>
      <c r="DB5" s="1212">
        <v>43982</v>
      </c>
      <c r="DC5" s="410">
        <v>44074</v>
      </c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10"/>
      <c r="DS5" s="7"/>
      <c r="DT5" s="10"/>
      <c r="DU5" s="10"/>
      <c r="DV5" s="10"/>
      <c r="DW5" s="10"/>
      <c r="DX5" s="10"/>
      <c r="DY5" s="10"/>
      <c r="DZ5" s="10"/>
      <c r="EC5" s="13"/>
      <c r="ED5" s="7"/>
      <c r="EE5" s="231"/>
      <c r="EF5" s="397">
        <v>35064</v>
      </c>
      <c r="EG5" s="398">
        <v>35430</v>
      </c>
      <c r="EH5" s="398">
        <v>35795</v>
      </c>
      <c r="EI5" s="398">
        <v>36160</v>
      </c>
      <c r="EJ5" s="398">
        <v>36525</v>
      </c>
      <c r="EK5" s="398">
        <v>36891</v>
      </c>
      <c r="EL5" s="398">
        <v>37256</v>
      </c>
      <c r="EM5" s="398">
        <v>37621</v>
      </c>
      <c r="EN5" s="398">
        <v>37986</v>
      </c>
      <c r="EO5" s="398">
        <v>38352</v>
      </c>
      <c r="EP5" s="398">
        <v>38717</v>
      </c>
      <c r="EQ5" s="398">
        <f t="shared" ref="EQ5:EY5" si="2">EOMONTH(EP5,12)</f>
        <v>39082</v>
      </c>
      <c r="ER5" s="398">
        <f t="shared" si="2"/>
        <v>39447</v>
      </c>
      <c r="ES5" s="398">
        <f t="shared" si="2"/>
        <v>39813</v>
      </c>
      <c r="ET5" s="1264">
        <f t="shared" si="2"/>
        <v>40178</v>
      </c>
      <c r="EU5" s="1264">
        <f t="shared" si="2"/>
        <v>40543</v>
      </c>
      <c r="EV5" s="398">
        <f t="shared" si="2"/>
        <v>40908</v>
      </c>
      <c r="EW5" s="398">
        <f t="shared" si="2"/>
        <v>41274</v>
      </c>
      <c r="EX5" s="398">
        <f t="shared" si="2"/>
        <v>41639</v>
      </c>
      <c r="EY5" s="398">
        <f t="shared" si="2"/>
        <v>42004</v>
      </c>
      <c r="EZ5" s="1264">
        <f t="shared" ref="EZ5" si="3">EOMONTH(EY5,12)</f>
        <v>42369</v>
      </c>
      <c r="FA5" s="1264">
        <f t="shared" ref="FA5:FD5" si="4">EOMONTH(EZ5,12)</f>
        <v>42735</v>
      </c>
      <c r="FB5" s="1264">
        <f t="shared" si="4"/>
        <v>43100</v>
      </c>
      <c r="FC5" s="1264">
        <f t="shared" si="4"/>
        <v>43465</v>
      </c>
      <c r="FD5" s="399">
        <f t="shared" si="4"/>
        <v>43830</v>
      </c>
      <c r="FF5" s="1420"/>
      <c r="FG5" s="1420"/>
      <c r="FO5" s="7"/>
    </row>
    <row r="6" spans="1:177" ht="14.25" customHeight="1">
      <c r="A6" s="7"/>
      <c r="B6" s="672"/>
      <c r="C6" s="14"/>
      <c r="D6" s="1318" t="s">
        <v>36</v>
      </c>
      <c r="E6" s="1319" t="s">
        <v>37</v>
      </c>
      <c r="F6" s="1319" t="s">
        <v>38</v>
      </c>
      <c r="G6" s="1320" t="s">
        <v>39</v>
      </c>
      <c r="H6" s="1318" t="s">
        <v>40</v>
      </c>
      <c r="I6" s="1319" t="s">
        <v>41</v>
      </c>
      <c r="J6" s="1319" t="s">
        <v>42</v>
      </c>
      <c r="K6" s="1320" t="s">
        <v>43</v>
      </c>
      <c r="L6" s="1318" t="s">
        <v>44</v>
      </c>
      <c r="M6" s="1319" t="s">
        <v>45</v>
      </c>
      <c r="N6" s="1319" t="s">
        <v>46</v>
      </c>
      <c r="O6" s="1320" t="s">
        <v>47</v>
      </c>
      <c r="P6" s="1318" t="s">
        <v>48</v>
      </c>
      <c r="Q6" s="1319" t="s">
        <v>49</v>
      </c>
      <c r="R6" s="1319" t="s">
        <v>50</v>
      </c>
      <c r="S6" s="1320" t="s">
        <v>51</v>
      </c>
      <c r="T6" s="1318" t="s">
        <v>52</v>
      </c>
      <c r="U6" s="1319" t="s">
        <v>53</v>
      </c>
      <c r="V6" s="1319" t="s">
        <v>54</v>
      </c>
      <c r="W6" s="1320" t="s">
        <v>55</v>
      </c>
      <c r="X6" s="1318" t="s">
        <v>56</v>
      </c>
      <c r="Y6" s="1319" t="s">
        <v>57</v>
      </c>
      <c r="Z6" s="1319" t="s">
        <v>58</v>
      </c>
      <c r="AA6" s="1320" t="s">
        <v>59</v>
      </c>
      <c r="AB6" s="1318" t="s">
        <v>60</v>
      </c>
      <c r="AC6" s="1319" t="s">
        <v>61</v>
      </c>
      <c r="AD6" s="1319" t="s">
        <v>62</v>
      </c>
      <c r="AE6" s="1320" t="s">
        <v>63</v>
      </c>
      <c r="AF6" s="1318" t="s">
        <v>64</v>
      </c>
      <c r="AG6" s="1319" t="s">
        <v>65</v>
      </c>
      <c r="AH6" s="1319" t="s">
        <v>66</v>
      </c>
      <c r="AI6" s="1320" t="s">
        <v>67</v>
      </c>
      <c r="AJ6" s="1318" t="s">
        <v>68</v>
      </c>
      <c r="AK6" s="1319" t="s">
        <v>69</v>
      </c>
      <c r="AL6" s="1319" t="s">
        <v>70</v>
      </c>
      <c r="AM6" s="1320" t="s">
        <v>71</v>
      </c>
      <c r="AN6" s="1318" t="s">
        <v>72</v>
      </c>
      <c r="AO6" s="1319" t="s">
        <v>73</v>
      </c>
      <c r="AP6" s="1319" t="s">
        <v>74</v>
      </c>
      <c r="AQ6" s="1320" t="s">
        <v>75</v>
      </c>
      <c r="AR6" s="1318" t="s">
        <v>76</v>
      </c>
      <c r="AS6" s="1319" t="s">
        <v>77</v>
      </c>
      <c r="AT6" s="1319" t="s">
        <v>78</v>
      </c>
      <c r="AU6" s="1320" t="s">
        <v>79</v>
      </c>
      <c r="AV6" s="1318" t="s">
        <v>80</v>
      </c>
      <c r="AW6" s="1319" t="s">
        <v>81</v>
      </c>
      <c r="AX6" s="1319" t="s">
        <v>82</v>
      </c>
      <c r="AY6" s="1320" t="s">
        <v>83</v>
      </c>
      <c r="AZ6" s="1318" t="s">
        <v>84</v>
      </c>
      <c r="BA6" s="1319" t="s">
        <v>85</v>
      </c>
      <c r="BB6" s="1319" t="s">
        <v>86</v>
      </c>
      <c r="BC6" s="1320" t="s">
        <v>87</v>
      </c>
      <c r="BD6" s="1318" t="s">
        <v>88</v>
      </c>
      <c r="BE6" s="1319" t="s">
        <v>89</v>
      </c>
      <c r="BF6" s="1319" t="s">
        <v>90</v>
      </c>
      <c r="BG6" s="1320" t="s">
        <v>91</v>
      </c>
      <c r="BH6" s="1318" t="s">
        <v>92</v>
      </c>
      <c r="BI6" s="1319" t="s">
        <v>93</v>
      </c>
      <c r="BJ6" s="1319" t="s">
        <v>94</v>
      </c>
      <c r="BK6" s="1320" t="s">
        <v>95</v>
      </c>
      <c r="BL6" s="1318" t="s">
        <v>96</v>
      </c>
      <c r="BM6" s="1319" t="s">
        <v>97</v>
      </c>
      <c r="BN6" s="1319" t="s">
        <v>98</v>
      </c>
      <c r="BO6" s="1320" t="s">
        <v>99</v>
      </c>
      <c r="BP6" s="1318" t="s">
        <v>100</v>
      </c>
      <c r="BQ6" s="1319" t="s">
        <v>101</v>
      </c>
      <c r="BR6" s="1319" t="s">
        <v>102</v>
      </c>
      <c r="BS6" s="1320" t="s">
        <v>103</v>
      </c>
      <c r="BT6" s="1318" t="s">
        <v>104</v>
      </c>
      <c r="BU6" s="1319" t="s">
        <v>105</v>
      </c>
      <c r="BV6" s="1319" t="s">
        <v>149</v>
      </c>
      <c r="BW6" s="1320" t="s">
        <v>211</v>
      </c>
      <c r="BX6" s="15" t="s">
        <v>236</v>
      </c>
      <c r="BY6" s="16" t="s">
        <v>259</v>
      </c>
      <c r="BZ6" s="16" t="s">
        <v>144</v>
      </c>
      <c r="CA6" s="17" t="s">
        <v>145</v>
      </c>
      <c r="CB6" s="15" t="s">
        <v>245</v>
      </c>
      <c r="CC6" s="16" t="s">
        <v>214</v>
      </c>
      <c r="CD6" s="16" t="s">
        <v>435</v>
      </c>
      <c r="CE6" s="17" t="s">
        <v>478</v>
      </c>
      <c r="CF6" s="15" t="s">
        <v>536</v>
      </c>
      <c r="CG6" s="16" t="s">
        <v>537</v>
      </c>
      <c r="CH6" s="16" t="s">
        <v>541</v>
      </c>
      <c r="CI6" s="17" t="s">
        <v>546</v>
      </c>
      <c r="CJ6" s="15" t="s">
        <v>559</v>
      </c>
      <c r="CK6" s="16" t="s">
        <v>563</v>
      </c>
      <c r="CL6" s="16" t="s">
        <v>566</v>
      </c>
      <c r="CM6" s="17" t="s">
        <v>582</v>
      </c>
      <c r="CN6" s="15" t="s">
        <v>587</v>
      </c>
      <c r="CO6" s="1208" t="s">
        <v>588</v>
      </c>
      <c r="CP6" s="16" t="s">
        <v>590</v>
      </c>
      <c r="CQ6" s="17" t="s">
        <v>592</v>
      </c>
      <c r="CR6" s="1318" t="s">
        <v>615</v>
      </c>
      <c r="CS6" s="16" t="s">
        <v>620</v>
      </c>
      <c r="CT6" s="16" t="s">
        <v>572</v>
      </c>
      <c r="CU6" s="17" t="s">
        <v>573</v>
      </c>
      <c r="CV6" s="1318" t="s">
        <v>599</v>
      </c>
      <c r="CW6" s="1319" t="s">
        <v>600</v>
      </c>
      <c r="CX6" s="1319" t="s">
        <v>601</v>
      </c>
      <c r="CY6" s="1320" t="s">
        <v>594</v>
      </c>
      <c r="CZ6" s="1318" t="s">
        <v>604</v>
      </c>
      <c r="DA6" s="1319" t="s">
        <v>605</v>
      </c>
      <c r="DB6" s="1319" t="s">
        <v>606</v>
      </c>
      <c r="DC6" s="1320" t="s">
        <v>607</v>
      </c>
      <c r="DD6" s="18"/>
      <c r="DE6" s="1318" t="s">
        <v>437</v>
      </c>
      <c r="DF6" s="1319" t="s">
        <v>438</v>
      </c>
      <c r="DG6" s="16" t="s">
        <v>160</v>
      </c>
      <c r="DH6" s="16" t="s">
        <v>161</v>
      </c>
      <c r="DI6" s="16" t="s">
        <v>162</v>
      </c>
      <c r="DJ6" s="16" t="s">
        <v>163</v>
      </c>
      <c r="DK6" s="16" t="s">
        <v>165</v>
      </c>
      <c r="DL6" s="16" t="s">
        <v>166</v>
      </c>
      <c r="DM6" s="16" t="s">
        <v>167</v>
      </c>
      <c r="DN6" s="16" t="s">
        <v>168</v>
      </c>
      <c r="DO6" s="16" t="s">
        <v>169</v>
      </c>
      <c r="DP6" s="16" t="s">
        <v>170</v>
      </c>
      <c r="DQ6" s="16" t="s">
        <v>171</v>
      </c>
      <c r="DR6" s="16" t="s">
        <v>172</v>
      </c>
      <c r="DS6" s="16" t="s">
        <v>173</v>
      </c>
      <c r="DT6" s="1319" t="s">
        <v>174</v>
      </c>
      <c r="DU6" s="1319" t="s">
        <v>175</v>
      </c>
      <c r="DV6" s="1319" t="s">
        <v>234</v>
      </c>
      <c r="DW6" s="1319" t="s">
        <v>433</v>
      </c>
      <c r="DX6" s="1319" t="s">
        <v>555</v>
      </c>
      <c r="DY6" s="1319" t="s">
        <v>556</v>
      </c>
      <c r="DZ6" s="1319" t="s">
        <v>584</v>
      </c>
      <c r="EA6" s="1319" t="s">
        <v>603</v>
      </c>
      <c r="EB6" s="1319" t="s">
        <v>178</v>
      </c>
      <c r="EC6" s="1320" t="s">
        <v>179</v>
      </c>
      <c r="ED6" s="19" t="s">
        <v>180</v>
      </c>
      <c r="EE6" s="231"/>
      <c r="EF6" s="508"/>
      <c r="EG6" s="509"/>
      <c r="EH6" s="509"/>
      <c r="EI6" s="509"/>
      <c r="EJ6" s="509"/>
      <c r="EK6" s="509"/>
      <c r="EL6" s="509"/>
      <c r="EM6" s="509"/>
      <c r="EN6" s="509"/>
      <c r="EO6" s="509"/>
      <c r="EP6" s="509"/>
      <c r="EQ6" s="509"/>
      <c r="ER6" s="509"/>
      <c r="ES6" s="509"/>
      <c r="ET6" s="509"/>
      <c r="EU6" s="509"/>
      <c r="EV6" s="509"/>
      <c r="EW6" s="509"/>
      <c r="EX6" s="509"/>
      <c r="EY6" s="509"/>
      <c r="EZ6" s="509"/>
      <c r="FA6" s="509"/>
      <c r="FB6" s="509"/>
      <c r="FC6" s="509"/>
      <c r="FD6" s="510"/>
      <c r="FE6" s="300"/>
      <c r="FF6" s="300"/>
      <c r="FG6" s="300"/>
      <c r="FH6" s="300"/>
      <c r="FO6" s="7"/>
    </row>
    <row r="7" spans="1:177" ht="14.25" customHeight="1">
      <c r="A7" s="7"/>
      <c r="B7" s="673" t="s">
        <v>304</v>
      </c>
      <c r="C7" s="23"/>
      <c r="D7" s="794">
        <v>535</v>
      </c>
      <c r="E7" s="783">
        <v>628.5</v>
      </c>
      <c r="F7" s="783">
        <v>761.2</v>
      </c>
      <c r="G7" s="753">
        <v>1028</v>
      </c>
      <c r="H7" s="794">
        <v>1185.8</v>
      </c>
      <c r="I7" s="783">
        <v>996.5</v>
      </c>
      <c r="J7" s="783">
        <v>771</v>
      </c>
      <c r="K7" s="753">
        <v>700.5</v>
      </c>
      <c r="L7" s="794">
        <v>728.1</v>
      </c>
      <c r="M7" s="783">
        <v>876.2</v>
      </c>
      <c r="N7" s="783">
        <v>965</v>
      </c>
      <c r="O7" s="753">
        <v>946.2</v>
      </c>
      <c r="P7" s="794">
        <v>957.3</v>
      </c>
      <c r="Q7" s="783">
        <v>763.2</v>
      </c>
      <c r="R7" s="783">
        <v>612.70000000000005</v>
      </c>
      <c r="S7" s="753">
        <v>692.1</v>
      </c>
      <c r="T7" s="794">
        <v>793.6</v>
      </c>
      <c r="U7" s="783">
        <v>1025.8</v>
      </c>
      <c r="V7" s="783">
        <v>863.8</v>
      </c>
      <c r="W7" s="753">
        <v>1080.8</v>
      </c>
      <c r="X7" s="794">
        <v>1343.7</v>
      </c>
      <c r="Y7" s="783">
        <v>1159.0999999999999</v>
      </c>
      <c r="Z7" s="783">
        <v>1553.8</v>
      </c>
      <c r="AA7" s="753">
        <v>2305.8000000000002</v>
      </c>
      <c r="AB7" s="794">
        <v>1571.6</v>
      </c>
      <c r="AC7" s="783">
        <v>1065.7</v>
      </c>
      <c r="AD7" s="783">
        <v>818.3</v>
      </c>
      <c r="AE7" s="753">
        <v>480.30000000000064</v>
      </c>
      <c r="AF7" s="794">
        <v>423.9</v>
      </c>
      <c r="AG7" s="783">
        <v>645.9</v>
      </c>
      <c r="AH7" s="783">
        <v>771.2</v>
      </c>
      <c r="AI7" s="753">
        <v>748</v>
      </c>
      <c r="AJ7" s="794">
        <v>685.1</v>
      </c>
      <c r="AK7" s="783">
        <v>785</v>
      </c>
      <c r="AL7" s="783">
        <v>732.7</v>
      </c>
      <c r="AM7" s="753">
        <v>888.5</v>
      </c>
      <c r="AN7" s="794">
        <v>1107.2</v>
      </c>
      <c r="AO7" s="783">
        <v>991</v>
      </c>
      <c r="AP7" s="783">
        <v>1116.8</v>
      </c>
      <c r="AQ7" s="753">
        <v>1189.2</v>
      </c>
      <c r="AR7" s="794">
        <v>1260.3</v>
      </c>
      <c r="AS7" s="783">
        <v>1307.9000000000001</v>
      </c>
      <c r="AT7" s="783">
        <v>1054.2</v>
      </c>
      <c r="AU7" s="753">
        <v>1257.8</v>
      </c>
      <c r="AV7" s="794">
        <v>1361.8</v>
      </c>
      <c r="AW7" s="783">
        <v>1225</v>
      </c>
      <c r="AX7" s="783">
        <v>1312.3</v>
      </c>
      <c r="AY7" s="753">
        <v>1373.4</v>
      </c>
      <c r="AZ7" s="794">
        <v>1530</v>
      </c>
      <c r="BA7" s="783">
        <v>1427</v>
      </c>
      <c r="BB7" s="783">
        <v>1294</v>
      </c>
      <c r="BC7" s="753">
        <v>1437</v>
      </c>
      <c r="BD7" s="794">
        <v>1535</v>
      </c>
      <c r="BE7" s="783">
        <v>1359</v>
      </c>
      <c r="BF7" s="783">
        <v>1498</v>
      </c>
      <c r="BG7" s="753">
        <v>1449</v>
      </c>
      <c r="BH7" s="794">
        <v>1402</v>
      </c>
      <c r="BI7" s="783">
        <v>993</v>
      </c>
      <c r="BJ7" s="783">
        <v>1106</v>
      </c>
      <c r="BK7" s="753">
        <v>1302</v>
      </c>
      <c r="BL7" s="794">
        <v>1740</v>
      </c>
      <c r="BM7" s="783">
        <v>1961</v>
      </c>
      <c r="BN7" s="783">
        <v>2288</v>
      </c>
      <c r="BO7" s="753">
        <f>8482-BN7-BM7-BL7</f>
        <v>2493</v>
      </c>
      <c r="BP7" s="794">
        <v>2252</v>
      </c>
      <c r="BQ7" s="783">
        <v>2257</v>
      </c>
      <c r="BR7" s="783">
        <v>2139</v>
      </c>
      <c r="BS7" s="753">
        <f>8788-BR7-BQ7-BP7</f>
        <v>2140</v>
      </c>
      <c r="BT7" s="794">
        <v>2090</v>
      </c>
      <c r="BU7" s="783">
        <v>2009</v>
      </c>
      <c r="BV7" s="783">
        <v>2172</v>
      </c>
      <c r="BW7" s="753">
        <v>1963</v>
      </c>
      <c r="BX7" s="794">
        <v>1834</v>
      </c>
      <c r="BY7" s="783">
        <v>2078</v>
      </c>
      <c r="BZ7" s="783">
        <v>2318</v>
      </c>
      <c r="CA7" s="753">
        <v>2843</v>
      </c>
      <c r="CB7" s="794">
        <v>4042</v>
      </c>
      <c r="CC7" s="783">
        <v>4107</v>
      </c>
      <c r="CD7" s="783">
        <v>3982</v>
      </c>
      <c r="CE7" s="753">
        <v>4227</v>
      </c>
      <c r="CF7" s="794">
        <v>4573</v>
      </c>
      <c r="CG7" s="783">
        <v>4166</v>
      </c>
      <c r="CH7" s="783">
        <v>3853</v>
      </c>
      <c r="CI7" s="753">
        <v>3600</v>
      </c>
      <c r="CJ7" s="794">
        <v>3350</v>
      </c>
      <c r="CK7" s="783">
        <v>2934</v>
      </c>
      <c r="CL7" s="783">
        <v>2898</v>
      </c>
      <c r="CM7" s="753">
        <v>3217</v>
      </c>
      <c r="CN7" s="794">
        <v>3970</v>
      </c>
      <c r="CO7" s="783">
        <v>4648</v>
      </c>
      <c r="CP7" s="783">
        <v>5566</v>
      </c>
      <c r="CQ7" s="753">
        <v>6138</v>
      </c>
      <c r="CR7" s="794">
        <v>6803</v>
      </c>
      <c r="CS7" s="783">
        <v>7351</v>
      </c>
      <c r="CT7" s="795">
        <f>'Segment model'!W73</f>
        <v>7605.2690279561812</v>
      </c>
      <c r="CU7" s="796">
        <f>'Segment model'!X73</f>
        <v>7679.7500646870822</v>
      </c>
      <c r="CV7" s="853">
        <f>'Segment model'!Y73</f>
        <v>7448.266211287777</v>
      </c>
      <c r="CW7" s="795">
        <f>'Segment model'!Z73</f>
        <v>6784.9996499438512</v>
      </c>
      <c r="CX7" s="795">
        <f>'Segment model'!AA73</f>
        <v>6659.2665174064305</v>
      </c>
      <c r="CY7" s="796">
        <f>'Segment model'!AB73</f>
        <v>6674.796993614329</v>
      </c>
      <c r="CZ7" s="853">
        <f>'Segment model'!AC73</f>
        <v>6567.0754120034399</v>
      </c>
      <c r="DA7" s="795">
        <f>'Segment model'!AD73</f>
        <v>6558.5060161693264</v>
      </c>
      <c r="DB7" s="795">
        <f>'Segment model'!AE73</f>
        <v>6586.9698180774158</v>
      </c>
      <c r="DC7" s="796">
        <f>'Segment model'!AF73</f>
        <v>6669.5246257417211</v>
      </c>
      <c r="DD7" s="743"/>
      <c r="DE7" s="797">
        <f>SUM(D7:G7)</f>
        <v>2952.7</v>
      </c>
      <c r="DF7" s="797">
        <f>SUM(H7:K7)</f>
        <v>3653.8</v>
      </c>
      <c r="DG7" s="797">
        <f>SUM(L7:O7)</f>
        <v>3515.5</v>
      </c>
      <c r="DH7" s="797">
        <f>SUM(P7:S7)</f>
        <v>3025.2999999999997</v>
      </c>
      <c r="DI7" s="797">
        <f>SUM(T7:W7)</f>
        <v>3764</v>
      </c>
      <c r="DJ7" s="797">
        <f>SUM(X7:AA7)</f>
        <v>6362.4000000000005</v>
      </c>
      <c r="DK7" s="797">
        <f>SUM(AB7:AE7)</f>
        <v>3935.900000000001</v>
      </c>
      <c r="DL7" s="797">
        <f>SUM(AF7:AI7)</f>
        <v>2589</v>
      </c>
      <c r="DM7" s="797">
        <f>SUM(AJ7:AM7)</f>
        <v>3091.3</v>
      </c>
      <c r="DN7" s="797">
        <f>SUM(AN7:AQ7)</f>
        <v>4404.2</v>
      </c>
      <c r="DO7" s="797">
        <f>SUM(AR7:AU7)</f>
        <v>4880.2</v>
      </c>
      <c r="DP7" s="759">
        <f>SUM(AV7:AY7)</f>
        <v>5272.5</v>
      </c>
      <c r="DQ7" s="759">
        <f>SUM(AZ7:BC7)</f>
        <v>5688</v>
      </c>
      <c r="DR7" s="759">
        <f>SUM(BD7:BG7)</f>
        <v>5841</v>
      </c>
      <c r="DS7" s="759">
        <f>SUM(BH7:BK7)</f>
        <v>4803</v>
      </c>
      <c r="DT7" s="759">
        <f>SUM(BL7:BO7)</f>
        <v>8482</v>
      </c>
      <c r="DU7" s="759">
        <f>SUM(BP7:BS7)</f>
        <v>8788</v>
      </c>
      <c r="DV7" s="759">
        <f>SUM(BT7:BW7)</f>
        <v>8234</v>
      </c>
      <c r="DW7" s="759">
        <f>SUM(BX7:CA7)</f>
        <v>9073</v>
      </c>
      <c r="DX7" s="759">
        <f>SUM(CB7:CE7)</f>
        <v>16358</v>
      </c>
      <c r="DY7" s="759">
        <f>SUM(CF7:CI7)</f>
        <v>16192</v>
      </c>
      <c r="DZ7" s="759">
        <f>SUM(CJ7:CM7)</f>
        <v>12399</v>
      </c>
      <c r="EA7" s="759">
        <f>SUM(CN7:CQ7)</f>
        <v>20322</v>
      </c>
      <c r="EB7" s="759">
        <f>SUM(CR7:CU7)</f>
        <v>29439.019092643262</v>
      </c>
      <c r="EC7" s="758">
        <f>SUM(CV7:CY7)</f>
        <v>27567.329372252389</v>
      </c>
      <c r="ED7" s="758">
        <f>SUM(CZ7:DC7)</f>
        <v>26382.075871991899</v>
      </c>
      <c r="EE7" s="1364"/>
      <c r="EF7" s="29">
        <f>SUM(E7:H7)</f>
        <v>3603.5</v>
      </c>
      <c r="EG7" s="27">
        <f>SUM(I7:L7)</f>
        <v>3196.1</v>
      </c>
      <c r="EH7" s="27">
        <f>SUM(M7:P7)</f>
        <v>3744.7</v>
      </c>
      <c r="EI7" s="27">
        <f>SUM(Q7:T7)</f>
        <v>2861.6</v>
      </c>
      <c r="EJ7" s="27">
        <f>SUM(U7:X7)</f>
        <v>4314.0999999999995</v>
      </c>
      <c r="EK7" s="27">
        <f>SUM(Y7:AB7)</f>
        <v>6590.2999999999993</v>
      </c>
      <c r="EL7" s="27">
        <f>SUM(AC7:AF7)</f>
        <v>2788.2000000000007</v>
      </c>
      <c r="EM7" s="27">
        <f>SUM(AG7:AJ7)</f>
        <v>2850.2</v>
      </c>
      <c r="EN7" s="27">
        <f>SUM(AK7:AN7)</f>
        <v>3513.3999999999996</v>
      </c>
      <c r="EO7" s="27">
        <f>SUM(AO7:AR7)</f>
        <v>4557.3</v>
      </c>
      <c r="EP7" s="352">
        <f>SUM(AS7:AV7)</f>
        <v>4981.7000000000007</v>
      </c>
      <c r="EQ7" s="352">
        <f>SUM(AW7:AZ7)</f>
        <v>5440.7000000000007</v>
      </c>
      <c r="ER7" s="352">
        <f>SUM(BA7:BD7)</f>
        <v>5693</v>
      </c>
      <c r="ES7" s="352">
        <f>SUM(BE7:BH7)</f>
        <v>5708</v>
      </c>
      <c r="ET7" s="352">
        <f>SUM(BI7:BL7)</f>
        <v>5141</v>
      </c>
      <c r="EU7" s="352">
        <f>SUM(BM7:BP7)</f>
        <v>8994</v>
      </c>
      <c r="EV7" s="352">
        <f>SUM(BQ7:BT7)</f>
        <v>8626</v>
      </c>
      <c r="EW7" s="352">
        <f>SUM(BU7:BX7)</f>
        <v>7978</v>
      </c>
      <c r="EX7" s="352">
        <f>SUM(BY7:CB7)</f>
        <v>11281</v>
      </c>
      <c r="EY7" s="352">
        <f>SUM(CC7:CF7)</f>
        <v>16889</v>
      </c>
      <c r="EZ7" s="352">
        <f>SUM(CG7:CJ7)</f>
        <v>14969</v>
      </c>
      <c r="FA7" s="352">
        <f>SUM(CK7:CN7)</f>
        <v>13019</v>
      </c>
      <c r="FB7" s="352">
        <f>SUM(CO7:CR7)</f>
        <v>23155</v>
      </c>
      <c r="FC7" s="352">
        <f>SUM(CS7:CV7)</f>
        <v>30084.285303931039</v>
      </c>
      <c r="FD7" s="1177">
        <f>SUM(CW7:CZ7)</f>
        <v>26686.138572968048</v>
      </c>
      <c r="FE7" s="300"/>
      <c r="FF7" s="300"/>
      <c r="FG7" s="300"/>
      <c r="FH7" s="300"/>
      <c r="FO7" s="7"/>
      <c r="FP7" s="725"/>
    </row>
    <row r="8" spans="1:177" ht="14.25" hidden="1" customHeight="1" outlineLevel="1">
      <c r="A8" s="7"/>
      <c r="B8" s="673" t="s">
        <v>263</v>
      </c>
      <c r="C8" s="25"/>
      <c r="D8" s="800">
        <v>0</v>
      </c>
      <c r="E8" s="801">
        <v>0</v>
      </c>
      <c r="F8" s="798">
        <v>0</v>
      </c>
      <c r="G8" s="799">
        <v>0</v>
      </c>
      <c r="H8" s="800">
        <v>0</v>
      </c>
      <c r="I8" s="801">
        <v>0</v>
      </c>
      <c r="J8" s="798">
        <v>0</v>
      </c>
      <c r="K8" s="799">
        <v>0</v>
      </c>
      <c r="L8" s="800">
        <v>0</v>
      </c>
      <c r="M8" s="801">
        <v>0</v>
      </c>
      <c r="N8" s="798">
        <v>0</v>
      </c>
      <c r="O8" s="799">
        <v>0</v>
      </c>
      <c r="P8" s="800">
        <v>0</v>
      </c>
      <c r="Q8" s="801">
        <v>0</v>
      </c>
      <c r="R8" s="798">
        <v>0</v>
      </c>
      <c r="S8" s="799">
        <v>0</v>
      </c>
      <c r="T8" s="800">
        <v>0</v>
      </c>
      <c r="U8" s="801">
        <v>0</v>
      </c>
      <c r="V8" s="798">
        <v>0</v>
      </c>
      <c r="W8" s="799">
        <v>0</v>
      </c>
      <c r="X8" s="800">
        <v>0</v>
      </c>
      <c r="Y8" s="801">
        <v>0</v>
      </c>
      <c r="Z8" s="798">
        <v>0</v>
      </c>
      <c r="AA8" s="799">
        <v>0</v>
      </c>
      <c r="AB8" s="800">
        <v>0</v>
      </c>
      <c r="AC8" s="801">
        <v>0</v>
      </c>
      <c r="AD8" s="798">
        <v>0</v>
      </c>
      <c r="AE8" s="799">
        <v>0</v>
      </c>
      <c r="AF8" s="800">
        <v>0</v>
      </c>
      <c r="AG8" s="801">
        <v>0</v>
      </c>
      <c r="AH8" s="798">
        <v>0</v>
      </c>
      <c r="AI8" s="799">
        <v>0</v>
      </c>
      <c r="AJ8" s="800">
        <v>0</v>
      </c>
      <c r="AK8" s="801">
        <v>0</v>
      </c>
      <c r="AL8" s="798">
        <v>0</v>
      </c>
      <c r="AM8" s="799">
        <v>0</v>
      </c>
      <c r="AN8" s="800">
        <v>0</v>
      </c>
      <c r="AO8" s="801">
        <v>0</v>
      </c>
      <c r="AP8" s="798">
        <v>0</v>
      </c>
      <c r="AQ8" s="799">
        <v>0</v>
      </c>
      <c r="AR8" s="800">
        <v>0</v>
      </c>
      <c r="AS8" s="801">
        <v>0</v>
      </c>
      <c r="AT8" s="798">
        <v>0</v>
      </c>
      <c r="AU8" s="799">
        <v>0</v>
      </c>
      <c r="AV8" s="800">
        <v>0</v>
      </c>
      <c r="AW8" s="801">
        <v>0</v>
      </c>
      <c r="AX8" s="798">
        <v>0</v>
      </c>
      <c r="AY8" s="799">
        <v>0</v>
      </c>
      <c r="AZ8" s="800">
        <v>0</v>
      </c>
      <c r="BA8" s="801">
        <v>0</v>
      </c>
      <c r="BB8" s="798">
        <v>0</v>
      </c>
      <c r="BC8" s="799">
        <v>0</v>
      </c>
      <c r="BD8" s="800">
        <v>0</v>
      </c>
      <c r="BE8" s="801">
        <v>0</v>
      </c>
      <c r="BF8" s="798">
        <v>0</v>
      </c>
      <c r="BG8" s="799">
        <v>0</v>
      </c>
      <c r="BH8" s="800">
        <v>0</v>
      </c>
      <c r="BI8" s="801">
        <v>0</v>
      </c>
      <c r="BJ8" s="798">
        <v>0</v>
      </c>
      <c r="BK8" s="799">
        <v>0</v>
      </c>
      <c r="BL8" s="800">
        <v>0</v>
      </c>
      <c r="BM8" s="801">
        <v>0</v>
      </c>
      <c r="BN8" s="798">
        <v>0</v>
      </c>
      <c r="BO8" s="799">
        <v>0</v>
      </c>
      <c r="BP8" s="800">
        <v>0</v>
      </c>
      <c r="BQ8" s="801">
        <v>0</v>
      </c>
      <c r="BR8" s="798">
        <v>0</v>
      </c>
      <c r="BS8" s="799">
        <v>0</v>
      </c>
      <c r="BT8" s="800"/>
      <c r="BU8" s="801"/>
      <c r="BV8" s="798"/>
      <c r="BW8" s="799"/>
      <c r="BX8" s="800" t="str">
        <f>_xll.ThomsonONEAddinShim.SpreadsheetFormulas.TF($B$3,"TF.ES.SALES.Mean(period=4QCY2012,sdate=0D,scale=6)")</f>
        <v xml:space="preserve">    Manual Calculation    </v>
      </c>
      <c r="BY8" s="801" t="str">
        <f>_xll.ThomsonONEAddinShim.SpreadsheetFormulas.TF($B$3,"TF.ES.SALES.Mean(period=1QCY2013,sdate=0D,scale=6)")</f>
        <v xml:space="preserve">    Manual Calculation    </v>
      </c>
      <c r="BZ8" s="798"/>
      <c r="CA8" s="799"/>
      <c r="CB8" s="800" t="str">
        <f>_xll.ThomsonONEAddinShim.SpreadsheetFormulas.TF($B$3,"TF.ES.SALES.Mean(period=4QCY2013,sdate=0D,scale=6)")</f>
        <v xml:space="preserve">    Manual Calculation    </v>
      </c>
      <c r="CC8" s="801" t="str">
        <f>_xll.ThomsonONEAddinShim.SpreadsheetFormulas.TF($B$3,"TF.ES.SALES.Mean(period=1QCY2014,sdate=0D,scale=6)")</f>
        <v xml:space="preserve">    Manual Calculation    </v>
      </c>
      <c r="CD8" s="801" t="str">
        <f>_xll.ThomsonONEAddinShim.SpreadsheetFormulas.TF($B$3,"TF.ES.SALES.Mean(period=2QCY2014,sdate=0D,scale=6)")</f>
        <v xml:space="preserve">    Manual Calculation    </v>
      </c>
      <c r="CE8" s="799" t="str">
        <f>_xll.ThomsonONEAddinShim.SpreadsheetFormulas.TF($B$3,"TF.ES.SALES.Mean(period=3QCY2014,sdate=0D,scale=6)")</f>
        <v xml:space="preserve">    Manual Calculation    </v>
      </c>
      <c r="CF8" s="800" t="str">
        <f>_xll.ThomsonONEAddinShim.SpreadsheetFormulas.TF($B$3,"TF.ES.SALES.Mean(period=4QCY2014,sdate=0D,scale=6)")</f>
        <v xml:space="preserve">    Manual Calculation    </v>
      </c>
      <c r="CG8" s="801" t="str">
        <f>_xll.ThomsonONEAddinShim.SpreadsheetFormulas.TF($B$3,"TF.ES.SALES.Mean(period=1QCY2015,sdate=0D,scale=6)")</f>
        <v xml:space="preserve">    Manual Calculation    </v>
      </c>
      <c r="CH8" s="801" t="str">
        <f>_xll.ThomsonONEAddinShim.SpreadsheetFormulas.TF($B$3,"TF.ES.SALES.Mean(period=2QCY2015,sdate=0D,scale=6)")</f>
        <v xml:space="preserve">    Manual Calculation    </v>
      </c>
      <c r="CI8" s="799" t="str">
        <f>_xll.ThomsonONEAddinShim.SpreadsheetFormulas.TF($B$3,"TF.ES.SALES.Mean(period=3QCY2015,sdate=0D,scale=6)")</f>
        <v xml:space="preserve">    Manual Calculation    </v>
      </c>
      <c r="CJ8" s="800" t="str">
        <f>_xll.ThomsonONEAddinShim.SpreadsheetFormulas.TF($B$3,"TF.ES.SALES.Mean(period=4QCY2015,sdate=0D,scale=6)")</f>
        <v xml:space="preserve">    Manual Calculation    </v>
      </c>
      <c r="CK8" s="801" t="str">
        <f>_xll.ThomsonONEAddinShim.SpreadsheetFormulas.TF($B$3,"TF.ES.SALES.Mean(period=1QCY2016,sdate=0D,scale=6)")</f>
        <v xml:space="preserve">    Manual Calculation    </v>
      </c>
      <c r="CL8" s="801" t="str">
        <f>_xll.ThomsonONEAddinShim.SpreadsheetFormulas.TF($B$3,"TF.ES.SALES.Mean(period=2QCY2016,sdate=0D,scale=6)")</f>
        <v xml:space="preserve">    Manual Calculation    </v>
      </c>
      <c r="CM8" s="799" t="str">
        <f>_xll.ThomsonONEAddinShim.SpreadsheetFormulas.TF($B$3,"TF.ES.SALES.Mean(period=3QCY2016,sdate=0D,scale=6)")</f>
        <v xml:space="preserve">    Manual Calculation    </v>
      </c>
      <c r="CN8" s="800">
        <f>_xll.ThomsonONEAddinShim.SpreadsheetFormulas.TF($B$3,"TF.ES.SALES.Mean(period=4QCY2016,sdate=0D,scale=6)")</f>
        <v>3945</v>
      </c>
      <c r="CO8" s="801">
        <f>_xll.ThomsonONEAddinShim.SpreadsheetFormulas.TF($B$3,"TF.ES.SALES.Mean(period=1QCY2017,sdate=0D,scale=6)")</f>
        <v>4651</v>
      </c>
      <c r="CP8" s="801">
        <f>_xll.ThomsonONEAddinShim.SpreadsheetFormulas.TF($B$3,"TF.ES.SALES.Mean(period=2QCY2017,sdate=0D,scale=6)")</f>
        <v>5414</v>
      </c>
      <c r="CQ8" s="799">
        <f>_xll.ThomsonONEAddinShim.SpreadsheetFormulas.TF($B$3,"TF.ES.SALES.Mean(period=3QCY2017,sdate=0D,scale=6)")</f>
        <v>5957</v>
      </c>
      <c r="CR8" s="800">
        <f>_xll.ThomsonONEAddinShim.SpreadsheetFormulas.TF($B$3,"TF.ES.SALES.Mean(period=4QCY2016,sdate=0D,scale=6)")</f>
        <v>3945</v>
      </c>
      <c r="CS8" s="801">
        <f>_xll.ThomsonONEAddinShim.SpreadsheetFormulas.TF($B$3,"TF.ES.SALES.Mean(period=1QCY2017,sdate=0D,scale=6)")</f>
        <v>4651</v>
      </c>
      <c r="CT8" s="801">
        <f>_xll.ThomsonONEAddinShim.SpreadsheetFormulas.TF($B$3,"TF.ES.SALES.Mean(period=2QCY2018,sdate=0D,scale=6)")</f>
        <v>7288</v>
      </c>
      <c r="CU8" s="799">
        <f>_xll.ThomsonONEAddinShim.SpreadsheetFormulas.TF($B$3,"TF.ES.SALES.Mean(period=3QCY2018,sdate=0D,scale=6)")</f>
        <v>7389</v>
      </c>
      <c r="CV8" s="800">
        <f>_xll.ThomsonONEAddinShim.SpreadsheetFormulas.TF($B$3,"TF.ES.SALES.Mean(period=4QCY2018,sdate=0D,scale=6)")</f>
        <v>7606</v>
      </c>
      <c r="CW8" s="801">
        <f>_xll.ThomsonONEAddinShim.SpreadsheetFormulas.TF($B$3,"TF.ES.SALES.Mean(period=1QCY2019,sdate=0D,scale=6)")</f>
        <v>7298</v>
      </c>
      <c r="CX8" s="801">
        <f>_xll.ThomsonONEAddinShim.SpreadsheetFormulas.TF($B$3,"TF.ES.SALES.Mean(period=2QCY2019,sdate=0D,scale=6)")</f>
        <v>7356</v>
      </c>
      <c r="CY8" s="799">
        <f>_xll.ThomsonONEAddinShim.SpreadsheetFormulas.TF($B$3,"TF.ES.SALES.Mean(period=3QCY2019,sdate=0D,scale=6)")</f>
        <v>7516</v>
      </c>
      <c r="CZ8" s="800" t="str">
        <f>_xll.ThomsonONEAddinShim.SpreadsheetFormulas.TF($B$3,"TF.ES.SALES.Mean(period=4QCY2019,sdate=0D,scale=6)")</f>
        <v xml:space="preserve">    Manual Calculation    </v>
      </c>
      <c r="DA8" s="801" t="str">
        <f>_xll.ThomsonONEAddinShim.SpreadsheetFormulas.TF($B$3,"TF.ES.SALES.Mean(period=1QCY2020,sdate=0D,scale=6)")</f>
        <v xml:space="preserve">    Manual Calculation    </v>
      </c>
      <c r="DB8" s="801" t="str">
        <f>_xll.ThomsonONEAddinShim.SpreadsheetFormulas.TF($B$3,"TF.ES.SALES.Mean(period=2QCY2020,sdate=0D,scale=6)")</f>
        <v xml:space="preserve">    Manual Calculation    </v>
      </c>
      <c r="DC8" s="799" t="str">
        <f>_xll.ThomsonONEAddinShim.SpreadsheetFormulas.TF($B$3,"TF.ES.SALES.Mean(period=3QCY2020,sdate=0D,scale=6)")</f>
        <v xml:space="preserve">    Manual Calculation    </v>
      </c>
      <c r="DD8" s="743"/>
      <c r="DE8" s="797">
        <f>SUM(D8:G8)</f>
        <v>0</v>
      </c>
      <c r="DF8" s="797">
        <f>SUM(H8:K8)</f>
        <v>0</v>
      </c>
      <c r="DG8" s="797">
        <f>SUM(L8:O8)</f>
        <v>0</v>
      </c>
      <c r="DH8" s="797">
        <f>SUM(P8:S8)</f>
        <v>0</v>
      </c>
      <c r="DI8" s="797">
        <f>SUM(T8:W8)</f>
        <v>0</v>
      </c>
      <c r="DJ8" s="797">
        <f>SUM(X8:AA8)</f>
        <v>0</v>
      </c>
      <c r="DK8" s="797">
        <f>SUM(AB8:AE8)</f>
        <v>0</v>
      </c>
      <c r="DL8" s="797">
        <f>SUM(AF8:AI8)</f>
        <v>0</v>
      </c>
      <c r="DM8" s="797">
        <f>SUM(AJ8:AM8)</f>
        <v>0</v>
      </c>
      <c r="DN8" s="797">
        <f>SUM(AN8:AQ8)</f>
        <v>0</v>
      </c>
      <c r="DO8" s="797">
        <f>SUM(AR8:AU8)</f>
        <v>0</v>
      </c>
      <c r="DP8" s="759">
        <f>SUM(AV8:AY8)</f>
        <v>0</v>
      </c>
      <c r="DQ8" s="759">
        <f>SUM(AZ8:BC8)</f>
        <v>0</v>
      </c>
      <c r="DR8" s="759">
        <f>SUM(BD8:BG8)</f>
        <v>0</v>
      </c>
      <c r="DS8" s="759">
        <f>SUM(BH8:BK8)</f>
        <v>0</v>
      </c>
      <c r="DT8" s="759">
        <f>SUM(BL8:BO8)</f>
        <v>0</v>
      </c>
      <c r="DU8" s="759">
        <f>SUM(BP8:BS8)</f>
        <v>0</v>
      </c>
      <c r="DV8" s="759">
        <f>SUM(BT8:BW8)</f>
        <v>0</v>
      </c>
      <c r="DW8" s="759">
        <f>SUM(BX8:CA8)</f>
        <v>0</v>
      </c>
      <c r="DX8" s="759">
        <f>SUM(CB8:CE8)</f>
        <v>0</v>
      </c>
      <c r="DY8" s="759">
        <f>SUM(CF8:CI8)</f>
        <v>0</v>
      </c>
      <c r="DZ8" s="802">
        <f>SUM(CJ8:CM8)</f>
        <v>0</v>
      </c>
      <c r="EA8" s="802">
        <f>SUM(CN8:CQ8)</f>
        <v>19967</v>
      </c>
      <c r="EB8" s="802">
        <f>SUM(CR8:CU8)</f>
        <v>23273</v>
      </c>
      <c r="EC8" s="803">
        <f>SUM(CV8:CY8)</f>
        <v>29776</v>
      </c>
      <c r="ED8" s="803">
        <f>SUM(CZ8:DC8)</f>
        <v>0</v>
      </c>
      <c r="EE8" s="1364"/>
      <c r="EF8" s="29">
        <f>SUM(E8:H8)</f>
        <v>0</v>
      </c>
      <c r="EG8" s="27">
        <f>SUM(I8:L8)</f>
        <v>0</v>
      </c>
      <c r="EH8" s="27">
        <f>SUM(M8:P8)</f>
        <v>0</v>
      </c>
      <c r="EI8" s="27">
        <f>SUM(Q8:T8)</f>
        <v>0</v>
      </c>
      <c r="EJ8" s="27">
        <f>SUM(U8:X8)</f>
        <v>0</v>
      </c>
      <c r="EK8" s="27">
        <f>SUM(Y8:AB8)</f>
        <v>0</v>
      </c>
      <c r="EL8" s="27">
        <f>SUM(AC8:AF8)</f>
        <v>0</v>
      </c>
      <c r="EM8" s="27">
        <f>SUM(AG8:AJ8)</f>
        <v>0</v>
      </c>
      <c r="EN8" s="27">
        <f>SUM(AK8:AN8)</f>
        <v>0</v>
      </c>
      <c r="EO8" s="27">
        <f>SUM(AO8:AR8)</f>
        <v>0</v>
      </c>
      <c r="EP8" s="352">
        <f>SUM(AS8:AV8)</f>
        <v>0</v>
      </c>
      <c r="EQ8" s="352">
        <f>SUM(AW8:AZ8)</f>
        <v>0</v>
      </c>
      <c r="ER8" s="352">
        <f>SUM(BA8:BD8)</f>
        <v>0</v>
      </c>
      <c r="ES8" s="352">
        <f>SUM(BE8:BH8)</f>
        <v>0</v>
      </c>
      <c r="ET8" s="352">
        <f>SUM(BI8:BL8)</f>
        <v>0</v>
      </c>
      <c r="EU8" s="352">
        <f>SUM(BM8:BP8)</f>
        <v>0</v>
      </c>
      <c r="EV8" s="352">
        <f>SUM(BQ8:BT8)</f>
        <v>0</v>
      </c>
      <c r="EW8" s="352">
        <f>SUM(BU8:BX8)</f>
        <v>0</v>
      </c>
      <c r="EX8" s="352">
        <f>SUM(BY8:CB8)</f>
        <v>0</v>
      </c>
      <c r="EY8" s="352">
        <f>SUM(CC8:CF8)</f>
        <v>0</v>
      </c>
      <c r="EZ8" s="352">
        <f>SUM(CG8:CJ8)</f>
        <v>0</v>
      </c>
      <c r="FA8" s="352">
        <f>SUM(CK8:CN8)</f>
        <v>3945</v>
      </c>
      <c r="FB8" s="352">
        <f>SUM(CO8:CR8)</f>
        <v>19967</v>
      </c>
      <c r="FC8" s="352">
        <f>SUM(CS8:CV8)</f>
        <v>26934</v>
      </c>
      <c r="FD8" s="1177">
        <f>SUM(CW8:CZ8)</f>
        <v>22170</v>
      </c>
      <c r="FE8" s="300"/>
      <c r="FF8" s="300"/>
      <c r="FG8" s="300"/>
      <c r="FH8" s="300"/>
      <c r="FO8" s="7"/>
      <c r="FP8" s="725"/>
    </row>
    <row r="9" spans="1:177" ht="14.25" hidden="1" customHeight="1" outlineLevel="1">
      <c r="A9" s="7"/>
      <c r="B9" s="548" t="s">
        <v>146</v>
      </c>
      <c r="C9" s="31"/>
      <c r="D9" s="880"/>
      <c r="E9" s="1215">
        <f t="shared" ref="E9:AY9" si="5">E7/D7-1</f>
        <v>0.17476635514018701</v>
      </c>
      <c r="F9" s="1215">
        <f t="shared" si="5"/>
        <v>0.21113762927605406</v>
      </c>
      <c r="G9" s="882">
        <f t="shared" si="5"/>
        <v>0.35049921177088805</v>
      </c>
      <c r="H9" s="880">
        <f t="shared" si="5"/>
        <v>0.15350194552529173</v>
      </c>
      <c r="I9" s="1215">
        <f t="shared" si="5"/>
        <v>-0.15963906223646485</v>
      </c>
      <c r="J9" s="1215">
        <f t="shared" si="5"/>
        <v>-0.22629202207727039</v>
      </c>
      <c r="K9" s="882">
        <f t="shared" si="5"/>
        <v>-9.1439688715953316E-2</v>
      </c>
      <c r="L9" s="880">
        <f t="shared" si="5"/>
        <v>3.9400428265524701E-2</v>
      </c>
      <c r="M9" s="1215">
        <f t="shared" si="5"/>
        <v>0.20340612553220705</v>
      </c>
      <c r="N9" s="1215">
        <f t="shared" si="5"/>
        <v>0.10134672449212512</v>
      </c>
      <c r="O9" s="882">
        <f t="shared" si="5"/>
        <v>-1.9481865284974087E-2</v>
      </c>
      <c r="P9" s="880">
        <f t="shared" si="5"/>
        <v>1.1731135066582077E-2</v>
      </c>
      <c r="Q9" s="1215">
        <f t="shared" si="5"/>
        <v>-0.20275775618928227</v>
      </c>
      <c r="R9" s="1215">
        <f t="shared" si="5"/>
        <v>-0.19719601677148846</v>
      </c>
      <c r="S9" s="882">
        <f t="shared" si="5"/>
        <v>0.12959033784886564</v>
      </c>
      <c r="T9" s="880">
        <f t="shared" si="5"/>
        <v>0.14665510764340417</v>
      </c>
      <c r="U9" s="1215">
        <f t="shared" si="5"/>
        <v>0.29259072580645151</v>
      </c>
      <c r="V9" s="1215">
        <f t="shared" si="5"/>
        <v>-0.15792552154416062</v>
      </c>
      <c r="W9" s="882">
        <f t="shared" si="5"/>
        <v>0.25121555915721228</v>
      </c>
      <c r="X9" s="880">
        <f t="shared" si="5"/>
        <v>0.24324574389341236</v>
      </c>
      <c r="Y9" s="1215">
        <f t="shared" si="5"/>
        <v>-0.13738185606906317</v>
      </c>
      <c r="Z9" s="1215">
        <f t="shared" si="5"/>
        <v>0.3405228194288672</v>
      </c>
      <c r="AA9" s="882">
        <f t="shared" si="5"/>
        <v>0.48397477152786728</v>
      </c>
      <c r="AB9" s="880">
        <f t="shared" si="5"/>
        <v>-0.31841443316853157</v>
      </c>
      <c r="AC9" s="1215">
        <f t="shared" si="5"/>
        <v>-0.32190124713667589</v>
      </c>
      <c r="AD9" s="1215">
        <f t="shared" si="5"/>
        <v>-0.23214788401989306</v>
      </c>
      <c r="AE9" s="882">
        <f t="shared" si="5"/>
        <v>-0.41305144812415906</v>
      </c>
      <c r="AF9" s="880">
        <f t="shared" si="5"/>
        <v>-0.11742660836977015</v>
      </c>
      <c r="AG9" s="1215">
        <f t="shared" si="5"/>
        <v>0.5237084217975938</v>
      </c>
      <c r="AH9" s="1215">
        <f t="shared" si="5"/>
        <v>0.19399287815451327</v>
      </c>
      <c r="AI9" s="882">
        <f t="shared" si="5"/>
        <v>-3.0082987551867224E-2</v>
      </c>
      <c r="AJ9" s="880">
        <f t="shared" si="5"/>
        <v>-8.4090909090909105E-2</v>
      </c>
      <c r="AK9" s="1215">
        <f t="shared" si="5"/>
        <v>0.14581812874032973</v>
      </c>
      <c r="AL9" s="1215">
        <f t="shared" si="5"/>
        <v>-6.6624203821656014E-2</v>
      </c>
      <c r="AM9" s="882">
        <f t="shared" si="5"/>
        <v>0.21263818752559027</v>
      </c>
      <c r="AN9" s="880">
        <f t="shared" si="5"/>
        <v>0.24614518851997746</v>
      </c>
      <c r="AO9" s="1215">
        <f t="shared" si="5"/>
        <v>-0.10494942196531798</v>
      </c>
      <c r="AP9" s="1215">
        <f t="shared" si="5"/>
        <v>0.12694248234106964</v>
      </c>
      <c r="AQ9" s="882">
        <f t="shared" si="5"/>
        <v>6.4828080229226481E-2</v>
      </c>
      <c r="AR9" s="880">
        <f t="shared" si="5"/>
        <v>5.9788092835519668E-2</v>
      </c>
      <c r="AS9" s="1215">
        <f t="shared" si="5"/>
        <v>3.7768785209870703E-2</v>
      </c>
      <c r="AT9" s="1215">
        <f t="shared" si="5"/>
        <v>-0.19397507454698371</v>
      </c>
      <c r="AU9" s="882">
        <f t="shared" si="5"/>
        <v>0.19313223297287041</v>
      </c>
      <c r="AV9" s="880">
        <f t="shared" si="5"/>
        <v>8.2684051518524315E-2</v>
      </c>
      <c r="AW9" s="1215">
        <f t="shared" si="5"/>
        <v>-0.10045527977676605</v>
      </c>
      <c r="AX9" s="1215">
        <f t="shared" si="5"/>
        <v>7.1265306122448857E-2</v>
      </c>
      <c r="AY9" s="882">
        <f t="shared" si="5"/>
        <v>4.6559475729635036E-2</v>
      </c>
      <c r="AZ9" s="880">
        <f>AZ7/AY7-1</f>
        <v>0.11402359108781113</v>
      </c>
      <c r="BA9" s="1215">
        <f>BA7/AZ7-1</f>
        <v>-6.732026143790848E-2</v>
      </c>
      <c r="BB9" s="1215">
        <f>BB7/BA7-1</f>
        <v>-9.3202522775052588E-2</v>
      </c>
      <c r="BC9" s="882">
        <f>BC7/BB7-1</f>
        <v>0.11051004636785167</v>
      </c>
      <c r="BD9" s="880">
        <f t="shared" ref="BD9:BK9" si="6">BD7/BC7-1</f>
        <v>6.8197633959638182E-2</v>
      </c>
      <c r="BE9" s="1215">
        <f t="shared" si="6"/>
        <v>-0.11465798045602604</v>
      </c>
      <c r="BF9" s="1215">
        <f t="shared" si="6"/>
        <v>0.10228108903605593</v>
      </c>
      <c r="BG9" s="882">
        <f t="shared" si="6"/>
        <v>-3.2710280373831724E-2</v>
      </c>
      <c r="BH9" s="880">
        <f t="shared" si="6"/>
        <v>-3.2436162870945529E-2</v>
      </c>
      <c r="BI9" s="1215">
        <f t="shared" si="6"/>
        <v>-0.29172610556348078</v>
      </c>
      <c r="BJ9" s="1215">
        <f t="shared" si="6"/>
        <v>0.11379657603222548</v>
      </c>
      <c r="BK9" s="882">
        <f t="shared" si="6"/>
        <v>0.17721518987341778</v>
      </c>
      <c r="BL9" s="880">
        <f t="shared" ref="BL9:CI9" si="7">BL7/BK7-1</f>
        <v>0.33640552995391704</v>
      </c>
      <c r="BM9" s="1215">
        <f t="shared" si="7"/>
        <v>0.1270114942528735</v>
      </c>
      <c r="BN9" s="1215">
        <f t="shared" si="7"/>
        <v>0.16675165731769503</v>
      </c>
      <c r="BO9" s="882">
        <f t="shared" si="7"/>
        <v>8.9597902097902082E-2</v>
      </c>
      <c r="BP9" s="880">
        <f t="shared" si="7"/>
        <v>-9.6670677898114676E-2</v>
      </c>
      <c r="BQ9" s="1215">
        <f t="shared" si="7"/>
        <v>2.2202486678508659E-3</v>
      </c>
      <c r="BR9" s="1215">
        <f t="shared" si="7"/>
        <v>-5.2281789986708072E-2</v>
      </c>
      <c r="BS9" s="882">
        <f t="shared" si="7"/>
        <v>4.6750818139318362E-4</v>
      </c>
      <c r="BT9" s="880">
        <f t="shared" si="7"/>
        <v>-2.3364485981308358E-2</v>
      </c>
      <c r="BU9" s="1215">
        <f>BU7/BT7-1</f>
        <v>-3.8755980861243988E-2</v>
      </c>
      <c r="BV9" s="1215">
        <f>BV7/BU7-1</f>
        <v>8.113489298158294E-2</v>
      </c>
      <c r="BW9" s="882">
        <f>BW7/BV7-1</f>
        <v>-9.6224677716390428E-2</v>
      </c>
      <c r="BX9" s="880">
        <f t="shared" si="7"/>
        <v>-6.5715741212429957E-2</v>
      </c>
      <c r="BY9" s="881">
        <f>BY7/BX7-1</f>
        <v>0.13304252998909494</v>
      </c>
      <c r="BZ9" s="881">
        <f>BZ7/BY7-1</f>
        <v>0.11549566891241581</v>
      </c>
      <c r="CA9" s="882">
        <f>CA7/BZ7-1</f>
        <v>0.22648835202760997</v>
      </c>
      <c r="CB9" s="880">
        <f t="shared" si="7"/>
        <v>0.42173760112557157</v>
      </c>
      <c r="CC9" s="881">
        <f>CC7/CB7-1</f>
        <v>1.6081147946561014E-2</v>
      </c>
      <c r="CD9" s="881">
        <f>CD7/CC7-1</f>
        <v>-3.0435841246652107E-2</v>
      </c>
      <c r="CE9" s="882">
        <f>CE7/CD7-1</f>
        <v>6.1526870919136112E-2</v>
      </c>
      <c r="CF9" s="880">
        <f t="shared" si="7"/>
        <v>8.1854743316773115E-2</v>
      </c>
      <c r="CG9" s="881">
        <f t="shared" si="7"/>
        <v>-8.9000656024491587E-2</v>
      </c>
      <c r="CH9" s="881">
        <f t="shared" si="7"/>
        <v>-7.5132021123379689E-2</v>
      </c>
      <c r="CI9" s="882">
        <f t="shared" si="7"/>
        <v>-6.5663119647028312E-2</v>
      </c>
      <c r="CJ9" s="880">
        <f t="shared" ref="CJ9:CS9" si="8">CJ7/CI7-1</f>
        <v>-6.944444444444442E-2</v>
      </c>
      <c r="CK9" s="881">
        <f t="shared" si="8"/>
        <v>-0.12417910447761193</v>
      </c>
      <c r="CL9" s="881">
        <f t="shared" si="8"/>
        <v>-1.2269938650306789E-2</v>
      </c>
      <c r="CM9" s="882">
        <f t="shared" si="8"/>
        <v>0.11007591442374043</v>
      </c>
      <c r="CN9" s="880">
        <f t="shared" si="8"/>
        <v>0.23406900839291267</v>
      </c>
      <c r="CO9" s="1215">
        <f t="shared" si="8"/>
        <v>0.17078085642317387</v>
      </c>
      <c r="CP9" s="1215">
        <f t="shared" si="8"/>
        <v>0.19750430292598975</v>
      </c>
      <c r="CQ9" s="882">
        <f t="shared" si="8"/>
        <v>0.1027667984189724</v>
      </c>
      <c r="CR9" s="880">
        <f t="shared" si="8"/>
        <v>0.10834147930922122</v>
      </c>
      <c r="CS9" s="1215">
        <f t="shared" si="8"/>
        <v>8.0552697339409063E-2</v>
      </c>
      <c r="CT9" s="881">
        <f t="shared" ref="CT9" si="9">CT7/CS7-1</f>
        <v>3.4589719487985393E-2</v>
      </c>
      <c r="CU9" s="882">
        <f t="shared" ref="CU9" si="10">CU7/CT7-1</f>
        <v>9.7933467517212769E-3</v>
      </c>
      <c r="CV9" s="880">
        <f t="shared" ref="CV9" si="11">CV7/CU7-1</f>
        <v>-3.0142107679221319E-2</v>
      </c>
      <c r="CW9" s="1215">
        <f t="shared" ref="CW9" si="12">CW7/CV7-1</f>
        <v>-8.9049792599887434E-2</v>
      </c>
      <c r="CX9" s="1215">
        <f t="shared" ref="CX9" si="13">CX7/CW7-1</f>
        <v>-1.85310448083017E-2</v>
      </c>
      <c r="CY9" s="882">
        <f t="shared" ref="CY9" si="14">CY7/CX7-1</f>
        <v>2.3321601812007486E-3</v>
      </c>
      <c r="CZ9" s="880">
        <f t="shared" ref="CZ9" si="15">CZ7/CY7-1</f>
        <v>-1.6138555481753913E-2</v>
      </c>
      <c r="DA9" s="1215">
        <f t="shared" ref="DA9" si="16">DA7/CZ7-1</f>
        <v>-1.3049029128628931E-3</v>
      </c>
      <c r="DB9" s="1215">
        <f t="shared" ref="DB9" si="17">DB7/DA7-1</f>
        <v>4.3399825871799358E-3</v>
      </c>
      <c r="DC9" s="882">
        <f t="shared" ref="DC9" si="18">DC7/DB7-1</f>
        <v>1.2533047811717601E-2</v>
      </c>
      <c r="DD9" s="887"/>
      <c r="DE9" s="883"/>
      <c r="DF9" s="883"/>
      <c r="DG9" s="883"/>
      <c r="DH9" s="883"/>
      <c r="DI9" s="883"/>
      <c r="DJ9" s="883"/>
      <c r="DK9" s="883"/>
      <c r="DL9" s="883"/>
      <c r="DM9" s="883"/>
      <c r="DN9" s="883"/>
      <c r="DO9" s="883"/>
      <c r="DP9" s="884"/>
      <c r="DQ9" s="884"/>
      <c r="DR9" s="884"/>
      <c r="DS9" s="884"/>
      <c r="DT9" s="884"/>
      <c r="DU9" s="884"/>
      <c r="DV9" s="884"/>
      <c r="DW9" s="884"/>
      <c r="DX9" s="884"/>
      <c r="DY9" s="884"/>
      <c r="DZ9" s="884"/>
      <c r="EA9" s="884"/>
      <c r="EB9" s="884"/>
      <c r="EC9" s="885"/>
      <c r="ED9" s="885"/>
      <c r="EE9" s="1364"/>
      <c r="EF9" s="36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7"/>
      <c r="FE9" s="300"/>
      <c r="FF9" s="300"/>
      <c r="FG9" s="300"/>
      <c r="FH9" s="300"/>
      <c r="FO9" s="7"/>
      <c r="FP9" s="770"/>
    </row>
    <row r="10" spans="1:177" ht="14.25" hidden="1" customHeight="1" outlineLevel="1">
      <c r="A10" s="7"/>
      <c r="B10" s="548" t="s">
        <v>150</v>
      </c>
      <c r="C10" s="31"/>
      <c r="D10" s="880"/>
      <c r="E10" s="1215"/>
      <c r="F10" s="1215"/>
      <c r="G10" s="882"/>
      <c r="H10" s="880">
        <f t="shared" ref="H10:AX10" si="19">H7/D7-1</f>
        <v>1.2164485981308411</v>
      </c>
      <c r="I10" s="1215">
        <f t="shared" si="19"/>
        <v>0.58552108194112962</v>
      </c>
      <c r="J10" s="1215">
        <f t="shared" si="19"/>
        <v>1.287440882816604E-2</v>
      </c>
      <c r="K10" s="882">
        <f t="shared" si="19"/>
        <v>-0.31857976653696496</v>
      </c>
      <c r="L10" s="880">
        <f t="shared" si="19"/>
        <v>-0.38598414572440543</v>
      </c>
      <c r="M10" s="1215">
        <f t="shared" si="19"/>
        <v>-0.12072252885097834</v>
      </c>
      <c r="N10" s="1215">
        <f t="shared" si="19"/>
        <v>0.25162127107652399</v>
      </c>
      <c r="O10" s="882">
        <f t="shared" si="19"/>
        <v>0.3507494646680942</v>
      </c>
      <c r="P10" s="880">
        <f t="shared" si="19"/>
        <v>0.31479192418623803</v>
      </c>
      <c r="Q10" s="1215">
        <f t="shared" si="19"/>
        <v>-0.12896598950011418</v>
      </c>
      <c r="R10" s="1215">
        <f t="shared" si="19"/>
        <v>-0.36507772020725382</v>
      </c>
      <c r="S10" s="882">
        <f t="shared" si="19"/>
        <v>-0.26854787571337979</v>
      </c>
      <c r="T10" s="880">
        <f t="shared" si="19"/>
        <v>-0.17100177582784915</v>
      </c>
      <c r="U10" s="1215">
        <f t="shared" si="19"/>
        <v>0.34407756813417167</v>
      </c>
      <c r="V10" s="1215">
        <f t="shared" si="19"/>
        <v>0.40982536314672746</v>
      </c>
      <c r="W10" s="882">
        <f t="shared" si="19"/>
        <v>0.56162404276838584</v>
      </c>
      <c r="X10" s="880">
        <f t="shared" si="19"/>
        <v>0.69317036290322576</v>
      </c>
      <c r="Y10" s="1215">
        <f t="shared" si="19"/>
        <v>0.12994735815948522</v>
      </c>
      <c r="Z10" s="1215">
        <f t="shared" si="19"/>
        <v>0.79879601759666596</v>
      </c>
      <c r="AA10" s="882">
        <f t="shared" si="19"/>
        <v>1.1334196891191715</v>
      </c>
      <c r="AB10" s="880">
        <f t="shared" si="19"/>
        <v>0.16960631093249967</v>
      </c>
      <c r="AC10" s="1215">
        <f t="shared" si="19"/>
        <v>-8.0579760158743796E-2</v>
      </c>
      <c r="AD10" s="1215">
        <f t="shared" si="19"/>
        <v>-0.47335564422705623</v>
      </c>
      <c r="AE10" s="882">
        <f t="shared" si="19"/>
        <v>-0.79169919333853733</v>
      </c>
      <c r="AF10" s="880">
        <f t="shared" si="19"/>
        <v>-0.73027487910409772</v>
      </c>
      <c r="AG10" s="1215">
        <f t="shared" si="19"/>
        <v>-0.39391948953739331</v>
      </c>
      <c r="AH10" s="1215">
        <f t="shared" si="19"/>
        <v>-5.7558352682390179E-2</v>
      </c>
      <c r="AI10" s="882">
        <f t="shared" si="19"/>
        <v>0.55735998334374148</v>
      </c>
      <c r="AJ10" s="880">
        <f t="shared" si="19"/>
        <v>0.61618306204293471</v>
      </c>
      <c r="AK10" s="1215">
        <f t="shared" si="19"/>
        <v>0.21535841461526561</v>
      </c>
      <c r="AL10" s="1215">
        <f t="shared" si="19"/>
        <v>-4.9922199170124526E-2</v>
      </c>
      <c r="AM10" s="882">
        <f t="shared" si="19"/>
        <v>0.1878342245989304</v>
      </c>
      <c r="AN10" s="880">
        <f t="shared" si="19"/>
        <v>0.61611443584878112</v>
      </c>
      <c r="AO10" s="1215">
        <f t="shared" si="19"/>
        <v>0.26242038216560504</v>
      </c>
      <c r="AP10" s="1215">
        <f t="shared" si="19"/>
        <v>0.52422546744916043</v>
      </c>
      <c r="AQ10" s="882">
        <f t="shared" si="19"/>
        <v>0.33843556555993248</v>
      </c>
      <c r="AR10" s="880">
        <f t="shared" si="19"/>
        <v>0.13827673410404606</v>
      </c>
      <c r="AS10" s="1215">
        <f t="shared" si="19"/>
        <v>0.31977800201816353</v>
      </c>
      <c r="AT10" s="1215">
        <f t="shared" si="19"/>
        <v>-5.6053008595988496E-2</v>
      </c>
      <c r="AU10" s="882">
        <f t="shared" si="19"/>
        <v>5.768583921964332E-2</v>
      </c>
      <c r="AV10" s="880">
        <f t="shared" si="19"/>
        <v>8.0536380226930104E-2</v>
      </c>
      <c r="AW10" s="1215">
        <f t="shared" si="19"/>
        <v>-6.3384050768407474E-2</v>
      </c>
      <c r="AX10" s="1215">
        <f t="shared" si="19"/>
        <v>0.24483020299753355</v>
      </c>
      <c r="AY10" s="882">
        <f t="shared" ref="AY10:BJ10" si="20">AY7/AU7-1</f>
        <v>9.1906503418667684E-2</v>
      </c>
      <c r="AZ10" s="880">
        <f t="shared" si="20"/>
        <v>0.12351299750330447</v>
      </c>
      <c r="BA10" s="1215">
        <f t="shared" si="20"/>
        <v>0.16489795918367345</v>
      </c>
      <c r="BB10" s="1215">
        <f t="shared" si="20"/>
        <v>-1.3944982092509273E-2</v>
      </c>
      <c r="BC10" s="882">
        <f>BC7/AY7-1</f>
        <v>4.6308431629532576E-2</v>
      </c>
      <c r="BD10" s="880">
        <f t="shared" si="20"/>
        <v>3.2679738562091387E-3</v>
      </c>
      <c r="BE10" s="1215">
        <f t="shared" si="20"/>
        <v>-4.7652417659425406E-2</v>
      </c>
      <c r="BF10" s="1215">
        <f t="shared" si="20"/>
        <v>0.15765069551777433</v>
      </c>
      <c r="BG10" s="882">
        <f t="shared" si="20"/>
        <v>8.3507306889352151E-3</v>
      </c>
      <c r="BH10" s="880">
        <f t="shared" si="20"/>
        <v>-8.6644951140065096E-2</v>
      </c>
      <c r="BI10" s="1215">
        <f t="shared" si="20"/>
        <v>-0.26931567328918327</v>
      </c>
      <c r="BJ10" s="1215">
        <f t="shared" si="20"/>
        <v>-0.26168224299065423</v>
      </c>
      <c r="BK10" s="882">
        <f t="shared" ref="BK10:BT10" si="21">BK7/BG7-1</f>
        <v>-0.10144927536231885</v>
      </c>
      <c r="BL10" s="880">
        <f t="shared" si="21"/>
        <v>0.2410841654778888</v>
      </c>
      <c r="BM10" s="1215">
        <f t="shared" si="21"/>
        <v>0.97482376636455181</v>
      </c>
      <c r="BN10" s="1215">
        <f t="shared" si="21"/>
        <v>1.0687160940325495</v>
      </c>
      <c r="BO10" s="882">
        <f t="shared" si="21"/>
        <v>0.91474654377880182</v>
      </c>
      <c r="BP10" s="880">
        <f t="shared" si="21"/>
        <v>0.29425287356321839</v>
      </c>
      <c r="BQ10" s="1215">
        <f t="shared" si="21"/>
        <v>0.15094339622641506</v>
      </c>
      <c r="BR10" s="1215">
        <f t="shared" si="21"/>
        <v>-6.5122377622377603E-2</v>
      </c>
      <c r="BS10" s="882">
        <f t="shared" si="21"/>
        <v>-0.1415964701163257</v>
      </c>
      <c r="BT10" s="880">
        <f t="shared" si="21"/>
        <v>-7.1936056838365903E-2</v>
      </c>
      <c r="BU10" s="1215">
        <f>BU7/BQ7-1</f>
        <v>-0.1098803721754541</v>
      </c>
      <c r="BV10" s="1215">
        <f>BV7/BR7-1</f>
        <v>1.5427769985974837E-2</v>
      </c>
      <c r="BW10" s="882">
        <f>BW7/BS7-1</f>
        <v>-8.2710280373831768E-2</v>
      </c>
      <c r="BX10" s="880">
        <f t="shared" ref="BX10:CI10" si="22">BX7/BT7-1</f>
        <v>-0.12248803827751198</v>
      </c>
      <c r="BY10" s="881">
        <f>BY7/BU7-1</f>
        <v>3.4345445495271187E-2</v>
      </c>
      <c r="BZ10" s="881">
        <f>BZ7/BV7-1</f>
        <v>6.7219152854512076E-2</v>
      </c>
      <c r="CA10" s="882">
        <f>CA7/BW7-1</f>
        <v>0.44829342842587883</v>
      </c>
      <c r="CB10" s="880">
        <f t="shared" si="22"/>
        <v>1.2039258451472192</v>
      </c>
      <c r="CC10" s="881">
        <f>CC7/BY7-1</f>
        <v>0.97641963426371503</v>
      </c>
      <c r="CD10" s="881">
        <f>CD7/BZ7-1</f>
        <v>0.71786022433132013</v>
      </c>
      <c r="CE10" s="882">
        <f>CE7/CA7-1</f>
        <v>0.48680970805487167</v>
      </c>
      <c r="CF10" s="880">
        <f t="shared" si="22"/>
        <v>0.13137060860959915</v>
      </c>
      <c r="CG10" s="881">
        <f t="shared" si="22"/>
        <v>1.4365717068419714E-2</v>
      </c>
      <c r="CH10" s="881">
        <f t="shared" si="22"/>
        <v>-3.2395781014565528E-2</v>
      </c>
      <c r="CI10" s="882">
        <f t="shared" si="22"/>
        <v>-0.14833215046132009</v>
      </c>
      <c r="CJ10" s="880">
        <f t="shared" ref="CJ10:CS10" si="23">CJ7/CF7-1</f>
        <v>-0.26743931773452878</v>
      </c>
      <c r="CK10" s="881">
        <f t="shared" si="23"/>
        <v>-0.29572731637061933</v>
      </c>
      <c r="CL10" s="881">
        <f t="shared" si="23"/>
        <v>-0.24785881131585774</v>
      </c>
      <c r="CM10" s="882">
        <f t="shared" si="23"/>
        <v>-0.10638888888888887</v>
      </c>
      <c r="CN10" s="880">
        <f t="shared" si="23"/>
        <v>0.18507462686567155</v>
      </c>
      <c r="CO10" s="1215">
        <f t="shared" si="23"/>
        <v>0.58418541240627131</v>
      </c>
      <c r="CP10" s="1215">
        <f t="shared" si="23"/>
        <v>0.92063492063492069</v>
      </c>
      <c r="CQ10" s="882">
        <f t="shared" si="23"/>
        <v>0.90798880944979787</v>
      </c>
      <c r="CR10" s="880">
        <f t="shared" si="23"/>
        <v>0.7136020151133502</v>
      </c>
      <c r="CS10" s="1215">
        <f t="shared" si="23"/>
        <v>0.58154044750430289</v>
      </c>
      <c r="CT10" s="881">
        <f t="shared" ref="CT10" si="24">CT7/CP7-1</f>
        <v>0.36637963132522122</v>
      </c>
      <c r="CU10" s="882">
        <f t="shared" ref="CU10" si="25">CU7/CQ7-1</f>
        <v>0.2511811770425354</v>
      </c>
      <c r="CV10" s="880">
        <f t="shared" ref="CV10" si="26">CV7/CR7-1</f>
        <v>9.4850244199291112E-2</v>
      </c>
      <c r="CW10" s="1215">
        <f t="shared" ref="CW10" si="27">CW7/CS7-1</f>
        <v>-7.6996374650543986E-2</v>
      </c>
      <c r="CX10" s="1215">
        <f t="shared" ref="CX10" si="28">CX7/CT7-1</f>
        <v>-0.12438777735177331</v>
      </c>
      <c r="CY10" s="882">
        <f t="shared" ref="CY10" si="29">CY7/CU7-1</f>
        <v>-0.13085752304540665</v>
      </c>
      <c r="CZ10" s="880">
        <f t="shared" ref="CZ10" si="30">CZ7/CV7-1</f>
        <v>-0.11830817727069165</v>
      </c>
      <c r="DA10" s="1215">
        <f t="shared" ref="DA10" si="31">DA7/CW7-1</f>
        <v>-3.3381524754595882E-2</v>
      </c>
      <c r="DB10" s="1215">
        <f t="shared" ref="DB10" si="32">DB7/CX7-1</f>
        <v>-1.085655591949064E-2</v>
      </c>
      <c r="DC10" s="882">
        <f t="shared" ref="DC10" si="33">DC7/CY7-1</f>
        <v>-7.8989186901889941E-4</v>
      </c>
      <c r="DD10" s="887"/>
      <c r="DE10" s="886"/>
      <c r="DF10" s="881">
        <f>DF7/DE7-1</f>
        <v>0.23744369560063694</v>
      </c>
      <c r="DG10" s="886">
        <f t="shared" ref="DG10:DZ10" si="34">DG7/DF7-1</f>
        <v>-3.7851004433740232E-2</v>
      </c>
      <c r="DH10" s="886">
        <f t="shared" si="34"/>
        <v>-0.13943962451998304</v>
      </c>
      <c r="DI10" s="886">
        <f t="shared" si="34"/>
        <v>0.24417413149109191</v>
      </c>
      <c r="DJ10" s="886">
        <f t="shared" si="34"/>
        <v>0.6903294367693944</v>
      </c>
      <c r="DK10" s="886">
        <f t="shared" si="34"/>
        <v>-0.38138123978372929</v>
      </c>
      <c r="DL10" s="886">
        <f t="shared" si="34"/>
        <v>-0.34220889758378026</v>
      </c>
      <c r="DM10" s="886">
        <f t="shared" si="34"/>
        <v>0.19401313248358454</v>
      </c>
      <c r="DN10" s="886">
        <f t="shared" si="34"/>
        <v>0.42470805162876446</v>
      </c>
      <c r="DO10" s="886">
        <f t="shared" si="34"/>
        <v>0.1080786521956314</v>
      </c>
      <c r="DP10" s="881">
        <f t="shared" si="34"/>
        <v>8.038604975205943E-2</v>
      </c>
      <c r="DQ10" s="881">
        <f t="shared" si="34"/>
        <v>7.8805120910384163E-2</v>
      </c>
      <c r="DR10" s="881">
        <f t="shared" si="34"/>
        <v>2.6898734177215111E-2</v>
      </c>
      <c r="DS10" s="881">
        <f t="shared" si="34"/>
        <v>-0.17770929635336419</v>
      </c>
      <c r="DT10" s="1215">
        <f t="shared" si="34"/>
        <v>0.76597959608577981</v>
      </c>
      <c r="DU10" s="1215">
        <f t="shared" si="34"/>
        <v>3.6076397076161282E-2</v>
      </c>
      <c r="DV10" s="1215">
        <f t="shared" si="34"/>
        <v>-6.3040509786071897E-2</v>
      </c>
      <c r="DW10" s="1215">
        <f t="shared" si="34"/>
        <v>0.10189458343453972</v>
      </c>
      <c r="DX10" s="1215">
        <f t="shared" si="34"/>
        <v>0.80293177559792794</v>
      </c>
      <c r="DY10" s="1215">
        <f t="shared" si="34"/>
        <v>-1.0147939845946974E-2</v>
      </c>
      <c r="DZ10" s="1215">
        <f t="shared" si="34"/>
        <v>-0.23425148221343872</v>
      </c>
      <c r="EA10" s="1215">
        <f>EA7/DZ7-1</f>
        <v>0.63900314541495273</v>
      </c>
      <c r="EB10" s="1215">
        <f>EB7/EA7-1</f>
        <v>0.44862804313764704</v>
      </c>
      <c r="EC10" s="882">
        <f>EC7/EB7-1</f>
        <v>-6.3578535497420985E-2</v>
      </c>
      <c r="ED10" s="882">
        <f>ED7/EC7-1</f>
        <v>-4.2994861208916824E-2</v>
      </c>
      <c r="EE10" s="1364"/>
      <c r="EF10" s="34"/>
      <c r="EG10" s="32">
        <f t="shared" ref="EG10:EY10" si="35">EG7/EF7-1</f>
        <v>-0.11305675038157348</v>
      </c>
      <c r="EH10" s="32">
        <f t="shared" si="35"/>
        <v>0.17164669440881064</v>
      </c>
      <c r="EI10" s="32">
        <f t="shared" si="35"/>
        <v>-0.23582663497743472</v>
      </c>
      <c r="EJ10" s="32">
        <f t="shared" si="35"/>
        <v>0.50758317025440292</v>
      </c>
      <c r="EK10" s="32">
        <f t="shared" si="35"/>
        <v>0.52761873855497088</v>
      </c>
      <c r="EL10" s="32">
        <f t="shared" si="35"/>
        <v>-0.57692366053138688</v>
      </c>
      <c r="EM10" s="32">
        <f t="shared" si="35"/>
        <v>2.2236568395380241E-2</v>
      </c>
      <c r="EN10" s="32">
        <f t="shared" si="35"/>
        <v>0.23268542558416949</v>
      </c>
      <c r="EO10" s="32">
        <f t="shared" si="35"/>
        <v>0.29711959924859133</v>
      </c>
      <c r="EP10" s="32">
        <f t="shared" si="35"/>
        <v>9.3125315427994737E-2</v>
      </c>
      <c r="EQ10" s="32">
        <f t="shared" si="35"/>
        <v>9.2137222233374061E-2</v>
      </c>
      <c r="ER10" s="32">
        <f t="shared" si="35"/>
        <v>4.6372709394011613E-2</v>
      </c>
      <c r="ES10" s="32">
        <f t="shared" si="35"/>
        <v>2.6348146847006149E-3</v>
      </c>
      <c r="ET10" s="1209">
        <f t="shared" si="35"/>
        <v>-9.9334267694463962E-2</v>
      </c>
      <c r="EU10" s="1209">
        <f t="shared" si="35"/>
        <v>0.74946508461388839</v>
      </c>
      <c r="EV10" s="32">
        <f t="shared" si="35"/>
        <v>-4.0916166333111015E-2</v>
      </c>
      <c r="EW10" s="32">
        <f t="shared" si="35"/>
        <v>-7.512172501738934E-2</v>
      </c>
      <c r="EX10" s="32">
        <f t="shared" si="35"/>
        <v>0.41401353722737522</v>
      </c>
      <c r="EY10" s="32">
        <f t="shared" si="35"/>
        <v>0.49711904972963383</v>
      </c>
      <c r="EZ10" s="1209">
        <f t="shared" ref="EZ10" si="36">EZ7/EY7-1</f>
        <v>-0.11368346260879858</v>
      </c>
      <c r="FA10" s="1209">
        <f t="shared" ref="FA10:FD10" si="37">FA7/EZ7-1</f>
        <v>-0.13026922306099276</v>
      </c>
      <c r="FB10" s="1209">
        <f t="shared" si="37"/>
        <v>0.77855442046240109</v>
      </c>
      <c r="FC10" s="1209">
        <f t="shared" si="37"/>
        <v>0.29925654519244405</v>
      </c>
      <c r="FD10" s="33">
        <f t="shared" si="37"/>
        <v>-0.11295421169666153</v>
      </c>
      <c r="FE10" s="300"/>
      <c r="FF10" s="300"/>
      <c r="FG10" s="300"/>
      <c r="FH10" s="300"/>
      <c r="FO10" s="7"/>
      <c r="FP10" s="770"/>
    </row>
    <row r="11" spans="1:177" ht="14.25" hidden="1" customHeight="1" outlineLevel="1">
      <c r="A11" s="7"/>
      <c r="B11" s="673"/>
      <c r="C11" s="23"/>
      <c r="D11" s="794"/>
      <c r="E11" s="783"/>
      <c r="F11" s="783"/>
      <c r="G11" s="753"/>
      <c r="H11" s="794"/>
      <c r="I11" s="783"/>
      <c r="J11" s="783"/>
      <c r="K11" s="753"/>
      <c r="L11" s="794"/>
      <c r="M11" s="783"/>
      <c r="N11" s="783"/>
      <c r="O11" s="753"/>
      <c r="P11" s="794"/>
      <c r="Q11" s="783"/>
      <c r="R11" s="783"/>
      <c r="S11" s="753"/>
      <c r="T11" s="794"/>
      <c r="U11" s="783"/>
      <c r="V11" s="783"/>
      <c r="W11" s="753"/>
      <c r="X11" s="794"/>
      <c r="Y11" s="783"/>
      <c r="Z11" s="783"/>
      <c r="AA11" s="753"/>
      <c r="AB11" s="794"/>
      <c r="AC11" s="783"/>
      <c r="AD11" s="783"/>
      <c r="AE11" s="753"/>
      <c r="AF11" s="794"/>
      <c r="AG11" s="783"/>
      <c r="AH11" s="783"/>
      <c r="AI11" s="753"/>
      <c r="AJ11" s="794"/>
      <c r="AK11" s="783"/>
      <c r="AL11" s="783"/>
      <c r="AM11" s="753"/>
      <c r="AN11" s="794"/>
      <c r="AO11" s="783"/>
      <c r="AP11" s="783"/>
      <c r="AQ11" s="753"/>
      <c r="AR11" s="794"/>
      <c r="AS11" s="783"/>
      <c r="AT11" s="783"/>
      <c r="AU11" s="753"/>
      <c r="AV11" s="794"/>
      <c r="AW11" s="783"/>
      <c r="AX11" s="783"/>
      <c r="AY11" s="753"/>
      <c r="AZ11" s="794"/>
      <c r="BA11" s="783"/>
      <c r="BB11" s="783"/>
      <c r="BC11" s="753"/>
      <c r="BD11" s="794"/>
      <c r="BE11" s="783"/>
      <c r="BF11" s="783"/>
      <c r="BG11" s="753"/>
      <c r="BH11" s="794"/>
      <c r="BI11" s="783"/>
      <c r="BJ11" s="783"/>
      <c r="BK11" s="753"/>
      <c r="BL11" s="794"/>
      <c r="BM11" s="783"/>
      <c r="BN11" s="783"/>
      <c r="BO11" s="753"/>
      <c r="BP11" s="794"/>
      <c r="BQ11" s="783"/>
      <c r="BR11" s="783"/>
      <c r="BS11" s="753"/>
      <c r="BT11" s="794"/>
      <c r="BU11" s="783"/>
      <c r="BV11" s="783"/>
      <c r="BW11" s="753"/>
      <c r="BX11" s="794"/>
      <c r="BY11" s="783"/>
      <c r="BZ11" s="783"/>
      <c r="CA11" s="753"/>
      <c r="CB11" s="794"/>
      <c r="CC11" s="783"/>
      <c r="CD11" s="783"/>
      <c r="CE11" s="753"/>
      <c r="CF11" s="794"/>
      <c r="CG11" s="783"/>
      <c r="CH11" s="783"/>
      <c r="CI11" s="753"/>
      <c r="CJ11" s="794"/>
      <c r="CK11" s="783"/>
      <c r="CL11" s="783"/>
      <c r="CM11" s="753"/>
      <c r="CN11" s="794"/>
      <c r="CO11" s="783"/>
      <c r="CP11" s="783"/>
      <c r="CQ11" s="753"/>
      <c r="CR11" s="794"/>
      <c r="CS11" s="783"/>
      <c r="CT11" s="783"/>
      <c r="CU11" s="753"/>
      <c r="CV11" s="794"/>
      <c r="CW11" s="783"/>
      <c r="CX11" s="783"/>
      <c r="CY11" s="753"/>
      <c r="CZ11" s="794"/>
      <c r="DA11" s="783"/>
      <c r="DB11" s="783"/>
      <c r="DC11" s="753"/>
      <c r="DD11" s="743"/>
      <c r="DE11" s="806"/>
      <c r="DF11" s="806"/>
      <c r="DG11" s="806"/>
      <c r="DH11" s="806"/>
      <c r="DI11" s="806"/>
      <c r="DJ11" s="806"/>
      <c r="DK11" s="806"/>
      <c r="DL11" s="806"/>
      <c r="DM11" s="806"/>
      <c r="DN11" s="806"/>
      <c r="DO11" s="806"/>
      <c r="DP11" s="752"/>
      <c r="DQ11" s="752"/>
      <c r="DR11" s="752"/>
      <c r="DS11" s="752"/>
      <c r="DT11" s="752"/>
      <c r="DU11" s="752"/>
      <c r="DV11" s="752"/>
      <c r="DW11" s="752"/>
      <c r="DX11" s="752"/>
      <c r="DY11" s="752"/>
      <c r="DZ11" s="752"/>
      <c r="EA11" s="752"/>
      <c r="EB11" s="752"/>
      <c r="EC11" s="754"/>
      <c r="ED11" s="754"/>
      <c r="EE11" s="1364"/>
      <c r="EF11" s="50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2"/>
      <c r="FE11" s="300"/>
      <c r="FF11" s="300"/>
      <c r="FG11" s="300"/>
      <c r="FH11" s="300"/>
      <c r="FO11" s="7"/>
      <c r="FP11" s="725"/>
    </row>
    <row r="12" spans="1:177" ht="14.25" customHeight="1" collapsed="1">
      <c r="A12" s="7"/>
      <c r="B12" s="673" t="s">
        <v>155</v>
      </c>
      <c r="C12" s="23"/>
      <c r="D12" s="794">
        <v>224.5</v>
      </c>
      <c r="E12" s="783">
        <v>267.5</v>
      </c>
      <c r="F12" s="783">
        <v>357.2</v>
      </c>
      <c r="G12" s="753">
        <v>479.5</v>
      </c>
      <c r="H12" s="794">
        <v>538.1</v>
      </c>
      <c r="I12" s="783">
        <v>552.1</v>
      </c>
      <c r="J12" s="783">
        <v>558</v>
      </c>
      <c r="K12" s="753">
        <v>550.20000000000005</v>
      </c>
      <c r="L12" s="794">
        <v>572.9</v>
      </c>
      <c r="M12" s="783">
        <v>657.5</v>
      </c>
      <c r="N12" s="783">
        <v>650</v>
      </c>
      <c r="O12" s="753">
        <v>658.8</v>
      </c>
      <c r="P12" s="794">
        <v>747.1</v>
      </c>
      <c r="Q12" s="783">
        <v>740.5</v>
      </c>
      <c r="R12" s="783">
        <v>606</v>
      </c>
      <c r="S12" s="753">
        <v>651.29999999999995</v>
      </c>
      <c r="T12" s="794">
        <v>677.7</v>
      </c>
      <c r="U12" s="783">
        <v>745.1</v>
      </c>
      <c r="V12" s="783">
        <v>674.8</v>
      </c>
      <c r="W12" s="753">
        <v>852.8</v>
      </c>
      <c r="X12" s="794">
        <v>565.9</v>
      </c>
      <c r="Y12" s="783">
        <v>681.1</v>
      </c>
      <c r="Z12" s="783">
        <v>892.1</v>
      </c>
      <c r="AA12" s="753">
        <v>975.2</v>
      </c>
      <c r="AB12" s="794">
        <v>809.1</v>
      </c>
      <c r="AC12" s="783">
        <v>865.4</v>
      </c>
      <c r="AD12" s="783">
        <v>1094.0999999999999</v>
      </c>
      <c r="AE12" s="753">
        <v>1056.5999999999999</v>
      </c>
      <c r="AF12" s="794">
        <v>636.5</v>
      </c>
      <c r="AG12" s="783">
        <v>502.9</v>
      </c>
      <c r="AH12" s="783">
        <v>603</v>
      </c>
      <c r="AI12" s="753">
        <v>957.2</v>
      </c>
      <c r="AJ12" s="794">
        <v>722.4</v>
      </c>
      <c r="AK12" s="783">
        <v>1000.9</v>
      </c>
      <c r="AL12" s="783">
        <v>661.7</v>
      </c>
      <c r="AM12" s="753">
        <v>719</v>
      </c>
      <c r="AN12" s="794">
        <v>821.2</v>
      </c>
      <c r="AO12" s="783">
        <v>742.8</v>
      </c>
      <c r="AP12" s="783">
        <v>728.9</v>
      </c>
      <c r="AQ12" s="753">
        <v>796.6</v>
      </c>
      <c r="AR12" s="794">
        <v>837.3</v>
      </c>
      <c r="AS12" s="783">
        <v>953.9</v>
      </c>
      <c r="AT12" s="783">
        <v>967.6</v>
      </c>
      <c r="AU12" s="753">
        <v>975.6</v>
      </c>
      <c r="AV12" s="794">
        <v>1050.7</v>
      </c>
      <c r="AW12" s="783">
        <v>989.7</v>
      </c>
      <c r="AX12" s="783">
        <v>982.5</v>
      </c>
      <c r="AY12" s="753">
        <v>1048.7</v>
      </c>
      <c r="AZ12" s="794">
        <v>1088</v>
      </c>
      <c r="BA12" s="783">
        <v>1070</v>
      </c>
      <c r="BB12" s="783">
        <v>1188</v>
      </c>
      <c r="BC12" s="753">
        <v>1264</v>
      </c>
      <c r="BD12" s="794">
        <v>1530</v>
      </c>
      <c r="BE12" s="783">
        <v>1402</v>
      </c>
      <c r="BF12" s="783">
        <v>1450</v>
      </c>
      <c r="BG12" s="753">
        <v>1514</v>
      </c>
      <c r="BH12" s="794">
        <v>1851</v>
      </c>
      <c r="BI12" s="783">
        <v>1260</v>
      </c>
      <c r="BJ12" s="783">
        <v>999</v>
      </c>
      <c r="BK12" s="753">
        <v>1132</v>
      </c>
      <c r="BL12" s="794">
        <v>1297</v>
      </c>
      <c r="BM12" s="783">
        <v>1319</v>
      </c>
      <c r="BN12" s="783">
        <v>1440</v>
      </c>
      <c r="BO12" s="753">
        <f>5768-BN12-BM12-BL12</f>
        <v>1712</v>
      </c>
      <c r="BP12" s="794">
        <v>1728</v>
      </c>
      <c r="BQ12" s="783">
        <v>1822</v>
      </c>
      <c r="BR12" s="783">
        <v>1661</v>
      </c>
      <c r="BS12" s="753">
        <f>7030-BR12-BQ12-BP12</f>
        <v>1819</v>
      </c>
      <c r="BT12" s="794">
        <v>1785</v>
      </c>
      <c r="BU12" s="783">
        <v>1799</v>
      </c>
      <c r="BV12" s="783">
        <v>1938</v>
      </c>
      <c r="BW12" s="753">
        <v>1744</v>
      </c>
      <c r="BX12" s="794">
        <v>1617</v>
      </c>
      <c r="BY12" s="783">
        <v>1712</v>
      </c>
      <c r="BZ12" s="783">
        <v>1762</v>
      </c>
      <c r="CA12" s="753">
        <v>2135</v>
      </c>
      <c r="CB12" s="794">
        <v>2761</v>
      </c>
      <c r="CC12" s="783">
        <v>2704</v>
      </c>
      <c r="CD12" s="783">
        <v>2614</v>
      </c>
      <c r="CE12" s="753">
        <v>2842</v>
      </c>
      <c r="CF12" s="794">
        <v>2935</v>
      </c>
      <c r="CG12" s="783">
        <v>2761</v>
      </c>
      <c r="CH12" s="783">
        <v>2651</v>
      </c>
      <c r="CI12" s="753">
        <v>2630</v>
      </c>
      <c r="CJ12" s="794">
        <v>2501</v>
      </c>
      <c r="CK12" s="783">
        <v>2355</v>
      </c>
      <c r="CL12" s="783">
        <v>2400</v>
      </c>
      <c r="CM12" s="753">
        <v>2638</v>
      </c>
      <c r="CN12" s="794">
        <v>2959</v>
      </c>
      <c r="CO12" s="783">
        <v>2944</v>
      </c>
      <c r="CP12" s="783">
        <v>2957</v>
      </c>
      <c r="CQ12" s="753">
        <v>3026</v>
      </c>
      <c r="CR12" s="794">
        <v>3056</v>
      </c>
      <c r="CS12" s="783">
        <v>3081</v>
      </c>
      <c r="CT12" s="795">
        <f>'COGS model'!V45</f>
        <v>3129.3006890616907</v>
      </c>
      <c r="CU12" s="796">
        <f>'COGS model'!W45</f>
        <v>3332.0563140616905</v>
      </c>
      <c r="CV12" s="853">
        <f>'COGS model'!X45</f>
        <v>3539.963469911429</v>
      </c>
      <c r="CW12" s="795">
        <f>'COGS model'!Y45</f>
        <v>3383.5846274387068</v>
      </c>
      <c r="CX12" s="795">
        <f>'COGS model'!Z45</f>
        <v>3759.730175811218</v>
      </c>
      <c r="CY12" s="796">
        <f>'COGS model'!AA45</f>
        <v>4034.2067352718736</v>
      </c>
      <c r="CZ12" s="853">
        <f>'COGS model'!AB45</f>
        <v>4136.687962507729</v>
      </c>
      <c r="DA12" s="795">
        <f>'COGS model'!AC45</f>
        <v>4269.491636062643</v>
      </c>
      <c r="DB12" s="795">
        <f>'COGS model'!AD45</f>
        <v>4362.7113295550289</v>
      </c>
      <c r="DC12" s="796">
        <f>'COGS model'!AE45</f>
        <v>4480.61652137069</v>
      </c>
      <c r="DD12" s="743"/>
      <c r="DE12" s="797">
        <f>SUM(D12:G12)</f>
        <v>1328.7</v>
      </c>
      <c r="DF12" s="797">
        <f>SUM(H12:K12)</f>
        <v>2198.4</v>
      </c>
      <c r="DG12" s="797">
        <f>SUM(L12:O12)</f>
        <v>2539.1999999999998</v>
      </c>
      <c r="DH12" s="797">
        <f>SUM(P12:S12)</f>
        <v>2744.8999999999996</v>
      </c>
      <c r="DI12" s="797">
        <f>SUM(T12:W12)</f>
        <v>2950.4000000000005</v>
      </c>
      <c r="DJ12" s="797">
        <f>SUM(X12:AA12)</f>
        <v>3114.3</v>
      </c>
      <c r="DK12" s="797">
        <f>SUM(AB12:AE12)</f>
        <v>3825.2</v>
      </c>
      <c r="DL12" s="797">
        <f>SUM(AF12:AI12)</f>
        <v>2699.6000000000004</v>
      </c>
      <c r="DM12" s="797">
        <f>SUM(AJ12:AM12)</f>
        <v>3104</v>
      </c>
      <c r="DN12" s="797">
        <f>SUM(AN12:AQ12)</f>
        <v>3089.5</v>
      </c>
      <c r="DO12" s="797">
        <f>SUM(AR12:AU12)</f>
        <v>3734.3999999999996</v>
      </c>
      <c r="DP12" s="759">
        <f>SUM(AV12:AY12)</f>
        <v>4071.6000000000004</v>
      </c>
      <c r="DQ12" s="759">
        <f>SUM(AZ12:BC12)</f>
        <v>4610</v>
      </c>
      <c r="DR12" s="759">
        <f>SUM(BD12:BG12)</f>
        <v>5896</v>
      </c>
      <c r="DS12" s="759">
        <f>SUM(BH12:BK12)</f>
        <v>5242</v>
      </c>
      <c r="DT12" s="759">
        <f>SUM(BL12:BO12)</f>
        <v>5768</v>
      </c>
      <c r="DU12" s="759">
        <f>SUM(BP12:BS12)</f>
        <v>7030</v>
      </c>
      <c r="DV12" s="759">
        <f>SUM(BT12:BW12)</f>
        <v>7266</v>
      </c>
      <c r="DW12" s="759">
        <f>SUM(BX12:CA12)</f>
        <v>7226</v>
      </c>
      <c r="DX12" s="759">
        <f>SUM(CB12:CE12)</f>
        <v>10921</v>
      </c>
      <c r="DY12" s="759">
        <f>SUM(CF12:CI12)</f>
        <v>10977</v>
      </c>
      <c r="DZ12" s="759">
        <f>SUM(CJ12:CM12)</f>
        <v>9894</v>
      </c>
      <c r="EA12" s="759">
        <f>SUM(CN12:CQ12)</f>
        <v>11886</v>
      </c>
      <c r="EB12" s="759">
        <f>SUM(CR12:CU12)</f>
        <v>12598.357003123381</v>
      </c>
      <c r="EC12" s="758">
        <f>SUM(CV12:CY12)</f>
        <v>14717.485008433228</v>
      </c>
      <c r="ED12" s="758">
        <f>SUM(CZ12:DC12)</f>
        <v>17249.507449496094</v>
      </c>
      <c r="EE12" s="1364"/>
      <c r="EF12" s="29">
        <f>SUM(E12:H12)</f>
        <v>1642.3000000000002</v>
      </c>
      <c r="EG12" s="27">
        <f>SUM(I12:L12)</f>
        <v>2233.1999999999998</v>
      </c>
      <c r="EH12" s="27">
        <f>SUM(M12:P12)</f>
        <v>2713.4</v>
      </c>
      <c r="EI12" s="27">
        <f>SUM(Q12:T12)</f>
        <v>2675.5</v>
      </c>
      <c r="EJ12" s="27">
        <f>SUM(U12:X12)</f>
        <v>2838.6</v>
      </c>
      <c r="EK12" s="27">
        <f>SUM(Y12:AB12)</f>
        <v>3357.5</v>
      </c>
      <c r="EL12" s="27">
        <f>SUM(AC12:AF12)</f>
        <v>3652.6</v>
      </c>
      <c r="EM12" s="27">
        <f>SUM(AG12:AJ12)</f>
        <v>2785.5000000000005</v>
      </c>
      <c r="EN12" s="27">
        <f>SUM(AK12:AN12)</f>
        <v>3202.8</v>
      </c>
      <c r="EO12" s="27">
        <f>SUM(AO12:AR12)</f>
        <v>3105.5999999999995</v>
      </c>
      <c r="EP12" s="352">
        <f>SUM(AS12:AV12)</f>
        <v>3947.8</v>
      </c>
      <c r="EQ12" s="352">
        <f>SUM(AW12:AZ12)</f>
        <v>4108.8999999999996</v>
      </c>
      <c r="ER12" s="352">
        <f>SUM(BA12:BD12)</f>
        <v>5052</v>
      </c>
      <c r="ES12" s="352">
        <f>SUM(BE12:BH12)</f>
        <v>6217</v>
      </c>
      <c r="ET12" s="352">
        <f>SUM(BI12:BL12)</f>
        <v>4688</v>
      </c>
      <c r="EU12" s="352">
        <f>SUM(BM12:BP12)</f>
        <v>6199</v>
      </c>
      <c r="EV12" s="352">
        <f>SUM(BQ12:BT12)</f>
        <v>7087</v>
      </c>
      <c r="EW12" s="352">
        <f>SUM(BU12:BX12)</f>
        <v>7098</v>
      </c>
      <c r="EX12" s="352">
        <f>SUM(BY12:CB12)</f>
        <v>8370</v>
      </c>
      <c r="EY12" s="352">
        <f>SUM(CC12:CF12)</f>
        <v>11095</v>
      </c>
      <c r="EZ12" s="352">
        <f t="shared" ref="EZ12:EZ14" si="38">SUM(CG12:CJ12)</f>
        <v>10543</v>
      </c>
      <c r="FA12" s="352">
        <f t="shared" ref="FA12:FA14" si="39">SUM(CK12:CN12)</f>
        <v>10352</v>
      </c>
      <c r="FB12" s="352">
        <f>SUM(CO12:CR12)</f>
        <v>11983</v>
      </c>
      <c r="FC12" s="352">
        <f>SUM(CS12:CV12)</f>
        <v>13082.32047303481</v>
      </c>
      <c r="FD12" s="1177">
        <f>SUM(CW12:CZ12)</f>
        <v>15314.209501029527</v>
      </c>
      <c r="FE12" s="300"/>
      <c r="FF12" s="300"/>
      <c r="FG12" s="300"/>
      <c r="FH12" s="300"/>
      <c r="FO12" s="7"/>
      <c r="FP12" s="725"/>
      <c r="FU12" s="298"/>
    </row>
    <row r="13" spans="1:177" ht="14.25" hidden="1" customHeight="1" outlineLevel="1">
      <c r="A13" s="7"/>
      <c r="B13" s="673" t="s">
        <v>154</v>
      </c>
      <c r="C13" s="25"/>
      <c r="D13" s="369">
        <v>0</v>
      </c>
      <c r="E13" s="26">
        <v>0</v>
      </c>
      <c r="F13" s="26">
        <v>0</v>
      </c>
      <c r="G13" s="368">
        <v>0</v>
      </c>
      <c r="H13" s="369">
        <v>0</v>
      </c>
      <c r="I13" s="26">
        <v>0</v>
      </c>
      <c r="J13" s="26">
        <v>0</v>
      </c>
      <c r="K13" s="368">
        <v>0</v>
      </c>
      <c r="L13" s="369">
        <v>0</v>
      </c>
      <c r="M13" s="26">
        <v>0</v>
      </c>
      <c r="N13" s="26">
        <v>0</v>
      </c>
      <c r="O13" s="368">
        <v>0</v>
      </c>
      <c r="P13" s="369">
        <v>0</v>
      </c>
      <c r="Q13" s="26">
        <v>0</v>
      </c>
      <c r="R13" s="26">
        <v>0</v>
      </c>
      <c r="S13" s="368">
        <v>0</v>
      </c>
      <c r="T13" s="369">
        <v>0</v>
      </c>
      <c r="U13" s="26">
        <v>0</v>
      </c>
      <c r="V13" s="26">
        <v>0</v>
      </c>
      <c r="W13" s="368">
        <v>0</v>
      </c>
      <c r="X13" s="369">
        <v>0</v>
      </c>
      <c r="Y13" s="26">
        <v>0</v>
      </c>
      <c r="Z13" s="26">
        <v>0</v>
      </c>
      <c r="AA13" s="368">
        <v>0</v>
      </c>
      <c r="AB13" s="369">
        <v>0</v>
      </c>
      <c r="AC13" s="26">
        <v>0</v>
      </c>
      <c r="AD13" s="26">
        <v>0</v>
      </c>
      <c r="AE13" s="368">
        <v>0</v>
      </c>
      <c r="AF13" s="369">
        <v>0</v>
      </c>
      <c r="AG13" s="26">
        <v>0</v>
      </c>
      <c r="AH13" s="26">
        <v>0</v>
      </c>
      <c r="AI13" s="368">
        <v>0</v>
      </c>
      <c r="AJ13" s="369">
        <v>0</v>
      </c>
      <c r="AK13" s="26">
        <v>0</v>
      </c>
      <c r="AL13" s="26">
        <v>0</v>
      </c>
      <c r="AM13" s="368">
        <v>0</v>
      </c>
      <c r="AN13" s="369">
        <v>0</v>
      </c>
      <c r="AO13" s="26">
        <v>0</v>
      </c>
      <c r="AP13" s="26">
        <v>0</v>
      </c>
      <c r="AQ13" s="368">
        <v>0</v>
      </c>
      <c r="AR13" s="369">
        <v>0</v>
      </c>
      <c r="AS13" s="26">
        <v>0</v>
      </c>
      <c r="AT13" s="26">
        <v>0</v>
      </c>
      <c r="AU13" s="368">
        <v>0</v>
      </c>
      <c r="AV13" s="369">
        <v>0</v>
      </c>
      <c r="AW13" s="26">
        <v>0</v>
      </c>
      <c r="AX13" s="26">
        <v>0</v>
      </c>
      <c r="AY13" s="368">
        <v>0</v>
      </c>
      <c r="AZ13" s="369">
        <v>0</v>
      </c>
      <c r="BA13" s="26">
        <v>0</v>
      </c>
      <c r="BB13" s="26">
        <v>0</v>
      </c>
      <c r="BC13" s="368">
        <v>0</v>
      </c>
      <c r="BD13" s="369">
        <v>0</v>
      </c>
      <c r="BE13" s="26">
        <v>0</v>
      </c>
      <c r="BF13" s="26">
        <v>0</v>
      </c>
      <c r="BG13" s="368">
        <v>0</v>
      </c>
      <c r="BH13" s="369">
        <v>0</v>
      </c>
      <c r="BI13" s="26">
        <v>0</v>
      </c>
      <c r="BJ13" s="26">
        <v>0</v>
      </c>
      <c r="BK13" s="368">
        <v>0</v>
      </c>
      <c r="BL13" s="369">
        <v>0</v>
      </c>
      <c r="BM13" s="26">
        <v>0</v>
      </c>
      <c r="BN13" s="26">
        <v>0</v>
      </c>
      <c r="BO13" s="368">
        <v>0</v>
      </c>
      <c r="BP13" s="369">
        <v>0</v>
      </c>
      <c r="BQ13" s="26">
        <v>0</v>
      </c>
      <c r="BR13" s="26">
        <v>0</v>
      </c>
      <c r="BS13" s="368">
        <v>0</v>
      </c>
      <c r="BT13" s="369">
        <v>0</v>
      </c>
      <c r="BU13" s="26">
        <v>0</v>
      </c>
      <c r="BV13" s="26">
        <v>0</v>
      </c>
      <c r="BW13" s="368">
        <v>0</v>
      </c>
      <c r="BX13" s="369">
        <v>0</v>
      </c>
      <c r="BY13" s="26">
        <v>0</v>
      </c>
      <c r="BZ13" s="26">
        <v>0</v>
      </c>
      <c r="CA13" s="368">
        <v>0</v>
      </c>
      <c r="CB13" s="853">
        <f>+CB135</f>
        <v>111</v>
      </c>
      <c r="CC13" s="795">
        <f>+CC135</f>
        <v>42</v>
      </c>
      <c r="CD13" s="795">
        <f>+CD135</f>
        <v>0</v>
      </c>
      <c r="CE13" s="368">
        <v>0</v>
      </c>
      <c r="CF13" s="853">
        <f>+CF135</f>
        <v>0</v>
      </c>
      <c r="CG13" s="795">
        <v>0</v>
      </c>
      <c r="CH13" s="795">
        <f t="shared" ref="CH13:CK13" si="40">+CH135</f>
        <v>0</v>
      </c>
      <c r="CI13" s="368">
        <f t="shared" si="40"/>
        <v>0</v>
      </c>
      <c r="CJ13" s="853">
        <f t="shared" si="40"/>
        <v>0</v>
      </c>
      <c r="CK13" s="795">
        <f t="shared" si="40"/>
        <v>0</v>
      </c>
      <c r="CL13" s="783">
        <f>CL146</f>
        <v>5</v>
      </c>
      <c r="CM13" s="368">
        <f>+CM135</f>
        <v>0</v>
      </c>
      <c r="CN13" s="783">
        <v>21</v>
      </c>
      <c r="CO13" s="783">
        <v>85</v>
      </c>
      <c r="CP13" s="783">
        <v>62</v>
      </c>
      <c r="CQ13" s="368">
        <v>35</v>
      </c>
      <c r="CR13" s="783">
        <v>22</v>
      </c>
      <c r="CS13" s="783">
        <v>26</v>
      </c>
      <c r="CT13" s="795">
        <f t="shared" ref="CT13:CU13" si="41">+CT135</f>
        <v>0</v>
      </c>
      <c r="CU13" s="796">
        <f t="shared" si="41"/>
        <v>0</v>
      </c>
      <c r="CV13" s="853">
        <f t="shared" ref="CV13:CY13" si="42">+CV135</f>
        <v>0</v>
      </c>
      <c r="CW13" s="795">
        <f t="shared" si="42"/>
        <v>0</v>
      </c>
      <c r="CX13" s="795">
        <f t="shared" si="42"/>
        <v>0</v>
      </c>
      <c r="CY13" s="796">
        <f t="shared" si="42"/>
        <v>0</v>
      </c>
      <c r="CZ13" s="853">
        <f t="shared" ref="CZ13:DC13" si="43">+CZ135</f>
        <v>0</v>
      </c>
      <c r="DA13" s="795">
        <f t="shared" si="43"/>
        <v>0</v>
      </c>
      <c r="DB13" s="795">
        <f t="shared" si="43"/>
        <v>0</v>
      </c>
      <c r="DC13" s="796">
        <f t="shared" si="43"/>
        <v>0</v>
      </c>
      <c r="DD13" s="18"/>
      <c r="DE13" s="352">
        <f>SUM(D13:G13)</f>
        <v>0</v>
      </c>
      <c r="DF13" s="352">
        <f>SUM(H13:K13)</f>
        <v>0</v>
      </c>
      <c r="DG13" s="352">
        <f>SUM(L13:O13)</f>
        <v>0</v>
      </c>
      <c r="DH13" s="352">
        <f>SUM(P13:S13)</f>
        <v>0</v>
      </c>
      <c r="DI13" s="352">
        <f>SUM(T13:W13)</f>
        <v>0</v>
      </c>
      <c r="DJ13" s="352">
        <f>SUM(X13:AA13)</f>
        <v>0</v>
      </c>
      <c r="DK13" s="352">
        <f>SUM(AB13:AE13)</f>
        <v>0</v>
      </c>
      <c r="DL13" s="352">
        <f>SUM(AF13:AI13)</f>
        <v>0</v>
      </c>
      <c r="DM13" s="352">
        <f>SUM(AJ13:AM13)</f>
        <v>0</v>
      </c>
      <c r="DN13" s="352">
        <f>SUM(AN13:AQ13)</f>
        <v>0</v>
      </c>
      <c r="DO13" s="352">
        <f>SUM(AR13:AU13)</f>
        <v>0</v>
      </c>
      <c r="DP13" s="27">
        <f>SUM(AV13:AY13)</f>
        <v>0</v>
      </c>
      <c r="DQ13" s="27">
        <f>SUM(AZ13:BC13)</f>
        <v>0</v>
      </c>
      <c r="DR13" s="27">
        <f>SUM(BD13:BG13)</f>
        <v>0</v>
      </c>
      <c r="DS13" s="27">
        <f>SUM(BH13:BK13)</f>
        <v>0</v>
      </c>
      <c r="DT13" s="27">
        <f>SUM(BL13:BO13)</f>
        <v>0</v>
      </c>
      <c r="DU13" s="27">
        <f>SUM(BP13:BS13)</f>
        <v>0</v>
      </c>
      <c r="DV13" s="27">
        <f>SUM(BT13:BW13)</f>
        <v>0</v>
      </c>
      <c r="DW13" s="27">
        <f>SUM(BX13:CA13)</f>
        <v>0</v>
      </c>
      <c r="DX13" s="27">
        <f>SUM(CB13:CE13)</f>
        <v>153</v>
      </c>
      <c r="DY13" s="27">
        <f>SUM(CF13:CI13)</f>
        <v>0</v>
      </c>
      <c r="DZ13" s="27">
        <f>SUM(CJ13:CM13)</f>
        <v>5</v>
      </c>
      <c r="EA13" s="27">
        <f t="shared" ref="EA13:EA14" si="44">SUM(CN13:CQ13)</f>
        <v>203</v>
      </c>
      <c r="EB13" s="27">
        <f t="shared" ref="EB13:EB14" si="45">SUM(CR13:CU13)</f>
        <v>48</v>
      </c>
      <c r="EC13" s="28">
        <f>SUM(CV13:CY13)</f>
        <v>0</v>
      </c>
      <c r="ED13" s="28">
        <f>SUM(CZ13:DC13)</f>
        <v>0</v>
      </c>
      <c r="EE13" s="1364"/>
      <c r="EF13" s="29">
        <f>SUM(E13:H13)</f>
        <v>0</v>
      </c>
      <c r="EG13" s="27">
        <f>SUM(I13:L13)</f>
        <v>0</v>
      </c>
      <c r="EH13" s="27">
        <f>SUM(M13:P13)</f>
        <v>0</v>
      </c>
      <c r="EI13" s="27">
        <f>SUM(Q13:T13)</f>
        <v>0</v>
      </c>
      <c r="EJ13" s="27">
        <f>SUM(U13:X13)</f>
        <v>0</v>
      </c>
      <c r="EK13" s="27">
        <f>SUM(Y13:AB13)</f>
        <v>0</v>
      </c>
      <c r="EL13" s="27">
        <f>SUM(AC13:AF13)</f>
        <v>0</v>
      </c>
      <c r="EM13" s="27">
        <f>SUM(AG13:AJ13)</f>
        <v>0</v>
      </c>
      <c r="EN13" s="27">
        <f>SUM(AK13:AN13)</f>
        <v>0</v>
      </c>
      <c r="EO13" s="27">
        <f>SUM(AO13:AR13)</f>
        <v>0</v>
      </c>
      <c r="EP13" s="352">
        <f>SUM(AS13:AV13)</f>
        <v>0</v>
      </c>
      <c r="EQ13" s="352">
        <f>SUM(AW13:AZ13)</f>
        <v>0</v>
      </c>
      <c r="ER13" s="352">
        <f>SUM(BA13:BD13)</f>
        <v>0</v>
      </c>
      <c r="ES13" s="352">
        <f>SUM(BE13:BH13)</f>
        <v>0</v>
      </c>
      <c r="ET13" s="352">
        <f>SUM(BI13:BL13)</f>
        <v>0</v>
      </c>
      <c r="EU13" s="352">
        <f>SUM(BM13:BP13)</f>
        <v>0</v>
      </c>
      <c r="EV13" s="352">
        <f>SUM(BQ13:BT13)</f>
        <v>0</v>
      </c>
      <c r="EW13" s="352">
        <f>SUM(BU13:BX13)</f>
        <v>0</v>
      </c>
      <c r="EX13" s="352">
        <f>SUM(BY13:CB13)</f>
        <v>111</v>
      </c>
      <c r="EY13" s="352">
        <f>SUM(CC13:CF13)</f>
        <v>42</v>
      </c>
      <c r="EZ13" s="352">
        <f t="shared" si="38"/>
        <v>0</v>
      </c>
      <c r="FA13" s="352">
        <f t="shared" si="39"/>
        <v>26</v>
      </c>
      <c r="FB13" s="352">
        <f t="shared" ref="FB13:FB14" si="46">SUM(CO13:CR13)</f>
        <v>204</v>
      </c>
      <c r="FC13" s="352">
        <f>SUM(CS13:CV13)</f>
        <v>26</v>
      </c>
      <c r="FD13" s="1177">
        <f>SUM(CW13:CZ13)</f>
        <v>0</v>
      </c>
      <c r="FE13" s="300"/>
      <c r="FF13" s="300"/>
      <c r="FG13" s="300"/>
      <c r="FH13" s="300"/>
      <c r="FO13" s="7"/>
      <c r="FP13" s="725"/>
      <c r="FU13" s="298"/>
    </row>
    <row r="14" spans="1:177" s="562" customFormat="1" ht="14.25" hidden="1" customHeight="1" outlineLevel="1">
      <c r="A14" s="559"/>
      <c r="B14" s="675" t="s">
        <v>125</v>
      </c>
      <c r="C14" s="549"/>
      <c r="D14" s="552">
        <v>0</v>
      </c>
      <c r="E14" s="550">
        <v>0</v>
      </c>
      <c r="F14" s="550">
        <v>0</v>
      </c>
      <c r="G14" s="551">
        <v>0</v>
      </c>
      <c r="H14" s="552">
        <v>0</v>
      </c>
      <c r="I14" s="550">
        <v>0</v>
      </c>
      <c r="J14" s="550">
        <v>0</v>
      </c>
      <c r="K14" s="551">
        <v>0</v>
      </c>
      <c r="L14" s="552">
        <v>0</v>
      </c>
      <c r="M14" s="550">
        <v>0</v>
      </c>
      <c r="N14" s="550">
        <v>0</v>
      </c>
      <c r="O14" s="551">
        <v>0</v>
      </c>
      <c r="P14" s="552">
        <v>0</v>
      </c>
      <c r="Q14" s="550">
        <v>0</v>
      </c>
      <c r="R14" s="550">
        <v>0</v>
      </c>
      <c r="S14" s="551">
        <v>0</v>
      </c>
      <c r="T14" s="552">
        <v>0</v>
      </c>
      <c r="U14" s="550">
        <v>0</v>
      </c>
      <c r="V14" s="550">
        <v>0</v>
      </c>
      <c r="W14" s="551">
        <v>0</v>
      </c>
      <c r="X14" s="552">
        <v>0</v>
      </c>
      <c r="Y14" s="550">
        <v>0</v>
      </c>
      <c r="Z14" s="550">
        <v>0</v>
      </c>
      <c r="AA14" s="551">
        <v>0</v>
      </c>
      <c r="AB14" s="552">
        <v>0</v>
      </c>
      <c r="AC14" s="550">
        <v>0</v>
      </c>
      <c r="AD14" s="550">
        <v>0</v>
      </c>
      <c r="AE14" s="551">
        <v>0</v>
      </c>
      <c r="AF14" s="552">
        <v>0</v>
      </c>
      <c r="AG14" s="550">
        <v>0</v>
      </c>
      <c r="AH14" s="550">
        <v>0</v>
      </c>
      <c r="AI14" s="551">
        <v>0</v>
      </c>
      <c r="AJ14" s="552">
        <v>0</v>
      </c>
      <c r="AK14" s="550">
        <v>0</v>
      </c>
      <c r="AL14" s="550">
        <v>0</v>
      </c>
      <c r="AM14" s="551">
        <v>0</v>
      </c>
      <c r="AN14" s="552">
        <v>0</v>
      </c>
      <c r="AO14" s="550">
        <v>0</v>
      </c>
      <c r="AP14" s="550">
        <v>0</v>
      </c>
      <c r="AQ14" s="551">
        <v>0</v>
      </c>
      <c r="AR14" s="552">
        <v>0</v>
      </c>
      <c r="AS14" s="550">
        <v>0</v>
      </c>
      <c r="AT14" s="550">
        <v>0</v>
      </c>
      <c r="AU14" s="551">
        <v>0</v>
      </c>
      <c r="AV14" s="552">
        <v>0</v>
      </c>
      <c r="AW14" s="550">
        <v>0</v>
      </c>
      <c r="AX14" s="550">
        <v>0</v>
      </c>
      <c r="AY14" s="551">
        <v>0</v>
      </c>
      <c r="AZ14" s="552">
        <v>0</v>
      </c>
      <c r="BA14" s="550">
        <v>0</v>
      </c>
      <c r="BB14" s="550">
        <v>0</v>
      </c>
      <c r="BC14" s="551">
        <v>0</v>
      </c>
      <c r="BD14" s="552">
        <v>0</v>
      </c>
      <c r="BE14" s="550">
        <v>0</v>
      </c>
      <c r="BF14" s="550">
        <v>0</v>
      </c>
      <c r="BG14" s="551">
        <v>0</v>
      </c>
      <c r="BH14" s="552">
        <v>0</v>
      </c>
      <c r="BI14" s="550">
        <v>0</v>
      </c>
      <c r="BJ14" s="550">
        <v>0</v>
      </c>
      <c r="BK14" s="551">
        <v>0</v>
      </c>
      <c r="BL14" s="552">
        <v>0</v>
      </c>
      <c r="BM14" s="550">
        <v>0</v>
      </c>
      <c r="BN14" s="550">
        <v>0</v>
      </c>
      <c r="BO14" s="551">
        <v>0</v>
      </c>
      <c r="BP14" s="552">
        <v>0</v>
      </c>
      <c r="BQ14" s="550">
        <v>0</v>
      </c>
      <c r="BR14" s="550">
        <v>0</v>
      </c>
      <c r="BS14" s="551">
        <v>0</v>
      </c>
      <c r="BT14" s="552">
        <v>0</v>
      </c>
      <c r="BU14" s="550">
        <v>0</v>
      </c>
      <c r="BV14" s="550">
        <v>0</v>
      </c>
      <c r="BW14" s="551">
        <v>0</v>
      </c>
      <c r="BX14" s="552">
        <v>0</v>
      </c>
      <c r="BY14" s="550">
        <v>0</v>
      </c>
      <c r="BZ14" s="550">
        <v>0</v>
      </c>
      <c r="CA14" s="551">
        <v>0</v>
      </c>
      <c r="CB14" s="552">
        <v>0</v>
      </c>
      <c r="CC14" s="550">
        <v>0</v>
      </c>
      <c r="CD14" s="550">
        <v>0</v>
      </c>
      <c r="CE14" s="551">
        <v>0</v>
      </c>
      <c r="CF14" s="552">
        <v>0</v>
      </c>
      <c r="CG14" s="550">
        <v>0</v>
      </c>
      <c r="CH14" s="550">
        <v>0</v>
      </c>
      <c r="CI14" s="551">
        <v>0</v>
      </c>
      <c r="CJ14" s="552">
        <v>0</v>
      </c>
      <c r="CK14" s="550">
        <v>0</v>
      </c>
      <c r="CL14" s="550">
        <v>0</v>
      </c>
      <c r="CM14" s="551">
        <v>0</v>
      </c>
      <c r="CN14" s="552">
        <v>0</v>
      </c>
      <c r="CO14" s="550">
        <v>0</v>
      </c>
      <c r="CP14" s="550">
        <v>0</v>
      </c>
      <c r="CQ14" s="551">
        <v>0</v>
      </c>
      <c r="CR14" s="552">
        <v>0</v>
      </c>
      <c r="CS14" s="550">
        <v>0</v>
      </c>
      <c r="CT14" s="550">
        <v>0</v>
      </c>
      <c r="CU14" s="551">
        <v>0</v>
      </c>
      <c r="CV14" s="552">
        <v>0</v>
      </c>
      <c r="CW14" s="550">
        <v>0</v>
      </c>
      <c r="CX14" s="550">
        <v>0</v>
      </c>
      <c r="CY14" s="551">
        <v>0</v>
      </c>
      <c r="CZ14" s="552">
        <v>0</v>
      </c>
      <c r="DA14" s="550">
        <v>0</v>
      </c>
      <c r="DB14" s="550">
        <v>0</v>
      </c>
      <c r="DC14" s="551">
        <v>0</v>
      </c>
      <c r="DD14" s="560"/>
      <c r="DE14" s="554">
        <f>SUM(D14:G14)</f>
        <v>0</v>
      </c>
      <c r="DF14" s="554">
        <f>SUM(H14:K14)</f>
        <v>0</v>
      </c>
      <c r="DG14" s="554">
        <f>SUM(L14:O14)</f>
        <v>0</v>
      </c>
      <c r="DH14" s="554">
        <f>SUM(P14:S14)</f>
        <v>0</v>
      </c>
      <c r="DI14" s="554">
        <f>SUM(T14:W14)</f>
        <v>0</v>
      </c>
      <c r="DJ14" s="554">
        <f>SUM(X14:AA14)</f>
        <v>0</v>
      </c>
      <c r="DK14" s="554">
        <f>SUM(AB14:AE14)</f>
        <v>0</v>
      </c>
      <c r="DL14" s="554">
        <f>SUM(AF14:AI14)</f>
        <v>0</v>
      </c>
      <c r="DM14" s="554">
        <f>SUM(AJ14:AM14)</f>
        <v>0</v>
      </c>
      <c r="DN14" s="554">
        <f>SUM(AN14:AQ14)</f>
        <v>0</v>
      </c>
      <c r="DO14" s="554">
        <f>SUM(AR14:AU14)</f>
        <v>0</v>
      </c>
      <c r="DP14" s="554">
        <f>SUM(AV14:AY14)</f>
        <v>0</v>
      </c>
      <c r="DQ14" s="554">
        <f>SUM(AZ14:BC14)</f>
        <v>0</v>
      </c>
      <c r="DR14" s="554">
        <f>SUM(BD14:BG14)</f>
        <v>0</v>
      </c>
      <c r="DS14" s="554">
        <f>SUM(BH14:BK14)</f>
        <v>0</v>
      </c>
      <c r="DT14" s="554">
        <f>SUM(BL14:BO14)</f>
        <v>0</v>
      </c>
      <c r="DU14" s="554">
        <f>SUM(BP14:BS14)</f>
        <v>0</v>
      </c>
      <c r="DV14" s="554">
        <f>SUM(BT14:BW14)</f>
        <v>0</v>
      </c>
      <c r="DW14" s="554">
        <f>SUM(BX14:CA14)</f>
        <v>0</v>
      </c>
      <c r="DX14" s="554">
        <f>SUM(CB14:CE14)</f>
        <v>0</v>
      </c>
      <c r="DY14" s="554">
        <f>SUM(CF14:CI14)</f>
        <v>0</v>
      </c>
      <c r="DZ14" s="554">
        <f>SUM(CJ14:CM14)</f>
        <v>0</v>
      </c>
      <c r="EA14" s="554">
        <f t="shared" si="44"/>
        <v>0</v>
      </c>
      <c r="EB14" s="554">
        <f t="shared" si="45"/>
        <v>0</v>
      </c>
      <c r="EC14" s="555">
        <f>SUM(CV14:CY14)</f>
        <v>0</v>
      </c>
      <c r="ED14" s="555">
        <f>SUM(CZ14:DC14)</f>
        <v>0</v>
      </c>
      <c r="EE14" s="1364"/>
      <c r="EF14" s="556">
        <f>SUM(E14:H14)</f>
        <v>0</v>
      </c>
      <c r="EG14" s="554">
        <f>SUM(I14:L14)</f>
        <v>0</v>
      </c>
      <c r="EH14" s="554">
        <f>SUM(M14:P14)</f>
        <v>0</v>
      </c>
      <c r="EI14" s="554">
        <f>SUM(Q14:T14)</f>
        <v>0</v>
      </c>
      <c r="EJ14" s="554">
        <f>SUM(U14:X14)</f>
        <v>0</v>
      </c>
      <c r="EK14" s="554">
        <f>SUM(Y14:AB14)</f>
        <v>0</v>
      </c>
      <c r="EL14" s="554">
        <f>SUM(AC14:AF14)</f>
        <v>0</v>
      </c>
      <c r="EM14" s="554">
        <f>SUM(AG14:AJ14)</f>
        <v>0</v>
      </c>
      <c r="EN14" s="554">
        <f>SUM(AK14:AN14)</f>
        <v>0</v>
      </c>
      <c r="EO14" s="554">
        <f>SUM(AO14:AR14)</f>
        <v>0</v>
      </c>
      <c r="EP14" s="554">
        <f>SUM(AS14:AV14)</f>
        <v>0</v>
      </c>
      <c r="EQ14" s="554">
        <f>SUM(AW14:AZ14)</f>
        <v>0</v>
      </c>
      <c r="ER14" s="554">
        <f>SUM(BA14:BD14)</f>
        <v>0</v>
      </c>
      <c r="ES14" s="554">
        <f>SUM(BE14:BH14)</f>
        <v>0</v>
      </c>
      <c r="ET14" s="554">
        <f>SUM(BI14:BL14)</f>
        <v>0</v>
      </c>
      <c r="EU14" s="554">
        <f>SUM(BM14:BP14)</f>
        <v>0</v>
      </c>
      <c r="EV14" s="554">
        <f>SUM(BQ14:BT14)</f>
        <v>0</v>
      </c>
      <c r="EW14" s="554">
        <f>SUM(BU14:BX14)</f>
        <v>0</v>
      </c>
      <c r="EX14" s="554">
        <f>SUM(BY14:CB14)</f>
        <v>0</v>
      </c>
      <c r="EY14" s="554">
        <f>SUM(CC14:CF14)</f>
        <v>0</v>
      </c>
      <c r="EZ14" s="554">
        <f t="shared" si="38"/>
        <v>0</v>
      </c>
      <c r="FA14" s="554">
        <f t="shared" si="39"/>
        <v>0</v>
      </c>
      <c r="FB14" s="554">
        <f t="shared" si="46"/>
        <v>0</v>
      </c>
      <c r="FC14" s="554">
        <f>SUM(CS14:CV14)</f>
        <v>0</v>
      </c>
      <c r="FD14" s="555">
        <f>SUM(CW14:CZ14)</f>
        <v>0</v>
      </c>
      <c r="FE14" s="766"/>
      <c r="FF14" s="766"/>
      <c r="FG14" s="766"/>
      <c r="FH14" s="766"/>
      <c r="FI14"/>
      <c r="FJ14"/>
      <c r="FK14"/>
      <c r="FL14"/>
      <c r="FM14"/>
      <c r="FN14"/>
      <c r="FO14" s="559"/>
      <c r="FP14" s="770"/>
    </row>
    <row r="15" spans="1:177" ht="14.25" customHeight="1" collapsed="1">
      <c r="A15" s="7"/>
      <c r="B15" s="673" t="s">
        <v>264</v>
      </c>
      <c r="C15" s="23"/>
      <c r="D15" s="29">
        <f>+D12-SUM(D13:D14)</f>
        <v>224.5</v>
      </c>
      <c r="E15" s="27">
        <f t="shared" ref="E15:BP15" si="47">+E12-SUM(E13:E14)</f>
        <v>267.5</v>
      </c>
      <c r="F15" s="27">
        <f t="shared" si="47"/>
        <v>357.2</v>
      </c>
      <c r="G15" s="28">
        <f t="shared" si="47"/>
        <v>479.5</v>
      </c>
      <c r="H15" s="29">
        <f t="shared" si="47"/>
        <v>538.1</v>
      </c>
      <c r="I15" s="27">
        <f t="shared" si="47"/>
        <v>552.1</v>
      </c>
      <c r="J15" s="27">
        <f t="shared" si="47"/>
        <v>558</v>
      </c>
      <c r="K15" s="28">
        <f t="shared" si="47"/>
        <v>550.20000000000005</v>
      </c>
      <c r="L15" s="29">
        <f t="shared" si="47"/>
        <v>572.9</v>
      </c>
      <c r="M15" s="27">
        <f t="shared" si="47"/>
        <v>657.5</v>
      </c>
      <c r="N15" s="27">
        <f t="shared" si="47"/>
        <v>650</v>
      </c>
      <c r="O15" s="28">
        <f t="shared" si="47"/>
        <v>658.8</v>
      </c>
      <c r="P15" s="29">
        <f t="shared" si="47"/>
        <v>747.1</v>
      </c>
      <c r="Q15" s="27">
        <f t="shared" si="47"/>
        <v>740.5</v>
      </c>
      <c r="R15" s="27">
        <f t="shared" si="47"/>
        <v>606</v>
      </c>
      <c r="S15" s="28">
        <f t="shared" si="47"/>
        <v>651.29999999999995</v>
      </c>
      <c r="T15" s="29">
        <f t="shared" si="47"/>
        <v>677.7</v>
      </c>
      <c r="U15" s="27">
        <f t="shared" si="47"/>
        <v>745.1</v>
      </c>
      <c r="V15" s="27">
        <f t="shared" si="47"/>
        <v>674.8</v>
      </c>
      <c r="W15" s="28">
        <f t="shared" si="47"/>
        <v>852.8</v>
      </c>
      <c r="X15" s="29">
        <f t="shared" si="47"/>
        <v>565.9</v>
      </c>
      <c r="Y15" s="27">
        <f t="shared" si="47"/>
        <v>681.1</v>
      </c>
      <c r="Z15" s="27">
        <f t="shared" si="47"/>
        <v>892.1</v>
      </c>
      <c r="AA15" s="28">
        <f t="shared" si="47"/>
        <v>975.2</v>
      </c>
      <c r="AB15" s="29">
        <f t="shared" si="47"/>
        <v>809.1</v>
      </c>
      <c r="AC15" s="27">
        <f t="shared" si="47"/>
        <v>865.4</v>
      </c>
      <c r="AD15" s="27">
        <f t="shared" si="47"/>
        <v>1094.0999999999999</v>
      </c>
      <c r="AE15" s="28">
        <f t="shared" si="47"/>
        <v>1056.5999999999999</v>
      </c>
      <c r="AF15" s="29">
        <f t="shared" si="47"/>
        <v>636.5</v>
      </c>
      <c r="AG15" s="27">
        <f t="shared" si="47"/>
        <v>502.9</v>
      </c>
      <c r="AH15" s="27">
        <f t="shared" si="47"/>
        <v>603</v>
      </c>
      <c r="AI15" s="28">
        <f t="shared" si="47"/>
        <v>957.2</v>
      </c>
      <c r="AJ15" s="29">
        <f t="shared" si="47"/>
        <v>722.4</v>
      </c>
      <c r="AK15" s="27">
        <f t="shared" si="47"/>
        <v>1000.9</v>
      </c>
      <c r="AL15" s="27">
        <f t="shared" si="47"/>
        <v>661.7</v>
      </c>
      <c r="AM15" s="28">
        <f t="shared" si="47"/>
        <v>719</v>
      </c>
      <c r="AN15" s="29">
        <f t="shared" si="47"/>
        <v>821.2</v>
      </c>
      <c r="AO15" s="27">
        <f t="shared" si="47"/>
        <v>742.8</v>
      </c>
      <c r="AP15" s="27">
        <f t="shared" si="47"/>
        <v>728.9</v>
      </c>
      <c r="AQ15" s="28">
        <f t="shared" si="47"/>
        <v>796.6</v>
      </c>
      <c r="AR15" s="29">
        <f t="shared" si="47"/>
        <v>837.3</v>
      </c>
      <c r="AS15" s="27">
        <f t="shared" si="47"/>
        <v>953.9</v>
      </c>
      <c r="AT15" s="27">
        <f t="shared" si="47"/>
        <v>967.6</v>
      </c>
      <c r="AU15" s="28">
        <f t="shared" si="47"/>
        <v>975.6</v>
      </c>
      <c r="AV15" s="29">
        <f t="shared" si="47"/>
        <v>1050.7</v>
      </c>
      <c r="AW15" s="27">
        <f t="shared" si="47"/>
        <v>989.7</v>
      </c>
      <c r="AX15" s="27">
        <f t="shared" si="47"/>
        <v>982.5</v>
      </c>
      <c r="AY15" s="28">
        <f t="shared" si="47"/>
        <v>1048.7</v>
      </c>
      <c r="AZ15" s="29">
        <f t="shared" si="47"/>
        <v>1088</v>
      </c>
      <c r="BA15" s="27">
        <f t="shared" si="47"/>
        <v>1070</v>
      </c>
      <c r="BB15" s="27">
        <f t="shared" si="47"/>
        <v>1188</v>
      </c>
      <c r="BC15" s="28">
        <f t="shared" si="47"/>
        <v>1264</v>
      </c>
      <c r="BD15" s="29">
        <f t="shared" si="47"/>
        <v>1530</v>
      </c>
      <c r="BE15" s="27">
        <f t="shared" si="47"/>
        <v>1402</v>
      </c>
      <c r="BF15" s="27">
        <f t="shared" si="47"/>
        <v>1450</v>
      </c>
      <c r="BG15" s="28">
        <f t="shared" si="47"/>
        <v>1514</v>
      </c>
      <c r="BH15" s="29">
        <f t="shared" si="47"/>
        <v>1851</v>
      </c>
      <c r="BI15" s="27">
        <f t="shared" si="47"/>
        <v>1260</v>
      </c>
      <c r="BJ15" s="27">
        <f t="shared" si="47"/>
        <v>999</v>
      </c>
      <c r="BK15" s="28">
        <f t="shared" si="47"/>
        <v>1132</v>
      </c>
      <c r="BL15" s="29">
        <f t="shared" si="47"/>
        <v>1297</v>
      </c>
      <c r="BM15" s="27">
        <f t="shared" si="47"/>
        <v>1319</v>
      </c>
      <c r="BN15" s="27">
        <f t="shared" si="47"/>
        <v>1440</v>
      </c>
      <c r="BO15" s="28">
        <f t="shared" si="47"/>
        <v>1712</v>
      </c>
      <c r="BP15" s="29">
        <f t="shared" si="47"/>
        <v>1728</v>
      </c>
      <c r="BQ15" s="27">
        <f t="shared" ref="BQ15:CI15" si="48">+BQ12-SUM(BQ13:BQ14)</f>
        <v>1822</v>
      </c>
      <c r="BR15" s="27">
        <f t="shared" si="48"/>
        <v>1661</v>
      </c>
      <c r="BS15" s="28">
        <f t="shared" si="48"/>
        <v>1819</v>
      </c>
      <c r="BT15" s="29">
        <f t="shared" si="48"/>
        <v>1785</v>
      </c>
      <c r="BU15" s="27">
        <f t="shared" si="48"/>
        <v>1799</v>
      </c>
      <c r="BV15" s="27">
        <f t="shared" si="48"/>
        <v>1938</v>
      </c>
      <c r="BW15" s="28">
        <f t="shared" si="48"/>
        <v>1744</v>
      </c>
      <c r="BX15" s="29">
        <f t="shared" si="48"/>
        <v>1617</v>
      </c>
      <c r="BY15" s="27">
        <f t="shared" si="48"/>
        <v>1712</v>
      </c>
      <c r="BZ15" s="27">
        <f t="shared" si="48"/>
        <v>1762</v>
      </c>
      <c r="CA15" s="28">
        <f t="shared" si="48"/>
        <v>2135</v>
      </c>
      <c r="CB15" s="29">
        <f t="shared" si="48"/>
        <v>2650</v>
      </c>
      <c r="CC15" s="27">
        <f>+CC12-SUM(CC13:CC14)</f>
        <v>2662</v>
      </c>
      <c r="CD15" s="27">
        <f>+CD12-SUM(CD13:CD14)</f>
        <v>2614</v>
      </c>
      <c r="CE15" s="28">
        <f>+CE12-SUM(CE13:CE14)</f>
        <v>2842</v>
      </c>
      <c r="CF15" s="29">
        <f t="shared" si="48"/>
        <v>2935</v>
      </c>
      <c r="CG15" s="27">
        <f t="shared" si="48"/>
        <v>2761</v>
      </c>
      <c r="CH15" s="27">
        <f t="shared" si="48"/>
        <v>2651</v>
      </c>
      <c r="CI15" s="28">
        <f t="shared" si="48"/>
        <v>2630</v>
      </c>
      <c r="CJ15" s="29">
        <f t="shared" ref="CJ15:CU15" si="49">+CJ12-SUM(CJ13:CJ14)</f>
        <v>2501</v>
      </c>
      <c r="CK15" s="27">
        <f t="shared" si="49"/>
        <v>2355</v>
      </c>
      <c r="CL15" s="27">
        <f t="shared" si="49"/>
        <v>2395</v>
      </c>
      <c r="CM15" s="28">
        <f t="shared" si="49"/>
        <v>2638</v>
      </c>
      <c r="CN15" s="29">
        <f t="shared" ref="CN15:CQ15" si="50">+CN12-SUM(CN13:CN14)</f>
        <v>2938</v>
      </c>
      <c r="CO15" s="27">
        <f t="shared" si="50"/>
        <v>2859</v>
      </c>
      <c r="CP15" s="27">
        <f t="shared" si="50"/>
        <v>2895</v>
      </c>
      <c r="CQ15" s="28">
        <f t="shared" si="50"/>
        <v>2991</v>
      </c>
      <c r="CR15" s="29">
        <f t="shared" ref="CR15:CS15" si="51">+CR12-SUM(CR13:CR14)</f>
        <v>3034</v>
      </c>
      <c r="CS15" s="27">
        <f t="shared" si="51"/>
        <v>3055</v>
      </c>
      <c r="CT15" s="27">
        <f t="shared" si="49"/>
        <v>3129.3006890616907</v>
      </c>
      <c r="CU15" s="28">
        <f t="shared" si="49"/>
        <v>3332.0563140616905</v>
      </c>
      <c r="CV15" s="29">
        <f t="shared" ref="CV15:CY15" si="52">+CV12-SUM(CV13:CV14)</f>
        <v>3539.963469911429</v>
      </c>
      <c r="CW15" s="27">
        <f t="shared" si="52"/>
        <v>3383.5846274387068</v>
      </c>
      <c r="CX15" s="27">
        <f t="shared" si="52"/>
        <v>3759.730175811218</v>
      </c>
      <c r="CY15" s="28">
        <f t="shared" si="52"/>
        <v>4034.2067352718736</v>
      </c>
      <c r="CZ15" s="29">
        <f t="shared" ref="CZ15:DC15" si="53">+CZ12-SUM(CZ13:CZ14)</f>
        <v>4136.687962507729</v>
      </c>
      <c r="DA15" s="27">
        <f t="shared" si="53"/>
        <v>4269.491636062643</v>
      </c>
      <c r="DB15" s="27">
        <f t="shared" si="53"/>
        <v>4362.7113295550289</v>
      </c>
      <c r="DC15" s="28">
        <f t="shared" si="53"/>
        <v>4480.61652137069</v>
      </c>
      <c r="DD15" s="18"/>
      <c r="DE15" s="352">
        <f t="shared" ref="DE15:EB15" si="54">+DE12-SUM(DE13:DE14)</f>
        <v>1328.7</v>
      </c>
      <c r="DF15" s="352">
        <f t="shared" si="54"/>
        <v>2198.4</v>
      </c>
      <c r="DG15" s="352">
        <f t="shared" si="54"/>
        <v>2539.1999999999998</v>
      </c>
      <c r="DH15" s="352">
        <f t="shared" si="54"/>
        <v>2744.8999999999996</v>
      </c>
      <c r="DI15" s="352">
        <f t="shared" si="54"/>
        <v>2950.4000000000005</v>
      </c>
      <c r="DJ15" s="352">
        <f t="shared" si="54"/>
        <v>3114.3</v>
      </c>
      <c r="DK15" s="352">
        <f t="shared" si="54"/>
        <v>3825.2</v>
      </c>
      <c r="DL15" s="352">
        <f t="shared" si="54"/>
        <v>2699.6000000000004</v>
      </c>
      <c r="DM15" s="352">
        <f t="shared" si="54"/>
        <v>3104</v>
      </c>
      <c r="DN15" s="352">
        <f t="shared" si="54"/>
        <v>3089.5</v>
      </c>
      <c r="DO15" s="352">
        <f t="shared" si="54"/>
        <v>3734.3999999999996</v>
      </c>
      <c r="DP15" s="27">
        <f t="shared" si="54"/>
        <v>4071.6000000000004</v>
      </c>
      <c r="DQ15" s="27">
        <f t="shared" si="54"/>
        <v>4610</v>
      </c>
      <c r="DR15" s="27">
        <f t="shared" si="54"/>
        <v>5896</v>
      </c>
      <c r="DS15" s="27">
        <f t="shared" si="54"/>
        <v>5242</v>
      </c>
      <c r="DT15" s="27">
        <f t="shared" si="54"/>
        <v>5768</v>
      </c>
      <c r="DU15" s="27">
        <f t="shared" si="54"/>
        <v>7030</v>
      </c>
      <c r="DV15" s="27">
        <f t="shared" si="54"/>
        <v>7266</v>
      </c>
      <c r="DW15" s="27">
        <f>+DW12-SUM(DW13:DW14)</f>
        <v>7226</v>
      </c>
      <c r="DX15" s="27">
        <f t="shared" si="54"/>
        <v>10768</v>
      </c>
      <c r="DY15" s="27">
        <f t="shared" si="54"/>
        <v>10977</v>
      </c>
      <c r="DZ15" s="27">
        <f t="shared" si="54"/>
        <v>9889</v>
      </c>
      <c r="EA15" s="27">
        <f t="shared" si="54"/>
        <v>11683</v>
      </c>
      <c r="EB15" s="27">
        <f t="shared" si="54"/>
        <v>12550.357003123381</v>
      </c>
      <c r="EC15" s="28">
        <f t="shared" ref="EC15:ED15" si="55">+EC12-SUM(EC13:EC14)</f>
        <v>14717.485008433228</v>
      </c>
      <c r="ED15" s="28">
        <f t="shared" si="55"/>
        <v>17249.507449496094</v>
      </c>
      <c r="EE15" s="1364"/>
      <c r="EF15" s="29">
        <f t="shared" ref="EF15:FB15" si="56">+EF12-SUM(EF13:EF14)</f>
        <v>1642.3000000000002</v>
      </c>
      <c r="EG15" s="27">
        <f t="shared" si="56"/>
        <v>2233.1999999999998</v>
      </c>
      <c r="EH15" s="27">
        <f t="shared" si="56"/>
        <v>2713.4</v>
      </c>
      <c r="EI15" s="27">
        <f t="shared" si="56"/>
        <v>2675.5</v>
      </c>
      <c r="EJ15" s="27">
        <f t="shared" si="56"/>
        <v>2838.6</v>
      </c>
      <c r="EK15" s="27">
        <f t="shared" si="56"/>
        <v>3357.5</v>
      </c>
      <c r="EL15" s="27">
        <f t="shared" si="56"/>
        <v>3652.6</v>
      </c>
      <c r="EM15" s="27">
        <f t="shared" si="56"/>
        <v>2785.5000000000005</v>
      </c>
      <c r="EN15" s="27">
        <f t="shared" si="56"/>
        <v>3202.8</v>
      </c>
      <c r="EO15" s="27">
        <f t="shared" si="56"/>
        <v>3105.5999999999995</v>
      </c>
      <c r="EP15" s="27">
        <f t="shared" si="56"/>
        <v>3947.8</v>
      </c>
      <c r="EQ15" s="27">
        <f t="shared" si="56"/>
        <v>4108.8999999999996</v>
      </c>
      <c r="ER15" s="27">
        <f t="shared" si="56"/>
        <v>5052</v>
      </c>
      <c r="ES15" s="27">
        <f t="shared" si="56"/>
        <v>6217</v>
      </c>
      <c r="ET15" s="27">
        <f t="shared" si="56"/>
        <v>4688</v>
      </c>
      <c r="EU15" s="27">
        <f t="shared" si="56"/>
        <v>6199</v>
      </c>
      <c r="EV15" s="27">
        <f t="shared" si="56"/>
        <v>7087</v>
      </c>
      <c r="EW15" s="27">
        <f t="shared" si="56"/>
        <v>7098</v>
      </c>
      <c r="EX15" s="27">
        <f t="shared" si="56"/>
        <v>8259</v>
      </c>
      <c r="EY15" s="27">
        <f t="shared" si="56"/>
        <v>11053</v>
      </c>
      <c r="EZ15" s="27">
        <f t="shared" si="56"/>
        <v>10543</v>
      </c>
      <c r="FA15" s="27">
        <f t="shared" si="56"/>
        <v>10326</v>
      </c>
      <c r="FB15" s="27">
        <f t="shared" si="56"/>
        <v>11779</v>
      </c>
      <c r="FC15" s="27">
        <f t="shared" ref="FC15:FD15" si="57">+FC12-SUM(FC13:FC14)</f>
        <v>13056.32047303481</v>
      </c>
      <c r="FD15" s="28">
        <f t="shared" si="57"/>
        <v>15314.209501029527</v>
      </c>
      <c r="FE15" s="300"/>
      <c r="FF15" s="300"/>
      <c r="FG15" s="300"/>
      <c r="FH15" s="300"/>
      <c r="FO15" s="7"/>
      <c r="FP15" s="770"/>
    </row>
    <row r="16" spans="1:177" ht="9.75" customHeight="1">
      <c r="A16" s="7"/>
      <c r="B16" s="673"/>
      <c r="C16" s="23"/>
      <c r="D16" s="40"/>
      <c r="E16" s="38"/>
      <c r="F16" s="38"/>
      <c r="G16" s="39"/>
      <c r="H16" s="40"/>
      <c r="I16" s="38"/>
      <c r="J16" s="38"/>
      <c r="K16" s="39"/>
      <c r="L16" s="40"/>
      <c r="M16" s="38"/>
      <c r="N16" s="38"/>
      <c r="O16" s="39"/>
      <c r="P16" s="40"/>
      <c r="Q16" s="38"/>
      <c r="R16" s="38"/>
      <c r="S16" s="39"/>
      <c r="T16" s="40"/>
      <c r="U16" s="38"/>
      <c r="V16" s="38"/>
      <c r="W16" s="39"/>
      <c r="X16" s="40"/>
      <c r="Y16" s="38"/>
      <c r="Z16" s="38"/>
      <c r="AA16" s="39"/>
      <c r="AB16" s="40"/>
      <c r="AC16" s="38"/>
      <c r="AD16" s="38"/>
      <c r="AE16" s="39"/>
      <c r="AF16" s="40"/>
      <c r="AG16" s="38"/>
      <c r="AH16" s="38"/>
      <c r="AI16" s="39"/>
      <c r="AJ16" s="40"/>
      <c r="AK16" s="38"/>
      <c r="AL16" s="38"/>
      <c r="AM16" s="39"/>
      <c r="AN16" s="40"/>
      <c r="AO16" s="38"/>
      <c r="AP16" s="38"/>
      <c r="AQ16" s="39"/>
      <c r="AR16" s="40"/>
      <c r="AS16" s="38"/>
      <c r="AT16" s="38"/>
      <c r="AU16" s="39"/>
      <c r="AV16" s="40"/>
      <c r="AW16" s="38"/>
      <c r="AX16" s="38"/>
      <c r="AY16" s="39"/>
      <c r="AZ16" s="40"/>
      <c r="BA16" s="38"/>
      <c r="BB16" s="38"/>
      <c r="BC16" s="39"/>
      <c r="BD16" s="40"/>
      <c r="BE16" s="38"/>
      <c r="BF16" s="38"/>
      <c r="BG16" s="39"/>
      <c r="BH16" s="40"/>
      <c r="BI16" s="38"/>
      <c r="BJ16" s="38"/>
      <c r="BK16" s="39"/>
      <c r="BL16" s="40"/>
      <c r="BM16" s="38"/>
      <c r="BN16" s="38"/>
      <c r="BO16" s="39"/>
      <c r="BP16" s="40"/>
      <c r="BQ16" s="38"/>
      <c r="BR16" s="38"/>
      <c r="BS16" s="39"/>
      <c r="BT16" s="40"/>
      <c r="BU16" s="38"/>
      <c r="BV16" s="38"/>
      <c r="BW16" s="39"/>
      <c r="BX16" s="40"/>
      <c r="BY16" s="38"/>
      <c r="BZ16" s="38"/>
      <c r="CA16" s="39"/>
      <c r="CB16" s="40"/>
      <c r="CC16" s="38"/>
      <c r="CD16" s="38"/>
      <c r="CE16" s="39"/>
      <c r="CF16" s="40"/>
      <c r="CG16" s="38"/>
      <c r="CH16" s="38"/>
      <c r="CI16" s="39"/>
      <c r="CJ16" s="40"/>
      <c r="CK16" s="38"/>
      <c r="CL16" s="38"/>
      <c r="CM16" s="39"/>
      <c r="CN16" s="40"/>
      <c r="CO16" s="38"/>
      <c r="CP16" s="38"/>
      <c r="CQ16" s="39"/>
      <c r="CR16" s="40"/>
      <c r="CS16" s="38"/>
      <c r="CT16" s="38"/>
      <c r="CU16" s="39"/>
      <c r="CV16" s="40"/>
      <c r="CW16" s="38"/>
      <c r="CX16" s="38"/>
      <c r="CY16" s="39"/>
      <c r="CZ16" s="40"/>
      <c r="DA16" s="38"/>
      <c r="DB16" s="38"/>
      <c r="DC16" s="39"/>
      <c r="DD16" s="18"/>
      <c r="DE16" s="355"/>
      <c r="DF16" s="355"/>
      <c r="DG16" s="355"/>
      <c r="DH16" s="355"/>
      <c r="DI16" s="355"/>
      <c r="DJ16" s="355"/>
      <c r="DK16" s="355"/>
      <c r="DL16" s="355"/>
      <c r="DM16" s="355"/>
      <c r="DN16" s="355"/>
      <c r="DO16" s="355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2"/>
      <c r="ED16" s="42"/>
      <c r="EE16" s="1364"/>
      <c r="EF16" s="50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2"/>
      <c r="FE16" s="300"/>
      <c r="FF16" s="300"/>
      <c r="FG16" s="300"/>
      <c r="FH16" s="300"/>
      <c r="FO16" s="7"/>
      <c r="FP16" s="770"/>
    </row>
    <row r="17" spans="1:172" ht="14.25" hidden="1" customHeight="1" outlineLevel="1">
      <c r="A17" s="7"/>
      <c r="B17" s="540" t="s">
        <v>108</v>
      </c>
      <c r="C17" s="44"/>
      <c r="D17" s="807">
        <f t="shared" ref="D17:AI17" si="58">D7-D12</f>
        <v>310.5</v>
      </c>
      <c r="E17" s="808">
        <f t="shared" si="58"/>
        <v>361</v>
      </c>
      <c r="F17" s="808">
        <f t="shared" si="58"/>
        <v>404.00000000000006</v>
      </c>
      <c r="G17" s="809">
        <f t="shared" si="58"/>
        <v>548.5</v>
      </c>
      <c r="H17" s="807">
        <f t="shared" si="58"/>
        <v>647.69999999999993</v>
      </c>
      <c r="I17" s="808">
        <f t="shared" si="58"/>
        <v>444.4</v>
      </c>
      <c r="J17" s="808">
        <f t="shared" si="58"/>
        <v>213</v>
      </c>
      <c r="K17" s="809">
        <f t="shared" si="58"/>
        <v>150.29999999999995</v>
      </c>
      <c r="L17" s="807">
        <f t="shared" si="58"/>
        <v>155.20000000000005</v>
      </c>
      <c r="M17" s="808">
        <f t="shared" si="58"/>
        <v>218.70000000000005</v>
      </c>
      <c r="N17" s="808">
        <f t="shared" si="58"/>
        <v>315</v>
      </c>
      <c r="O17" s="809">
        <f t="shared" si="58"/>
        <v>287.40000000000009</v>
      </c>
      <c r="P17" s="807">
        <f t="shared" si="58"/>
        <v>210.19999999999993</v>
      </c>
      <c r="Q17" s="808">
        <f t="shared" si="58"/>
        <v>22.700000000000045</v>
      </c>
      <c r="R17" s="808">
        <f t="shared" si="58"/>
        <v>6.7000000000000455</v>
      </c>
      <c r="S17" s="809">
        <f t="shared" si="58"/>
        <v>40.800000000000068</v>
      </c>
      <c r="T17" s="807">
        <f t="shared" si="58"/>
        <v>115.89999999999998</v>
      </c>
      <c r="U17" s="808">
        <f t="shared" si="58"/>
        <v>280.69999999999993</v>
      </c>
      <c r="V17" s="808">
        <f t="shared" si="58"/>
        <v>189</v>
      </c>
      <c r="W17" s="809">
        <f t="shared" si="58"/>
        <v>228</v>
      </c>
      <c r="X17" s="807">
        <f t="shared" si="58"/>
        <v>777.80000000000007</v>
      </c>
      <c r="Y17" s="808">
        <f t="shared" si="58"/>
        <v>477.99999999999989</v>
      </c>
      <c r="Z17" s="808">
        <f t="shared" si="58"/>
        <v>661.69999999999993</v>
      </c>
      <c r="AA17" s="809">
        <f t="shared" si="58"/>
        <v>1330.6000000000001</v>
      </c>
      <c r="AB17" s="807">
        <f t="shared" si="58"/>
        <v>762.49999999999989</v>
      </c>
      <c r="AC17" s="808">
        <f t="shared" si="58"/>
        <v>200.30000000000007</v>
      </c>
      <c r="AD17" s="808">
        <f t="shared" si="58"/>
        <v>-275.79999999999995</v>
      </c>
      <c r="AE17" s="809">
        <f t="shared" si="58"/>
        <v>-576.29999999999927</v>
      </c>
      <c r="AF17" s="807">
        <f t="shared" si="58"/>
        <v>-212.60000000000002</v>
      </c>
      <c r="AG17" s="808">
        <f t="shared" si="58"/>
        <v>143</v>
      </c>
      <c r="AH17" s="808">
        <f t="shared" si="58"/>
        <v>168.20000000000005</v>
      </c>
      <c r="AI17" s="809">
        <f t="shared" si="58"/>
        <v>-209.20000000000005</v>
      </c>
      <c r="AJ17" s="807">
        <f t="shared" ref="AJ17:BO17" si="59">AJ7-AJ12</f>
        <v>-37.299999999999955</v>
      </c>
      <c r="AK17" s="808">
        <f t="shared" si="59"/>
        <v>-215.89999999999998</v>
      </c>
      <c r="AL17" s="808">
        <f t="shared" si="59"/>
        <v>71</v>
      </c>
      <c r="AM17" s="809">
        <f t="shared" si="59"/>
        <v>169.5</v>
      </c>
      <c r="AN17" s="807">
        <f t="shared" si="59"/>
        <v>286</v>
      </c>
      <c r="AO17" s="808">
        <f t="shared" si="59"/>
        <v>248.20000000000005</v>
      </c>
      <c r="AP17" s="808">
        <f t="shared" si="59"/>
        <v>387.9</v>
      </c>
      <c r="AQ17" s="809">
        <f t="shared" si="59"/>
        <v>392.6</v>
      </c>
      <c r="AR17" s="807">
        <f t="shared" si="59"/>
        <v>423</v>
      </c>
      <c r="AS17" s="808">
        <f t="shared" si="59"/>
        <v>354.00000000000011</v>
      </c>
      <c r="AT17" s="808">
        <f t="shared" si="59"/>
        <v>86.600000000000023</v>
      </c>
      <c r="AU17" s="809">
        <f t="shared" si="59"/>
        <v>282.19999999999993</v>
      </c>
      <c r="AV17" s="807">
        <f t="shared" si="59"/>
        <v>311.09999999999991</v>
      </c>
      <c r="AW17" s="808">
        <f t="shared" si="59"/>
        <v>235.29999999999995</v>
      </c>
      <c r="AX17" s="808">
        <f t="shared" si="59"/>
        <v>329.79999999999995</v>
      </c>
      <c r="AY17" s="809">
        <f t="shared" si="59"/>
        <v>324.70000000000005</v>
      </c>
      <c r="AZ17" s="807">
        <f t="shared" si="59"/>
        <v>442</v>
      </c>
      <c r="BA17" s="808">
        <f t="shared" si="59"/>
        <v>357</v>
      </c>
      <c r="BB17" s="808">
        <f t="shared" si="59"/>
        <v>106</v>
      </c>
      <c r="BC17" s="809">
        <f t="shared" si="59"/>
        <v>173</v>
      </c>
      <c r="BD17" s="807">
        <f t="shared" si="59"/>
        <v>5</v>
      </c>
      <c r="BE17" s="808">
        <f t="shared" si="59"/>
        <v>-43</v>
      </c>
      <c r="BF17" s="808">
        <f t="shared" si="59"/>
        <v>48</v>
      </c>
      <c r="BG17" s="809">
        <f t="shared" si="59"/>
        <v>-65</v>
      </c>
      <c r="BH17" s="807">
        <f t="shared" si="59"/>
        <v>-449</v>
      </c>
      <c r="BI17" s="808">
        <f t="shared" si="59"/>
        <v>-267</v>
      </c>
      <c r="BJ17" s="808">
        <f t="shared" si="59"/>
        <v>107</v>
      </c>
      <c r="BK17" s="809">
        <f t="shared" si="59"/>
        <v>170</v>
      </c>
      <c r="BL17" s="807">
        <f t="shared" si="59"/>
        <v>443</v>
      </c>
      <c r="BM17" s="808">
        <f t="shared" si="59"/>
        <v>642</v>
      </c>
      <c r="BN17" s="808">
        <f t="shared" si="59"/>
        <v>848</v>
      </c>
      <c r="BO17" s="809">
        <f t="shared" si="59"/>
        <v>781</v>
      </c>
      <c r="BP17" s="807">
        <f t="shared" ref="BP17:CI17" si="60">BP7-BP12</f>
        <v>524</v>
      </c>
      <c r="BQ17" s="808">
        <f t="shared" si="60"/>
        <v>435</v>
      </c>
      <c r="BR17" s="808">
        <f t="shared" si="60"/>
        <v>478</v>
      </c>
      <c r="BS17" s="809">
        <f t="shared" si="60"/>
        <v>321</v>
      </c>
      <c r="BT17" s="807">
        <f t="shared" si="60"/>
        <v>305</v>
      </c>
      <c r="BU17" s="808">
        <f t="shared" si="60"/>
        <v>210</v>
      </c>
      <c r="BV17" s="808">
        <f t="shared" si="60"/>
        <v>234</v>
      </c>
      <c r="BW17" s="809">
        <f t="shared" si="60"/>
        <v>219</v>
      </c>
      <c r="BX17" s="807">
        <f t="shared" ref="BX17:CC17" si="61">BX7-BX12</f>
        <v>217</v>
      </c>
      <c r="BY17" s="808">
        <f t="shared" si="61"/>
        <v>366</v>
      </c>
      <c r="BZ17" s="808">
        <f t="shared" si="61"/>
        <v>556</v>
      </c>
      <c r="CA17" s="809">
        <f t="shared" si="61"/>
        <v>708</v>
      </c>
      <c r="CB17" s="807">
        <f t="shared" si="61"/>
        <v>1281</v>
      </c>
      <c r="CC17" s="808">
        <f t="shared" si="61"/>
        <v>1403</v>
      </c>
      <c r="CD17" s="808">
        <f>CD7-CD12</f>
        <v>1368</v>
      </c>
      <c r="CE17" s="809">
        <f>CE7-CE12</f>
        <v>1385</v>
      </c>
      <c r="CF17" s="807">
        <f t="shared" si="60"/>
        <v>1638</v>
      </c>
      <c r="CG17" s="808">
        <f t="shared" si="60"/>
        <v>1405</v>
      </c>
      <c r="CH17" s="808">
        <f t="shared" si="60"/>
        <v>1202</v>
      </c>
      <c r="CI17" s="809">
        <f t="shared" si="60"/>
        <v>970</v>
      </c>
      <c r="CJ17" s="807">
        <f t="shared" ref="CJ17:CM17" si="62">CJ7-CJ12</f>
        <v>849</v>
      </c>
      <c r="CK17" s="808">
        <f t="shared" si="62"/>
        <v>579</v>
      </c>
      <c r="CL17" s="808">
        <f t="shared" si="62"/>
        <v>498</v>
      </c>
      <c r="CM17" s="809">
        <f t="shared" si="62"/>
        <v>579</v>
      </c>
      <c r="CN17" s="807">
        <f t="shared" ref="CN17:CQ17" si="63">CN7-CN12</f>
        <v>1011</v>
      </c>
      <c r="CO17" s="808">
        <f t="shared" si="63"/>
        <v>1704</v>
      </c>
      <c r="CP17" s="808">
        <f t="shared" si="63"/>
        <v>2609</v>
      </c>
      <c r="CQ17" s="809">
        <f t="shared" si="63"/>
        <v>3112</v>
      </c>
      <c r="CR17" s="807">
        <f t="shared" ref="CR17:CS17" si="64">CR7-CR12</f>
        <v>3747</v>
      </c>
      <c r="CS17" s="808">
        <f t="shared" si="64"/>
        <v>4270</v>
      </c>
      <c r="CT17" s="808">
        <f t="shared" ref="CT17:CU17" si="65">CT7-CT12</f>
        <v>4475.9683388944904</v>
      </c>
      <c r="CU17" s="809">
        <f t="shared" si="65"/>
        <v>4347.6937506253917</v>
      </c>
      <c r="CV17" s="807">
        <f t="shared" ref="CV17:CY17" si="66">CV7-CV12</f>
        <v>3908.302741376348</v>
      </c>
      <c r="CW17" s="808">
        <f t="shared" si="66"/>
        <v>3401.4150225051444</v>
      </c>
      <c r="CX17" s="808">
        <f t="shared" si="66"/>
        <v>2899.5363415952124</v>
      </c>
      <c r="CY17" s="809">
        <f t="shared" si="66"/>
        <v>2640.5902583424554</v>
      </c>
      <c r="CZ17" s="807">
        <f t="shared" ref="CZ17:DC17" si="67">CZ7-CZ12</f>
        <v>2430.3874494957108</v>
      </c>
      <c r="DA17" s="808">
        <f t="shared" si="67"/>
        <v>2289.0143801066833</v>
      </c>
      <c r="DB17" s="808">
        <f t="shared" si="67"/>
        <v>2224.2584885223869</v>
      </c>
      <c r="DC17" s="809">
        <f t="shared" si="67"/>
        <v>2188.9081043710312</v>
      </c>
      <c r="DD17" s="743"/>
      <c r="DE17" s="810">
        <f t="shared" ref="DE17:EB17" si="68">DE7-DE12</f>
        <v>1623.9999999999998</v>
      </c>
      <c r="DF17" s="810">
        <f t="shared" si="68"/>
        <v>1455.4</v>
      </c>
      <c r="DG17" s="810">
        <f t="shared" si="68"/>
        <v>976.30000000000018</v>
      </c>
      <c r="DH17" s="810">
        <f t="shared" si="68"/>
        <v>280.40000000000009</v>
      </c>
      <c r="DI17" s="810">
        <f t="shared" si="68"/>
        <v>813.59999999999945</v>
      </c>
      <c r="DJ17" s="810">
        <f t="shared" si="68"/>
        <v>3248.1000000000004</v>
      </c>
      <c r="DK17" s="810">
        <f t="shared" si="68"/>
        <v>110.70000000000118</v>
      </c>
      <c r="DL17" s="810">
        <f t="shared" si="68"/>
        <v>-110.60000000000036</v>
      </c>
      <c r="DM17" s="810">
        <f t="shared" si="68"/>
        <v>-12.699999999999818</v>
      </c>
      <c r="DN17" s="810">
        <f t="shared" si="68"/>
        <v>1314.6999999999998</v>
      </c>
      <c r="DO17" s="810">
        <f t="shared" si="68"/>
        <v>1145.8000000000002</v>
      </c>
      <c r="DP17" s="808">
        <f t="shared" si="68"/>
        <v>1200.8999999999996</v>
      </c>
      <c r="DQ17" s="808">
        <f t="shared" si="68"/>
        <v>1078</v>
      </c>
      <c r="DR17" s="808">
        <f t="shared" si="68"/>
        <v>-55</v>
      </c>
      <c r="DS17" s="808">
        <f t="shared" si="68"/>
        <v>-439</v>
      </c>
      <c r="DT17" s="808">
        <f t="shared" si="68"/>
        <v>2714</v>
      </c>
      <c r="DU17" s="808">
        <f t="shared" si="68"/>
        <v>1758</v>
      </c>
      <c r="DV17" s="808">
        <f t="shared" si="68"/>
        <v>968</v>
      </c>
      <c r="DW17" s="808">
        <f t="shared" si="68"/>
        <v>1847</v>
      </c>
      <c r="DX17" s="808">
        <f t="shared" si="68"/>
        <v>5437</v>
      </c>
      <c r="DY17" s="808">
        <f t="shared" si="68"/>
        <v>5215</v>
      </c>
      <c r="DZ17" s="808">
        <f t="shared" si="68"/>
        <v>2505</v>
      </c>
      <c r="EA17" s="808">
        <f t="shared" ref="EA17" si="69">EA7-EA12</f>
        <v>8436</v>
      </c>
      <c r="EB17" s="808">
        <f t="shared" si="68"/>
        <v>16840.662089519879</v>
      </c>
      <c r="EC17" s="809">
        <f t="shared" ref="EC17:ED17" si="70">EC7-EC12</f>
        <v>12849.84436381916</v>
      </c>
      <c r="ED17" s="809">
        <f t="shared" si="70"/>
        <v>9132.5684224958059</v>
      </c>
      <c r="EE17" s="1364"/>
      <c r="EF17" s="45">
        <f t="shared" ref="EF17:EY17" si="71">EF7-EF12</f>
        <v>1961.1999999999998</v>
      </c>
      <c r="EG17" s="46">
        <f t="shared" si="71"/>
        <v>962.90000000000009</v>
      </c>
      <c r="EH17" s="46">
        <f t="shared" si="71"/>
        <v>1031.2999999999997</v>
      </c>
      <c r="EI17" s="46">
        <f t="shared" si="71"/>
        <v>186.09999999999991</v>
      </c>
      <c r="EJ17" s="46">
        <f t="shared" si="71"/>
        <v>1475.4999999999995</v>
      </c>
      <c r="EK17" s="46">
        <f t="shared" si="71"/>
        <v>3232.7999999999993</v>
      </c>
      <c r="EL17" s="46">
        <f t="shared" si="71"/>
        <v>-864.39999999999918</v>
      </c>
      <c r="EM17" s="46">
        <f t="shared" si="71"/>
        <v>64.699999999999363</v>
      </c>
      <c r="EN17" s="46">
        <f t="shared" si="71"/>
        <v>310.59999999999945</v>
      </c>
      <c r="EO17" s="46">
        <f t="shared" si="71"/>
        <v>1451.7000000000007</v>
      </c>
      <c r="EP17" s="46">
        <f t="shared" si="71"/>
        <v>1033.9000000000005</v>
      </c>
      <c r="EQ17" s="46">
        <f t="shared" si="71"/>
        <v>1331.8000000000011</v>
      </c>
      <c r="ER17" s="46">
        <f t="shared" si="71"/>
        <v>641</v>
      </c>
      <c r="ES17" s="46">
        <f t="shared" si="71"/>
        <v>-509</v>
      </c>
      <c r="ET17" s="46">
        <f t="shared" si="71"/>
        <v>453</v>
      </c>
      <c r="EU17" s="46">
        <f t="shared" si="71"/>
        <v>2795</v>
      </c>
      <c r="EV17" s="46">
        <f t="shared" si="71"/>
        <v>1539</v>
      </c>
      <c r="EW17" s="46">
        <f t="shared" si="71"/>
        <v>880</v>
      </c>
      <c r="EX17" s="46">
        <f t="shared" si="71"/>
        <v>2911</v>
      </c>
      <c r="EY17" s="46">
        <f t="shared" si="71"/>
        <v>5794</v>
      </c>
      <c r="EZ17" s="46">
        <f t="shared" ref="EZ17:FA17" si="72">EZ7-EZ12</f>
        <v>4426</v>
      </c>
      <c r="FA17" s="46">
        <f t="shared" si="72"/>
        <v>2667</v>
      </c>
      <c r="FB17" s="46">
        <f t="shared" ref="FB17:FC17" si="73">FB7-FB12</f>
        <v>11172</v>
      </c>
      <c r="FC17" s="46">
        <f t="shared" si="73"/>
        <v>17001.964830896228</v>
      </c>
      <c r="FD17" s="47">
        <f t="shared" ref="FD17" si="74">FD7-FD12</f>
        <v>11371.929071938521</v>
      </c>
      <c r="FE17" s="300"/>
      <c r="FF17" s="300"/>
      <c r="FG17" s="300"/>
      <c r="FH17" s="300"/>
      <c r="FO17" s="7"/>
      <c r="FP17" s="725"/>
    </row>
    <row r="18" spans="1:172" ht="14.25" hidden="1" customHeight="1" outlineLevel="1">
      <c r="A18" s="7"/>
      <c r="B18" s="548" t="s">
        <v>357</v>
      </c>
      <c r="C18" s="31"/>
      <c r="D18" s="34">
        <f t="shared" ref="D18:AI18" si="75">D17/D7</f>
        <v>0.5803738317757009</v>
      </c>
      <c r="E18" s="1209">
        <f t="shared" si="75"/>
        <v>0.57438345266507562</v>
      </c>
      <c r="F18" s="1209">
        <f t="shared" si="75"/>
        <v>0.53074093536521283</v>
      </c>
      <c r="G18" s="33">
        <f t="shared" si="75"/>
        <v>0.53356031128404668</v>
      </c>
      <c r="H18" s="34">
        <f t="shared" si="75"/>
        <v>0.54621352673300727</v>
      </c>
      <c r="I18" s="1209">
        <f t="shared" si="75"/>
        <v>0.44596086302057197</v>
      </c>
      <c r="J18" s="1209">
        <f t="shared" si="75"/>
        <v>0.27626459143968873</v>
      </c>
      <c r="K18" s="33">
        <f t="shared" si="75"/>
        <v>0.21456102783725903</v>
      </c>
      <c r="L18" s="34">
        <f t="shared" si="75"/>
        <v>0.21315753330586462</v>
      </c>
      <c r="M18" s="1209">
        <f t="shared" si="75"/>
        <v>0.24960054782013244</v>
      </c>
      <c r="N18" s="1209">
        <f t="shared" si="75"/>
        <v>0.32642487046632124</v>
      </c>
      <c r="O18" s="33">
        <f t="shared" si="75"/>
        <v>0.30374128091312624</v>
      </c>
      <c r="P18" s="34">
        <f t="shared" si="75"/>
        <v>0.21957589052543605</v>
      </c>
      <c r="Q18" s="1209">
        <f t="shared" si="75"/>
        <v>2.9743186582809281E-2</v>
      </c>
      <c r="R18" s="1209">
        <f t="shared" si="75"/>
        <v>1.0935204831075641E-2</v>
      </c>
      <c r="S18" s="33">
        <f t="shared" si="75"/>
        <v>5.8951018638925108E-2</v>
      </c>
      <c r="T18" s="34">
        <f t="shared" si="75"/>
        <v>0.14604334677419351</v>
      </c>
      <c r="U18" s="1209">
        <f t="shared" si="75"/>
        <v>0.27364008578670301</v>
      </c>
      <c r="V18" s="1209">
        <f t="shared" si="75"/>
        <v>0.21880064829821719</v>
      </c>
      <c r="W18" s="33">
        <f t="shared" si="75"/>
        <v>0.21095484826054775</v>
      </c>
      <c r="X18" s="34">
        <f t="shared" si="75"/>
        <v>0.57884944556076512</v>
      </c>
      <c r="Y18" s="1209">
        <f t="shared" si="75"/>
        <v>0.41238892243982395</v>
      </c>
      <c r="Z18" s="1209">
        <f t="shared" si="75"/>
        <v>0.42585918393615652</v>
      </c>
      <c r="AA18" s="33">
        <f t="shared" si="75"/>
        <v>0.57706652788620005</v>
      </c>
      <c r="AB18" s="34">
        <f t="shared" si="75"/>
        <v>0.48517434461695086</v>
      </c>
      <c r="AC18" s="1209">
        <f t="shared" si="75"/>
        <v>0.1879515811203904</v>
      </c>
      <c r="AD18" s="1209">
        <f t="shared" si="75"/>
        <v>-0.33704020530367834</v>
      </c>
      <c r="AE18" s="33">
        <f t="shared" si="75"/>
        <v>-1.1998750780761993</v>
      </c>
      <c r="AF18" s="34">
        <f t="shared" si="75"/>
        <v>-0.50153338051427232</v>
      </c>
      <c r="AG18" s="1209">
        <f t="shared" si="75"/>
        <v>0.22139650100634775</v>
      </c>
      <c r="AH18" s="1209">
        <f t="shared" si="75"/>
        <v>0.2181016597510374</v>
      </c>
      <c r="AI18" s="33">
        <f t="shared" si="75"/>
        <v>-0.27967914438502678</v>
      </c>
      <c r="AJ18" s="34">
        <f t="shared" ref="AJ18:BO18" si="76">AJ17/AJ7</f>
        <v>-5.4444606626769747E-2</v>
      </c>
      <c r="AK18" s="1209">
        <f t="shared" si="76"/>
        <v>-0.27503184713375795</v>
      </c>
      <c r="AL18" s="1209">
        <f t="shared" si="76"/>
        <v>9.6901869796642545E-2</v>
      </c>
      <c r="AM18" s="33">
        <f t="shared" si="76"/>
        <v>0.19077096229600451</v>
      </c>
      <c r="AN18" s="34">
        <f t="shared" si="76"/>
        <v>0.25830924855491327</v>
      </c>
      <c r="AO18" s="1209">
        <f t="shared" si="76"/>
        <v>0.25045408678102932</v>
      </c>
      <c r="AP18" s="1209">
        <f t="shared" si="76"/>
        <v>0.34733166189111747</v>
      </c>
      <c r="AQ18" s="33">
        <f t="shared" si="76"/>
        <v>0.33013790783720148</v>
      </c>
      <c r="AR18" s="34">
        <f t="shared" si="76"/>
        <v>0.33563437276838848</v>
      </c>
      <c r="AS18" s="1209">
        <f t="shared" si="76"/>
        <v>0.2706628947167215</v>
      </c>
      <c r="AT18" s="1209">
        <f t="shared" si="76"/>
        <v>8.2147600075886951E-2</v>
      </c>
      <c r="AU18" s="33">
        <f t="shared" si="76"/>
        <v>0.22435999363968831</v>
      </c>
      <c r="AV18" s="34">
        <f t="shared" si="76"/>
        <v>0.22844764282567184</v>
      </c>
      <c r="AW18" s="1209">
        <f t="shared" si="76"/>
        <v>0.19208163265306119</v>
      </c>
      <c r="AX18" s="1209">
        <f t="shared" si="76"/>
        <v>0.25131448601691686</v>
      </c>
      <c r="AY18" s="33">
        <f t="shared" si="76"/>
        <v>0.23642056210863552</v>
      </c>
      <c r="AZ18" s="34">
        <f t="shared" si="76"/>
        <v>0.28888888888888886</v>
      </c>
      <c r="BA18" s="1209">
        <f t="shared" si="76"/>
        <v>0.25017519271198319</v>
      </c>
      <c r="BB18" s="1209">
        <f t="shared" si="76"/>
        <v>8.1916537867078823E-2</v>
      </c>
      <c r="BC18" s="33">
        <f t="shared" si="76"/>
        <v>0.12038970076548365</v>
      </c>
      <c r="BD18" s="34">
        <f t="shared" si="76"/>
        <v>3.2573289902280132E-3</v>
      </c>
      <c r="BE18" s="1209">
        <f t="shared" si="76"/>
        <v>-3.164091243561442E-2</v>
      </c>
      <c r="BF18" s="1209">
        <f t="shared" si="76"/>
        <v>3.2042723631508681E-2</v>
      </c>
      <c r="BG18" s="33">
        <f t="shared" si="76"/>
        <v>-4.4858523119392688E-2</v>
      </c>
      <c r="BH18" s="34">
        <f t="shared" si="76"/>
        <v>-0.3202567760342368</v>
      </c>
      <c r="BI18" s="1209">
        <f t="shared" si="76"/>
        <v>-0.26888217522658608</v>
      </c>
      <c r="BJ18" s="1209">
        <f t="shared" si="76"/>
        <v>9.6745027124773966E-2</v>
      </c>
      <c r="BK18" s="33">
        <f t="shared" si="76"/>
        <v>0.13056835637480799</v>
      </c>
      <c r="BL18" s="34">
        <f t="shared" si="76"/>
        <v>0.25459770114942532</v>
      </c>
      <c r="BM18" s="1209">
        <f t="shared" si="76"/>
        <v>0.32738398776134625</v>
      </c>
      <c r="BN18" s="1209">
        <f t="shared" si="76"/>
        <v>0.37062937062937062</v>
      </c>
      <c r="BO18" s="33">
        <f t="shared" si="76"/>
        <v>0.31327717609306055</v>
      </c>
      <c r="BP18" s="34">
        <f t="shared" ref="BP18:CC18" si="77">BP17/BP7</f>
        <v>0.23268206039076378</v>
      </c>
      <c r="BQ18" s="1209">
        <f t="shared" si="77"/>
        <v>0.19273371732388125</v>
      </c>
      <c r="BR18" s="1209">
        <f t="shared" si="77"/>
        <v>0.22346891070593736</v>
      </c>
      <c r="BS18" s="33">
        <f t="shared" si="77"/>
        <v>0.15</v>
      </c>
      <c r="BT18" s="34">
        <f t="shared" si="77"/>
        <v>0.145933014354067</v>
      </c>
      <c r="BU18" s="1209">
        <f t="shared" si="77"/>
        <v>0.10452961672473868</v>
      </c>
      <c r="BV18" s="1209">
        <f t="shared" si="77"/>
        <v>0.10773480662983426</v>
      </c>
      <c r="BW18" s="33">
        <f t="shared" si="77"/>
        <v>0.11156393275598574</v>
      </c>
      <c r="BX18" s="34">
        <f t="shared" si="77"/>
        <v>0.1183206106870229</v>
      </c>
      <c r="BY18" s="32">
        <f t="shared" si="77"/>
        <v>0.17613089509143406</v>
      </c>
      <c r="BZ18" s="32">
        <f t="shared" si="77"/>
        <v>0.23986194995685936</v>
      </c>
      <c r="CA18" s="33">
        <f t="shared" si="77"/>
        <v>0.24903271192402393</v>
      </c>
      <c r="CB18" s="34">
        <f t="shared" si="77"/>
        <v>0.31692231568530432</v>
      </c>
      <c r="CC18" s="32">
        <f t="shared" si="77"/>
        <v>0.34161188215242272</v>
      </c>
      <c r="CD18" s="32">
        <f t="shared" ref="CD18:CI18" si="78">CD17/CD7</f>
        <v>0.34354595680562533</v>
      </c>
      <c r="CE18" s="33">
        <f t="shared" si="78"/>
        <v>0.32765554766974214</v>
      </c>
      <c r="CF18" s="34">
        <f t="shared" si="78"/>
        <v>0.35818937240323639</v>
      </c>
      <c r="CG18" s="32">
        <f t="shared" si="78"/>
        <v>0.33725396063370139</v>
      </c>
      <c r="CH18" s="32">
        <f t="shared" si="78"/>
        <v>0.31196470282896444</v>
      </c>
      <c r="CI18" s="33">
        <f t="shared" si="78"/>
        <v>0.26944444444444443</v>
      </c>
      <c r="CJ18" s="34">
        <f t="shared" ref="CJ18:CM18" si="79">CJ17/CJ7</f>
        <v>0.25343283582089554</v>
      </c>
      <c r="CK18" s="32">
        <f t="shared" si="79"/>
        <v>0.19734151329243355</v>
      </c>
      <c r="CL18" s="32">
        <f t="shared" si="79"/>
        <v>0.17184265010351968</v>
      </c>
      <c r="CM18" s="33">
        <f t="shared" si="79"/>
        <v>0.17998134908299659</v>
      </c>
      <c r="CN18" s="34">
        <f t="shared" ref="CN18:CQ18" si="80">CN17/CN7</f>
        <v>0.25465994962216626</v>
      </c>
      <c r="CO18" s="1209">
        <f t="shared" si="80"/>
        <v>0.36660929432013767</v>
      </c>
      <c r="CP18" s="1209">
        <f t="shared" si="80"/>
        <v>0.46873877111031259</v>
      </c>
      <c r="CQ18" s="33">
        <f t="shared" si="80"/>
        <v>0.50700553926360381</v>
      </c>
      <c r="CR18" s="34">
        <f t="shared" ref="CR18:CS18" si="81">CR17/CR7</f>
        <v>0.55078641775687198</v>
      </c>
      <c r="CS18" s="1209">
        <f t="shared" si="81"/>
        <v>0.58087335056454903</v>
      </c>
      <c r="CT18" s="32">
        <f t="shared" ref="CT18:CU18" si="82">CT17/CT7</f>
        <v>0.58853517507944753</v>
      </c>
      <c r="CU18" s="33">
        <f t="shared" si="82"/>
        <v>0.56612438087235362</v>
      </c>
      <c r="CV18" s="34">
        <f t="shared" ref="CV18:CY18" si="83">CV17/CV7</f>
        <v>0.52472651090979427</v>
      </c>
      <c r="CW18" s="1209">
        <f t="shared" si="83"/>
        <v>0.50131395696288539</v>
      </c>
      <c r="CX18" s="1209">
        <f t="shared" si="83"/>
        <v>0.435413770272779</v>
      </c>
      <c r="CY18" s="33">
        <f t="shared" si="83"/>
        <v>0.39560607773819423</v>
      </c>
      <c r="CZ18" s="34">
        <f t="shared" ref="CZ18:DC18" si="84">CZ17/CZ7</f>
        <v>0.37008672765557055</v>
      </c>
      <c r="DA18" s="1209">
        <f t="shared" si="84"/>
        <v>0.34901460400636247</v>
      </c>
      <c r="DB18" s="1209">
        <f t="shared" si="84"/>
        <v>0.33767552455122629</v>
      </c>
      <c r="DC18" s="33">
        <f t="shared" si="84"/>
        <v>0.32819552025083071</v>
      </c>
      <c r="DD18" s="18"/>
      <c r="DE18" s="353">
        <f t="shared" ref="DE18:DZ18" si="85">DE17/DE7</f>
        <v>0.5500050800961831</v>
      </c>
      <c r="DF18" s="353">
        <f t="shared" si="85"/>
        <v>0.39832503147408177</v>
      </c>
      <c r="DG18" s="353">
        <f t="shared" si="85"/>
        <v>0.2777129853505903</v>
      </c>
      <c r="DH18" s="353">
        <f t="shared" si="85"/>
        <v>9.2685022972928341E-2</v>
      </c>
      <c r="DI18" s="353">
        <f t="shared" si="85"/>
        <v>0.21615302869287978</v>
      </c>
      <c r="DJ18" s="353">
        <f t="shared" si="85"/>
        <v>0.5105149000377216</v>
      </c>
      <c r="DK18" s="353">
        <f t="shared" si="85"/>
        <v>2.8125714576082001E-2</v>
      </c>
      <c r="DL18" s="353">
        <f t="shared" si="85"/>
        <v>-4.2719196601004386E-2</v>
      </c>
      <c r="DM18" s="353">
        <f t="shared" si="85"/>
        <v>-4.1083039497945258E-3</v>
      </c>
      <c r="DN18" s="353">
        <f t="shared" si="85"/>
        <v>0.2985105126924299</v>
      </c>
      <c r="DO18" s="353">
        <f t="shared" si="85"/>
        <v>0.23478545961231101</v>
      </c>
      <c r="DP18" s="32">
        <f t="shared" si="85"/>
        <v>0.22776671408250349</v>
      </c>
      <c r="DQ18" s="32">
        <f t="shared" si="85"/>
        <v>0.18952180028129395</v>
      </c>
      <c r="DR18" s="32">
        <f t="shared" si="85"/>
        <v>-9.4161958568738224E-3</v>
      </c>
      <c r="DS18" s="32">
        <f t="shared" si="85"/>
        <v>-9.140120757859671E-2</v>
      </c>
      <c r="DT18" s="1209">
        <f t="shared" si="85"/>
        <v>0.31997170478660691</v>
      </c>
      <c r="DU18" s="1209">
        <f t="shared" si="85"/>
        <v>0.20004551661356396</v>
      </c>
      <c r="DV18" s="1209">
        <f t="shared" si="85"/>
        <v>0.11756133106631042</v>
      </c>
      <c r="DW18" s="1209">
        <f t="shared" si="85"/>
        <v>0.2035710349388295</v>
      </c>
      <c r="DX18" s="1209">
        <f t="shared" si="85"/>
        <v>0.33237559603863553</v>
      </c>
      <c r="DY18" s="1209">
        <f t="shared" si="85"/>
        <v>0.32207262845849804</v>
      </c>
      <c r="DZ18" s="1209">
        <f t="shared" si="85"/>
        <v>0.20203242196951368</v>
      </c>
      <c r="EA18" s="1209">
        <f t="shared" ref="EA18:EB18" si="86">EA17/EA7</f>
        <v>0.41511662237968705</v>
      </c>
      <c r="EB18" s="1209">
        <f t="shared" si="86"/>
        <v>0.57205241915578364</v>
      </c>
      <c r="EC18" s="33">
        <f t="shared" ref="EC18:ED18" si="87">EC17/EC7</f>
        <v>0.46612583287639892</v>
      </c>
      <c r="ED18" s="33">
        <f t="shared" si="87"/>
        <v>0.34616564923881704</v>
      </c>
      <c r="EE18" s="1364"/>
      <c r="EF18" s="34">
        <f t="shared" ref="EF18:EY18" si="88">EF17/EF7</f>
        <v>0.54424864714860544</v>
      </c>
      <c r="EG18" s="32">
        <f t="shared" si="88"/>
        <v>0.30127342698914306</v>
      </c>
      <c r="EH18" s="32">
        <f t="shared" si="88"/>
        <v>0.2754025689641359</v>
      </c>
      <c r="EI18" s="32">
        <f t="shared" si="88"/>
        <v>6.5033547665641567E-2</v>
      </c>
      <c r="EJ18" s="32">
        <f t="shared" si="88"/>
        <v>0.34201803388887597</v>
      </c>
      <c r="EK18" s="32">
        <f t="shared" si="88"/>
        <v>0.49053912568471841</v>
      </c>
      <c r="EL18" s="32">
        <f t="shared" si="88"/>
        <v>-0.31002080195107917</v>
      </c>
      <c r="EM18" s="32">
        <f t="shared" si="88"/>
        <v>2.2700161392182783E-2</v>
      </c>
      <c r="EN18" s="32">
        <f t="shared" si="88"/>
        <v>8.8404394603517816E-2</v>
      </c>
      <c r="EO18" s="32">
        <f t="shared" si="88"/>
        <v>0.31854387466262934</v>
      </c>
      <c r="EP18" s="32">
        <f t="shared" si="88"/>
        <v>0.20753959491739776</v>
      </c>
      <c r="EQ18" s="32">
        <f t="shared" si="88"/>
        <v>0.24478467844211241</v>
      </c>
      <c r="ER18" s="32">
        <f t="shared" si="88"/>
        <v>0.11259441419286843</v>
      </c>
      <c r="ES18" s="32">
        <f t="shared" si="88"/>
        <v>-8.9173090399439381E-2</v>
      </c>
      <c r="ET18" s="1209">
        <f t="shared" si="88"/>
        <v>8.8115152694028392E-2</v>
      </c>
      <c r="EU18" s="1209">
        <f t="shared" si="88"/>
        <v>0.31076273070936178</v>
      </c>
      <c r="EV18" s="32">
        <f t="shared" si="88"/>
        <v>0.17841409691629956</v>
      </c>
      <c r="EW18" s="32">
        <f t="shared" si="88"/>
        <v>0.11030333416896465</v>
      </c>
      <c r="EX18" s="32">
        <f t="shared" si="88"/>
        <v>0.25804449960109921</v>
      </c>
      <c r="EY18" s="32">
        <f t="shared" si="88"/>
        <v>0.34306353247676002</v>
      </c>
      <c r="EZ18" s="1209">
        <f t="shared" ref="EZ18:FA18" si="89">EZ17/EZ7</f>
        <v>0.29567773398356606</v>
      </c>
      <c r="FA18" s="1209">
        <f t="shared" si="89"/>
        <v>0.20485444350564561</v>
      </c>
      <c r="FB18" s="1209">
        <f t="shared" ref="FB18:FC18" si="90">FB17/FB7</f>
        <v>0.48248758367523215</v>
      </c>
      <c r="FC18" s="1209">
        <f t="shared" si="90"/>
        <v>0.56514438216269092</v>
      </c>
      <c r="FD18" s="33">
        <f t="shared" ref="FD18" si="91">FD17/FD7</f>
        <v>0.4261361770585203</v>
      </c>
      <c r="FE18" s="300"/>
      <c r="FF18" s="300"/>
      <c r="FG18" s="300"/>
      <c r="FH18" s="300"/>
      <c r="FO18" s="7"/>
      <c r="FP18" s="770"/>
    </row>
    <row r="19" spans="1:172" ht="14.25" customHeight="1" collapsed="1">
      <c r="A19" s="7"/>
      <c r="B19" s="540" t="s">
        <v>246</v>
      </c>
      <c r="C19" s="31"/>
      <c r="D19" s="807">
        <f t="shared" ref="D19:BO19" si="92">D7-D15</f>
        <v>310.5</v>
      </c>
      <c r="E19" s="808">
        <f t="shared" si="92"/>
        <v>361</v>
      </c>
      <c r="F19" s="808">
        <f t="shared" si="92"/>
        <v>404.00000000000006</v>
      </c>
      <c r="G19" s="809">
        <f t="shared" si="92"/>
        <v>548.5</v>
      </c>
      <c r="H19" s="807">
        <f t="shared" si="92"/>
        <v>647.69999999999993</v>
      </c>
      <c r="I19" s="808">
        <f t="shared" si="92"/>
        <v>444.4</v>
      </c>
      <c r="J19" s="808">
        <f t="shared" si="92"/>
        <v>213</v>
      </c>
      <c r="K19" s="809">
        <f t="shared" si="92"/>
        <v>150.29999999999995</v>
      </c>
      <c r="L19" s="807">
        <f t="shared" si="92"/>
        <v>155.20000000000005</v>
      </c>
      <c r="M19" s="808">
        <f t="shared" si="92"/>
        <v>218.70000000000005</v>
      </c>
      <c r="N19" s="808">
        <f t="shared" si="92"/>
        <v>315</v>
      </c>
      <c r="O19" s="809">
        <f t="shared" si="92"/>
        <v>287.40000000000009</v>
      </c>
      <c r="P19" s="807">
        <f t="shared" si="92"/>
        <v>210.19999999999993</v>
      </c>
      <c r="Q19" s="808">
        <f t="shared" si="92"/>
        <v>22.700000000000045</v>
      </c>
      <c r="R19" s="808">
        <f t="shared" si="92"/>
        <v>6.7000000000000455</v>
      </c>
      <c r="S19" s="809">
        <f t="shared" si="92"/>
        <v>40.800000000000068</v>
      </c>
      <c r="T19" s="807">
        <f t="shared" si="92"/>
        <v>115.89999999999998</v>
      </c>
      <c r="U19" s="808">
        <f t="shared" si="92"/>
        <v>280.69999999999993</v>
      </c>
      <c r="V19" s="808">
        <f t="shared" si="92"/>
        <v>189</v>
      </c>
      <c r="W19" s="809">
        <f t="shared" si="92"/>
        <v>228</v>
      </c>
      <c r="X19" s="807">
        <f t="shared" si="92"/>
        <v>777.80000000000007</v>
      </c>
      <c r="Y19" s="808">
        <f t="shared" si="92"/>
        <v>477.99999999999989</v>
      </c>
      <c r="Z19" s="808">
        <f t="shared" si="92"/>
        <v>661.69999999999993</v>
      </c>
      <c r="AA19" s="809">
        <f t="shared" si="92"/>
        <v>1330.6000000000001</v>
      </c>
      <c r="AB19" s="807">
        <f t="shared" si="92"/>
        <v>762.49999999999989</v>
      </c>
      <c r="AC19" s="808">
        <f t="shared" si="92"/>
        <v>200.30000000000007</v>
      </c>
      <c r="AD19" s="808">
        <f t="shared" si="92"/>
        <v>-275.79999999999995</v>
      </c>
      <c r="AE19" s="809">
        <f t="shared" si="92"/>
        <v>-576.29999999999927</v>
      </c>
      <c r="AF19" s="807">
        <f t="shared" si="92"/>
        <v>-212.60000000000002</v>
      </c>
      <c r="AG19" s="808">
        <f t="shared" si="92"/>
        <v>143</v>
      </c>
      <c r="AH19" s="808">
        <f t="shared" si="92"/>
        <v>168.20000000000005</v>
      </c>
      <c r="AI19" s="809">
        <f t="shared" si="92"/>
        <v>-209.20000000000005</v>
      </c>
      <c r="AJ19" s="807">
        <f t="shared" si="92"/>
        <v>-37.299999999999955</v>
      </c>
      <c r="AK19" s="808">
        <f t="shared" si="92"/>
        <v>-215.89999999999998</v>
      </c>
      <c r="AL19" s="808">
        <f t="shared" si="92"/>
        <v>71</v>
      </c>
      <c r="AM19" s="809">
        <f t="shared" si="92"/>
        <v>169.5</v>
      </c>
      <c r="AN19" s="807">
        <f t="shared" si="92"/>
        <v>286</v>
      </c>
      <c r="AO19" s="808">
        <f t="shared" si="92"/>
        <v>248.20000000000005</v>
      </c>
      <c r="AP19" s="808">
        <f t="shared" si="92"/>
        <v>387.9</v>
      </c>
      <c r="AQ19" s="809">
        <f t="shared" si="92"/>
        <v>392.6</v>
      </c>
      <c r="AR19" s="807">
        <f t="shared" si="92"/>
        <v>423</v>
      </c>
      <c r="AS19" s="808">
        <f t="shared" si="92"/>
        <v>354.00000000000011</v>
      </c>
      <c r="AT19" s="808">
        <f t="shared" si="92"/>
        <v>86.600000000000023</v>
      </c>
      <c r="AU19" s="809">
        <f t="shared" si="92"/>
        <v>282.19999999999993</v>
      </c>
      <c r="AV19" s="807">
        <f t="shared" si="92"/>
        <v>311.09999999999991</v>
      </c>
      <c r="AW19" s="808">
        <f t="shared" si="92"/>
        <v>235.29999999999995</v>
      </c>
      <c r="AX19" s="808">
        <f t="shared" si="92"/>
        <v>329.79999999999995</v>
      </c>
      <c r="AY19" s="809">
        <f t="shared" si="92"/>
        <v>324.70000000000005</v>
      </c>
      <c r="AZ19" s="807">
        <f t="shared" si="92"/>
        <v>442</v>
      </c>
      <c r="BA19" s="808">
        <f t="shared" si="92"/>
        <v>357</v>
      </c>
      <c r="BB19" s="808">
        <f t="shared" si="92"/>
        <v>106</v>
      </c>
      <c r="BC19" s="809">
        <f t="shared" si="92"/>
        <v>173</v>
      </c>
      <c r="BD19" s="807">
        <f t="shared" si="92"/>
        <v>5</v>
      </c>
      <c r="BE19" s="808">
        <f t="shared" si="92"/>
        <v>-43</v>
      </c>
      <c r="BF19" s="808">
        <f t="shared" si="92"/>
        <v>48</v>
      </c>
      <c r="BG19" s="809">
        <f t="shared" si="92"/>
        <v>-65</v>
      </c>
      <c r="BH19" s="807">
        <f t="shared" si="92"/>
        <v>-449</v>
      </c>
      <c r="BI19" s="808">
        <f t="shared" si="92"/>
        <v>-267</v>
      </c>
      <c r="BJ19" s="808">
        <f t="shared" si="92"/>
        <v>107</v>
      </c>
      <c r="BK19" s="809">
        <f t="shared" si="92"/>
        <v>170</v>
      </c>
      <c r="BL19" s="807">
        <f t="shared" si="92"/>
        <v>443</v>
      </c>
      <c r="BM19" s="808">
        <f t="shared" si="92"/>
        <v>642</v>
      </c>
      <c r="BN19" s="808">
        <f t="shared" si="92"/>
        <v>848</v>
      </c>
      <c r="BO19" s="809">
        <f t="shared" si="92"/>
        <v>781</v>
      </c>
      <c r="BP19" s="807">
        <f t="shared" ref="BP19:BW19" si="93">BP7-BP15</f>
        <v>524</v>
      </c>
      <c r="BQ19" s="808">
        <f t="shared" si="93"/>
        <v>435</v>
      </c>
      <c r="BR19" s="808">
        <f t="shared" si="93"/>
        <v>478</v>
      </c>
      <c r="BS19" s="809">
        <f t="shared" si="93"/>
        <v>321</v>
      </c>
      <c r="BT19" s="807">
        <f t="shared" si="93"/>
        <v>305</v>
      </c>
      <c r="BU19" s="808">
        <f t="shared" si="93"/>
        <v>210</v>
      </c>
      <c r="BV19" s="808">
        <f t="shared" si="93"/>
        <v>234</v>
      </c>
      <c r="BW19" s="809">
        <f t="shared" si="93"/>
        <v>219</v>
      </c>
      <c r="BX19" s="807">
        <f>BX7-BX15</f>
        <v>217</v>
      </c>
      <c r="BY19" s="808">
        <f>BY7-BY15</f>
        <v>366</v>
      </c>
      <c r="BZ19" s="808">
        <f>BZ7-BZ15</f>
        <v>556</v>
      </c>
      <c r="CA19" s="809">
        <f t="shared" ref="CA19:CI19" si="94">CA7-CA15</f>
        <v>708</v>
      </c>
      <c r="CB19" s="807">
        <f t="shared" si="94"/>
        <v>1392</v>
      </c>
      <c r="CC19" s="808">
        <f t="shared" si="94"/>
        <v>1445</v>
      </c>
      <c r="CD19" s="808">
        <f>CD7-CD15</f>
        <v>1368</v>
      </c>
      <c r="CE19" s="809">
        <f>CE7-CE15</f>
        <v>1385</v>
      </c>
      <c r="CF19" s="807">
        <f t="shared" si="94"/>
        <v>1638</v>
      </c>
      <c r="CG19" s="808">
        <f t="shared" si="94"/>
        <v>1405</v>
      </c>
      <c r="CH19" s="808">
        <f t="shared" si="94"/>
        <v>1202</v>
      </c>
      <c r="CI19" s="809">
        <f t="shared" si="94"/>
        <v>970</v>
      </c>
      <c r="CJ19" s="807">
        <f t="shared" ref="CJ19:CM19" si="95">CJ7-CJ15</f>
        <v>849</v>
      </c>
      <c r="CK19" s="808">
        <f t="shared" si="95"/>
        <v>579</v>
      </c>
      <c r="CL19" s="808">
        <f t="shared" si="95"/>
        <v>503</v>
      </c>
      <c r="CM19" s="809">
        <f t="shared" si="95"/>
        <v>579</v>
      </c>
      <c r="CN19" s="807">
        <f t="shared" ref="CN19:CQ19" si="96">CN7-CN15</f>
        <v>1032</v>
      </c>
      <c r="CO19" s="808">
        <f t="shared" si="96"/>
        <v>1789</v>
      </c>
      <c r="CP19" s="808">
        <f t="shared" si="96"/>
        <v>2671</v>
      </c>
      <c r="CQ19" s="809">
        <f t="shared" si="96"/>
        <v>3147</v>
      </c>
      <c r="CR19" s="807">
        <f t="shared" ref="CR19:CS19" si="97">CR7-CR15</f>
        <v>3769</v>
      </c>
      <c r="CS19" s="808">
        <f t="shared" si="97"/>
        <v>4296</v>
      </c>
      <c r="CT19" s="808">
        <f t="shared" ref="CT19:CU19" si="98">CT7-CT15</f>
        <v>4475.9683388944904</v>
      </c>
      <c r="CU19" s="809">
        <f t="shared" si="98"/>
        <v>4347.6937506253917</v>
      </c>
      <c r="CV19" s="807">
        <f t="shared" ref="CV19:CY19" si="99">CV7-CV15</f>
        <v>3908.302741376348</v>
      </c>
      <c r="CW19" s="808">
        <f t="shared" si="99"/>
        <v>3401.4150225051444</v>
      </c>
      <c r="CX19" s="808">
        <f t="shared" si="99"/>
        <v>2899.5363415952124</v>
      </c>
      <c r="CY19" s="809">
        <f t="shared" si="99"/>
        <v>2640.5902583424554</v>
      </c>
      <c r="CZ19" s="807">
        <f t="shared" ref="CZ19:DC19" si="100">CZ7-CZ15</f>
        <v>2430.3874494957108</v>
      </c>
      <c r="DA19" s="808">
        <f t="shared" si="100"/>
        <v>2289.0143801066833</v>
      </c>
      <c r="DB19" s="808">
        <f t="shared" si="100"/>
        <v>2224.2584885223869</v>
      </c>
      <c r="DC19" s="809">
        <f t="shared" si="100"/>
        <v>2188.9081043710312</v>
      </c>
      <c r="DD19" s="743"/>
      <c r="DE19" s="805">
        <f t="shared" ref="DE19:DU19" si="101">DE7-DE15</f>
        <v>1623.9999999999998</v>
      </c>
      <c r="DF19" s="805">
        <f t="shared" si="101"/>
        <v>1455.4</v>
      </c>
      <c r="DG19" s="805">
        <f t="shared" si="101"/>
        <v>976.30000000000018</v>
      </c>
      <c r="DH19" s="805">
        <f t="shared" si="101"/>
        <v>280.40000000000009</v>
      </c>
      <c r="DI19" s="805">
        <f t="shared" si="101"/>
        <v>813.59999999999945</v>
      </c>
      <c r="DJ19" s="805">
        <f t="shared" si="101"/>
        <v>3248.1000000000004</v>
      </c>
      <c r="DK19" s="805">
        <f t="shared" si="101"/>
        <v>110.70000000000118</v>
      </c>
      <c r="DL19" s="805">
        <f t="shared" si="101"/>
        <v>-110.60000000000036</v>
      </c>
      <c r="DM19" s="805">
        <f t="shared" si="101"/>
        <v>-12.699999999999818</v>
      </c>
      <c r="DN19" s="805">
        <f t="shared" si="101"/>
        <v>1314.6999999999998</v>
      </c>
      <c r="DO19" s="805">
        <f t="shared" si="101"/>
        <v>1145.8000000000002</v>
      </c>
      <c r="DP19" s="804">
        <f t="shared" si="101"/>
        <v>1200.8999999999996</v>
      </c>
      <c r="DQ19" s="804">
        <f t="shared" si="101"/>
        <v>1078</v>
      </c>
      <c r="DR19" s="804">
        <f t="shared" si="101"/>
        <v>-55</v>
      </c>
      <c r="DS19" s="804">
        <f t="shared" si="101"/>
        <v>-439</v>
      </c>
      <c r="DT19" s="804">
        <f t="shared" si="101"/>
        <v>2714</v>
      </c>
      <c r="DU19" s="804">
        <f t="shared" si="101"/>
        <v>1758</v>
      </c>
      <c r="DV19" s="804">
        <f>DV7-DV15</f>
        <v>968</v>
      </c>
      <c r="DW19" s="804">
        <f>DW7-DW15</f>
        <v>1847</v>
      </c>
      <c r="DX19" s="804">
        <f t="shared" ref="DX19:EB19" si="102">DX7-DX15</f>
        <v>5590</v>
      </c>
      <c r="DY19" s="804">
        <f t="shared" si="102"/>
        <v>5215</v>
      </c>
      <c r="DZ19" s="804">
        <f t="shared" si="102"/>
        <v>2510</v>
      </c>
      <c r="EA19" s="808">
        <f t="shared" ref="EA19" si="103">EA7-EA15</f>
        <v>8639</v>
      </c>
      <c r="EB19" s="808">
        <f t="shared" si="102"/>
        <v>16888.662089519879</v>
      </c>
      <c r="EC19" s="809">
        <f t="shared" ref="EC19:ED19" si="104">EC7-EC15</f>
        <v>12849.84436381916</v>
      </c>
      <c r="ED19" s="809">
        <f t="shared" si="104"/>
        <v>9132.5684224958059</v>
      </c>
      <c r="EE19" s="1364"/>
      <c r="EF19" s="34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1209"/>
      <c r="EU19" s="1209"/>
      <c r="EV19" s="32"/>
      <c r="EW19" s="32"/>
      <c r="EX19" s="32"/>
      <c r="EY19" s="32"/>
      <c r="EZ19" s="1209"/>
      <c r="FA19" s="1209"/>
      <c r="FB19" s="1209"/>
      <c r="FC19" s="1209"/>
      <c r="FD19" s="33"/>
      <c r="FE19" s="300"/>
      <c r="FF19" s="300"/>
      <c r="FG19" s="300"/>
      <c r="FH19" s="300"/>
      <c r="FO19" s="7"/>
      <c r="FP19" s="770"/>
    </row>
    <row r="20" spans="1:172" ht="14.25" customHeight="1">
      <c r="A20" s="7"/>
      <c r="B20" s="548" t="s">
        <v>247</v>
      </c>
      <c r="C20" s="31"/>
      <c r="D20" s="34">
        <f t="shared" ref="D20:BO20" si="105">D19/D7</f>
        <v>0.5803738317757009</v>
      </c>
      <c r="E20" s="1209">
        <f t="shared" si="105"/>
        <v>0.57438345266507562</v>
      </c>
      <c r="F20" s="1209">
        <f t="shared" si="105"/>
        <v>0.53074093536521283</v>
      </c>
      <c r="G20" s="33">
        <f t="shared" si="105"/>
        <v>0.53356031128404668</v>
      </c>
      <c r="H20" s="34">
        <f t="shared" si="105"/>
        <v>0.54621352673300727</v>
      </c>
      <c r="I20" s="1209">
        <f t="shared" si="105"/>
        <v>0.44596086302057197</v>
      </c>
      <c r="J20" s="1209">
        <f t="shared" si="105"/>
        <v>0.27626459143968873</v>
      </c>
      <c r="K20" s="33">
        <f t="shared" si="105"/>
        <v>0.21456102783725903</v>
      </c>
      <c r="L20" s="34">
        <f t="shared" si="105"/>
        <v>0.21315753330586462</v>
      </c>
      <c r="M20" s="1209">
        <f t="shared" si="105"/>
        <v>0.24960054782013244</v>
      </c>
      <c r="N20" s="1209">
        <f t="shared" si="105"/>
        <v>0.32642487046632124</v>
      </c>
      <c r="O20" s="33">
        <f t="shared" si="105"/>
        <v>0.30374128091312624</v>
      </c>
      <c r="P20" s="34">
        <f t="shared" si="105"/>
        <v>0.21957589052543605</v>
      </c>
      <c r="Q20" s="1209">
        <f t="shared" si="105"/>
        <v>2.9743186582809281E-2</v>
      </c>
      <c r="R20" s="1209">
        <f t="shared" si="105"/>
        <v>1.0935204831075641E-2</v>
      </c>
      <c r="S20" s="33">
        <f t="shared" si="105"/>
        <v>5.8951018638925108E-2</v>
      </c>
      <c r="T20" s="34">
        <f t="shared" si="105"/>
        <v>0.14604334677419351</v>
      </c>
      <c r="U20" s="1209">
        <f t="shared" si="105"/>
        <v>0.27364008578670301</v>
      </c>
      <c r="V20" s="1209">
        <f t="shared" si="105"/>
        <v>0.21880064829821719</v>
      </c>
      <c r="W20" s="33">
        <f t="shared" si="105"/>
        <v>0.21095484826054775</v>
      </c>
      <c r="X20" s="34">
        <f t="shared" si="105"/>
        <v>0.57884944556076512</v>
      </c>
      <c r="Y20" s="1209">
        <f t="shared" si="105"/>
        <v>0.41238892243982395</v>
      </c>
      <c r="Z20" s="1209">
        <f t="shared" si="105"/>
        <v>0.42585918393615652</v>
      </c>
      <c r="AA20" s="33">
        <f t="shared" si="105"/>
        <v>0.57706652788620005</v>
      </c>
      <c r="AB20" s="34">
        <f t="shared" si="105"/>
        <v>0.48517434461695086</v>
      </c>
      <c r="AC20" s="1209">
        <f t="shared" si="105"/>
        <v>0.1879515811203904</v>
      </c>
      <c r="AD20" s="1209">
        <f t="shared" si="105"/>
        <v>-0.33704020530367834</v>
      </c>
      <c r="AE20" s="33">
        <f t="shared" si="105"/>
        <v>-1.1998750780761993</v>
      </c>
      <c r="AF20" s="34">
        <f t="shared" si="105"/>
        <v>-0.50153338051427232</v>
      </c>
      <c r="AG20" s="1209">
        <f t="shared" si="105"/>
        <v>0.22139650100634775</v>
      </c>
      <c r="AH20" s="1209">
        <f t="shared" si="105"/>
        <v>0.2181016597510374</v>
      </c>
      <c r="AI20" s="33">
        <f t="shared" si="105"/>
        <v>-0.27967914438502678</v>
      </c>
      <c r="AJ20" s="34">
        <f t="shared" si="105"/>
        <v>-5.4444606626769747E-2</v>
      </c>
      <c r="AK20" s="1209">
        <f t="shared" si="105"/>
        <v>-0.27503184713375795</v>
      </c>
      <c r="AL20" s="1209">
        <f t="shared" si="105"/>
        <v>9.6901869796642545E-2</v>
      </c>
      <c r="AM20" s="33">
        <f t="shared" si="105"/>
        <v>0.19077096229600451</v>
      </c>
      <c r="AN20" s="34">
        <f t="shared" si="105"/>
        <v>0.25830924855491327</v>
      </c>
      <c r="AO20" s="1209">
        <f t="shared" si="105"/>
        <v>0.25045408678102932</v>
      </c>
      <c r="AP20" s="1209">
        <f t="shared" si="105"/>
        <v>0.34733166189111747</v>
      </c>
      <c r="AQ20" s="33">
        <f t="shared" si="105"/>
        <v>0.33013790783720148</v>
      </c>
      <c r="AR20" s="34">
        <f t="shared" si="105"/>
        <v>0.33563437276838848</v>
      </c>
      <c r="AS20" s="1209">
        <f t="shared" si="105"/>
        <v>0.2706628947167215</v>
      </c>
      <c r="AT20" s="1209">
        <f t="shared" si="105"/>
        <v>8.2147600075886951E-2</v>
      </c>
      <c r="AU20" s="33">
        <f t="shared" si="105"/>
        <v>0.22435999363968831</v>
      </c>
      <c r="AV20" s="34">
        <f t="shared" si="105"/>
        <v>0.22844764282567184</v>
      </c>
      <c r="AW20" s="1209">
        <f t="shared" si="105"/>
        <v>0.19208163265306119</v>
      </c>
      <c r="AX20" s="1209">
        <f t="shared" si="105"/>
        <v>0.25131448601691686</v>
      </c>
      <c r="AY20" s="33">
        <f t="shared" si="105"/>
        <v>0.23642056210863552</v>
      </c>
      <c r="AZ20" s="34">
        <f t="shared" si="105"/>
        <v>0.28888888888888886</v>
      </c>
      <c r="BA20" s="1209">
        <f t="shared" si="105"/>
        <v>0.25017519271198319</v>
      </c>
      <c r="BB20" s="1209">
        <f t="shared" si="105"/>
        <v>8.1916537867078823E-2</v>
      </c>
      <c r="BC20" s="33">
        <f t="shared" si="105"/>
        <v>0.12038970076548365</v>
      </c>
      <c r="BD20" s="34">
        <f t="shared" si="105"/>
        <v>3.2573289902280132E-3</v>
      </c>
      <c r="BE20" s="1209">
        <f t="shared" si="105"/>
        <v>-3.164091243561442E-2</v>
      </c>
      <c r="BF20" s="1209">
        <f t="shared" si="105"/>
        <v>3.2042723631508681E-2</v>
      </c>
      <c r="BG20" s="33">
        <f t="shared" si="105"/>
        <v>-4.4858523119392688E-2</v>
      </c>
      <c r="BH20" s="34">
        <f t="shared" si="105"/>
        <v>-0.3202567760342368</v>
      </c>
      <c r="BI20" s="1209">
        <f t="shared" si="105"/>
        <v>-0.26888217522658608</v>
      </c>
      <c r="BJ20" s="1209">
        <f t="shared" si="105"/>
        <v>9.6745027124773966E-2</v>
      </c>
      <c r="BK20" s="33">
        <f t="shared" si="105"/>
        <v>0.13056835637480799</v>
      </c>
      <c r="BL20" s="34">
        <f t="shared" si="105"/>
        <v>0.25459770114942532</v>
      </c>
      <c r="BM20" s="1209">
        <f t="shared" si="105"/>
        <v>0.32738398776134625</v>
      </c>
      <c r="BN20" s="1209">
        <f t="shared" si="105"/>
        <v>0.37062937062937062</v>
      </c>
      <c r="BO20" s="33">
        <f t="shared" si="105"/>
        <v>0.31327717609306055</v>
      </c>
      <c r="BP20" s="34">
        <f t="shared" ref="BP20:BW20" si="106">BP19/BP7</f>
        <v>0.23268206039076378</v>
      </c>
      <c r="BQ20" s="1209">
        <f t="shared" si="106"/>
        <v>0.19273371732388125</v>
      </c>
      <c r="BR20" s="1209">
        <f t="shared" si="106"/>
        <v>0.22346891070593736</v>
      </c>
      <c r="BS20" s="33">
        <f t="shared" si="106"/>
        <v>0.15</v>
      </c>
      <c r="BT20" s="34">
        <f t="shared" si="106"/>
        <v>0.145933014354067</v>
      </c>
      <c r="BU20" s="1209">
        <f t="shared" si="106"/>
        <v>0.10452961672473868</v>
      </c>
      <c r="BV20" s="1209">
        <f t="shared" si="106"/>
        <v>0.10773480662983426</v>
      </c>
      <c r="BW20" s="33">
        <f t="shared" si="106"/>
        <v>0.11156393275598574</v>
      </c>
      <c r="BX20" s="34">
        <f>BX19/BX7</f>
        <v>0.1183206106870229</v>
      </c>
      <c r="BY20" s="32">
        <f>BY19/BY7</f>
        <v>0.17613089509143406</v>
      </c>
      <c r="BZ20" s="32">
        <f>BZ19/BZ7</f>
        <v>0.23986194995685936</v>
      </c>
      <c r="CA20" s="33">
        <f t="shared" ref="CA20:CI20" si="107">CA19/CA7</f>
        <v>0.24903271192402393</v>
      </c>
      <c r="CB20" s="34">
        <f t="shared" si="107"/>
        <v>0.34438396833250867</v>
      </c>
      <c r="CC20" s="32">
        <f t="shared" si="107"/>
        <v>0.35183832481129779</v>
      </c>
      <c r="CD20" s="32">
        <f>CD19/CD7</f>
        <v>0.34354595680562533</v>
      </c>
      <c r="CE20" s="33">
        <f>CE19/CE7</f>
        <v>0.32765554766974214</v>
      </c>
      <c r="CF20" s="34">
        <f t="shared" si="107"/>
        <v>0.35818937240323639</v>
      </c>
      <c r="CG20" s="32">
        <f t="shared" si="107"/>
        <v>0.33725396063370139</v>
      </c>
      <c r="CH20" s="32">
        <f t="shared" si="107"/>
        <v>0.31196470282896444</v>
      </c>
      <c r="CI20" s="33">
        <f t="shared" si="107"/>
        <v>0.26944444444444443</v>
      </c>
      <c r="CJ20" s="34">
        <f t="shared" ref="CJ20:CM20" si="108">CJ19/CJ7</f>
        <v>0.25343283582089554</v>
      </c>
      <c r="CK20" s="32">
        <f t="shared" si="108"/>
        <v>0.19734151329243355</v>
      </c>
      <c r="CL20" s="32">
        <f t="shared" si="108"/>
        <v>0.173567977915804</v>
      </c>
      <c r="CM20" s="33">
        <f t="shared" si="108"/>
        <v>0.17998134908299659</v>
      </c>
      <c r="CN20" s="34">
        <f t="shared" ref="CN20:CQ20" si="109">CN19/CN7</f>
        <v>0.25994962216624684</v>
      </c>
      <c r="CO20" s="1209">
        <f t="shared" si="109"/>
        <v>0.38489672977624784</v>
      </c>
      <c r="CP20" s="1209">
        <f t="shared" si="109"/>
        <v>0.47987782968020121</v>
      </c>
      <c r="CQ20" s="33">
        <f t="shared" si="109"/>
        <v>0.51270772238514173</v>
      </c>
      <c r="CR20" s="34">
        <f t="shared" ref="CR20:CS20" si="110">CR19/CR7</f>
        <v>0.55402028516830815</v>
      </c>
      <c r="CS20" s="1209">
        <f t="shared" si="110"/>
        <v>0.58441028431505915</v>
      </c>
      <c r="CT20" s="32">
        <f t="shared" ref="CT20:CU20" si="111">CT19/CT7</f>
        <v>0.58853517507944753</v>
      </c>
      <c r="CU20" s="33">
        <f t="shared" si="111"/>
        <v>0.56612438087235362</v>
      </c>
      <c r="CV20" s="34">
        <f t="shared" ref="CV20:CY20" si="112">CV19/CV7</f>
        <v>0.52472651090979427</v>
      </c>
      <c r="CW20" s="1209">
        <f t="shared" si="112"/>
        <v>0.50131395696288539</v>
      </c>
      <c r="CX20" s="1209">
        <f t="shared" si="112"/>
        <v>0.435413770272779</v>
      </c>
      <c r="CY20" s="33">
        <f t="shared" si="112"/>
        <v>0.39560607773819423</v>
      </c>
      <c r="CZ20" s="34">
        <f t="shared" ref="CZ20:DC20" si="113">CZ19/CZ7</f>
        <v>0.37008672765557055</v>
      </c>
      <c r="DA20" s="1209">
        <f t="shared" si="113"/>
        <v>0.34901460400636247</v>
      </c>
      <c r="DB20" s="1209">
        <f t="shared" si="113"/>
        <v>0.33767552455122629</v>
      </c>
      <c r="DC20" s="33">
        <f t="shared" si="113"/>
        <v>0.32819552025083071</v>
      </c>
      <c r="DD20" s="18"/>
      <c r="DE20" s="353">
        <f t="shared" ref="DE20:DU20" si="114">DE19/DE7</f>
        <v>0.5500050800961831</v>
      </c>
      <c r="DF20" s="353">
        <f t="shared" si="114"/>
        <v>0.39832503147408177</v>
      </c>
      <c r="DG20" s="353">
        <f t="shared" si="114"/>
        <v>0.2777129853505903</v>
      </c>
      <c r="DH20" s="353">
        <f t="shared" si="114"/>
        <v>9.2685022972928341E-2</v>
      </c>
      <c r="DI20" s="353">
        <f t="shared" si="114"/>
        <v>0.21615302869287978</v>
      </c>
      <c r="DJ20" s="353">
        <f t="shared" si="114"/>
        <v>0.5105149000377216</v>
      </c>
      <c r="DK20" s="353">
        <f t="shared" si="114"/>
        <v>2.8125714576082001E-2</v>
      </c>
      <c r="DL20" s="353">
        <f t="shared" si="114"/>
        <v>-4.2719196601004386E-2</v>
      </c>
      <c r="DM20" s="353">
        <f t="shared" si="114"/>
        <v>-4.1083039497945258E-3</v>
      </c>
      <c r="DN20" s="353">
        <f t="shared" si="114"/>
        <v>0.2985105126924299</v>
      </c>
      <c r="DO20" s="353">
        <f t="shared" si="114"/>
        <v>0.23478545961231101</v>
      </c>
      <c r="DP20" s="32">
        <f t="shared" si="114"/>
        <v>0.22776671408250349</v>
      </c>
      <c r="DQ20" s="32">
        <f t="shared" si="114"/>
        <v>0.18952180028129395</v>
      </c>
      <c r="DR20" s="32">
        <f t="shared" si="114"/>
        <v>-9.4161958568738224E-3</v>
      </c>
      <c r="DS20" s="32">
        <f t="shared" si="114"/>
        <v>-9.140120757859671E-2</v>
      </c>
      <c r="DT20" s="1209">
        <f t="shared" si="114"/>
        <v>0.31997170478660691</v>
      </c>
      <c r="DU20" s="1209">
        <f t="shared" si="114"/>
        <v>0.20004551661356396</v>
      </c>
      <c r="DV20" s="1209">
        <f>DV19/DV7</f>
        <v>0.11756133106631042</v>
      </c>
      <c r="DW20" s="1209">
        <f>DW19/DW7</f>
        <v>0.2035710349388295</v>
      </c>
      <c r="DX20" s="1209">
        <f t="shared" ref="DX20:DZ20" si="115">DX19/DX7</f>
        <v>0.34172881770387575</v>
      </c>
      <c r="DY20" s="1209">
        <f t="shared" si="115"/>
        <v>0.32207262845849804</v>
      </c>
      <c r="DZ20" s="1209">
        <f t="shared" si="115"/>
        <v>0.20243568029679812</v>
      </c>
      <c r="EA20" s="1209">
        <f t="shared" ref="EA20:EB20" si="116">EA19/EA7</f>
        <v>0.42510579667355575</v>
      </c>
      <c r="EB20" s="1209">
        <f t="shared" si="116"/>
        <v>0.57368290826443713</v>
      </c>
      <c r="EC20" s="33">
        <f t="shared" ref="EC20:ED20" si="117">EC19/EC7</f>
        <v>0.46612583287639892</v>
      </c>
      <c r="ED20" s="33">
        <f t="shared" si="117"/>
        <v>0.34616564923881704</v>
      </c>
      <c r="EE20" s="1364"/>
      <c r="EF20" s="34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1209"/>
      <c r="EU20" s="1209"/>
      <c r="EV20" s="32"/>
      <c r="EW20" s="32"/>
      <c r="EX20" s="32"/>
      <c r="EY20" s="32"/>
      <c r="EZ20" s="1209"/>
      <c r="FA20" s="1209"/>
      <c r="FB20" s="1209"/>
      <c r="FC20" s="1209"/>
      <c r="FD20" s="33"/>
      <c r="FE20" s="300"/>
      <c r="FF20" s="300"/>
      <c r="FG20" s="300"/>
      <c r="FH20" s="300"/>
      <c r="FO20" s="7"/>
      <c r="FP20" s="770"/>
    </row>
    <row r="21" spans="1:172" s="330" customFormat="1" ht="14.25" hidden="1" customHeight="1" outlineLevel="1">
      <c r="A21" s="10"/>
      <c r="B21" s="540" t="s">
        <v>265</v>
      </c>
      <c r="C21" s="44"/>
      <c r="D21" s="807">
        <f t="shared" ref="D21:AI21" si="118">D7-D15</f>
        <v>310.5</v>
      </c>
      <c r="E21" s="808">
        <f t="shared" si="118"/>
        <v>361</v>
      </c>
      <c r="F21" s="808">
        <f t="shared" si="118"/>
        <v>404.00000000000006</v>
      </c>
      <c r="G21" s="809">
        <f t="shared" si="118"/>
        <v>548.5</v>
      </c>
      <c r="H21" s="807">
        <f t="shared" si="118"/>
        <v>647.69999999999993</v>
      </c>
      <c r="I21" s="808">
        <f t="shared" si="118"/>
        <v>444.4</v>
      </c>
      <c r="J21" s="808">
        <f t="shared" si="118"/>
        <v>213</v>
      </c>
      <c r="K21" s="809">
        <f t="shared" si="118"/>
        <v>150.29999999999995</v>
      </c>
      <c r="L21" s="807">
        <f t="shared" si="118"/>
        <v>155.20000000000005</v>
      </c>
      <c r="M21" s="808">
        <f t="shared" si="118"/>
        <v>218.70000000000005</v>
      </c>
      <c r="N21" s="808">
        <f t="shared" si="118"/>
        <v>315</v>
      </c>
      <c r="O21" s="809">
        <f t="shared" si="118"/>
        <v>287.40000000000009</v>
      </c>
      <c r="P21" s="807">
        <f t="shared" si="118"/>
        <v>210.19999999999993</v>
      </c>
      <c r="Q21" s="808">
        <f t="shared" si="118"/>
        <v>22.700000000000045</v>
      </c>
      <c r="R21" s="808">
        <f t="shared" si="118"/>
        <v>6.7000000000000455</v>
      </c>
      <c r="S21" s="809">
        <f t="shared" si="118"/>
        <v>40.800000000000068</v>
      </c>
      <c r="T21" s="807">
        <f t="shared" si="118"/>
        <v>115.89999999999998</v>
      </c>
      <c r="U21" s="808">
        <f t="shared" si="118"/>
        <v>280.69999999999993</v>
      </c>
      <c r="V21" s="808">
        <f t="shared" si="118"/>
        <v>189</v>
      </c>
      <c r="W21" s="809">
        <f t="shared" si="118"/>
        <v>228</v>
      </c>
      <c r="X21" s="807">
        <f t="shared" si="118"/>
        <v>777.80000000000007</v>
      </c>
      <c r="Y21" s="808">
        <f t="shared" si="118"/>
        <v>477.99999999999989</v>
      </c>
      <c r="Z21" s="808">
        <f t="shared" si="118"/>
        <v>661.69999999999993</v>
      </c>
      <c r="AA21" s="809">
        <f t="shared" si="118"/>
        <v>1330.6000000000001</v>
      </c>
      <c r="AB21" s="807">
        <f t="shared" si="118"/>
        <v>762.49999999999989</v>
      </c>
      <c r="AC21" s="808">
        <f t="shared" si="118"/>
        <v>200.30000000000007</v>
      </c>
      <c r="AD21" s="808">
        <f t="shared" si="118"/>
        <v>-275.79999999999995</v>
      </c>
      <c r="AE21" s="809">
        <f t="shared" si="118"/>
        <v>-576.29999999999927</v>
      </c>
      <c r="AF21" s="807">
        <f t="shared" si="118"/>
        <v>-212.60000000000002</v>
      </c>
      <c r="AG21" s="808">
        <f t="shared" si="118"/>
        <v>143</v>
      </c>
      <c r="AH21" s="808">
        <f t="shared" si="118"/>
        <v>168.20000000000005</v>
      </c>
      <c r="AI21" s="809">
        <f t="shared" si="118"/>
        <v>-209.20000000000005</v>
      </c>
      <c r="AJ21" s="807">
        <f t="shared" ref="AJ21:BO21" si="119">AJ7-AJ15</f>
        <v>-37.299999999999955</v>
      </c>
      <c r="AK21" s="808">
        <f t="shared" si="119"/>
        <v>-215.89999999999998</v>
      </c>
      <c r="AL21" s="808">
        <f t="shared" si="119"/>
        <v>71</v>
      </c>
      <c r="AM21" s="809">
        <f t="shared" si="119"/>
        <v>169.5</v>
      </c>
      <c r="AN21" s="807">
        <f t="shared" si="119"/>
        <v>286</v>
      </c>
      <c r="AO21" s="808">
        <f t="shared" si="119"/>
        <v>248.20000000000005</v>
      </c>
      <c r="AP21" s="808">
        <f t="shared" si="119"/>
        <v>387.9</v>
      </c>
      <c r="AQ21" s="809">
        <f t="shared" si="119"/>
        <v>392.6</v>
      </c>
      <c r="AR21" s="807">
        <f t="shared" si="119"/>
        <v>423</v>
      </c>
      <c r="AS21" s="808">
        <f t="shared" si="119"/>
        <v>354.00000000000011</v>
      </c>
      <c r="AT21" s="808">
        <f t="shared" si="119"/>
        <v>86.600000000000023</v>
      </c>
      <c r="AU21" s="809">
        <f t="shared" si="119"/>
        <v>282.19999999999993</v>
      </c>
      <c r="AV21" s="807">
        <f t="shared" si="119"/>
        <v>311.09999999999991</v>
      </c>
      <c r="AW21" s="808">
        <f t="shared" si="119"/>
        <v>235.29999999999995</v>
      </c>
      <c r="AX21" s="808">
        <f t="shared" si="119"/>
        <v>329.79999999999995</v>
      </c>
      <c r="AY21" s="809">
        <f t="shared" si="119"/>
        <v>324.70000000000005</v>
      </c>
      <c r="AZ21" s="807">
        <f t="shared" si="119"/>
        <v>442</v>
      </c>
      <c r="BA21" s="808">
        <f t="shared" si="119"/>
        <v>357</v>
      </c>
      <c r="BB21" s="808">
        <f t="shared" si="119"/>
        <v>106</v>
      </c>
      <c r="BC21" s="809">
        <f t="shared" si="119"/>
        <v>173</v>
      </c>
      <c r="BD21" s="807">
        <f t="shared" si="119"/>
        <v>5</v>
      </c>
      <c r="BE21" s="808">
        <f t="shared" si="119"/>
        <v>-43</v>
      </c>
      <c r="BF21" s="808">
        <f t="shared" si="119"/>
        <v>48</v>
      </c>
      <c r="BG21" s="809">
        <f t="shared" si="119"/>
        <v>-65</v>
      </c>
      <c r="BH21" s="807">
        <f t="shared" si="119"/>
        <v>-449</v>
      </c>
      <c r="BI21" s="808">
        <f t="shared" si="119"/>
        <v>-267</v>
      </c>
      <c r="BJ21" s="808">
        <f t="shared" si="119"/>
        <v>107</v>
      </c>
      <c r="BK21" s="809">
        <f t="shared" si="119"/>
        <v>170</v>
      </c>
      <c r="BL21" s="807">
        <f t="shared" si="119"/>
        <v>443</v>
      </c>
      <c r="BM21" s="808">
        <f t="shared" si="119"/>
        <v>642</v>
      </c>
      <c r="BN21" s="808">
        <f t="shared" si="119"/>
        <v>848</v>
      </c>
      <c r="BO21" s="809">
        <f t="shared" si="119"/>
        <v>781</v>
      </c>
      <c r="BP21" s="807">
        <f t="shared" ref="BP21:CI21" si="120">BP7-BP15</f>
        <v>524</v>
      </c>
      <c r="BQ21" s="808">
        <f t="shared" si="120"/>
        <v>435</v>
      </c>
      <c r="BR21" s="808">
        <f t="shared" si="120"/>
        <v>478</v>
      </c>
      <c r="BS21" s="809">
        <f t="shared" si="120"/>
        <v>321</v>
      </c>
      <c r="BT21" s="807">
        <f t="shared" si="120"/>
        <v>305</v>
      </c>
      <c r="BU21" s="808">
        <f t="shared" si="120"/>
        <v>210</v>
      </c>
      <c r="BV21" s="808">
        <f t="shared" si="120"/>
        <v>234</v>
      </c>
      <c r="BW21" s="809">
        <f t="shared" si="120"/>
        <v>219</v>
      </c>
      <c r="BX21" s="807">
        <f t="shared" si="120"/>
        <v>217</v>
      </c>
      <c r="BY21" s="808">
        <f t="shared" si="120"/>
        <v>366</v>
      </c>
      <c r="BZ21" s="808">
        <f t="shared" si="120"/>
        <v>556</v>
      </c>
      <c r="CA21" s="809">
        <f t="shared" si="120"/>
        <v>708</v>
      </c>
      <c r="CB21" s="807">
        <f t="shared" si="120"/>
        <v>1392</v>
      </c>
      <c r="CC21" s="808">
        <f t="shared" si="120"/>
        <v>1445</v>
      </c>
      <c r="CD21" s="808">
        <f>CD7-CD15</f>
        <v>1368</v>
      </c>
      <c r="CE21" s="809">
        <f>CE7-CE15</f>
        <v>1385</v>
      </c>
      <c r="CF21" s="807">
        <f t="shared" si="120"/>
        <v>1638</v>
      </c>
      <c r="CG21" s="808">
        <f t="shared" si="120"/>
        <v>1405</v>
      </c>
      <c r="CH21" s="808">
        <f t="shared" si="120"/>
        <v>1202</v>
      </c>
      <c r="CI21" s="809">
        <f t="shared" si="120"/>
        <v>970</v>
      </c>
      <c r="CJ21" s="807">
        <f t="shared" ref="CJ21:CM21" si="121">CJ7-CJ15</f>
        <v>849</v>
      </c>
      <c r="CK21" s="808">
        <f t="shared" si="121"/>
        <v>579</v>
      </c>
      <c r="CL21" s="808">
        <f t="shared" si="121"/>
        <v>503</v>
      </c>
      <c r="CM21" s="809">
        <f t="shared" si="121"/>
        <v>579</v>
      </c>
      <c r="CN21" s="807">
        <f t="shared" ref="CN21:CQ21" si="122">CN7-CN15</f>
        <v>1032</v>
      </c>
      <c r="CO21" s="808">
        <f t="shared" si="122"/>
        <v>1789</v>
      </c>
      <c r="CP21" s="808">
        <f t="shared" si="122"/>
        <v>2671</v>
      </c>
      <c r="CQ21" s="809">
        <f t="shared" si="122"/>
        <v>3147</v>
      </c>
      <c r="CR21" s="807">
        <f t="shared" ref="CR21:CS21" si="123">CR7-CR15</f>
        <v>3769</v>
      </c>
      <c r="CS21" s="808">
        <f t="shared" si="123"/>
        <v>4296</v>
      </c>
      <c r="CT21" s="808">
        <f t="shared" ref="CT21:CU21" si="124">CT7-CT15</f>
        <v>4475.9683388944904</v>
      </c>
      <c r="CU21" s="809">
        <f t="shared" si="124"/>
        <v>4347.6937506253917</v>
      </c>
      <c r="CV21" s="807">
        <f t="shared" ref="CV21:CY21" si="125">CV7-CV15</f>
        <v>3908.302741376348</v>
      </c>
      <c r="CW21" s="808">
        <f t="shared" si="125"/>
        <v>3401.4150225051444</v>
      </c>
      <c r="CX21" s="808">
        <f t="shared" si="125"/>
        <v>2899.5363415952124</v>
      </c>
      <c r="CY21" s="809">
        <f t="shared" si="125"/>
        <v>2640.5902583424554</v>
      </c>
      <c r="CZ21" s="807">
        <f t="shared" ref="CZ21:DC21" si="126">CZ7-CZ15</f>
        <v>2430.3874494957108</v>
      </c>
      <c r="DA21" s="808">
        <f t="shared" si="126"/>
        <v>2289.0143801066833</v>
      </c>
      <c r="DB21" s="808">
        <f t="shared" si="126"/>
        <v>2224.2584885223869</v>
      </c>
      <c r="DC21" s="809">
        <f t="shared" si="126"/>
        <v>2188.9081043710312</v>
      </c>
      <c r="DD21" s="763"/>
      <c r="DE21" s="808">
        <f t="shared" ref="DE21:EB21" si="127">DE7-DE15</f>
        <v>1623.9999999999998</v>
      </c>
      <c r="DF21" s="808">
        <f t="shared" si="127"/>
        <v>1455.4</v>
      </c>
      <c r="DG21" s="808">
        <f t="shared" si="127"/>
        <v>976.30000000000018</v>
      </c>
      <c r="DH21" s="808">
        <f t="shared" si="127"/>
        <v>280.40000000000009</v>
      </c>
      <c r="DI21" s="808">
        <f t="shared" si="127"/>
        <v>813.59999999999945</v>
      </c>
      <c r="DJ21" s="808">
        <f t="shared" si="127"/>
        <v>3248.1000000000004</v>
      </c>
      <c r="DK21" s="808">
        <f t="shared" si="127"/>
        <v>110.70000000000118</v>
      </c>
      <c r="DL21" s="808">
        <f t="shared" si="127"/>
        <v>-110.60000000000036</v>
      </c>
      <c r="DM21" s="808">
        <f t="shared" si="127"/>
        <v>-12.699999999999818</v>
      </c>
      <c r="DN21" s="808">
        <f t="shared" si="127"/>
        <v>1314.6999999999998</v>
      </c>
      <c r="DO21" s="808">
        <f t="shared" si="127"/>
        <v>1145.8000000000002</v>
      </c>
      <c r="DP21" s="808">
        <f t="shared" si="127"/>
        <v>1200.8999999999996</v>
      </c>
      <c r="DQ21" s="808">
        <f t="shared" si="127"/>
        <v>1078</v>
      </c>
      <c r="DR21" s="808">
        <f t="shared" si="127"/>
        <v>-55</v>
      </c>
      <c r="DS21" s="808">
        <f t="shared" si="127"/>
        <v>-439</v>
      </c>
      <c r="DT21" s="808">
        <f t="shared" si="127"/>
        <v>2714</v>
      </c>
      <c r="DU21" s="808">
        <f t="shared" si="127"/>
        <v>1758</v>
      </c>
      <c r="DV21" s="808">
        <f t="shared" si="127"/>
        <v>968</v>
      </c>
      <c r="DW21" s="808">
        <f t="shared" si="127"/>
        <v>1847</v>
      </c>
      <c r="DX21" s="808">
        <f t="shared" si="127"/>
        <v>5590</v>
      </c>
      <c r="DY21" s="808">
        <f t="shared" si="127"/>
        <v>5215</v>
      </c>
      <c r="DZ21" s="808">
        <f t="shared" si="127"/>
        <v>2510</v>
      </c>
      <c r="EA21" s="808">
        <f t="shared" ref="EA21" si="128">EA7-EA15</f>
        <v>8639</v>
      </c>
      <c r="EB21" s="808">
        <f t="shared" si="127"/>
        <v>16888.662089519879</v>
      </c>
      <c r="EC21" s="809">
        <f t="shared" ref="EC21:ED21" si="129">EC7-EC15</f>
        <v>12849.84436381916</v>
      </c>
      <c r="ED21" s="809">
        <f t="shared" si="129"/>
        <v>9132.5684224958059</v>
      </c>
      <c r="EE21" s="1364"/>
      <c r="EF21" s="45">
        <f t="shared" ref="EF21:EY21" si="130">EF7-EF15</f>
        <v>1961.1999999999998</v>
      </c>
      <c r="EG21" s="46">
        <f t="shared" si="130"/>
        <v>962.90000000000009</v>
      </c>
      <c r="EH21" s="46">
        <f t="shared" si="130"/>
        <v>1031.2999999999997</v>
      </c>
      <c r="EI21" s="46">
        <f t="shared" si="130"/>
        <v>186.09999999999991</v>
      </c>
      <c r="EJ21" s="46">
        <f t="shared" si="130"/>
        <v>1475.4999999999995</v>
      </c>
      <c r="EK21" s="46">
        <f t="shared" si="130"/>
        <v>3232.7999999999993</v>
      </c>
      <c r="EL21" s="46">
        <f t="shared" si="130"/>
        <v>-864.39999999999918</v>
      </c>
      <c r="EM21" s="46">
        <f t="shared" si="130"/>
        <v>64.699999999999363</v>
      </c>
      <c r="EN21" s="46">
        <f t="shared" si="130"/>
        <v>310.59999999999945</v>
      </c>
      <c r="EO21" s="46">
        <f t="shared" si="130"/>
        <v>1451.7000000000007</v>
      </c>
      <c r="EP21" s="46">
        <f t="shared" si="130"/>
        <v>1033.9000000000005</v>
      </c>
      <c r="EQ21" s="46">
        <f t="shared" si="130"/>
        <v>1331.8000000000011</v>
      </c>
      <c r="ER21" s="46">
        <f t="shared" si="130"/>
        <v>641</v>
      </c>
      <c r="ES21" s="46">
        <f t="shared" si="130"/>
        <v>-509</v>
      </c>
      <c r="ET21" s="46">
        <f t="shared" si="130"/>
        <v>453</v>
      </c>
      <c r="EU21" s="46">
        <f t="shared" si="130"/>
        <v>2795</v>
      </c>
      <c r="EV21" s="46">
        <f t="shared" si="130"/>
        <v>1539</v>
      </c>
      <c r="EW21" s="46">
        <f t="shared" si="130"/>
        <v>880</v>
      </c>
      <c r="EX21" s="313">
        <f t="shared" si="130"/>
        <v>3022</v>
      </c>
      <c r="EY21" s="46">
        <f t="shared" si="130"/>
        <v>5836</v>
      </c>
      <c r="EZ21" s="46">
        <f t="shared" ref="EZ21:FA21" si="131">EZ7-EZ15</f>
        <v>4426</v>
      </c>
      <c r="FA21" s="46">
        <f t="shared" si="131"/>
        <v>2693</v>
      </c>
      <c r="FB21" s="313">
        <f t="shared" ref="FB21:FC21" si="132">FB7-FB15</f>
        <v>11376</v>
      </c>
      <c r="FC21" s="313">
        <f t="shared" si="132"/>
        <v>17027.964830896228</v>
      </c>
      <c r="FD21" s="1178">
        <f t="shared" ref="FD21" si="133">FD7-FD15</f>
        <v>11371.929071938521</v>
      </c>
      <c r="FE21" s="299"/>
      <c r="FF21" s="299"/>
      <c r="FG21" s="299"/>
      <c r="FH21" s="299"/>
      <c r="FI21"/>
      <c r="FJ21"/>
      <c r="FK21"/>
      <c r="FL21"/>
      <c r="FM21"/>
      <c r="FN21"/>
      <c r="FO21" s="10"/>
      <c r="FP21" s="770"/>
    </row>
    <row r="22" spans="1:172" s="330" customFormat="1" ht="14.25" hidden="1" customHeight="1" outlineLevel="1">
      <c r="A22" s="10"/>
      <c r="B22" s="543" t="s">
        <v>266</v>
      </c>
      <c r="C22" s="31"/>
      <c r="D22" s="34">
        <f>D21/D$7</f>
        <v>0.5803738317757009</v>
      </c>
      <c r="E22" s="1209">
        <f t="shared" ref="E22:BP22" si="134">E21/E$7</f>
        <v>0.57438345266507562</v>
      </c>
      <c r="F22" s="1209">
        <f t="shared" si="134"/>
        <v>0.53074093536521283</v>
      </c>
      <c r="G22" s="33">
        <f t="shared" si="134"/>
        <v>0.53356031128404668</v>
      </c>
      <c r="H22" s="34">
        <f t="shared" si="134"/>
        <v>0.54621352673300727</v>
      </c>
      <c r="I22" s="1209">
        <f t="shared" si="134"/>
        <v>0.44596086302057197</v>
      </c>
      <c r="J22" s="1209">
        <f t="shared" si="134"/>
        <v>0.27626459143968873</v>
      </c>
      <c r="K22" s="33">
        <f t="shared" si="134"/>
        <v>0.21456102783725903</v>
      </c>
      <c r="L22" s="34">
        <f t="shared" si="134"/>
        <v>0.21315753330586462</v>
      </c>
      <c r="M22" s="1209">
        <f t="shared" si="134"/>
        <v>0.24960054782013244</v>
      </c>
      <c r="N22" s="1209">
        <f t="shared" si="134"/>
        <v>0.32642487046632124</v>
      </c>
      <c r="O22" s="33">
        <f t="shared" si="134"/>
        <v>0.30374128091312624</v>
      </c>
      <c r="P22" s="34">
        <f t="shared" si="134"/>
        <v>0.21957589052543605</v>
      </c>
      <c r="Q22" s="1209">
        <f t="shared" si="134"/>
        <v>2.9743186582809281E-2</v>
      </c>
      <c r="R22" s="1209">
        <f t="shared" si="134"/>
        <v>1.0935204831075641E-2</v>
      </c>
      <c r="S22" s="33">
        <f t="shared" si="134"/>
        <v>5.8951018638925108E-2</v>
      </c>
      <c r="T22" s="34">
        <f t="shared" si="134"/>
        <v>0.14604334677419351</v>
      </c>
      <c r="U22" s="1209">
        <f t="shared" si="134"/>
        <v>0.27364008578670301</v>
      </c>
      <c r="V22" s="1209">
        <f t="shared" si="134"/>
        <v>0.21880064829821719</v>
      </c>
      <c r="W22" s="33">
        <f t="shared" si="134"/>
        <v>0.21095484826054775</v>
      </c>
      <c r="X22" s="34">
        <f t="shared" si="134"/>
        <v>0.57884944556076512</v>
      </c>
      <c r="Y22" s="1209">
        <f t="shared" si="134"/>
        <v>0.41238892243982395</v>
      </c>
      <c r="Z22" s="1209">
        <f t="shared" si="134"/>
        <v>0.42585918393615652</v>
      </c>
      <c r="AA22" s="33">
        <f t="shared" si="134"/>
        <v>0.57706652788620005</v>
      </c>
      <c r="AB22" s="34">
        <f t="shared" si="134"/>
        <v>0.48517434461695086</v>
      </c>
      <c r="AC22" s="1209">
        <f t="shared" si="134"/>
        <v>0.1879515811203904</v>
      </c>
      <c r="AD22" s="1209">
        <f t="shared" si="134"/>
        <v>-0.33704020530367834</v>
      </c>
      <c r="AE22" s="33">
        <f t="shared" si="134"/>
        <v>-1.1998750780761993</v>
      </c>
      <c r="AF22" s="34">
        <f t="shared" si="134"/>
        <v>-0.50153338051427232</v>
      </c>
      <c r="AG22" s="1209">
        <f t="shared" si="134"/>
        <v>0.22139650100634775</v>
      </c>
      <c r="AH22" s="1209">
        <f t="shared" si="134"/>
        <v>0.2181016597510374</v>
      </c>
      <c r="AI22" s="33">
        <f t="shared" si="134"/>
        <v>-0.27967914438502678</v>
      </c>
      <c r="AJ22" s="34">
        <f t="shared" si="134"/>
        <v>-5.4444606626769747E-2</v>
      </c>
      <c r="AK22" s="1209">
        <f t="shared" si="134"/>
        <v>-0.27503184713375795</v>
      </c>
      <c r="AL22" s="1209">
        <f t="shared" si="134"/>
        <v>9.6901869796642545E-2</v>
      </c>
      <c r="AM22" s="33">
        <f t="shared" si="134"/>
        <v>0.19077096229600451</v>
      </c>
      <c r="AN22" s="34">
        <f t="shared" si="134"/>
        <v>0.25830924855491327</v>
      </c>
      <c r="AO22" s="1209">
        <f t="shared" si="134"/>
        <v>0.25045408678102932</v>
      </c>
      <c r="AP22" s="1209">
        <f t="shared" si="134"/>
        <v>0.34733166189111747</v>
      </c>
      <c r="AQ22" s="33">
        <f t="shared" si="134"/>
        <v>0.33013790783720148</v>
      </c>
      <c r="AR22" s="34">
        <f t="shared" si="134"/>
        <v>0.33563437276838848</v>
      </c>
      <c r="AS22" s="1209">
        <f t="shared" si="134"/>
        <v>0.2706628947167215</v>
      </c>
      <c r="AT22" s="1209">
        <f t="shared" si="134"/>
        <v>8.2147600075886951E-2</v>
      </c>
      <c r="AU22" s="33">
        <f t="shared" si="134"/>
        <v>0.22435999363968831</v>
      </c>
      <c r="AV22" s="34">
        <f t="shared" si="134"/>
        <v>0.22844764282567184</v>
      </c>
      <c r="AW22" s="1209">
        <f t="shared" si="134"/>
        <v>0.19208163265306119</v>
      </c>
      <c r="AX22" s="1209">
        <f t="shared" si="134"/>
        <v>0.25131448601691686</v>
      </c>
      <c r="AY22" s="33">
        <f t="shared" si="134"/>
        <v>0.23642056210863552</v>
      </c>
      <c r="AZ22" s="34">
        <f t="shared" si="134"/>
        <v>0.28888888888888886</v>
      </c>
      <c r="BA22" s="1209">
        <f t="shared" si="134"/>
        <v>0.25017519271198319</v>
      </c>
      <c r="BB22" s="1209">
        <f t="shared" si="134"/>
        <v>8.1916537867078823E-2</v>
      </c>
      <c r="BC22" s="33">
        <f t="shared" si="134"/>
        <v>0.12038970076548365</v>
      </c>
      <c r="BD22" s="34">
        <f t="shared" si="134"/>
        <v>3.2573289902280132E-3</v>
      </c>
      <c r="BE22" s="1209">
        <f t="shared" si="134"/>
        <v>-3.164091243561442E-2</v>
      </c>
      <c r="BF22" s="1209">
        <f t="shared" si="134"/>
        <v>3.2042723631508681E-2</v>
      </c>
      <c r="BG22" s="33">
        <f t="shared" si="134"/>
        <v>-4.4858523119392688E-2</v>
      </c>
      <c r="BH22" s="34">
        <f t="shared" si="134"/>
        <v>-0.3202567760342368</v>
      </c>
      <c r="BI22" s="1209">
        <f t="shared" si="134"/>
        <v>-0.26888217522658608</v>
      </c>
      <c r="BJ22" s="1209">
        <f t="shared" si="134"/>
        <v>9.6745027124773966E-2</v>
      </c>
      <c r="BK22" s="33">
        <f t="shared" si="134"/>
        <v>0.13056835637480799</v>
      </c>
      <c r="BL22" s="34">
        <f t="shared" si="134"/>
        <v>0.25459770114942532</v>
      </c>
      <c r="BM22" s="1209">
        <f t="shared" si="134"/>
        <v>0.32738398776134625</v>
      </c>
      <c r="BN22" s="1209">
        <f t="shared" si="134"/>
        <v>0.37062937062937062</v>
      </c>
      <c r="BO22" s="33">
        <f t="shared" si="134"/>
        <v>0.31327717609306055</v>
      </c>
      <c r="BP22" s="34">
        <f t="shared" si="134"/>
        <v>0.23268206039076378</v>
      </c>
      <c r="BQ22" s="1209">
        <f t="shared" ref="BQ22:BV22" si="135">BQ21/BQ$7</f>
        <v>0.19273371732388125</v>
      </c>
      <c r="BR22" s="1209">
        <f t="shared" si="135"/>
        <v>0.22346891070593736</v>
      </c>
      <c r="BS22" s="33">
        <f t="shared" si="135"/>
        <v>0.15</v>
      </c>
      <c r="BT22" s="34">
        <f t="shared" si="135"/>
        <v>0.145933014354067</v>
      </c>
      <c r="BU22" s="1209">
        <f t="shared" si="135"/>
        <v>0.10452961672473868</v>
      </c>
      <c r="BV22" s="1209">
        <f t="shared" si="135"/>
        <v>0.10773480662983426</v>
      </c>
      <c r="BW22" s="33">
        <f t="shared" ref="BW22:CI22" si="136">BW21/BW$7</f>
        <v>0.11156393275598574</v>
      </c>
      <c r="BX22" s="34">
        <f t="shared" si="136"/>
        <v>0.1183206106870229</v>
      </c>
      <c r="BY22" s="32">
        <f t="shared" si="136"/>
        <v>0.17613089509143406</v>
      </c>
      <c r="BZ22" s="32">
        <f t="shared" si="136"/>
        <v>0.23986194995685936</v>
      </c>
      <c r="CA22" s="33">
        <f t="shared" si="136"/>
        <v>0.24903271192402393</v>
      </c>
      <c r="CB22" s="34">
        <f t="shared" si="136"/>
        <v>0.34438396833250867</v>
      </c>
      <c r="CC22" s="32">
        <f>CC21/CC$7</f>
        <v>0.35183832481129779</v>
      </c>
      <c r="CD22" s="32">
        <f>CD21/CD$7</f>
        <v>0.34354595680562533</v>
      </c>
      <c r="CE22" s="33">
        <f>CE21/CE$7</f>
        <v>0.32765554766974214</v>
      </c>
      <c r="CF22" s="34">
        <f t="shared" si="136"/>
        <v>0.35818937240323639</v>
      </c>
      <c r="CG22" s="32">
        <f t="shared" si="136"/>
        <v>0.33725396063370139</v>
      </c>
      <c r="CH22" s="32">
        <f t="shared" si="136"/>
        <v>0.31196470282896444</v>
      </c>
      <c r="CI22" s="33">
        <f t="shared" si="136"/>
        <v>0.26944444444444443</v>
      </c>
      <c r="CJ22" s="34">
        <f t="shared" ref="CJ22:CM22" si="137">CJ21/CJ$7</f>
        <v>0.25343283582089554</v>
      </c>
      <c r="CK22" s="32">
        <f t="shared" si="137"/>
        <v>0.19734151329243355</v>
      </c>
      <c r="CL22" s="32">
        <f t="shared" si="137"/>
        <v>0.173567977915804</v>
      </c>
      <c r="CM22" s="33">
        <f t="shared" si="137"/>
        <v>0.17998134908299659</v>
      </c>
      <c r="CN22" s="34">
        <f t="shared" ref="CN22:CQ22" si="138">CN21/CN$7</f>
        <v>0.25994962216624684</v>
      </c>
      <c r="CO22" s="1209">
        <f t="shared" si="138"/>
        <v>0.38489672977624784</v>
      </c>
      <c r="CP22" s="1209">
        <f t="shared" si="138"/>
        <v>0.47987782968020121</v>
      </c>
      <c r="CQ22" s="33">
        <f t="shared" si="138"/>
        <v>0.51270772238514173</v>
      </c>
      <c r="CR22" s="34">
        <f t="shared" ref="CR22:CS22" si="139">CR21/CR$7</f>
        <v>0.55402028516830815</v>
      </c>
      <c r="CS22" s="1209">
        <f t="shared" si="139"/>
        <v>0.58441028431505915</v>
      </c>
      <c r="CT22" s="32">
        <f t="shared" ref="CT22:CU22" si="140">CT21/CT$7</f>
        <v>0.58853517507944753</v>
      </c>
      <c r="CU22" s="33">
        <f t="shared" si="140"/>
        <v>0.56612438087235362</v>
      </c>
      <c r="CV22" s="34">
        <f t="shared" ref="CV22:CY22" si="141">CV21/CV$7</f>
        <v>0.52472651090979427</v>
      </c>
      <c r="CW22" s="1209">
        <f t="shared" si="141"/>
        <v>0.50131395696288539</v>
      </c>
      <c r="CX22" s="1209">
        <f t="shared" si="141"/>
        <v>0.435413770272779</v>
      </c>
      <c r="CY22" s="33">
        <f t="shared" si="141"/>
        <v>0.39560607773819423</v>
      </c>
      <c r="CZ22" s="34">
        <f t="shared" ref="CZ22:DC22" si="142">CZ21/CZ$7</f>
        <v>0.37008672765557055</v>
      </c>
      <c r="DA22" s="1209">
        <f t="shared" si="142"/>
        <v>0.34901460400636247</v>
      </c>
      <c r="DB22" s="1209">
        <f t="shared" si="142"/>
        <v>0.33767552455122629</v>
      </c>
      <c r="DC22" s="33">
        <f t="shared" si="142"/>
        <v>0.32819552025083071</v>
      </c>
      <c r="DD22" s="153"/>
      <c r="DE22" s="32">
        <f t="shared" ref="DE22:DZ22" si="143">DE21/DE$7</f>
        <v>0.5500050800961831</v>
      </c>
      <c r="DF22" s="32">
        <f t="shared" si="143"/>
        <v>0.39832503147408177</v>
      </c>
      <c r="DG22" s="32">
        <f t="shared" si="143"/>
        <v>0.2777129853505903</v>
      </c>
      <c r="DH22" s="32">
        <f t="shared" si="143"/>
        <v>9.2685022972928341E-2</v>
      </c>
      <c r="DI22" s="32">
        <f t="shared" si="143"/>
        <v>0.21615302869287978</v>
      </c>
      <c r="DJ22" s="32">
        <f t="shared" si="143"/>
        <v>0.5105149000377216</v>
      </c>
      <c r="DK22" s="32">
        <f t="shared" si="143"/>
        <v>2.8125714576082001E-2</v>
      </c>
      <c r="DL22" s="32">
        <f t="shared" si="143"/>
        <v>-4.2719196601004386E-2</v>
      </c>
      <c r="DM22" s="32">
        <f t="shared" si="143"/>
        <v>-4.1083039497945258E-3</v>
      </c>
      <c r="DN22" s="32">
        <f t="shared" si="143"/>
        <v>0.2985105126924299</v>
      </c>
      <c r="DO22" s="32">
        <f t="shared" si="143"/>
        <v>0.23478545961231101</v>
      </c>
      <c r="DP22" s="32">
        <f t="shared" si="143"/>
        <v>0.22776671408250349</v>
      </c>
      <c r="DQ22" s="32">
        <f t="shared" si="143"/>
        <v>0.18952180028129395</v>
      </c>
      <c r="DR22" s="32">
        <f t="shared" si="143"/>
        <v>-9.4161958568738224E-3</v>
      </c>
      <c r="DS22" s="32">
        <f t="shared" si="143"/>
        <v>-9.140120757859671E-2</v>
      </c>
      <c r="DT22" s="1209">
        <f t="shared" si="143"/>
        <v>0.31997170478660691</v>
      </c>
      <c r="DU22" s="1209">
        <f t="shared" si="143"/>
        <v>0.20004551661356396</v>
      </c>
      <c r="DV22" s="1209">
        <f t="shared" si="143"/>
        <v>0.11756133106631042</v>
      </c>
      <c r="DW22" s="1209">
        <f t="shared" si="143"/>
        <v>0.2035710349388295</v>
      </c>
      <c r="DX22" s="1209">
        <f t="shared" si="143"/>
        <v>0.34172881770387575</v>
      </c>
      <c r="DY22" s="1209">
        <f t="shared" si="143"/>
        <v>0.32207262845849804</v>
      </c>
      <c r="DZ22" s="1209">
        <f t="shared" si="143"/>
        <v>0.20243568029679812</v>
      </c>
      <c r="EA22" s="1209">
        <f t="shared" ref="EA22:EB22" si="144">EA21/EA$7</f>
        <v>0.42510579667355575</v>
      </c>
      <c r="EB22" s="1209">
        <f t="shared" si="144"/>
        <v>0.57368290826443713</v>
      </c>
      <c r="EC22" s="33">
        <f t="shared" ref="EC22:ED22" si="145">EC21/EC$7</f>
        <v>0.46612583287639892</v>
      </c>
      <c r="ED22" s="33">
        <f t="shared" si="145"/>
        <v>0.34616564923881704</v>
      </c>
      <c r="EE22" s="1364"/>
      <c r="EF22" s="34">
        <f t="shared" ref="EF22:EY22" si="146">EF21/EF$7</f>
        <v>0.54424864714860544</v>
      </c>
      <c r="EG22" s="32">
        <f t="shared" si="146"/>
        <v>0.30127342698914306</v>
      </c>
      <c r="EH22" s="32">
        <f t="shared" si="146"/>
        <v>0.2754025689641359</v>
      </c>
      <c r="EI22" s="32">
        <f t="shared" si="146"/>
        <v>6.5033547665641567E-2</v>
      </c>
      <c r="EJ22" s="32">
        <f t="shared" si="146"/>
        <v>0.34201803388887597</v>
      </c>
      <c r="EK22" s="32">
        <f t="shared" si="146"/>
        <v>0.49053912568471841</v>
      </c>
      <c r="EL22" s="32">
        <f t="shared" si="146"/>
        <v>-0.31002080195107917</v>
      </c>
      <c r="EM22" s="32">
        <f t="shared" si="146"/>
        <v>2.2700161392182783E-2</v>
      </c>
      <c r="EN22" s="32">
        <f t="shared" si="146"/>
        <v>8.8404394603517816E-2</v>
      </c>
      <c r="EO22" s="32">
        <f t="shared" si="146"/>
        <v>0.31854387466262934</v>
      </c>
      <c r="EP22" s="32">
        <f t="shared" si="146"/>
        <v>0.20753959491739776</v>
      </c>
      <c r="EQ22" s="32">
        <f t="shared" si="146"/>
        <v>0.24478467844211241</v>
      </c>
      <c r="ER22" s="32">
        <f t="shared" si="146"/>
        <v>0.11259441419286843</v>
      </c>
      <c r="ES22" s="32">
        <f t="shared" si="146"/>
        <v>-8.9173090399439381E-2</v>
      </c>
      <c r="ET22" s="1209">
        <f t="shared" si="146"/>
        <v>8.8115152694028392E-2</v>
      </c>
      <c r="EU22" s="1209">
        <f t="shared" si="146"/>
        <v>0.31076273070936178</v>
      </c>
      <c r="EV22" s="32">
        <f t="shared" si="146"/>
        <v>0.17841409691629956</v>
      </c>
      <c r="EW22" s="32">
        <f t="shared" si="146"/>
        <v>0.11030333416896465</v>
      </c>
      <c r="EX22" s="32">
        <f t="shared" si="146"/>
        <v>0.26788405283219574</v>
      </c>
      <c r="EY22" s="32">
        <f t="shared" si="146"/>
        <v>0.34555035822132751</v>
      </c>
      <c r="EZ22" s="1209">
        <f t="shared" ref="EZ22:FA22" si="147">EZ21/EZ$7</f>
        <v>0.29567773398356606</v>
      </c>
      <c r="FA22" s="1209">
        <f t="shared" si="147"/>
        <v>0.20685152469467702</v>
      </c>
      <c r="FB22" s="1209">
        <f t="shared" ref="FB22:FC22" si="148">FB21/FB$7</f>
        <v>0.49129777585834594</v>
      </c>
      <c r="FC22" s="1209">
        <f t="shared" si="148"/>
        <v>0.56600862074231251</v>
      </c>
      <c r="FD22" s="33">
        <f t="shared" ref="FD22" si="149">FD21/FD$7</f>
        <v>0.4261361770585203</v>
      </c>
      <c r="FE22" s="299"/>
      <c r="FF22" s="299"/>
      <c r="FG22" s="299"/>
      <c r="FH22" s="299"/>
      <c r="FI22"/>
      <c r="FJ22"/>
      <c r="FK22"/>
      <c r="FL22"/>
      <c r="FM22"/>
      <c r="FN22"/>
      <c r="FO22" s="10"/>
      <c r="FP22"/>
    </row>
    <row r="23" spans="1:172" ht="9.75" hidden="1" customHeight="1" outlineLevel="1">
      <c r="A23" s="7"/>
      <c r="B23" s="673"/>
      <c r="C23" s="23"/>
      <c r="D23" s="40"/>
      <c r="E23" s="38"/>
      <c r="F23" s="38"/>
      <c r="G23" s="39"/>
      <c r="H23" s="40"/>
      <c r="I23" s="38"/>
      <c r="J23" s="38"/>
      <c r="K23" s="39"/>
      <c r="L23" s="40"/>
      <c r="M23" s="38"/>
      <c r="N23" s="38"/>
      <c r="O23" s="39"/>
      <c r="P23" s="40"/>
      <c r="Q23" s="38"/>
      <c r="R23" s="38"/>
      <c r="S23" s="39"/>
      <c r="T23" s="40"/>
      <c r="U23" s="38"/>
      <c r="V23" s="38"/>
      <c r="W23" s="39"/>
      <c r="X23" s="40"/>
      <c r="Y23" s="38"/>
      <c r="Z23" s="38"/>
      <c r="AA23" s="39"/>
      <c r="AB23" s="40"/>
      <c r="AC23" s="38"/>
      <c r="AD23" s="38"/>
      <c r="AE23" s="39"/>
      <c r="AF23" s="40"/>
      <c r="AG23" s="38"/>
      <c r="AH23" s="38"/>
      <c r="AI23" s="39"/>
      <c r="AJ23" s="40"/>
      <c r="AK23" s="38"/>
      <c r="AL23" s="38"/>
      <c r="AM23" s="39"/>
      <c r="AN23" s="40"/>
      <c r="AO23" s="38"/>
      <c r="AP23" s="38"/>
      <c r="AQ23" s="39"/>
      <c r="AR23" s="40"/>
      <c r="AS23" s="38"/>
      <c r="AT23" s="38"/>
      <c r="AU23" s="39"/>
      <c r="AV23" s="40"/>
      <c r="AW23" s="38"/>
      <c r="AX23" s="38"/>
      <c r="AY23" s="39"/>
      <c r="AZ23" s="40"/>
      <c r="BA23" s="38"/>
      <c r="BB23" s="38"/>
      <c r="BC23" s="39"/>
      <c r="BD23" s="40"/>
      <c r="BE23" s="38"/>
      <c r="BF23" s="38"/>
      <c r="BG23" s="39"/>
      <c r="BH23" s="40"/>
      <c r="BI23" s="38"/>
      <c r="BJ23" s="38"/>
      <c r="BK23" s="39"/>
      <c r="BL23" s="40"/>
      <c r="BM23" s="38"/>
      <c r="BN23" s="38"/>
      <c r="BO23" s="39"/>
      <c r="BP23" s="40"/>
      <c r="BQ23" s="38"/>
      <c r="BR23" s="38"/>
      <c r="BS23" s="39"/>
      <c r="BT23" s="40"/>
      <c r="BU23" s="38"/>
      <c r="BV23" s="38"/>
      <c r="BW23" s="39"/>
      <c r="BX23" s="40"/>
      <c r="BY23" s="38"/>
      <c r="BZ23" s="38"/>
      <c r="CA23" s="39"/>
      <c r="CB23" s="40"/>
      <c r="CC23" s="38"/>
      <c r="CD23" s="38"/>
      <c r="CE23" s="39"/>
      <c r="CF23" s="40"/>
      <c r="CG23" s="38"/>
      <c r="CH23" s="38"/>
      <c r="CI23" s="39"/>
      <c r="CJ23" s="40"/>
      <c r="CK23" s="38"/>
      <c r="CL23" s="38"/>
      <c r="CM23" s="39"/>
      <c r="CN23" s="40"/>
      <c r="CO23" s="38"/>
      <c r="CP23" s="38"/>
      <c r="CQ23" s="39"/>
      <c r="CR23" s="40"/>
      <c r="CS23" s="38"/>
      <c r="CT23" s="38"/>
      <c r="CU23" s="39"/>
      <c r="CV23" s="40"/>
      <c r="CW23" s="38"/>
      <c r="CX23" s="38"/>
      <c r="CY23" s="39"/>
      <c r="CZ23" s="40"/>
      <c r="DA23" s="38"/>
      <c r="DB23" s="38"/>
      <c r="DC23" s="39"/>
      <c r="DD23" s="18"/>
      <c r="DE23" s="355"/>
      <c r="DF23" s="355"/>
      <c r="DG23" s="355"/>
      <c r="DH23" s="355"/>
      <c r="DI23" s="355"/>
      <c r="DJ23" s="355"/>
      <c r="DK23" s="355"/>
      <c r="DL23" s="355"/>
      <c r="DM23" s="355"/>
      <c r="DN23" s="355"/>
      <c r="DO23" s="355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2"/>
      <c r="ED23" s="42"/>
      <c r="EE23" s="1364"/>
      <c r="EF23" s="50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2"/>
      <c r="FE23" s="300"/>
      <c r="FF23" s="300"/>
      <c r="FG23" s="300"/>
      <c r="FH23" s="300"/>
      <c r="FO23" s="7"/>
    </row>
    <row r="24" spans="1:172" s="330" customFormat="1" ht="14.25" customHeight="1" collapsed="1">
      <c r="A24" s="10"/>
      <c r="B24" s="673" t="s">
        <v>156</v>
      </c>
      <c r="C24" s="23"/>
      <c r="D24" s="369">
        <v>27</v>
      </c>
      <c r="E24" s="26">
        <v>28.9</v>
      </c>
      <c r="F24" s="26">
        <v>33.6</v>
      </c>
      <c r="G24" s="368">
        <v>39.299999999999997</v>
      </c>
      <c r="H24" s="369">
        <v>46.6</v>
      </c>
      <c r="I24" s="26">
        <v>48</v>
      </c>
      <c r="J24" s="26">
        <v>51.2</v>
      </c>
      <c r="K24" s="368">
        <v>46.1</v>
      </c>
      <c r="L24" s="369">
        <v>47.2</v>
      </c>
      <c r="M24" s="26">
        <v>46.8</v>
      </c>
      <c r="N24" s="26">
        <v>52.6</v>
      </c>
      <c r="O24" s="368">
        <v>62.3</v>
      </c>
      <c r="P24" s="369">
        <v>67.2</v>
      </c>
      <c r="Q24" s="26">
        <v>72</v>
      </c>
      <c r="R24" s="26">
        <v>70.7</v>
      </c>
      <c r="S24" s="368">
        <v>76.5</v>
      </c>
      <c r="T24" s="369">
        <v>67.7</v>
      </c>
      <c r="U24" s="26">
        <v>85.5</v>
      </c>
      <c r="V24" s="26">
        <v>81.599999999999994</v>
      </c>
      <c r="W24" s="368">
        <v>87.3</v>
      </c>
      <c r="X24" s="369">
        <v>91.5</v>
      </c>
      <c r="Y24" s="26">
        <v>103.3</v>
      </c>
      <c r="Z24" s="26">
        <v>100.5</v>
      </c>
      <c r="AA24" s="368">
        <v>131.69999999999999</v>
      </c>
      <c r="AB24" s="369">
        <v>139</v>
      </c>
      <c r="AC24" s="26">
        <v>130.9</v>
      </c>
      <c r="AD24" s="26">
        <v>114.5</v>
      </c>
      <c r="AE24" s="368">
        <v>105.1</v>
      </c>
      <c r="AF24" s="369">
        <v>154.5</v>
      </c>
      <c r="AG24" s="26">
        <v>135.9</v>
      </c>
      <c r="AH24" s="26">
        <v>134.4</v>
      </c>
      <c r="AI24" s="368">
        <v>136.5</v>
      </c>
      <c r="AJ24" s="369">
        <v>154.5</v>
      </c>
      <c r="AK24" s="26">
        <v>174.1</v>
      </c>
      <c r="AL24" s="26">
        <v>161.69999999999999</v>
      </c>
      <c r="AM24" s="368">
        <v>166.1</v>
      </c>
      <c r="AN24" s="369">
        <v>186.4</v>
      </c>
      <c r="AO24" s="26">
        <v>187.9</v>
      </c>
      <c r="AP24" s="26">
        <v>181.4</v>
      </c>
      <c r="AQ24" s="368">
        <v>199.2</v>
      </c>
      <c r="AR24" s="369">
        <v>148.4</v>
      </c>
      <c r="AS24" s="26">
        <v>151.4</v>
      </c>
      <c r="AT24" s="26">
        <v>153.4</v>
      </c>
      <c r="AU24" s="368">
        <v>150.5</v>
      </c>
      <c r="AV24" s="369">
        <v>165.5</v>
      </c>
      <c r="AW24" s="26">
        <v>159.5</v>
      </c>
      <c r="AX24" s="26">
        <v>167.7</v>
      </c>
      <c r="AY24" s="368">
        <v>162.9</v>
      </c>
      <c r="AZ24" s="369">
        <v>183</v>
      </c>
      <c r="BA24" s="26">
        <v>243</v>
      </c>
      <c r="BB24" s="26">
        <v>195</v>
      </c>
      <c r="BC24" s="368">
        <v>184</v>
      </c>
      <c r="BD24" s="369">
        <v>163</v>
      </c>
      <c r="BE24" s="26">
        <v>180</v>
      </c>
      <c r="BF24" s="26">
        <v>170</v>
      </c>
      <c r="BG24" s="368">
        <v>167</v>
      </c>
      <c r="BH24" s="369">
        <v>178</v>
      </c>
      <c r="BI24" s="26">
        <v>168</v>
      </c>
      <c r="BJ24" s="26">
        <v>162</v>
      </c>
      <c r="BK24" s="368">
        <v>139</v>
      </c>
      <c r="BL24" s="369">
        <v>137</v>
      </c>
      <c r="BM24" s="26">
        <v>148</v>
      </c>
      <c r="BN24" s="26">
        <v>142</v>
      </c>
      <c r="BO24" s="368">
        <f>624-BN24-BM24-BL24</f>
        <v>197</v>
      </c>
      <c r="BP24" s="369">
        <v>185</v>
      </c>
      <c r="BQ24" s="26">
        <v>186</v>
      </c>
      <c r="BR24" s="26">
        <v>211</v>
      </c>
      <c r="BS24" s="368">
        <f>791-BR24-BQ24-BP24</f>
        <v>209</v>
      </c>
      <c r="BT24" s="369">
        <v>230</v>
      </c>
      <c r="BU24" s="26">
        <v>222</v>
      </c>
      <c r="BV24" s="26">
        <v>231</v>
      </c>
      <c r="BW24" s="368">
        <v>235</v>
      </c>
      <c r="BX24" s="369">
        <v>224</v>
      </c>
      <c r="BY24" s="26">
        <v>214</v>
      </c>
      <c r="BZ24" s="26">
        <v>226</v>
      </c>
      <c r="CA24" s="368">
        <v>267</v>
      </c>
      <c r="CB24" s="369">
        <v>320</v>
      </c>
      <c r="CC24" s="26">
        <v>344</v>
      </c>
      <c r="CD24" s="26">
        <v>349</v>
      </c>
      <c r="CE24" s="368">
        <v>358</v>
      </c>
      <c r="CF24" s="369">
        <v>376</v>
      </c>
      <c r="CG24" s="26">
        <v>379</v>
      </c>
      <c r="CH24" s="26">
        <v>406</v>
      </c>
      <c r="CI24" s="368">
        <v>379</v>
      </c>
      <c r="CJ24" s="369">
        <v>421</v>
      </c>
      <c r="CK24" s="26">
        <v>403</v>
      </c>
      <c r="CL24" s="26">
        <v>382</v>
      </c>
      <c r="CM24" s="368">
        <v>411</v>
      </c>
      <c r="CN24" s="369">
        <v>470</v>
      </c>
      <c r="CO24" s="26">
        <v>473</v>
      </c>
      <c r="CP24" s="26">
        <v>434</v>
      </c>
      <c r="CQ24" s="368">
        <v>447</v>
      </c>
      <c r="CR24" s="369">
        <v>448</v>
      </c>
      <c r="CS24" s="26">
        <v>523</v>
      </c>
      <c r="CT24" s="26">
        <v>530</v>
      </c>
      <c r="CU24" s="368">
        <v>460</v>
      </c>
      <c r="CV24" s="369">
        <v>482</v>
      </c>
      <c r="CW24" s="26">
        <v>482</v>
      </c>
      <c r="CX24" s="26">
        <v>482</v>
      </c>
      <c r="CY24" s="368">
        <v>482</v>
      </c>
      <c r="CZ24" s="369">
        <v>470</v>
      </c>
      <c r="DA24" s="26">
        <v>470</v>
      </c>
      <c r="DB24" s="26">
        <v>475</v>
      </c>
      <c r="DC24" s="368">
        <v>480</v>
      </c>
      <c r="DD24" s="153"/>
      <c r="DE24" s="27">
        <f>SUM(D24:G24)</f>
        <v>128.80000000000001</v>
      </c>
      <c r="DF24" s="27">
        <f>SUM(H24:K24)</f>
        <v>191.9</v>
      </c>
      <c r="DG24" s="27">
        <f>SUM(L24:O24)</f>
        <v>208.89999999999998</v>
      </c>
      <c r="DH24" s="27">
        <f>SUM(P24:S24)</f>
        <v>286.39999999999998</v>
      </c>
      <c r="DI24" s="27">
        <f>SUM(T24:W24)</f>
        <v>322.09999999999997</v>
      </c>
      <c r="DJ24" s="27">
        <f>SUM(X24:AA24)</f>
        <v>427</v>
      </c>
      <c r="DK24" s="27">
        <f>SUM(AB24:AE24)</f>
        <v>489.5</v>
      </c>
      <c r="DL24" s="27">
        <f>SUM(AF24:AI24)</f>
        <v>561.29999999999995</v>
      </c>
      <c r="DM24" s="27">
        <f>SUM(AJ24:AM24)</f>
        <v>656.4</v>
      </c>
      <c r="DN24" s="27">
        <f>SUM(AN24:AQ24)</f>
        <v>754.90000000000009</v>
      </c>
      <c r="DO24" s="27">
        <f>SUM(AR24:AU24)</f>
        <v>603.70000000000005</v>
      </c>
      <c r="DP24" s="27">
        <f>SUM(AV24:AY24)</f>
        <v>655.6</v>
      </c>
      <c r="DQ24" s="27">
        <f>SUM(AZ24:BC24)</f>
        <v>805</v>
      </c>
      <c r="DR24" s="27">
        <f>SUM(BD24:BG24)</f>
        <v>680</v>
      </c>
      <c r="DS24" s="27">
        <f>SUM(BH24:BK24)</f>
        <v>647</v>
      </c>
      <c r="DT24" s="27">
        <f>SUM(BL24:BO24)</f>
        <v>624</v>
      </c>
      <c r="DU24" s="27">
        <f>SUM(BP24:BS24)</f>
        <v>791</v>
      </c>
      <c r="DV24" s="27">
        <f>SUM(BT24:BW24)</f>
        <v>918</v>
      </c>
      <c r="DW24" s="27">
        <f>SUM(BX24:CA24)</f>
        <v>931</v>
      </c>
      <c r="DX24" s="27">
        <f>SUM(CB24:CE24)</f>
        <v>1371</v>
      </c>
      <c r="DY24" s="27">
        <f>SUM(CF24:CI24)</f>
        <v>1540</v>
      </c>
      <c r="DZ24" s="27">
        <f>SUM(CJ24:CM24)</f>
        <v>1617</v>
      </c>
      <c r="EA24" s="27">
        <f>SUM(CN24:CQ24)</f>
        <v>1824</v>
      </c>
      <c r="EB24" s="27">
        <f>SUM(CR24:CU24)</f>
        <v>1961</v>
      </c>
      <c r="EC24" s="28">
        <f>SUM(CV24:CY24)</f>
        <v>1928</v>
      </c>
      <c r="ED24" s="28">
        <f>SUM(CZ24:DC24)</f>
        <v>1895</v>
      </c>
      <c r="EE24" s="1364"/>
      <c r="EF24" s="29">
        <f>SUM(E24:H24)</f>
        <v>148.4</v>
      </c>
      <c r="EG24" s="27">
        <f>SUM(I24:L24)</f>
        <v>192.5</v>
      </c>
      <c r="EH24" s="27">
        <f>SUM(M24:P24)</f>
        <v>228.89999999999998</v>
      </c>
      <c r="EI24" s="27">
        <f>SUM(Q24:T24)</f>
        <v>286.89999999999998</v>
      </c>
      <c r="EJ24" s="27">
        <f>SUM(U24:X24)</f>
        <v>345.9</v>
      </c>
      <c r="EK24" s="27">
        <f>SUM(Y24:AB24)</f>
        <v>474.5</v>
      </c>
      <c r="EL24" s="27">
        <f>SUM(AC24:AF24)</f>
        <v>505</v>
      </c>
      <c r="EM24" s="27">
        <f>SUM(AG24:AJ24)</f>
        <v>561.29999999999995</v>
      </c>
      <c r="EN24" s="27">
        <f>SUM(AK24:AN24)</f>
        <v>688.3</v>
      </c>
      <c r="EO24" s="27">
        <f>SUM(AO24:AR24)</f>
        <v>716.9</v>
      </c>
      <c r="EP24" s="27">
        <f>SUM(AS24:AV24)</f>
        <v>620.79999999999995</v>
      </c>
      <c r="EQ24" s="27">
        <f>SUM(AW24:AZ24)</f>
        <v>673.1</v>
      </c>
      <c r="ER24" s="27">
        <f>SUM(BA24:BD24)</f>
        <v>785</v>
      </c>
      <c r="ES24" s="27">
        <f>SUM(BE24:BH24)</f>
        <v>695</v>
      </c>
      <c r="ET24" s="27">
        <f>SUM(BI24:BL24)</f>
        <v>606</v>
      </c>
      <c r="EU24" s="27">
        <f>SUM(BM24:BP24)</f>
        <v>672</v>
      </c>
      <c r="EV24" s="27">
        <f>SUM(BQ24:BT24)</f>
        <v>836</v>
      </c>
      <c r="EW24" s="27">
        <f>SUM(BU24:BX24)</f>
        <v>912</v>
      </c>
      <c r="EX24" s="27">
        <f>SUM(BY24:CB24)</f>
        <v>1027</v>
      </c>
      <c r="EY24" s="27">
        <f>SUM(CC24:CF24)</f>
        <v>1427</v>
      </c>
      <c r="EZ24" s="27">
        <f>SUM(CG24:CJ24)</f>
        <v>1585</v>
      </c>
      <c r="FA24" s="27">
        <f>SUM(CK24:CN24)</f>
        <v>1666</v>
      </c>
      <c r="FB24" s="27">
        <f>SUM(CO24:CR24)</f>
        <v>1802</v>
      </c>
      <c r="FC24" s="27">
        <f>SUM(CS24:CV24)</f>
        <v>1995</v>
      </c>
      <c r="FD24" s="1177">
        <f>SUM(CW24:CZ24)</f>
        <v>1916</v>
      </c>
      <c r="FE24" s="299"/>
      <c r="FF24" s="299"/>
      <c r="FG24" s="299"/>
      <c r="FH24" s="299"/>
      <c r="FI24"/>
      <c r="FJ24"/>
      <c r="FK24"/>
      <c r="FL24"/>
      <c r="FM24"/>
      <c r="FN24"/>
      <c r="FO24" s="10"/>
      <c r="FP24" s="749"/>
    </row>
    <row r="25" spans="1:172" s="735" customFormat="1" ht="14.25" customHeight="1">
      <c r="A25" s="733"/>
      <c r="B25" s="682" t="s">
        <v>213</v>
      </c>
      <c r="C25" s="616"/>
      <c r="D25" s="614">
        <f t="shared" ref="D25:AI25" si="150">+D24/D$7</f>
        <v>5.046728971962617E-2</v>
      </c>
      <c r="E25" s="1213">
        <f t="shared" si="150"/>
        <v>4.5982498011137629E-2</v>
      </c>
      <c r="F25" s="1213">
        <f t="shared" si="150"/>
        <v>4.4140830267997901E-2</v>
      </c>
      <c r="G25" s="613">
        <f t="shared" si="150"/>
        <v>3.8229571984435794E-2</v>
      </c>
      <c r="H25" s="614">
        <f t="shared" si="150"/>
        <v>3.9298363973688653E-2</v>
      </c>
      <c r="I25" s="1213">
        <f t="shared" si="150"/>
        <v>4.8168590065228299E-2</v>
      </c>
      <c r="J25" s="1213">
        <f t="shared" si="150"/>
        <v>6.6407263294422827E-2</v>
      </c>
      <c r="K25" s="613">
        <f t="shared" si="150"/>
        <v>6.5810135617416138E-2</v>
      </c>
      <c r="L25" s="614">
        <f t="shared" si="150"/>
        <v>6.4826260129103142E-2</v>
      </c>
      <c r="M25" s="1213">
        <f t="shared" si="150"/>
        <v>5.3412462908011861E-2</v>
      </c>
      <c r="N25" s="1213">
        <f t="shared" si="150"/>
        <v>5.450777202072539E-2</v>
      </c>
      <c r="O25" s="613">
        <f t="shared" si="150"/>
        <v>6.5842316634960887E-2</v>
      </c>
      <c r="P25" s="614">
        <f t="shared" si="150"/>
        <v>7.0197430272641817E-2</v>
      </c>
      <c r="Q25" s="1213">
        <f t="shared" si="150"/>
        <v>9.4339622641509427E-2</v>
      </c>
      <c r="R25" s="1213">
        <f t="shared" si="150"/>
        <v>0.11539089276970785</v>
      </c>
      <c r="S25" s="613">
        <f t="shared" si="150"/>
        <v>0.11053315994798439</v>
      </c>
      <c r="T25" s="614">
        <f t="shared" si="150"/>
        <v>8.5307459677419359E-2</v>
      </c>
      <c r="U25" s="1213">
        <f t="shared" si="150"/>
        <v>8.3349580814973678E-2</v>
      </c>
      <c r="V25" s="1213">
        <f t="shared" si="150"/>
        <v>9.4466311646214399E-2</v>
      </c>
      <c r="W25" s="613">
        <f t="shared" si="150"/>
        <v>8.0773501110288679E-2</v>
      </c>
      <c r="X25" s="614">
        <f t="shared" si="150"/>
        <v>6.8095557043983027E-2</v>
      </c>
      <c r="Y25" s="1213">
        <f t="shared" si="150"/>
        <v>8.9120869640238118E-2</v>
      </c>
      <c r="Z25" s="1213">
        <f t="shared" si="150"/>
        <v>6.4680139014030122E-2</v>
      </c>
      <c r="AA25" s="613">
        <f t="shared" si="150"/>
        <v>5.7116835805360387E-2</v>
      </c>
      <c r="AB25" s="614">
        <f t="shared" si="150"/>
        <v>8.8444896920335969E-2</v>
      </c>
      <c r="AC25" s="1213">
        <f t="shared" si="150"/>
        <v>0.12283006474617622</v>
      </c>
      <c r="AD25" s="1213">
        <f t="shared" si="150"/>
        <v>0.13992423316632044</v>
      </c>
      <c r="AE25" s="613">
        <f t="shared" si="150"/>
        <v>0.21882156985217543</v>
      </c>
      <c r="AF25" s="614">
        <f t="shared" si="150"/>
        <v>0.36447275300778487</v>
      </c>
      <c r="AG25" s="1213">
        <f t="shared" si="150"/>
        <v>0.21040408732001858</v>
      </c>
      <c r="AH25" s="1213">
        <f t="shared" si="150"/>
        <v>0.17427385892116182</v>
      </c>
      <c r="AI25" s="613">
        <f t="shared" si="150"/>
        <v>0.18248663101604279</v>
      </c>
      <c r="AJ25" s="614">
        <f t="shared" ref="AJ25:BO25" si="151">+AJ24/AJ$7</f>
        <v>0.22551452342723688</v>
      </c>
      <c r="AK25" s="1213">
        <f t="shared" si="151"/>
        <v>0.22178343949044585</v>
      </c>
      <c r="AL25" s="1213">
        <f t="shared" si="151"/>
        <v>0.22069059642418448</v>
      </c>
      <c r="AM25" s="613">
        <f t="shared" si="151"/>
        <v>0.18694428812605515</v>
      </c>
      <c r="AN25" s="614">
        <f t="shared" si="151"/>
        <v>0.16835260115606937</v>
      </c>
      <c r="AO25" s="1213">
        <f t="shared" si="151"/>
        <v>0.18960645812310797</v>
      </c>
      <c r="AP25" s="1213">
        <f t="shared" si="151"/>
        <v>0.16242836676217767</v>
      </c>
      <c r="AQ25" s="613">
        <f t="shared" si="151"/>
        <v>0.16750756811301715</v>
      </c>
      <c r="AR25" s="614">
        <f t="shared" si="151"/>
        <v>0.11774974212489091</v>
      </c>
      <c r="AS25" s="1213">
        <f t="shared" si="151"/>
        <v>0.11575808548054133</v>
      </c>
      <c r="AT25" s="1213">
        <f t="shared" si="151"/>
        <v>0.14551318535382279</v>
      </c>
      <c r="AU25" s="613">
        <f t="shared" si="151"/>
        <v>0.11965336301478773</v>
      </c>
      <c r="AV25" s="614">
        <f t="shared" si="151"/>
        <v>0.12153032750771038</v>
      </c>
      <c r="AW25" s="1213">
        <f t="shared" si="151"/>
        <v>0.13020408163265307</v>
      </c>
      <c r="AX25" s="1213">
        <f t="shared" si="151"/>
        <v>0.1277909014707003</v>
      </c>
      <c r="AY25" s="613">
        <f t="shared" si="151"/>
        <v>0.11861074705111402</v>
      </c>
      <c r="AZ25" s="614">
        <f t="shared" si="151"/>
        <v>0.11960784313725491</v>
      </c>
      <c r="BA25" s="1213">
        <f t="shared" si="151"/>
        <v>0.1702873160476524</v>
      </c>
      <c r="BB25" s="1213">
        <f t="shared" si="151"/>
        <v>0.15069551777434312</v>
      </c>
      <c r="BC25" s="613">
        <f t="shared" si="151"/>
        <v>0.12804453723034098</v>
      </c>
      <c r="BD25" s="614">
        <f t="shared" si="151"/>
        <v>0.10618892508143322</v>
      </c>
      <c r="BE25" s="1213">
        <f t="shared" si="151"/>
        <v>0.13245033112582782</v>
      </c>
      <c r="BF25" s="1213">
        <f t="shared" si="151"/>
        <v>0.11348464619492657</v>
      </c>
      <c r="BG25" s="613">
        <f t="shared" si="151"/>
        <v>0.11525189786059352</v>
      </c>
      <c r="BH25" s="614">
        <f t="shared" si="151"/>
        <v>0.12696148359486448</v>
      </c>
      <c r="BI25" s="1213">
        <f t="shared" si="151"/>
        <v>0.16918429003021149</v>
      </c>
      <c r="BJ25" s="1213">
        <f t="shared" si="151"/>
        <v>0.14647377938517178</v>
      </c>
      <c r="BK25" s="613">
        <f t="shared" si="151"/>
        <v>0.10675883256528418</v>
      </c>
      <c r="BL25" s="614">
        <f t="shared" si="151"/>
        <v>7.8735632183908041E-2</v>
      </c>
      <c r="BM25" s="1213">
        <f t="shared" si="151"/>
        <v>7.5471698113207544E-2</v>
      </c>
      <c r="BN25" s="1213">
        <f t="shared" si="151"/>
        <v>6.2062937062937064E-2</v>
      </c>
      <c r="BO25" s="613">
        <f t="shared" si="151"/>
        <v>7.9021259526674686E-2</v>
      </c>
      <c r="BP25" s="614">
        <f t="shared" ref="BP25:CI25" si="152">+BP24/BP$7</f>
        <v>8.214920071047957E-2</v>
      </c>
      <c r="BQ25" s="1213">
        <f t="shared" si="152"/>
        <v>8.2410279131590602E-2</v>
      </c>
      <c r="BR25" s="1213">
        <f t="shared" si="152"/>
        <v>9.8644226273959801E-2</v>
      </c>
      <c r="BS25" s="613">
        <f t="shared" si="152"/>
        <v>9.7663551401869164E-2</v>
      </c>
      <c r="BT25" s="614">
        <f t="shared" si="152"/>
        <v>0.11004784688995216</v>
      </c>
      <c r="BU25" s="1213">
        <f t="shared" si="152"/>
        <v>0.11050273768043803</v>
      </c>
      <c r="BV25" s="1213">
        <f t="shared" si="152"/>
        <v>0.106353591160221</v>
      </c>
      <c r="BW25" s="613">
        <f t="shared" si="152"/>
        <v>0.11971472236372899</v>
      </c>
      <c r="BX25" s="614">
        <f t="shared" si="152"/>
        <v>0.12213740458015267</v>
      </c>
      <c r="BY25" s="612">
        <f t="shared" si="152"/>
        <v>0.10298363811357074</v>
      </c>
      <c r="BZ25" s="612">
        <f t="shared" si="152"/>
        <v>9.7497842968075926E-2</v>
      </c>
      <c r="CA25" s="613">
        <f t="shared" si="152"/>
        <v>9.391487864931411E-2</v>
      </c>
      <c r="CB25" s="614">
        <f t="shared" si="152"/>
        <v>7.9168728352300835E-2</v>
      </c>
      <c r="CC25" s="612">
        <f>+CC24/CC$7</f>
        <v>8.3759435110786457E-2</v>
      </c>
      <c r="CD25" s="612">
        <f>+CD24/CD$7</f>
        <v>8.7644399799095926E-2</v>
      </c>
      <c r="CE25" s="613">
        <f>+CE24/CE$7</f>
        <v>8.4693636148568729E-2</v>
      </c>
      <c r="CF25" s="614">
        <f t="shared" si="152"/>
        <v>8.2221736278154378E-2</v>
      </c>
      <c r="CG25" s="612">
        <f t="shared" si="152"/>
        <v>9.0974555928948625E-2</v>
      </c>
      <c r="CH25" s="612">
        <f t="shared" si="152"/>
        <v>0.10537243706202959</v>
      </c>
      <c r="CI25" s="613">
        <f t="shared" si="152"/>
        <v>0.10527777777777778</v>
      </c>
      <c r="CJ25" s="614">
        <f t="shared" ref="CJ25:CO25" si="153">+CJ24/CJ$7</f>
        <v>0.12567164179104479</v>
      </c>
      <c r="CK25" s="612">
        <f t="shared" si="153"/>
        <v>0.13735514655760053</v>
      </c>
      <c r="CL25" s="612">
        <f t="shared" si="153"/>
        <v>0.13181504485852311</v>
      </c>
      <c r="CM25" s="613">
        <f t="shared" si="153"/>
        <v>0.12775878147342246</v>
      </c>
      <c r="CN25" s="614">
        <f t="shared" ref="CN25" si="154">+CN24/CN$7</f>
        <v>0.11838790931989925</v>
      </c>
      <c r="CO25" s="1213">
        <f t="shared" si="153"/>
        <v>0.10176419965576593</v>
      </c>
      <c r="CP25" s="1213">
        <f t="shared" ref="CP25:CS25" si="155">+CP24/CP$7</f>
        <v>7.7973409989220269E-2</v>
      </c>
      <c r="CQ25" s="613">
        <f t="shared" si="155"/>
        <v>7.2825024437927668E-2</v>
      </c>
      <c r="CR25" s="614">
        <f t="shared" si="155"/>
        <v>6.5853300014699398E-2</v>
      </c>
      <c r="CS25" s="1213">
        <f t="shared" si="155"/>
        <v>7.1146782750646176E-2</v>
      </c>
      <c r="CT25" s="612">
        <f t="shared" ref="CT25:CU25" si="156">+CT24/CT$7</f>
        <v>6.9688527526347174E-2</v>
      </c>
      <c r="CU25" s="613">
        <f t="shared" si="156"/>
        <v>5.9897782626437995E-2</v>
      </c>
      <c r="CV25" s="614">
        <f t="shared" ref="CV25:CY25" si="157">+CV24/CV$7</f>
        <v>6.4713046812093472E-2</v>
      </c>
      <c r="CW25" s="1213">
        <f t="shared" si="157"/>
        <v>7.1039060407908611E-2</v>
      </c>
      <c r="CX25" s="1213">
        <f t="shared" si="157"/>
        <v>7.238034380214646E-2</v>
      </c>
      <c r="CY25" s="613">
        <f t="shared" si="157"/>
        <v>7.2211934005052381E-2</v>
      </c>
      <c r="CZ25" s="614">
        <f t="shared" ref="CZ25:DC25" si="158">+CZ24/CZ$7</f>
        <v>7.1569149204670932E-2</v>
      </c>
      <c r="DA25" s="1213">
        <f t="shared" si="158"/>
        <v>7.1662662021085746E-2</v>
      </c>
      <c r="DB25" s="1213">
        <f t="shared" si="158"/>
        <v>7.2112065656715199E-2</v>
      </c>
      <c r="DC25" s="613">
        <f t="shared" si="158"/>
        <v>7.1969147268366063E-2</v>
      </c>
      <c r="DD25" s="734"/>
      <c r="DE25" s="612">
        <f t="shared" ref="DE25:EB25" si="159">+DE24/DE$7</f>
        <v>4.362109255935246E-2</v>
      </c>
      <c r="DF25" s="612">
        <f t="shared" si="159"/>
        <v>5.2520663418906342E-2</v>
      </c>
      <c r="DG25" s="612">
        <f t="shared" si="159"/>
        <v>5.9422557246479865E-2</v>
      </c>
      <c r="DH25" s="612">
        <f t="shared" si="159"/>
        <v>9.4668297358939613E-2</v>
      </c>
      <c r="DI25" s="612">
        <f t="shared" si="159"/>
        <v>8.5573857598299677E-2</v>
      </c>
      <c r="DJ25" s="612">
        <f t="shared" si="159"/>
        <v>6.7113039104740341E-2</v>
      </c>
      <c r="DK25" s="612">
        <f t="shared" si="159"/>
        <v>0.12436799715439921</v>
      </c>
      <c r="DL25" s="612">
        <f t="shared" si="159"/>
        <v>0.21680185399768248</v>
      </c>
      <c r="DM25" s="612">
        <f t="shared" si="159"/>
        <v>0.21233785138938308</v>
      </c>
      <c r="DN25" s="612">
        <f t="shared" si="159"/>
        <v>0.17140456836655923</v>
      </c>
      <c r="DO25" s="612">
        <f t="shared" si="159"/>
        <v>0.12370394655956725</v>
      </c>
      <c r="DP25" s="612">
        <f t="shared" si="159"/>
        <v>0.12434329065908013</v>
      </c>
      <c r="DQ25" s="612">
        <f t="shared" si="159"/>
        <v>0.14152601969057665</v>
      </c>
      <c r="DR25" s="612">
        <f t="shared" si="159"/>
        <v>0.11641842150316727</v>
      </c>
      <c r="DS25" s="612">
        <f t="shared" si="159"/>
        <v>0.13470747449510723</v>
      </c>
      <c r="DT25" s="1213">
        <f t="shared" si="159"/>
        <v>7.3567554821975953E-2</v>
      </c>
      <c r="DU25" s="1213">
        <f t="shared" si="159"/>
        <v>9.0009103322712794E-2</v>
      </c>
      <c r="DV25" s="1213">
        <f t="shared" si="159"/>
        <v>0.11148894826329851</v>
      </c>
      <c r="DW25" s="1213">
        <f t="shared" si="159"/>
        <v>0.10261214592747712</v>
      </c>
      <c r="DX25" s="1213">
        <f t="shared" si="159"/>
        <v>8.3812201980682233E-2</v>
      </c>
      <c r="DY25" s="1213">
        <f t="shared" si="159"/>
        <v>9.5108695652173919E-2</v>
      </c>
      <c r="DZ25" s="1213">
        <f t="shared" si="159"/>
        <v>0.13041374304379386</v>
      </c>
      <c r="EA25" s="1213">
        <f>+EA24/EA$7</f>
        <v>8.9754945379391798E-2</v>
      </c>
      <c r="EB25" s="1213">
        <f t="shared" si="159"/>
        <v>6.661227379311864E-2</v>
      </c>
      <c r="EC25" s="613">
        <f t="shared" ref="EC25:ED25" si="160">+EC24/EC$7</f>
        <v>6.9937859194318927E-2</v>
      </c>
      <c r="ED25" s="613">
        <f t="shared" si="160"/>
        <v>7.182907096449509E-2</v>
      </c>
      <c r="EE25" s="1364"/>
      <c r="EF25" s="614">
        <f t="shared" ref="EF25:FA25" si="161">+EF24/EF$7</f>
        <v>4.1182183987789653E-2</v>
      </c>
      <c r="EG25" s="612">
        <f t="shared" si="161"/>
        <v>6.0229654891899506E-2</v>
      </c>
      <c r="EH25" s="612">
        <f t="shared" si="161"/>
        <v>6.1126391967313801E-2</v>
      </c>
      <c r="EI25" s="612">
        <f t="shared" si="161"/>
        <v>0.10025859658932065</v>
      </c>
      <c r="EJ25" s="612">
        <f t="shared" si="161"/>
        <v>8.0178948100414926E-2</v>
      </c>
      <c r="EK25" s="612">
        <f t="shared" si="161"/>
        <v>7.1999757218943E-2</v>
      </c>
      <c r="EL25" s="612">
        <f t="shared" si="161"/>
        <v>0.18112043612366396</v>
      </c>
      <c r="EM25" s="612">
        <f t="shared" si="161"/>
        <v>0.19693354852291067</v>
      </c>
      <c r="EN25" s="612">
        <f t="shared" si="161"/>
        <v>0.19590709853702967</v>
      </c>
      <c r="EO25" s="612">
        <f t="shared" si="161"/>
        <v>0.1573080552081276</v>
      </c>
      <c r="EP25" s="612">
        <f t="shared" si="161"/>
        <v>0.12461609490736092</v>
      </c>
      <c r="EQ25" s="612">
        <f t="shared" si="161"/>
        <v>0.12371569834763908</v>
      </c>
      <c r="ER25" s="612">
        <f t="shared" si="161"/>
        <v>0.13788863516599331</v>
      </c>
      <c r="ES25" s="612">
        <f t="shared" si="161"/>
        <v>0.12175893482831114</v>
      </c>
      <c r="ET25" s="1213">
        <f t="shared" si="161"/>
        <v>0.1178758996304221</v>
      </c>
      <c r="EU25" s="1213">
        <f t="shared" si="161"/>
        <v>7.4716477651767851E-2</v>
      </c>
      <c r="EV25" s="612">
        <f t="shared" si="161"/>
        <v>9.6916299559471369E-2</v>
      </c>
      <c r="EW25" s="612">
        <f t="shared" si="161"/>
        <v>0.11431436450238155</v>
      </c>
      <c r="EX25" s="612">
        <f t="shared" si="161"/>
        <v>9.1038028543568836E-2</v>
      </c>
      <c r="EY25" s="612">
        <f t="shared" si="161"/>
        <v>8.4492865178518561E-2</v>
      </c>
      <c r="EZ25" s="1213">
        <f t="shared" si="161"/>
        <v>0.10588549669316588</v>
      </c>
      <c r="FA25" s="1213">
        <f t="shared" si="161"/>
        <v>0.12796681772793608</v>
      </c>
      <c r="FB25" s="1213">
        <f t="shared" ref="FB25:FC25" si="162">+FB24/FB$7</f>
        <v>7.7823364284171886E-2</v>
      </c>
      <c r="FC25" s="1213">
        <f t="shared" si="162"/>
        <v>6.6313691013271905E-2</v>
      </c>
      <c r="FD25" s="613">
        <f t="shared" ref="FD25" si="163">+FD24/FD$7</f>
        <v>7.1797573663985564E-2</v>
      </c>
      <c r="FE25" s="1176"/>
      <c r="FF25" s="1176"/>
      <c r="FG25" s="1176"/>
      <c r="FH25" s="1176"/>
      <c r="FI25"/>
      <c r="FJ25"/>
      <c r="FK25"/>
      <c r="FL25"/>
      <c r="FM25"/>
      <c r="FN25"/>
      <c r="FO25" s="733"/>
      <c r="FP25" s="749"/>
    </row>
    <row r="26" spans="1:172" s="330" customFormat="1" ht="9.75" hidden="1" customHeight="1" outlineLevel="1">
      <c r="A26" s="10"/>
      <c r="B26" s="673"/>
      <c r="C26" s="23"/>
      <c r="D26" s="369"/>
      <c r="E26" s="26"/>
      <c r="F26" s="26"/>
      <c r="G26" s="368"/>
      <c r="H26" s="369"/>
      <c r="I26" s="26"/>
      <c r="J26" s="26"/>
      <c r="K26" s="368"/>
      <c r="L26" s="369"/>
      <c r="M26" s="26"/>
      <c r="N26" s="26"/>
      <c r="O26" s="368"/>
      <c r="P26" s="369"/>
      <c r="Q26" s="26"/>
      <c r="R26" s="26"/>
      <c r="S26" s="368"/>
      <c r="T26" s="369"/>
      <c r="U26" s="26"/>
      <c r="V26" s="26"/>
      <c r="W26" s="368"/>
      <c r="X26" s="369"/>
      <c r="Y26" s="26"/>
      <c r="Z26" s="26"/>
      <c r="AA26" s="368"/>
      <c r="AB26" s="369"/>
      <c r="AC26" s="26"/>
      <c r="AD26" s="26"/>
      <c r="AE26" s="368"/>
      <c r="AF26" s="369"/>
      <c r="AG26" s="26"/>
      <c r="AH26" s="26"/>
      <c r="AI26" s="368"/>
      <c r="AJ26" s="369"/>
      <c r="AK26" s="26"/>
      <c r="AL26" s="26"/>
      <c r="AM26" s="368"/>
      <c r="AN26" s="369"/>
      <c r="AO26" s="26"/>
      <c r="AP26" s="26"/>
      <c r="AQ26" s="368"/>
      <c r="AR26" s="369"/>
      <c r="AS26" s="26"/>
      <c r="AT26" s="26"/>
      <c r="AU26" s="368"/>
      <c r="AV26" s="369"/>
      <c r="AW26" s="26"/>
      <c r="AX26" s="26"/>
      <c r="AY26" s="368"/>
      <c r="AZ26" s="369"/>
      <c r="BA26" s="26"/>
      <c r="BB26" s="26"/>
      <c r="BC26" s="368"/>
      <c r="BD26" s="369"/>
      <c r="BE26" s="26"/>
      <c r="BF26" s="26"/>
      <c r="BG26" s="368"/>
      <c r="BH26" s="369"/>
      <c r="BI26" s="26"/>
      <c r="BJ26" s="26"/>
      <c r="BK26" s="368"/>
      <c r="BL26" s="369"/>
      <c r="BM26" s="26"/>
      <c r="BN26" s="26"/>
      <c r="BO26" s="368"/>
      <c r="BP26" s="369"/>
      <c r="BQ26" s="26"/>
      <c r="BR26" s="26"/>
      <c r="BS26" s="368"/>
      <c r="BT26" s="369"/>
      <c r="BU26" s="26"/>
      <c r="BV26" s="26"/>
      <c r="BW26" s="368"/>
      <c r="BX26" s="369"/>
      <c r="BY26" s="26"/>
      <c r="BZ26" s="26"/>
      <c r="CA26" s="368"/>
      <c r="CB26" s="369"/>
      <c r="CC26" s="26"/>
      <c r="CD26" s="26"/>
      <c r="CE26" s="368"/>
      <c r="CF26" s="369"/>
      <c r="CG26" s="26"/>
      <c r="CH26" s="26"/>
      <c r="CI26" s="368"/>
      <c r="CJ26" s="369"/>
      <c r="CK26" s="26"/>
      <c r="CL26" s="26"/>
      <c r="CM26" s="368"/>
      <c r="CN26" s="369"/>
      <c r="CO26" s="26"/>
      <c r="CP26" s="26"/>
      <c r="CQ26" s="368"/>
      <c r="CR26" s="369"/>
      <c r="CS26" s="26"/>
      <c r="CT26" s="26"/>
      <c r="CU26" s="368"/>
      <c r="CV26" s="369"/>
      <c r="CW26" s="26"/>
      <c r="CX26" s="26"/>
      <c r="CY26" s="368"/>
      <c r="CZ26" s="369"/>
      <c r="DA26" s="26"/>
      <c r="DB26" s="26"/>
      <c r="DC26" s="368"/>
      <c r="DD26" s="153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8"/>
      <c r="ED26" s="28"/>
      <c r="EE26" s="1364"/>
      <c r="EF26" s="29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8"/>
      <c r="FE26" s="299"/>
      <c r="FF26" s="299"/>
      <c r="FG26" s="299"/>
      <c r="FH26" s="299"/>
      <c r="FI26"/>
      <c r="FJ26"/>
      <c r="FK26"/>
      <c r="FL26"/>
      <c r="FM26"/>
      <c r="FN26"/>
      <c r="FO26" s="10"/>
      <c r="FP26" s="749"/>
    </row>
    <row r="27" spans="1:172" s="330" customFormat="1" ht="14.25" hidden="1" customHeight="1" outlineLevel="1">
      <c r="A27" s="10"/>
      <c r="B27" s="673" t="s">
        <v>154</v>
      </c>
      <c r="C27" s="25"/>
      <c r="D27" s="29">
        <v>0</v>
      </c>
      <c r="E27" s="26">
        <v>0</v>
      </c>
      <c r="F27" s="26">
        <v>0</v>
      </c>
      <c r="G27" s="28">
        <v>0</v>
      </c>
      <c r="H27" s="29">
        <v>0</v>
      </c>
      <c r="I27" s="26">
        <v>0</v>
      </c>
      <c r="J27" s="26">
        <v>0</v>
      </c>
      <c r="K27" s="28">
        <v>0</v>
      </c>
      <c r="L27" s="29">
        <v>0</v>
      </c>
      <c r="M27" s="26">
        <v>0</v>
      </c>
      <c r="N27" s="26">
        <v>0</v>
      </c>
      <c r="O27" s="28">
        <v>0</v>
      </c>
      <c r="P27" s="29">
        <v>0</v>
      </c>
      <c r="Q27" s="26">
        <v>0</v>
      </c>
      <c r="R27" s="26">
        <v>0</v>
      </c>
      <c r="S27" s="28">
        <v>0</v>
      </c>
      <c r="T27" s="29">
        <v>0</v>
      </c>
      <c r="U27" s="26">
        <v>0</v>
      </c>
      <c r="V27" s="26">
        <v>0</v>
      </c>
      <c r="W27" s="28">
        <v>0</v>
      </c>
      <c r="X27" s="29">
        <v>0</v>
      </c>
      <c r="Y27" s="26">
        <v>0</v>
      </c>
      <c r="Z27" s="26">
        <v>0</v>
      </c>
      <c r="AA27" s="28">
        <v>0</v>
      </c>
      <c r="AB27" s="29">
        <v>0</v>
      </c>
      <c r="AC27" s="26">
        <v>0</v>
      </c>
      <c r="AD27" s="26">
        <v>0</v>
      </c>
      <c r="AE27" s="28">
        <v>0</v>
      </c>
      <c r="AF27" s="29">
        <v>0</v>
      </c>
      <c r="AG27" s="26">
        <v>0</v>
      </c>
      <c r="AH27" s="26">
        <v>0</v>
      </c>
      <c r="AI27" s="28">
        <v>0</v>
      </c>
      <c r="AJ27" s="29">
        <v>0</v>
      </c>
      <c r="AK27" s="26">
        <v>0</v>
      </c>
      <c r="AL27" s="26">
        <v>0</v>
      </c>
      <c r="AM27" s="28">
        <v>0</v>
      </c>
      <c r="AN27" s="29">
        <v>0</v>
      </c>
      <c r="AO27" s="26">
        <v>0</v>
      </c>
      <c r="AP27" s="26">
        <v>0</v>
      </c>
      <c r="AQ27" s="28">
        <v>0</v>
      </c>
      <c r="AR27" s="29">
        <v>0</v>
      </c>
      <c r="AS27" s="26">
        <v>0</v>
      </c>
      <c r="AT27" s="26">
        <v>0</v>
      </c>
      <c r="AU27" s="28">
        <v>0</v>
      </c>
      <c r="AV27" s="29">
        <v>0</v>
      </c>
      <c r="AW27" s="26">
        <v>0</v>
      </c>
      <c r="AX27" s="26">
        <v>0</v>
      </c>
      <c r="AY27" s="28">
        <v>0</v>
      </c>
      <c r="AZ27" s="29">
        <v>0</v>
      </c>
      <c r="BA27" s="26">
        <v>0</v>
      </c>
      <c r="BB27" s="26">
        <v>0</v>
      </c>
      <c r="BC27" s="28">
        <v>0</v>
      </c>
      <c r="BD27" s="29">
        <v>0</v>
      </c>
      <c r="BE27" s="26">
        <v>0</v>
      </c>
      <c r="BF27" s="26">
        <v>0</v>
      </c>
      <c r="BG27" s="28">
        <v>0</v>
      </c>
      <c r="BH27" s="29">
        <v>0</v>
      </c>
      <c r="BI27" s="26">
        <v>0</v>
      </c>
      <c r="BJ27" s="26">
        <v>0</v>
      </c>
      <c r="BK27" s="28">
        <v>0</v>
      </c>
      <c r="BL27" s="29">
        <v>0</v>
      </c>
      <c r="BM27" s="26">
        <v>0</v>
      </c>
      <c r="BN27" s="26">
        <v>0</v>
      </c>
      <c r="BO27" s="28">
        <v>0</v>
      </c>
      <c r="BP27" s="29">
        <v>0</v>
      </c>
      <c r="BQ27" s="26">
        <v>0</v>
      </c>
      <c r="BR27" s="26">
        <v>0</v>
      </c>
      <c r="BS27" s="28">
        <v>0</v>
      </c>
      <c r="BT27" s="29">
        <v>0</v>
      </c>
      <c r="BU27" s="26">
        <v>0</v>
      </c>
      <c r="BV27" s="26">
        <v>0</v>
      </c>
      <c r="BW27" s="28">
        <v>0</v>
      </c>
      <c r="BX27" s="29">
        <v>0</v>
      </c>
      <c r="BY27" s="26">
        <v>0</v>
      </c>
      <c r="BZ27" s="26">
        <v>0</v>
      </c>
      <c r="CA27" s="28">
        <v>0</v>
      </c>
      <c r="CB27" s="29">
        <v>0</v>
      </c>
      <c r="CC27" s="26">
        <v>0</v>
      </c>
      <c r="CD27" s="26">
        <v>0</v>
      </c>
      <c r="CE27" s="28">
        <v>0</v>
      </c>
      <c r="CF27" s="29">
        <v>0</v>
      </c>
      <c r="CG27" s="26">
        <v>0</v>
      </c>
      <c r="CH27" s="26">
        <v>0</v>
      </c>
      <c r="CI27" s="28">
        <v>0</v>
      </c>
      <c r="CJ27" s="29">
        <v>0</v>
      </c>
      <c r="CK27" s="26">
        <v>0</v>
      </c>
      <c r="CL27" s="26">
        <v>0</v>
      </c>
      <c r="CM27" s="28">
        <v>0</v>
      </c>
      <c r="CN27" s="1430">
        <v>13</v>
      </c>
      <c r="CO27" s="1431">
        <v>14</v>
      </c>
      <c r="CP27" s="1431">
        <v>14</v>
      </c>
      <c r="CQ27" s="1432">
        <v>14</v>
      </c>
      <c r="CR27" s="1430">
        <v>14</v>
      </c>
      <c r="CS27" s="1431">
        <v>14</v>
      </c>
      <c r="CT27" s="27">
        <v>0</v>
      </c>
      <c r="CU27" s="28">
        <v>0</v>
      </c>
      <c r="CV27" s="29">
        <v>0</v>
      </c>
      <c r="CW27" s="27">
        <v>0</v>
      </c>
      <c r="CX27" s="27">
        <v>0</v>
      </c>
      <c r="CY27" s="28">
        <v>0</v>
      </c>
      <c r="CZ27" s="29">
        <v>0</v>
      </c>
      <c r="DA27" s="27">
        <v>0</v>
      </c>
      <c r="DB27" s="27">
        <v>0</v>
      </c>
      <c r="DC27" s="28">
        <v>0</v>
      </c>
      <c r="DD27" s="153"/>
      <c r="DE27" s="27">
        <f>SUM(D27:G27)</f>
        <v>0</v>
      </c>
      <c r="DF27" s="27">
        <f>SUM(H27:K27)</f>
        <v>0</v>
      </c>
      <c r="DG27" s="27">
        <f>SUM(L27:O27)</f>
        <v>0</v>
      </c>
      <c r="DH27" s="27">
        <f>SUM(P27:S27)</f>
        <v>0</v>
      </c>
      <c r="DI27" s="27">
        <f>SUM(T27:W27)</f>
        <v>0</v>
      </c>
      <c r="DJ27" s="27">
        <f>SUM(X27:AA27)</f>
        <v>0</v>
      </c>
      <c r="DK27" s="27">
        <f>SUM(AB27:AE27)</f>
        <v>0</v>
      </c>
      <c r="DL27" s="27">
        <f>SUM(AF27:AI27)</f>
        <v>0</v>
      </c>
      <c r="DM27" s="27">
        <f>SUM(AJ27:AM27)</f>
        <v>0</v>
      </c>
      <c r="DN27" s="27">
        <f>SUM(AN27:AQ27)</f>
        <v>0</v>
      </c>
      <c r="DO27" s="27">
        <f>SUM(AR27:AU27)</f>
        <v>0</v>
      </c>
      <c r="DP27" s="27">
        <f>SUM(AV27:AY27)</f>
        <v>0</v>
      </c>
      <c r="DQ27" s="27">
        <f>SUM(AZ27:BC27)</f>
        <v>0</v>
      </c>
      <c r="DR27" s="27">
        <f>SUM(BD27:BG27)</f>
        <v>0</v>
      </c>
      <c r="DS27" s="27">
        <f>SUM(BH27:BK27)</f>
        <v>0</v>
      </c>
      <c r="DT27" s="27">
        <f>SUM(BL27:BO27)</f>
        <v>0</v>
      </c>
      <c r="DU27" s="27">
        <f>SUM(BP27:BS27)</f>
        <v>0</v>
      </c>
      <c r="DV27" s="27">
        <f>SUM(BT27:BW27)</f>
        <v>0</v>
      </c>
      <c r="DW27" s="27">
        <f>SUM(BX27:CA27)</f>
        <v>0</v>
      </c>
      <c r="DX27" s="27">
        <f>SUM(CB27:CE27)</f>
        <v>0</v>
      </c>
      <c r="DY27" s="27">
        <f>SUM(CF27:CI27)</f>
        <v>0</v>
      </c>
      <c r="DZ27" s="27">
        <f>SUM(CJ27:CM27)</f>
        <v>0</v>
      </c>
      <c r="EA27" s="27">
        <f t="shared" ref="EA27:EA28" si="164">SUM(CN27:CQ27)</f>
        <v>55</v>
      </c>
      <c r="EB27" s="27">
        <f t="shared" ref="EB27:EB28" si="165">SUM(CR27:CU27)</f>
        <v>28</v>
      </c>
      <c r="EC27" s="28">
        <f>SUM(CV27:CY27)</f>
        <v>0</v>
      </c>
      <c r="ED27" s="28">
        <f>SUM(CZ27:DC27)</f>
        <v>0</v>
      </c>
      <c r="EE27" s="1364"/>
      <c r="EF27" s="29">
        <f>SUM(E27:H27)</f>
        <v>0</v>
      </c>
      <c r="EG27" s="27">
        <f>SUM(I27:L27)</f>
        <v>0</v>
      </c>
      <c r="EH27" s="27">
        <f>SUM(M27:P27)</f>
        <v>0</v>
      </c>
      <c r="EI27" s="27">
        <f>SUM(Q27:T27)</f>
        <v>0</v>
      </c>
      <c r="EJ27" s="27">
        <f>SUM(U27:X27)</f>
        <v>0</v>
      </c>
      <c r="EK27" s="27">
        <f>SUM(Y27:AB27)</f>
        <v>0</v>
      </c>
      <c r="EL27" s="27">
        <f>SUM(AC27:AF27)</f>
        <v>0</v>
      </c>
      <c r="EM27" s="27">
        <f>SUM(AG27:AJ27)</f>
        <v>0</v>
      </c>
      <c r="EN27" s="27">
        <f>SUM(AK27:AN27)</f>
        <v>0</v>
      </c>
      <c r="EO27" s="27">
        <f>SUM(AO27:AR27)</f>
        <v>0</v>
      </c>
      <c r="EP27" s="27">
        <f>SUM(AS27:AV27)</f>
        <v>0</v>
      </c>
      <c r="EQ27" s="27">
        <f>SUM(AW27:AZ27)</f>
        <v>0</v>
      </c>
      <c r="ER27" s="27">
        <f>SUM(BA27:BD27)</f>
        <v>0</v>
      </c>
      <c r="ES27" s="27">
        <f>SUM(BE27:BH27)</f>
        <v>0</v>
      </c>
      <c r="ET27" s="27">
        <f>SUM(BI27:BL27)</f>
        <v>0</v>
      </c>
      <c r="EU27" s="27">
        <f>SUM(BM27:BP27)</f>
        <v>0</v>
      </c>
      <c r="EV27" s="27">
        <f>SUM(BQ27:BT27)</f>
        <v>0</v>
      </c>
      <c r="EW27" s="27">
        <f>SUM(BU27:BX27)</f>
        <v>0</v>
      </c>
      <c r="EX27" s="27">
        <f>SUM(BY27:CB27)</f>
        <v>0</v>
      </c>
      <c r="EY27" s="27">
        <f>SUM(CC27:CF27)</f>
        <v>0</v>
      </c>
      <c r="EZ27" s="27">
        <f t="shared" ref="EZ27:EZ28" si="166">SUM(CG27:CJ27)</f>
        <v>0</v>
      </c>
      <c r="FA27" s="27">
        <f t="shared" ref="FA27:FA28" si="167">SUM(CK27:CN27)</f>
        <v>13</v>
      </c>
      <c r="FB27" s="27">
        <f t="shared" ref="FB27:FB28" si="168">SUM(CO27:CR27)</f>
        <v>56</v>
      </c>
      <c r="FC27" s="27">
        <f>SUM(CS27:CV27)</f>
        <v>14</v>
      </c>
      <c r="FD27" s="28">
        <f>SUM(CW27:CZ27)</f>
        <v>0</v>
      </c>
      <c r="FE27" s="299"/>
      <c r="FF27" s="299"/>
      <c r="FG27" s="299"/>
      <c r="FH27" s="299"/>
      <c r="FI27"/>
      <c r="FJ27"/>
      <c r="FK27"/>
      <c r="FL27"/>
      <c r="FM27"/>
      <c r="FN27"/>
      <c r="FO27" s="10"/>
      <c r="FP27" s="749"/>
    </row>
    <row r="28" spans="1:172" s="562" customFormat="1" ht="14.25" hidden="1" customHeight="1" outlineLevel="1">
      <c r="A28" s="559"/>
      <c r="B28" s="675" t="s">
        <v>125</v>
      </c>
      <c r="C28" s="549"/>
      <c r="D28" s="552">
        <v>0</v>
      </c>
      <c r="E28" s="550">
        <v>0</v>
      </c>
      <c r="F28" s="550">
        <v>0</v>
      </c>
      <c r="G28" s="551">
        <v>0</v>
      </c>
      <c r="H28" s="552">
        <v>0</v>
      </c>
      <c r="I28" s="550">
        <v>0</v>
      </c>
      <c r="J28" s="550">
        <v>0</v>
      </c>
      <c r="K28" s="551">
        <v>0</v>
      </c>
      <c r="L28" s="552">
        <v>0</v>
      </c>
      <c r="M28" s="550">
        <v>0</v>
      </c>
      <c r="N28" s="550">
        <v>0</v>
      </c>
      <c r="O28" s="551">
        <v>0</v>
      </c>
      <c r="P28" s="552">
        <v>0</v>
      </c>
      <c r="Q28" s="550">
        <v>0</v>
      </c>
      <c r="R28" s="550">
        <v>0</v>
      </c>
      <c r="S28" s="551">
        <v>0</v>
      </c>
      <c r="T28" s="552">
        <v>0</v>
      </c>
      <c r="U28" s="550">
        <v>0</v>
      </c>
      <c r="V28" s="550">
        <v>0</v>
      </c>
      <c r="W28" s="551">
        <v>0</v>
      </c>
      <c r="X28" s="552">
        <v>0</v>
      </c>
      <c r="Y28" s="550">
        <v>0</v>
      </c>
      <c r="Z28" s="550">
        <v>0</v>
      </c>
      <c r="AA28" s="551">
        <v>0</v>
      </c>
      <c r="AB28" s="552">
        <v>0</v>
      </c>
      <c r="AC28" s="550">
        <v>0</v>
      </c>
      <c r="AD28" s="550">
        <v>0</v>
      </c>
      <c r="AE28" s="551">
        <v>0</v>
      </c>
      <c r="AF28" s="552">
        <v>0</v>
      </c>
      <c r="AG28" s="550">
        <v>0</v>
      </c>
      <c r="AH28" s="550">
        <v>0</v>
      </c>
      <c r="AI28" s="551">
        <v>0</v>
      </c>
      <c r="AJ28" s="552">
        <v>0</v>
      </c>
      <c r="AK28" s="550">
        <v>0</v>
      </c>
      <c r="AL28" s="550">
        <v>0</v>
      </c>
      <c r="AM28" s="551">
        <v>0</v>
      </c>
      <c r="AN28" s="552">
        <v>0</v>
      </c>
      <c r="AO28" s="550">
        <v>0</v>
      </c>
      <c r="AP28" s="550">
        <v>0</v>
      </c>
      <c r="AQ28" s="551">
        <v>0</v>
      </c>
      <c r="AR28" s="552">
        <v>0</v>
      </c>
      <c r="AS28" s="550">
        <v>0</v>
      </c>
      <c r="AT28" s="550">
        <v>0</v>
      </c>
      <c r="AU28" s="551">
        <v>0</v>
      </c>
      <c r="AV28" s="552">
        <v>0</v>
      </c>
      <c r="AW28" s="550">
        <v>0</v>
      </c>
      <c r="AX28" s="550">
        <v>0</v>
      </c>
      <c r="AY28" s="551">
        <v>0</v>
      </c>
      <c r="AZ28" s="552">
        <v>0</v>
      </c>
      <c r="BA28" s="550">
        <v>0</v>
      </c>
      <c r="BB28" s="550">
        <v>0</v>
      </c>
      <c r="BC28" s="551">
        <v>0</v>
      </c>
      <c r="BD28" s="552">
        <v>0</v>
      </c>
      <c r="BE28" s="550">
        <v>0</v>
      </c>
      <c r="BF28" s="550">
        <v>0</v>
      </c>
      <c r="BG28" s="551">
        <v>0</v>
      </c>
      <c r="BH28" s="552">
        <v>0</v>
      </c>
      <c r="BI28" s="550">
        <v>0</v>
      </c>
      <c r="BJ28" s="550">
        <v>0</v>
      </c>
      <c r="BK28" s="551">
        <v>0</v>
      </c>
      <c r="BL28" s="552">
        <v>0</v>
      </c>
      <c r="BM28" s="550">
        <v>0</v>
      </c>
      <c r="BN28" s="550">
        <v>0</v>
      </c>
      <c r="BO28" s="551">
        <v>0</v>
      </c>
      <c r="BP28" s="552">
        <v>0</v>
      </c>
      <c r="BQ28" s="550">
        <v>0</v>
      </c>
      <c r="BR28" s="550">
        <v>0</v>
      </c>
      <c r="BS28" s="551">
        <v>0</v>
      </c>
      <c r="BT28" s="552">
        <v>0</v>
      </c>
      <c r="BU28" s="550">
        <v>0</v>
      </c>
      <c r="BV28" s="550">
        <v>0</v>
      </c>
      <c r="BW28" s="551">
        <v>0</v>
      </c>
      <c r="BX28" s="552">
        <v>0</v>
      </c>
      <c r="BY28" s="550">
        <v>0</v>
      </c>
      <c r="BZ28" s="550">
        <v>0</v>
      </c>
      <c r="CA28" s="551">
        <v>0</v>
      </c>
      <c r="CB28" s="552">
        <v>0</v>
      </c>
      <c r="CC28" s="550">
        <v>0</v>
      </c>
      <c r="CD28" s="550">
        <v>0</v>
      </c>
      <c r="CE28" s="551">
        <v>0</v>
      </c>
      <c r="CF28" s="552">
        <v>0</v>
      </c>
      <c r="CG28" s="550">
        <v>0</v>
      </c>
      <c r="CH28" s="550">
        <v>0</v>
      </c>
      <c r="CI28" s="551">
        <v>0</v>
      </c>
      <c r="CJ28" s="552">
        <v>0</v>
      </c>
      <c r="CK28" s="550">
        <v>0</v>
      </c>
      <c r="CL28" s="550">
        <v>0</v>
      </c>
      <c r="CM28" s="551">
        <v>0</v>
      </c>
      <c r="CN28" s="552">
        <v>0</v>
      </c>
      <c r="CO28" s="550">
        <v>0</v>
      </c>
      <c r="CP28" s="550">
        <v>0</v>
      </c>
      <c r="CQ28" s="551">
        <v>0</v>
      </c>
      <c r="CR28" s="552">
        <v>0</v>
      </c>
      <c r="CS28" s="550">
        <v>0</v>
      </c>
      <c r="CT28" s="550">
        <v>0</v>
      </c>
      <c r="CU28" s="551">
        <v>0</v>
      </c>
      <c r="CV28" s="552">
        <v>0</v>
      </c>
      <c r="CW28" s="550">
        <v>0</v>
      </c>
      <c r="CX28" s="550">
        <v>0</v>
      </c>
      <c r="CY28" s="551">
        <v>0</v>
      </c>
      <c r="CZ28" s="552">
        <v>0</v>
      </c>
      <c r="DA28" s="550">
        <v>0</v>
      </c>
      <c r="DB28" s="550">
        <v>0</v>
      </c>
      <c r="DC28" s="551">
        <v>0</v>
      </c>
      <c r="DD28" s="560"/>
      <c r="DE28" s="554">
        <f>SUM(D28:G28)</f>
        <v>0</v>
      </c>
      <c r="DF28" s="554">
        <f>SUM(H28:K28)</f>
        <v>0</v>
      </c>
      <c r="DG28" s="554">
        <f>SUM(L28:O28)</f>
        <v>0</v>
      </c>
      <c r="DH28" s="554">
        <f>SUM(P28:S28)</f>
        <v>0</v>
      </c>
      <c r="DI28" s="554">
        <f>SUM(T28:W28)</f>
        <v>0</v>
      </c>
      <c r="DJ28" s="554">
        <f>SUM(X28:AA28)</f>
        <v>0</v>
      </c>
      <c r="DK28" s="554">
        <f>SUM(AB28:AE28)</f>
        <v>0</v>
      </c>
      <c r="DL28" s="554">
        <f>SUM(AF28:AI28)</f>
        <v>0</v>
      </c>
      <c r="DM28" s="554">
        <f>SUM(AJ28:AM28)</f>
        <v>0</v>
      </c>
      <c r="DN28" s="554">
        <f>SUM(AN28:AQ28)</f>
        <v>0</v>
      </c>
      <c r="DO28" s="554">
        <f>SUM(AR28:AU28)</f>
        <v>0</v>
      </c>
      <c r="DP28" s="554">
        <f>SUM(AV28:AY28)</f>
        <v>0</v>
      </c>
      <c r="DQ28" s="554">
        <f>SUM(AZ28:BC28)</f>
        <v>0</v>
      </c>
      <c r="DR28" s="554">
        <f>SUM(BD28:BG28)</f>
        <v>0</v>
      </c>
      <c r="DS28" s="554">
        <f>SUM(BH28:BK28)</f>
        <v>0</v>
      </c>
      <c r="DT28" s="554">
        <f>SUM(BL28:BO28)</f>
        <v>0</v>
      </c>
      <c r="DU28" s="554">
        <f>SUM(BP28:BS28)</f>
        <v>0</v>
      </c>
      <c r="DV28" s="554">
        <f>SUM(BT28:BW28)</f>
        <v>0</v>
      </c>
      <c r="DW28" s="554">
        <f>SUM(BX28:CA28)</f>
        <v>0</v>
      </c>
      <c r="DX28" s="554">
        <f>SUM(CB28:CE28)</f>
        <v>0</v>
      </c>
      <c r="DY28" s="554">
        <f>SUM(CF28:CI28)</f>
        <v>0</v>
      </c>
      <c r="DZ28" s="554">
        <f>SUM(CJ28:CM28)</f>
        <v>0</v>
      </c>
      <c r="EA28" s="554">
        <f t="shared" si="164"/>
        <v>0</v>
      </c>
      <c r="EB28" s="554">
        <f t="shared" si="165"/>
        <v>0</v>
      </c>
      <c r="EC28" s="555">
        <f>SUM(CV28:CY28)</f>
        <v>0</v>
      </c>
      <c r="ED28" s="555">
        <f>SUM(CZ28:DC28)</f>
        <v>0</v>
      </c>
      <c r="EE28" s="1364"/>
      <c r="EF28" s="556">
        <f>SUM(E28:H28)</f>
        <v>0</v>
      </c>
      <c r="EG28" s="554">
        <f>SUM(I28:L28)</f>
        <v>0</v>
      </c>
      <c r="EH28" s="554">
        <f>SUM(M28:P28)</f>
        <v>0</v>
      </c>
      <c r="EI28" s="554">
        <f>SUM(Q28:T28)</f>
        <v>0</v>
      </c>
      <c r="EJ28" s="554">
        <f>SUM(U28:X28)</f>
        <v>0</v>
      </c>
      <c r="EK28" s="554">
        <f>SUM(Y28:AB28)</f>
        <v>0</v>
      </c>
      <c r="EL28" s="554">
        <f>SUM(AC28:AF28)</f>
        <v>0</v>
      </c>
      <c r="EM28" s="554">
        <f>SUM(AG28:AJ28)</f>
        <v>0</v>
      </c>
      <c r="EN28" s="554">
        <f>SUM(AK28:AN28)</f>
        <v>0</v>
      </c>
      <c r="EO28" s="554">
        <f>SUM(AO28:AR28)</f>
        <v>0</v>
      </c>
      <c r="EP28" s="554">
        <f>SUM(AS28:AV28)</f>
        <v>0</v>
      </c>
      <c r="EQ28" s="554">
        <f>SUM(AW28:AZ28)</f>
        <v>0</v>
      </c>
      <c r="ER28" s="554">
        <f>SUM(BA28:BD28)</f>
        <v>0</v>
      </c>
      <c r="ES28" s="554">
        <f>SUM(BE28:BH28)</f>
        <v>0</v>
      </c>
      <c r="ET28" s="554">
        <f>SUM(BI28:BL28)</f>
        <v>0</v>
      </c>
      <c r="EU28" s="554">
        <f>SUM(BM28:BP28)</f>
        <v>0</v>
      </c>
      <c r="EV28" s="554">
        <f>SUM(BQ28:BT28)</f>
        <v>0</v>
      </c>
      <c r="EW28" s="554">
        <f>SUM(BU28:BX28)</f>
        <v>0</v>
      </c>
      <c r="EX28" s="554">
        <f>SUM(BY28:CB28)</f>
        <v>0</v>
      </c>
      <c r="EY28" s="554">
        <f>SUM(CC28:CF28)</f>
        <v>0</v>
      </c>
      <c r="EZ28" s="554">
        <f t="shared" si="166"/>
        <v>0</v>
      </c>
      <c r="FA28" s="554">
        <f t="shared" si="167"/>
        <v>0</v>
      </c>
      <c r="FB28" s="554">
        <f t="shared" si="168"/>
        <v>0</v>
      </c>
      <c r="FC28" s="554">
        <f>SUM(CS28:CV28)</f>
        <v>0</v>
      </c>
      <c r="FD28" s="555">
        <f>SUM(CW28:CZ28)</f>
        <v>0</v>
      </c>
      <c r="FE28" s="766"/>
      <c r="FF28" s="766"/>
      <c r="FG28" s="766"/>
      <c r="FH28" s="766"/>
      <c r="FI28"/>
      <c r="FJ28"/>
      <c r="FK28"/>
      <c r="FL28"/>
      <c r="FM28"/>
      <c r="FN28"/>
      <c r="FO28" s="559"/>
    </row>
    <row r="29" spans="1:172" s="330" customFormat="1" ht="14.25" hidden="1" customHeight="1" outlineLevel="1" collapsed="1">
      <c r="A29" s="10"/>
      <c r="B29" s="673" t="s">
        <v>267</v>
      </c>
      <c r="C29" s="23"/>
      <c r="D29" s="29">
        <f>+D24-D27-D28</f>
        <v>27</v>
      </c>
      <c r="E29" s="27">
        <f t="shared" ref="E29:BP29" si="169">+E24-E27-E28</f>
        <v>28.9</v>
      </c>
      <c r="F29" s="27">
        <f t="shared" si="169"/>
        <v>33.6</v>
      </c>
      <c r="G29" s="28">
        <f t="shared" si="169"/>
        <v>39.299999999999997</v>
      </c>
      <c r="H29" s="29">
        <f t="shared" si="169"/>
        <v>46.6</v>
      </c>
      <c r="I29" s="27">
        <f t="shared" si="169"/>
        <v>48</v>
      </c>
      <c r="J29" s="27">
        <f t="shared" si="169"/>
        <v>51.2</v>
      </c>
      <c r="K29" s="28">
        <f t="shared" si="169"/>
        <v>46.1</v>
      </c>
      <c r="L29" s="29">
        <f t="shared" si="169"/>
        <v>47.2</v>
      </c>
      <c r="M29" s="27">
        <f t="shared" si="169"/>
        <v>46.8</v>
      </c>
      <c r="N29" s="27">
        <f t="shared" si="169"/>
        <v>52.6</v>
      </c>
      <c r="O29" s="28">
        <f t="shared" si="169"/>
        <v>62.3</v>
      </c>
      <c r="P29" s="29">
        <f t="shared" si="169"/>
        <v>67.2</v>
      </c>
      <c r="Q29" s="27">
        <f t="shared" si="169"/>
        <v>72</v>
      </c>
      <c r="R29" s="27">
        <f t="shared" si="169"/>
        <v>70.7</v>
      </c>
      <c r="S29" s="28">
        <f t="shared" si="169"/>
        <v>76.5</v>
      </c>
      <c r="T29" s="29">
        <f t="shared" si="169"/>
        <v>67.7</v>
      </c>
      <c r="U29" s="27">
        <f t="shared" si="169"/>
        <v>85.5</v>
      </c>
      <c r="V29" s="27">
        <f t="shared" si="169"/>
        <v>81.599999999999994</v>
      </c>
      <c r="W29" s="28">
        <f t="shared" si="169"/>
        <v>87.3</v>
      </c>
      <c r="X29" s="29">
        <f t="shared" si="169"/>
        <v>91.5</v>
      </c>
      <c r="Y29" s="27">
        <f t="shared" si="169"/>
        <v>103.3</v>
      </c>
      <c r="Z29" s="27">
        <f t="shared" si="169"/>
        <v>100.5</v>
      </c>
      <c r="AA29" s="28">
        <f t="shared" si="169"/>
        <v>131.69999999999999</v>
      </c>
      <c r="AB29" s="29">
        <f t="shared" si="169"/>
        <v>139</v>
      </c>
      <c r="AC29" s="27">
        <f t="shared" si="169"/>
        <v>130.9</v>
      </c>
      <c r="AD29" s="27">
        <f t="shared" si="169"/>
        <v>114.5</v>
      </c>
      <c r="AE29" s="28">
        <f t="shared" si="169"/>
        <v>105.1</v>
      </c>
      <c r="AF29" s="29">
        <f t="shared" si="169"/>
        <v>154.5</v>
      </c>
      <c r="AG29" s="27">
        <f t="shared" si="169"/>
        <v>135.9</v>
      </c>
      <c r="AH29" s="27">
        <f t="shared" si="169"/>
        <v>134.4</v>
      </c>
      <c r="AI29" s="28">
        <f t="shared" si="169"/>
        <v>136.5</v>
      </c>
      <c r="AJ29" s="29">
        <f t="shared" si="169"/>
        <v>154.5</v>
      </c>
      <c r="AK29" s="27">
        <f t="shared" si="169"/>
        <v>174.1</v>
      </c>
      <c r="AL29" s="27">
        <f t="shared" si="169"/>
        <v>161.69999999999999</v>
      </c>
      <c r="AM29" s="28">
        <f t="shared" si="169"/>
        <v>166.1</v>
      </c>
      <c r="AN29" s="29">
        <f t="shared" si="169"/>
        <v>186.4</v>
      </c>
      <c r="AO29" s="27">
        <f t="shared" si="169"/>
        <v>187.9</v>
      </c>
      <c r="AP29" s="27">
        <f t="shared" si="169"/>
        <v>181.4</v>
      </c>
      <c r="AQ29" s="28">
        <f t="shared" si="169"/>
        <v>199.2</v>
      </c>
      <c r="AR29" s="29">
        <f t="shared" si="169"/>
        <v>148.4</v>
      </c>
      <c r="AS29" s="27">
        <f t="shared" si="169"/>
        <v>151.4</v>
      </c>
      <c r="AT29" s="27">
        <f t="shared" si="169"/>
        <v>153.4</v>
      </c>
      <c r="AU29" s="28">
        <f t="shared" si="169"/>
        <v>150.5</v>
      </c>
      <c r="AV29" s="29">
        <f t="shared" si="169"/>
        <v>165.5</v>
      </c>
      <c r="AW29" s="27">
        <f t="shared" si="169"/>
        <v>159.5</v>
      </c>
      <c r="AX29" s="27">
        <f t="shared" si="169"/>
        <v>167.7</v>
      </c>
      <c r="AY29" s="28">
        <f t="shared" si="169"/>
        <v>162.9</v>
      </c>
      <c r="AZ29" s="29">
        <f t="shared" si="169"/>
        <v>183</v>
      </c>
      <c r="BA29" s="27">
        <f t="shared" si="169"/>
        <v>243</v>
      </c>
      <c r="BB29" s="27">
        <f t="shared" si="169"/>
        <v>195</v>
      </c>
      <c r="BC29" s="28">
        <f t="shared" si="169"/>
        <v>184</v>
      </c>
      <c r="BD29" s="29">
        <f t="shared" si="169"/>
        <v>163</v>
      </c>
      <c r="BE29" s="27">
        <f t="shared" si="169"/>
        <v>180</v>
      </c>
      <c r="BF29" s="27">
        <f t="shared" si="169"/>
        <v>170</v>
      </c>
      <c r="BG29" s="28">
        <f t="shared" si="169"/>
        <v>167</v>
      </c>
      <c r="BH29" s="29">
        <f t="shared" si="169"/>
        <v>178</v>
      </c>
      <c r="BI29" s="27">
        <f t="shared" si="169"/>
        <v>168</v>
      </c>
      <c r="BJ29" s="27">
        <f t="shared" si="169"/>
        <v>162</v>
      </c>
      <c r="BK29" s="28">
        <f t="shared" si="169"/>
        <v>139</v>
      </c>
      <c r="BL29" s="29">
        <f t="shared" si="169"/>
        <v>137</v>
      </c>
      <c r="BM29" s="27">
        <f t="shared" si="169"/>
        <v>148</v>
      </c>
      <c r="BN29" s="27">
        <f t="shared" si="169"/>
        <v>142</v>
      </c>
      <c r="BO29" s="28">
        <f t="shared" si="169"/>
        <v>197</v>
      </c>
      <c r="BP29" s="29">
        <f t="shared" si="169"/>
        <v>185</v>
      </c>
      <c r="BQ29" s="27">
        <f t="shared" ref="BQ29:CB29" si="170">+BQ24-BQ27-BQ28</f>
        <v>186</v>
      </c>
      <c r="BR29" s="27">
        <f t="shared" si="170"/>
        <v>211</v>
      </c>
      <c r="BS29" s="28">
        <f t="shared" si="170"/>
        <v>209</v>
      </c>
      <c r="BT29" s="29">
        <f t="shared" si="170"/>
        <v>230</v>
      </c>
      <c r="BU29" s="27">
        <f t="shared" si="170"/>
        <v>222</v>
      </c>
      <c r="BV29" s="27">
        <f t="shared" si="170"/>
        <v>231</v>
      </c>
      <c r="BW29" s="28">
        <f t="shared" si="170"/>
        <v>235</v>
      </c>
      <c r="BX29" s="29">
        <f t="shared" si="170"/>
        <v>224</v>
      </c>
      <c r="BY29" s="27">
        <f t="shared" si="170"/>
        <v>214</v>
      </c>
      <c r="BZ29" s="27">
        <f t="shared" si="170"/>
        <v>226</v>
      </c>
      <c r="CA29" s="28">
        <f t="shared" si="170"/>
        <v>267</v>
      </c>
      <c r="CB29" s="29">
        <f t="shared" si="170"/>
        <v>320</v>
      </c>
      <c r="CC29" s="27">
        <f t="shared" ref="CC29:CI29" si="171">+CC24-CC27-CC28</f>
        <v>344</v>
      </c>
      <c r="CD29" s="27">
        <f t="shared" si="171"/>
        <v>349</v>
      </c>
      <c r="CE29" s="28">
        <f t="shared" si="171"/>
        <v>358</v>
      </c>
      <c r="CF29" s="29">
        <f t="shared" si="171"/>
        <v>376</v>
      </c>
      <c r="CG29" s="27">
        <f t="shared" si="171"/>
        <v>379</v>
      </c>
      <c r="CH29" s="27">
        <f t="shared" si="171"/>
        <v>406</v>
      </c>
      <c r="CI29" s="28">
        <f t="shared" si="171"/>
        <v>379</v>
      </c>
      <c r="CJ29" s="29">
        <f t="shared" ref="CJ29:CO29" si="172">+CJ24-CJ27-CJ28</f>
        <v>421</v>
      </c>
      <c r="CK29" s="27">
        <f t="shared" si="172"/>
        <v>403</v>
      </c>
      <c r="CL29" s="27">
        <f t="shared" si="172"/>
        <v>382</v>
      </c>
      <c r="CM29" s="28">
        <f t="shared" si="172"/>
        <v>411</v>
      </c>
      <c r="CN29" s="29">
        <f t="shared" ref="CN29" si="173">+CN24-CN27-CN28</f>
        <v>457</v>
      </c>
      <c r="CO29" s="27">
        <f t="shared" si="172"/>
        <v>459</v>
      </c>
      <c r="CP29" s="27">
        <f t="shared" ref="CP29:CS29" si="174">+CP24-CP27-CP28</f>
        <v>420</v>
      </c>
      <c r="CQ29" s="28">
        <f t="shared" si="174"/>
        <v>433</v>
      </c>
      <c r="CR29" s="29">
        <f t="shared" si="174"/>
        <v>434</v>
      </c>
      <c r="CS29" s="27">
        <f t="shared" si="174"/>
        <v>509</v>
      </c>
      <c r="CT29" s="27">
        <f t="shared" ref="CT29:CU29" si="175">+CT24-CT27-CT28</f>
        <v>530</v>
      </c>
      <c r="CU29" s="28">
        <f t="shared" si="175"/>
        <v>460</v>
      </c>
      <c r="CV29" s="29">
        <f t="shared" ref="CV29:CY29" si="176">+CV24-CV27-CV28</f>
        <v>482</v>
      </c>
      <c r="CW29" s="27">
        <f t="shared" si="176"/>
        <v>482</v>
      </c>
      <c r="CX29" s="27">
        <f t="shared" si="176"/>
        <v>482</v>
      </c>
      <c r="CY29" s="28">
        <f t="shared" si="176"/>
        <v>482</v>
      </c>
      <c r="CZ29" s="29">
        <f t="shared" ref="CZ29:DC29" si="177">+CZ24-CZ27-CZ28</f>
        <v>470</v>
      </c>
      <c r="DA29" s="27">
        <f t="shared" si="177"/>
        <v>470</v>
      </c>
      <c r="DB29" s="27">
        <f t="shared" si="177"/>
        <v>475</v>
      </c>
      <c r="DC29" s="28">
        <f t="shared" si="177"/>
        <v>480</v>
      </c>
      <c r="DD29" s="153"/>
      <c r="DE29" s="27">
        <f t="shared" ref="DE29:EB29" si="178">+DE24-DE27-DE28</f>
        <v>128.80000000000001</v>
      </c>
      <c r="DF29" s="27">
        <f t="shared" si="178"/>
        <v>191.9</v>
      </c>
      <c r="DG29" s="27">
        <f t="shared" si="178"/>
        <v>208.89999999999998</v>
      </c>
      <c r="DH29" s="27">
        <f t="shared" si="178"/>
        <v>286.39999999999998</v>
      </c>
      <c r="DI29" s="27">
        <f t="shared" si="178"/>
        <v>322.09999999999997</v>
      </c>
      <c r="DJ29" s="27">
        <f t="shared" si="178"/>
        <v>427</v>
      </c>
      <c r="DK29" s="27">
        <f t="shared" si="178"/>
        <v>489.5</v>
      </c>
      <c r="DL29" s="27">
        <f t="shared" si="178"/>
        <v>561.29999999999995</v>
      </c>
      <c r="DM29" s="27">
        <f t="shared" si="178"/>
        <v>656.4</v>
      </c>
      <c r="DN29" s="27">
        <f t="shared" si="178"/>
        <v>754.90000000000009</v>
      </c>
      <c r="DO29" s="27">
        <f t="shared" si="178"/>
        <v>603.70000000000005</v>
      </c>
      <c r="DP29" s="27">
        <f t="shared" si="178"/>
        <v>655.6</v>
      </c>
      <c r="DQ29" s="27">
        <f t="shared" si="178"/>
        <v>805</v>
      </c>
      <c r="DR29" s="27">
        <f t="shared" si="178"/>
        <v>680</v>
      </c>
      <c r="DS29" s="27">
        <f t="shared" si="178"/>
        <v>647</v>
      </c>
      <c r="DT29" s="27">
        <f t="shared" si="178"/>
        <v>624</v>
      </c>
      <c r="DU29" s="27">
        <f t="shared" si="178"/>
        <v>791</v>
      </c>
      <c r="DV29" s="27">
        <f t="shared" si="178"/>
        <v>918</v>
      </c>
      <c r="DW29" s="27">
        <f t="shared" si="178"/>
        <v>931</v>
      </c>
      <c r="DX29" s="27">
        <f t="shared" si="178"/>
        <v>1371</v>
      </c>
      <c r="DY29" s="27">
        <f t="shared" si="178"/>
        <v>1540</v>
      </c>
      <c r="DZ29" s="27">
        <f t="shared" si="178"/>
        <v>1617</v>
      </c>
      <c r="EA29" s="27">
        <f t="shared" si="178"/>
        <v>1769</v>
      </c>
      <c r="EB29" s="27">
        <f t="shared" si="178"/>
        <v>1933</v>
      </c>
      <c r="EC29" s="28">
        <f t="shared" ref="EC29:ED29" si="179">+EC24-EC27-EC28</f>
        <v>1928</v>
      </c>
      <c r="ED29" s="28">
        <f t="shared" si="179"/>
        <v>1895</v>
      </c>
      <c r="EE29" s="1364"/>
      <c r="EF29" s="29">
        <f>+EF24-EF27-EF28</f>
        <v>148.4</v>
      </c>
      <c r="EG29" s="27">
        <f>+EG24-EG27-EG28</f>
        <v>192.5</v>
      </c>
      <c r="EH29" s="27">
        <f>+EH24-EH27-EH28</f>
        <v>228.89999999999998</v>
      </c>
      <c r="EI29" s="27">
        <f t="shared" ref="EI29:EY29" si="180">+EI24-EI27-EI28</f>
        <v>286.89999999999998</v>
      </c>
      <c r="EJ29" s="27">
        <f t="shared" si="180"/>
        <v>345.9</v>
      </c>
      <c r="EK29" s="27">
        <f t="shared" si="180"/>
        <v>474.5</v>
      </c>
      <c r="EL29" s="27">
        <f t="shared" si="180"/>
        <v>505</v>
      </c>
      <c r="EM29" s="27">
        <f t="shared" si="180"/>
        <v>561.29999999999995</v>
      </c>
      <c r="EN29" s="27">
        <f t="shared" si="180"/>
        <v>688.3</v>
      </c>
      <c r="EO29" s="27">
        <f t="shared" si="180"/>
        <v>716.9</v>
      </c>
      <c r="EP29" s="27">
        <f t="shared" si="180"/>
        <v>620.79999999999995</v>
      </c>
      <c r="EQ29" s="27">
        <f t="shared" si="180"/>
        <v>673.1</v>
      </c>
      <c r="ER29" s="27">
        <f t="shared" si="180"/>
        <v>785</v>
      </c>
      <c r="ES29" s="27">
        <f t="shared" si="180"/>
        <v>695</v>
      </c>
      <c r="ET29" s="27">
        <f t="shared" si="180"/>
        <v>606</v>
      </c>
      <c r="EU29" s="27">
        <f t="shared" si="180"/>
        <v>672</v>
      </c>
      <c r="EV29" s="27">
        <f t="shared" si="180"/>
        <v>836</v>
      </c>
      <c r="EW29" s="27">
        <f t="shared" si="180"/>
        <v>912</v>
      </c>
      <c r="EX29" s="27">
        <f t="shared" si="180"/>
        <v>1027</v>
      </c>
      <c r="EY29" s="27">
        <f t="shared" si="180"/>
        <v>1427</v>
      </c>
      <c r="EZ29" s="27">
        <f t="shared" ref="EZ29:FA29" si="181">+EZ24-EZ27-EZ28</f>
        <v>1585</v>
      </c>
      <c r="FA29" s="27">
        <f t="shared" si="181"/>
        <v>1653</v>
      </c>
      <c r="FB29" s="27">
        <f t="shared" ref="FB29:FC29" si="182">+FB24-FB27-FB28</f>
        <v>1746</v>
      </c>
      <c r="FC29" s="27">
        <f t="shared" si="182"/>
        <v>1981</v>
      </c>
      <c r="FD29" s="28">
        <f t="shared" ref="FD29" si="183">+FD24-FD27-FD28</f>
        <v>1916</v>
      </c>
      <c r="FE29" s="299"/>
      <c r="FF29" s="299"/>
      <c r="FG29" s="299"/>
      <c r="FH29" s="299"/>
      <c r="FI29"/>
      <c r="FJ29"/>
      <c r="FK29"/>
      <c r="FL29"/>
      <c r="FM29"/>
      <c r="FN29"/>
      <c r="FO29" s="10"/>
    </row>
    <row r="30" spans="1:172" s="735" customFormat="1" ht="14.25" hidden="1" customHeight="1" outlineLevel="1">
      <c r="A30" s="733"/>
      <c r="B30" s="682" t="s">
        <v>213</v>
      </c>
      <c r="C30" s="616"/>
      <c r="D30" s="614">
        <f t="shared" ref="D30:AI30" si="184">+D29/D$7</f>
        <v>5.046728971962617E-2</v>
      </c>
      <c r="E30" s="1213">
        <f t="shared" si="184"/>
        <v>4.5982498011137629E-2</v>
      </c>
      <c r="F30" s="1213">
        <f t="shared" si="184"/>
        <v>4.4140830267997901E-2</v>
      </c>
      <c r="G30" s="613">
        <f t="shared" si="184"/>
        <v>3.8229571984435794E-2</v>
      </c>
      <c r="H30" s="614">
        <f t="shared" si="184"/>
        <v>3.9298363973688653E-2</v>
      </c>
      <c r="I30" s="1213">
        <f t="shared" si="184"/>
        <v>4.8168590065228299E-2</v>
      </c>
      <c r="J30" s="1213">
        <f t="shared" si="184"/>
        <v>6.6407263294422827E-2</v>
      </c>
      <c r="K30" s="613">
        <f t="shared" si="184"/>
        <v>6.5810135617416138E-2</v>
      </c>
      <c r="L30" s="614">
        <f t="shared" si="184"/>
        <v>6.4826260129103142E-2</v>
      </c>
      <c r="M30" s="1213">
        <f t="shared" si="184"/>
        <v>5.3412462908011861E-2</v>
      </c>
      <c r="N30" s="1213">
        <f t="shared" si="184"/>
        <v>5.450777202072539E-2</v>
      </c>
      <c r="O30" s="613">
        <f t="shared" si="184"/>
        <v>6.5842316634960887E-2</v>
      </c>
      <c r="P30" s="614">
        <f t="shared" si="184"/>
        <v>7.0197430272641817E-2</v>
      </c>
      <c r="Q30" s="1213">
        <f t="shared" si="184"/>
        <v>9.4339622641509427E-2</v>
      </c>
      <c r="R30" s="1213">
        <f t="shared" si="184"/>
        <v>0.11539089276970785</v>
      </c>
      <c r="S30" s="613">
        <f t="shared" si="184"/>
        <v>0.11053315994798439</v>
      </c>
      <c r="T30" s="614">
        <f t="shared" si="184"/>
        <v>8.5307459677419359E-2</v>
      </c>
      <c r="U30" s="1213">
        <f t="shared" si="184"/>
        <v>8.3349580814973678E-2</v>
      </c>
      <c r="V30" s="1213">
        <f t="shared" si="184"/>
        <v>9.4466311646214399E-2</v>
      </c>
      <c r="W30" s="613">
        <f t="shared" si="184"/>
        <v>8.0773501110288679E-2</v>
      </c>
      <c r="X30" s="614">
        <f t="shared" si="184"/>
        <v>6.8095557043983027E-2</v>
      </c>
      <c r="Y30" s="1213">
        <f t="shared" si="184"/>
        <v>8.9120869640238118E-2</v>
      </c>
      <c r="Z30" s="1213">
        <f t="shared" si="184"/>
        <v>6.4680139014030122E-2</v>
      </c>
      <c r="AA30" s="613">
        <f t="shared" si="184"/>
        <v>5.7116835805360387E-2</v>
      </c>
      <c r="AB30" s="614">
        <f t="shared" si="184"/>
        <v>8.8444896920335969E-2</v>
      </c>
      <c r="AC30" s="1213">
        <f t="shared" si="184"/>
        <v>0.12283006474617622</v>
      </c>
      <c r="AD30" s="1213">
        <f t="shared" si="184"/>
        <v>0.13992423316632044</v>
      </c>
      <c r="AE30" s="613">
        <f t="shared" si="184"/>
        <v>0.21882156985217543</v>
      </c>
      <c r="AF30" s="614">
        <f t="shared" si="184"/>
        <v>0.36447275300778487</v>
      </c>
      <c r="AG30" s="1213">
        <f t="shared" si="184"/>
        <v>0.21040408732001858</v>
      </c>
      <c r="AH30" s="1213">
        <f t="shared" si="184"/>
        <v>0.17427385892116182</v>
      </c>
      <c r="AI30" s="613">
        <f t="shared" si="184"/>
        <v>0.18248663101604279</v>
      </c>
      <c r="AJ30" s="614">
        <f t="shared" ref="AJ30:BO30" si="185">+AJ29/AJ$7</f>
        <v>0.22551452342723688</v>
      </c>
      <c r="AK30" s="1213">
        <f t="shared" si="185"/>
        <v>0.22178343949044585</v>
      </c>
      <c r="AL30" s="1213">
        <f t="shared" si="185"/>
        <v>0.22069059642418448</v>
      </c>
      <c r="AM30" s="613">
        <f t="shared" si="185"/>
        <v>0.18694428812605515</v>
      </c>
      <c r="AN30" s="614">
        <f t="shared" si="185"/>
        <v>0.16835260115606937</v>
      </c>
      <c r="AO30" s="1213">
        <f t="shared" si="185"/>
        <v>0.18960645812310797</v>
      </c>
      <c r="AP30" s="1213">
        <f t="shared" si="185"/>
        <v>0.16242836676217767</v>
      </c>
      <c r="AQ30" s="613">
        <f t="shared" si="185"/>
        <v>0.16750756811301715</v>
      </c>
      <c r="AR30" s="614">
        <f t="shared" si="185"/>
        <v>0.11774974212489091</v>
      </c>
      <c r="AS30" s="1213">
        <f t="shared" si="185"/>
        <v>0.11575808548054133</v>
      </c>
      <c r="AT30" s="1213">
        <f t="shared" si="185"/>
        <v>0.14551318535382279</v>
      </c>
      <c r="AU30" s="613">
        <f t="shared" si="185"/>
        <v>0.11965336301478773</v>
      </c>
      <c r="AV30" s="614">
        <f t="shared" si="185"/>
        <v>0.12153032750771038</v>
      </c>
      <c r="AW30" s="1213">
        <f t="shared" si="185"/>
        <v>0.13020408163265307</v>
      </c>
      <c r="AX30" s="1213">
        <f t="shared" si="185"/>
        <v>0.1277909014707003</v>
      </c>
      <c r="AY30" s="613">
        <f t="shared" si="185"/>
        <v>0.11861074705111402</v>
      </c>
      <c r="AZ30" s="614">
        <f t="shared" si="185"/>
        <v>0.11960784313725491</v>
      </c>
      <c r="BA30" s="1213">
        <f t="shared" si="185"/>
        <v>0.1702873160476524</v>
      </c>
      <c r="BB30" s="1213">
        <f t="shared" si="185"/>
        <v>0.15069551777434312</v>
      </c>
      <c r="BC30" s="613">
        <f t="shared" si="185"/>
        <v>0.12804453723034098</v>
      </c>
      <c r="BD30" s="614">
        <f t="shared" si="185"/>
        <v>0.10618892508143322</v>
      </c>
      <c r="BE30" s="1213">
        <f t="shared" si="185"/>
        <v>0.13245033112582782</v>
      </c>
      <c r="BF30" s="1213">
        <f t="shared" si="185"/>
        <v>0.11348464619492657</v>
      </c>
      <c r="BG30" s="613">
        <f t="shared" si="185"/>
        <v>0.11525189786059352</v>
      </c>
      <c r="BH30" s="614">
        <f t="shared" si="185"/>
        <v>0.12696148359486448</v>
      </c>
      <c r="BI30" s="1213">
        <f t="shared" si="185"/>
        <v>0.16918429003021149</v>
      </c>
      <c r="BJ30" s="1213">
        <f t="shared" si="185"/>
        <v>0.14647377938517178</v>
      </c>
      <c r="BK30" s="613">
        <f t="shared" si="185"/>
        <v>0.10675883256528418</v>
      </c>
      <c r="BL30" s="614">
        <f t="shared" si="185"/>
        <v>7.8735632183908041E-2</v>
      </c>
      <c r="BM30" s="1213">
        <f t="shared" si="185"/>
        <v>7.5471698113207544E-2</v>
      </c>
      <c r="BN30" s="1213">
        <f t="shared" si="185"/>
        <v>6.2062937062937064E-2</v>
      </c>
      <c r="BO30" s="613">
        <f t="shared" si="185"/>
        <v>7.9021259526674686E-2</v>
      </c>
      <c r="BP30" s="614">
        <f t="shared" ref="BP30:CI30" si="186">+BP29/BP$7</f>
        <v>8.214920071047957E-2</v>
      </c>
      <c r="BQ30" s="1213">
        <f t="shared" si="186"/>
        <v>8.2410279131590602E-2</v>
      </c>
      <c r="BR30" s="1213">
        <f t="shared" si="186"/>
        <v>9.8644226273959801E-2</v>
      </c>
      <c r="BS30" s="613">
        <f t="shared" si="186"/>
        <v>9.7663551401869164E-2</v>
      </c>
      <c r="BT30" s="614">
        <f t="shared" si="186"/>
        <v>0.11004784688995216</v>
      </c>
      <c r="BU30" s="1213">
        <f t="shared" si="186"/>
        <v>0.11050273768043803</v>
      </c>
      <c r="BV30" s="1213">
        <f t="shared" si="186"/>
        <v>0.106353591160221</v>
      </c>
      <c r="BW30" s="613">
        <f t="shared" si="186"/>
        <v>0.11971472236372899</v>
      </c>
      <c r="BX30" s="614">
        <f t="shared" si="186"/>
        <v>0.12213740458015267</v>
      </c>
      <c r="BY30" s="612">
        <f t="shared" si="186"/>
        <v>0.10298363811357074</v>
      </c>
      <c r="BZ30" s="612">
        <f t="shared" si="186"/>
        <v>9.7497842968075926E-2</v>
      </c>
      <c r="CA30" s="613">
        <f t="shared" si="186"/>
        <v>9.391487864931411E-2</v>
      </c>
      <c r="CB30" s="614">
        <f t="shared" si="186"/>
        <v>7.9168728352300835E-2</v>
      </c>
      <c r="CC30" s="612">
        <f>+CC29/CC$7</f>
        <v>8.3759435110786457E-2</v>
      </c>
      <c r="CD30" s="612">
        <f>+CD29/CD$7</f>
        <v>8.7644399799095926E-2</v>
      </c>
      <c r="CE30" s="613">
        <f>+CE29/CE$7</f>
        <v>8.4693636148568729E-2</v>
      </c>
      <c r="CF30" s="614">
        <f t="shared" si="186"/>
        <v>8.2221736278154378E-2</v>
      </c>
      <c r="CG30" s="612">
        <f t="shared" si="186"/>
        <v>9.0974555928948625E-2</v>
      </c>
      <c r="CH30" s="612">
        <f t="shared" si="186"/>
        <v>0.10537243706202959</v>
      </c>
      <c r="CI30" s="613">
        <f t="shared" si="186"/>
        <v>0.10527777777777778</v>
      </c>
      <c r="CJ30" s="614">
        <f t="shared" ref="CJ30:CO30" si="187">+CJ29/CJ$7</f>
        <v>0.12567164179104479</v>
      </c>
      <c r="CK30" s="612">
        <f t="shared" si="187"/>
        <v>0.13735514655760053</v>
      </c>
      <c r="CL30" s="612">
        <f t="shared" si="187"/>
        <v>0.13181504485852311</v>
      </c>
      <c r="CM30" s="613">
        <f t="shared" si="187"/>
        <v>0.12775878147342246</v>
      </c>
      <c r="CN30" s="614">
        <f t="shared" ref="CN30" si="188">+CN29/CN$7</f>
        <v>0.11511335012594459</v>
      </c>
      <c r="CO30" s="1213">
        <f t="shared" si="187"/>
        <v>9.8752151462994833E-2</v>
      </c>
      <c r="CP30" s="1213">
        <f t="shared" ref="CP30:CS30" si="189">+CP29/CP$7</f>
        <v>7.545813869924542E-2</v>
      </c>
      <c r="CQ30" s="613">
        <f t="shared" si="189"/>
        <v>7.0544151189312482E-2</v>
      </c>
      <c r="CR30" s="614">
        <f t="shared" si="189"/>
        <v>6.379538438924004E-2</v>
      </c>
      <c r="CS30" s="1213">
        <f t="shared" si="189"/>
        <v>6.9242279961909944E-2</v>
      </c>
      <c r="CT30" s="612">
        <f t="shared" ref="CT30:CU30" si="190">+CT29/CT$7</f>
        <v>6.9688527526347174E-2</v>
      </c>
      <c r="CU30" s="613">
        <f t="shared" si="190"/>
        <v>5.9897782626437995E-2</v>
      </c>
      <c r="CV30" s="614">
        <f t="shared" ref="CV30:CY30" si="191">+CV29/CV$7</f>
        <v>6.4713046812093472E-2</v>
      </c>
      <c r="CW30" s="1213">
        <f t="shared" si="191"/>
        <v>7.1039060407908611E-2</v>
      </c>
      <c r="CX30" s="1213">
        <f t="shared" si="191"/>
        <v>7.238034380214646E-2</v>
      </c>
      <c r="CY30" s="613">
        <f t="shared" si="191"/>
        <v>7.2211934005052381E-2</v>
      </c>
      <c r="CZ30" s="614">
        <f t="shared" ref="CZ30:DC30" si="192">+CZ29/CZ$7</f>
        <v>7.1569149204670932E-2</v>
      </c>
      <c r="DA30" s="1213">
        <f t="shared" si="192"/>
        <v>7.1662662021085746E-2</v>
      </c>
      <c r="DB30" s="1213">
        <f t="shared" si="192"/>
        <v>7.2112065656715199E-2</v>
      </c>
      <c r="DC30" s="613">
        <f t="shared" si="192"/>
        <v>7.1969147268366063E-2</v>
      </c>
      <c r="DD30" s="734"/>
      <c r="DE30" s="612">
        <f t="shared" ref="DE30:EB30" si="193">+DE29/DE$7</f>
        <v>4.362109255935246E-2</v>
      </c>
      <c r="DF30" s="612">
        <f t="shared" si="193"/>
        <v>5.2520663418906342E-2</v>
      </c>
      <c r="DG30" s="612">
        <f t="shared" si="193"/>
        <v>5.9422557246479865E-2</v>
      </c>
      <c r="DH30" s="612">
        <f t="shared" si="193"/>
        <v>9.4668297358939613E-2</v>
      </c>
      <c r="DI30" s="612">
        <f t="shared" si="193"/>
        <v>8.5573857598299677E-2</v>
      </c>
      <c r="DJ30" s="612">
        <f t="shared" si="193"/>
        <v>6.7113039104740341E-2</v>
      </c>
      <c r="DK30" s="612">
        <f t="shared" si="193"/>
        <v>0.12436799715439921</v>
      </c>
      <c r="DL30" s="612">
        <f t="shared" si="193"/>
        <v>0.21680185399768248</v>
      </c>
      <c r="DM30" s="612">
        <f t="shared" si="193"/>
        <v>0.21233785138938308</v>
      </c>
      <c r="DN30" s="612">
        <f t="shared" si="193"/>
        <v>0.17140456836655923</v>
      </c>
      <c r="DO30" s="612">
        <f t="shared" si="193"/>
        <v>0.12370394655956725</v>
      </c>
      <c r="DP30" s="612">
        <f t="shared" si="193"/>
        <v>0.12434329065908013</v>
      </c>
      <c r="DQ30" s="612">
        <f t="shared" si="193"/>
        <v>0.14152601969057665</v>
      </c>
      <c r="DR30" s="612">
        <f t="shared" si="193"/>
        <v>0.11641842150316727</v>
      </c>
      <c r="DS30" s="612">
        <f t="shared" si="193"/>
        <v>0.13470747449510723</v>
      </c>
      <c r="DT30" s="1213">
        <f t="shared" si="193"/>
        <v>7.3567554821975953E-2</v>
      </c>
      <c r="DU30" s="1213">
        <f t="shared" si="193"/>
        <v>9.0009103322712794E-2</v>
      </c>
      <c r="DV30" s="1213">
        <f t="shared" si="193"/>
        <v>0.11148894826329851</v>
      </c>
      <c r="DW30" s="1213">
        <f t="shared" si="193"/>
        <v>0.10261214592747712</v>
      </c>
      <c r="DX30" s="1213">
        <f t="shared" si="193"/>
        <v>8.3812201980682233E-2</v>
      </c>
      <c r="DY30" s="1213">
        <f t="shared" si="193"/>
        <v>9.5108695652173919E-2</v>
      </c>
      <c r="DZ30" s="1213">
        <f t="shared" si="193"/>
        <v>0.13041374304379386</v>
      </c>
      <c r="EA30" s="1213">
        <f t="shared" si="193"/>
        <v>8.7048518846570222E-2</v>
      </c>
      <c r="EB30" s="1213">
        <f t="shared" si="193"/>
        <v>6.566115514640404E-2</v>
      </c>
      <c r="EC30" s="613">
        <f t="shared" ref="EC30:ED30" si="194">+EC29/EC$7</f>
        <v>6.9937859194318927E-2</v>
      </c>
      <c r="ED30" s="613">
        <f t="shared" si="194"/>
        <v>7.182907096449509E-2</v>
      </c>
      <c r="EE30" s="1364"/>
      <c r="EF30" s="614">
        <f t="shared" ref="EF30:EY30" si="195">+EF29/EF$7</f>
        <v>4.1182183987789653E-2</v>
      </c>
      <c r="EG30" s="612">
        <f t="shared" si="195"/>
        <v>6.0229654891899506E-2</v>
      </c>
      <c r="EH30" s="612">
        <f t="shared" si="195"/>
        <v>6.1126391967313801E-2</v>
      </c>
      <c r="EI30" s="612">
        <f t="shared" si="195"/>
        <v>0.10025859658932065</v>
      </c>
      <c r="EJ30" s="612">
        <f t="shared" si="195"/>
        <v>8.0178948100414926E-2</v>
      </c>
      <c r="EK30" s="612">
        <f t="shared" si="195"/>
        <v>7.1999757218943E-2</v>
      </c>
      <c r="EL30" s="612">
        <f t="shared" si="195"/>
        <v>0.18112043612366396</v>
      </c>
      <c r="EM30" s="612">
        <f t="shared" si="195"/>
        <v>0.19693354852291067</v>
      </c>
      <c r="EN30" s="612">
        <f t="shared" si="195"/>
        <v>0.19590709853702967</v>
      </c>
      <c r="EO30" s="612">
        <f t="shared" si="195"/>
        <v>0.1573080552081276</v>
      </c>
      <c r="EP30" s="612">
        <f t="shared" si="195"/>
        <v>0.12461609490736092</v>
      </c>
      <c r="EQ30" s="612">
        <f t="shared" si="195"/>
        <v>0.12371569834763908</v>
      </c>
      <c r="ER30" s="612">
        <f t="shared" si="195"/>
        <v>0.13788863516599331</v>
      </c>
      <c r="ES30" s="612">
        <f t="shared" si="195"/>
        <v>0.12175893482831114</v>
      </c>
      <c r="ET30" s="1213">
        <f t="shared" si="195"/>
        <v>0.1178758996304221</v>
      </c>
      <c r="EU30" s="1213">
        <f t="shared" si="195"/>
        <v>7.4716477651767851E-2</v>
      </c>
      <c r="EV30" s="612">
        <f t="shared" si="195"/>
        <v>9.6916299559471369E-2</v>
      </c>
      <c r="EW30" s="612">
        <f t="shared" si="195"/>
        <v>0.11431436450238155</v>
      </c>
      <c r="EX30" s="612">
        <f t="shared" si="195"/>
        <v>9.1038028543568836E-2</v>
      </c>
      <c r="EY30" s="612">
        <f t="shared" si="195"/>
        <v>8.4492865178518561E-2</v>
      </c>
      <c r="EZ30" s="1213">
        <f t="shared" ref="EZ30:FA30" si="196">+EZ29/EZ$7</f>
        <v>0.10588549669316588</v>
      </c>
      <c r="FA30" s="1213">
        <f t="shared" si="196"/>
        <v>0.12696827713342038</v>
      </c>
      <c r="FB30" s="1213">
        <f t="shared" ref="FB30:FC30" si="197">+FB29/FB$7</f>
        <v>7.5404880155473974E-2</v>
      </c>
      <c r="FC30" s="1213">
        <f t="shared" si="197"/>
        <v>6.584833177809106E-2</v>
      </c>
      <c r="FD30" s="613">
        <f t="shared" ref="FD30" si="198">+FD29/FD$7</f>
        <v>7.1797573663985564E-2</v>
      </c>
      <c r="FE30" s="1176"/>
      <c r="FF30" s="1176"/>
      <c r="FG30" s="1176"/>
      <c r="FH30" s="1176"/>
      <c r="FI30"/>
      <c r="FJ30"/>
      <c r="FK30"/>
      <c r="FL30"/>
      <c r="FM30"/>
      <c r="FN30"/>
      <c r="FO30" s="733"/>
    </row>
    <row r="31" spans="1:172" s="330" customFormat="1" ht="14.25" hidden="1" customHeight="1" outlineLevel="1">
      <c r="A31" s="10"/>
      <c r="B31" s="673"/>
      <c r="C31" s="49"/>
      <c r="D31" s="40"/>
      <c r="E31" s="38"/>
      <c r="F31" s="38"/>
      <c r="G31" s="39"/>
      <c r="H31" s="40"/>
      <c r="I31" s="38"/>
      <c r="J31" s="38"/>
      <c r="K31" s="39"/>
      <c r="L31" s="40"/>
      <c r="M31" s="38"/>
      <c r="N31" s="38"/>
      <c r="O31" s="39"/>
      <c r="P31" s="40"/>
      <c r="Q31" s="38"/>
      <c r="R31" s="38"/>
      <c r="S31" s="39"/>
      <c r="T31" s="40"/>
      <c r="U31" s="38"/>
      <c r="V31" s="38"/>
      <c r="W31" s="39"/>
      <c r="X31" s="40"/>
      <c r="Y31" s="38"/>
      <c r="Z31" s="38"/>
      <c r="AA31" s="39"/>
      <c r="AB31" s="40"/>
      <c r="AC31" s="38"/>
      <c r="AD31" s="38"/>
      <c r="AE31" s="39"/>
      <c r="AF31" s="40"/>
      <c r="AG31" s="38"/>
      <c r="AH31" s="38"/>
      <c r="AI31" s="39"/>
      <c r="AJ31" s="40"/>
      <c r="AK31" s="38"/>
      <c r="AL31" s="38"/>
      <c r="AM31" s="39"/>
      <c r="AN31" s="40"/>
      <c r="AO31" s="38"/>
      <c r="AP31" s="38"/>
      <c r="AQ31" s="39"/>
      <c r="AR31" s="40"/>
      <c r="AS31" s="38"/>
      <c r="AT31" s="38"/>
      <c r="AU31" s="39"/>
      <c r="AV31" s="40"/>
      <c r="AW31" s="38"/>
      <c r="AX31" s="38"/>
      <c r="AY31" s="39"/>
      <c r="AZ31" s="40"/>
      <c r="BA31" s="38"/>
      <c r="BB31" s="38"/>
      <c r="BC31" s="39"/>
      <c r="BD31" s="40"/>
      <c r="BE31" s="38"/>
      <c r="BF31" s="38"/>
      <c r="BG31" s="39"/>
      <c r="BH31" s="40"/>
      <c r="BI31" s="38"/>
      <c r="BJ31" s="38"/>
      <c r="BK31" s="39"/>
      <c r="BL31" s="40"/>
      <c r="BM31" s="38"/>
      <c r="BN31" s="38"/>
      <c r="BO31" s="39"/>
      <c r="BP31" s="40"/>
      <c r="BQ31" s="38"/>
      <c r="BR31" s="38"/>
      <c r="BS31" s="39"/>
      <c r="BT31" s="40"/>
      <c r="BU31" s="38"/>
      <c r="BV31" s="38"/>
      <c r="BW31" s="39"/>
      <c r="BX31" s="40"/>
      <c r="BY31" s="38"/>
      <c r="BZ31" s="38"/>
      <c r="CA31" s="39"/>
      <c r="CB31" s="40"/>
      <c r="CC31" s="38"/>
      <c r="CD31" s="38"/>
      <c r="CE31" s="39"/>
      <c r="CF31" s="40"/>
      <c r="CG31" s="38"/>
      <c r="CH31" s="38"/>
      <c r="CI31" s="39"/>
      <c r="CJ31" s="40"/>
      <c r="CK31" s="38"/>
      <c r="CL31" s="38"/>
      <c r="CM31" s="39"/>
      <c r="CN31" s="40"/>
      <c r="CO31" s="38"/>
      <c r="CP31" s="38"/>
      <c r="CQ31" s="39"/>
      <c r="CR31" s="40"/>
      <c r="CS31" s="38"/>
      <c r="CT31" s="38"/>
      <c r="CU31" s="39"/>
      <c r="CV31" s="40"/>
      <c r="CW31" s="38"/>
      <c r="CX31" s="38"/>
      <c r="CY31" s="39"/>
      <c r="CZ31" s="40"/>
      <c r="DA31" s="38"/>
      <c r="DB31" s="38"/>
      <c r="DC31" s="39"/>
      <c r="DD31" s="153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2"/>
      <c r="ED31" s="42"/>
      <c r="EE31" s="1364"/>
      <c r="EF31" s="50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2"/>
      <c r="FE31" s="299"/>
      <c r="FF31" s="299"/>
      <c r="FG31" s="299"/>
      <c r="FH31" s="299"/>
      <c r="FI31"/>
      <c r="FJ31"/>
      <c r="FK31"/>
      <c r="FL31"/>
      <c r="FM31"/>
      <c r="FN31"/>
      <c r="FO31" s="10"/>
    </row>
    <row r="32" spans="1:172" s="330" customFormat="1" ht="14.25" customHeight="1" collapsed="1">
      <c r="A32" s="10"/>
      <c r="B32" s="673" t="s">
        <v>157</v>
      </c>
      <c r="C32" s="23"/>
      <c r="D32" s="369">
        <v>38.200000000000003</v>
      </c>
      <c r="E32" s="26">
        <v>39</v>
      </c>
      <c r="F32" s="26">
        <v>54.4</v>
      </c>
      <c r="G32" s="368">
        <v>67.099999999999994</v>
      </c>
      <c r="H32" s="369">
        <v>72.7</v>
      </c>
      <c r="I32" s="26">
        <v>75.400000000000006</v>
      </c>
      <c r="J32" s="26">
        <v>63.6</v>
      </c>
      <c r="K32" s="368">
        <v>81.2</v>
      </c>
      <c r="L32" s="369">
        <v>66.599999999999994</v>
      </c>
      <c r="M32" s="26">
        <v>94.9</v>
      </c>
      <c r="N32" s="26">
        <v>93.4</v>
      </c>
      <c r="O32" s="368">
        <v>100.9</v>
      </c>
      <c r="P32" s="369">
        <v>126</v>
      </c>
      <c r="Q32" s="26">
        <v>138.6</v>
      </c>
      <c r="R32" s="26">
        <v>111.4</v>
      </c>
      <c r="S32" s="368">
        <v>100.1</v>
      </c>
      <c r="T32" s="369">
        <v>103</v>
      </c>
      <c r="U32" s="26">
        <v>125.5</v>
      </c>
      <c r="V32" s="26">
        <v>124.1</v>
      </c>
      <c r="W32" s="368">
        <v>133.4</v>
      </c>
      <c r="X32" s="369">
        <v>103.6</v>
      </c>
      <c r="Y32" s="26">
        <v>93.4</v>
      </c>
      <c r="Z32" s="26">
        <v>112.4</v>
      </c>
      <c r="AA32" s="368">
        <v>129.1</v>
      </c>
      <c r="AB32" s="369">
        <v>106.4</v>
      </c>
      <c r="AC32" s="26">
        <v>109</v>
      </c>
      <c r="AD32" s="26">
        <v>104.3</v>
      </c>
      <c r="AE32" s="368">
        <v>204.4</v>
      </c>
      <c r="AF32" s="369">
        <v>79.900000000000006</v>
      </c>
      <c r="AG32" s="26">
        <v>79.3</v>
      </c>
      <c r="AH32" s="26">
        <v>77.2</v>
      </c>
      <c r="AI32" s="368">
        <v>95.9</v>
      </c>
      <c r="AJ32" s="369">
        <v>96.4</v>
      </c>
      <c r="AK32" s="26">
        <v>92.4</v>
      </c>
      <c r="AL32" s="26">
        <v>87.2</v>
      </c>
      <c r="AM32" s="368">
        <v>82.2</v>
      </c>
      <c r="AN32" s="369">
        <v>81.2</v>
      </c>
      <c r="AO32" s="26">
        <v>81.8</v>
      </c>
      <c r="AP32" s="26">
        <v>94.3</v>
      </c>
      <c r="AQ32" s="368">
        <v>74.7</v>
      </c>
      <c r="AR32" s="369">
        <v>86.8</v>
      </c>
      <c r="AS32" s="26">
        <v>84.9</v>
      </c>
      <c r="AT32" s="26">
        <v>88.6</v>
      </c>
      <c r="AU32" s="368">
        <v>88</v>
      </c>
      <c r="AV32" s="369">
        <v>95.3</v>
      </c>
      <c r="AW32" s="26">
        <v>107.8</v>
      </c>
      <c r="AX32" s="26">
        <v>113.2</v>
      </c>
      <c r="AY32" s="368">
        <v>143.4</v>
      </c>
      <c r="AZ32" s="369">
        <v>180</v>
      </c>
      <c r="BA32" s="26">
        <v>153</v>
      </c>
      <c r="BB32" s="26">
        <v>134</v>
      </c>
      <c r="BC32" s="368">
        <v>143</v>
      </c>
      <c r="BD32" s="369">
        <v>112</v>
      </c>
      <c r="BE32" s="26">
        <v>120</v>
      </c>
      <c r="BF32" s="26">
        <v>116</v>
      </c>
      <c r="BG32" s="368">
        <v>107</v>
      </c>
      <c r="BH32" s="369">
        <v>102</v>
      </c>
      <c r="BI32" s="26">
        <v>90</v>
      </c>
      <c r="BJ32" s="26">
        <v>80</v>
      </c>
      <c r="BK32" s="368">
        <v>82</v>
      </c>
      <c r="BL32" s="369">
        <v>97</v>
      </c>
      <c r="BM32" s="26">
        <v>100</v>
      </c>
      <c r="BN32" s="26">
        <v>190</v>
      </c>
      <c r="BO32" s="368">
        <f>528-BN32-BM32-BL32</f>
        <v>141</v>
      </c>
      <c r="BP32" s="369">
        <v>140</v>
      </c>
      <c r="BQ32" s="26">
        <v>146</v>
      </c>
      <c r="BR32" s="26">
        <v>151</v>
      </c>
      <c r="BS32" s="368">
        <f>592-BR32-BQ32-BP32</f>
        <v>155</v>
      </c>
      <c r="BT32" s="369">
        <v>151</v>
      </c>
      <c r="BU32" s="26">
        <v>174</v>
      </c>
      <c r="BV32" s="26">
        <v>156</v>
      </c>
      <c r="BW32" s="368">
        <v>139</v>
      </c>
      <c r="BX32" s="369">
        <v>119</v>
      </c>
      <c r="BY32" s="26">
        <v>123</v>
      </c>
      <c r="BZ32" s="26">
        <v>127</v>
      </c>
      <c r="CA32" s="368">
        <v>193</v>
      </c>
      <c r="CB32" s="369">
        <v>176</v>
      </c>
      <c r="CC32" s="26">
        <v>177</v>
      </c>
      <c r="CD32" s="26">
        <v>174</v>
      </c>
      <c r="CE32" s="368">
        <v>180</v>
      </c>
      <c r="CF32" s="369">
        <v>193</v>
      </c>
      <c r="CG32" s="26">
        <v>187</v>
      </c>
      <c r="CH32" s="26">
        <v>169</v>
      </c>
      <c r="CI32" s="368">
        <v>170</v>
      </c>
      <c r="CJ32" s="369">
        <v>179</v>
      </c>
      <c r="CK32" s="26">
        <v>175</v>
      </c>
      <c r="CL32" s="26">
        <v>148</v>
      </c>
      <c r="CM32" s="368">
        <v>157</v>
      </c>
      <c r="CN32" s="369">
        <v>159</v>
      </c>
      <c r="CO32" s="26">
        <v>187</v>
      </c>
      <c r="CP32" s="26">
        <v>204</v>
      </c>
      <c r="CQ32" s="368">
        <v>193</v>
      </c>
      <c r="CR32" s="369">
        <v>191</v>
      </c>
      <c r="CS32" s="26">
        <v>196</v>
      </c>
      <c r="CT32" s="26">
        <v>195</v>
      </c>
      <c r="CU32" s="368">
        <v>195</v>
      </c>
      <c r="CV32" s="369">
        <v>200</v>
      </c>
      <c r="CW32" s="26">
        <v>200</v>
      </c>
      <c r="CX32" s="26">
        <v>190</v>
      </c>
      <c r="CY32" s="368">
        <v>190</v>
      </c>
      <c r="CZ32" s="369">
        <v>190</v>
      </c>
      <c r="DA32" s="26">
        <v>200</v>
      </c>
      <c r="DB32" s="26">
        <v>200</v>
      </c>
      <c r="DC32" s="368">
        <v>205</v>
      </c>
      <c r="DD32" s="153"/>
      <c r="DE32" s="27">
        <f>SUM(D32:G32)</f>
        <v>198.7</v>
      </c>
      <c r="DF32" s="27">
        <f>SUM(H32:K32)</f>
        <v>292.90000000000003</v>
      </c>
      <c r="DG32" s="27">
        <f>SUM(L32:O32)</f>
        <v>355.8</v>
      </c>
      <c r="DH32" s="27">
        <f>SUM(P32:S32)</f>
        <v>476.1</v>
      </c>
      <c r="DI32" s="27">
        <f>SUM(T32:W32)</f>
        <v>486</v>
      </c>
      <c r="DJ32" s="27">
        <f>SUM(X32:AA32)</f>
        <v>438.5</v>
      </c>
      <c r="DK32" s="27">
        <f>SUM(AB32:AE32)</f>
        <v>524.1</v>
      </c>
      <c r="DL32" s="27">
        <f>SUM(AF32:AI32)</f>
        <v>332.29999999999995</v>
      </c>
      <c r="DM32" s="27">
        <f>SUM(AJ32:AM32)</f>
        <v>358.2</v>
      </c>
      <c r="DN32" s="27">
        <f>SUM(AN32:AQ32)</f>
        <v>332</v>
      </c>
      <c r="DO32" s="27">
        <f>SUM(AR32:AU32)</f>
        <v>348.29999999999995</v>
      </c>
      <c r="DP32" s="27">
        <f>SUM(AV32:AY32)</f>
        <v>459.70000000000005</v>
      </c>
      <c r="DQ32" s="27">
        <f>SUM(AZ32:BC32)</f>
        <v>610</v>
      </c>
      <c r="DR32" s="27">
        <f>SUM(BD32:BG32)</f>
        <v>455</v>
      </c>
      <c r="DS32" s="27">
        <f>SUM(BH32:BK32)</f>
        <v>354</v>
      </c>
      <c r="DT32" s="27">
        <f>SUM(BL32:BO32)</f>
        <v>528</v>
      </c>
      <c r="DU32" s="27">
        <f>SUM(BP32:BS32)</f>
        <v>592</v>
      </c>
      <c r="DV32" s="27">
        <f>SUM(BT32:BW32)</f>
        <v>620</v>
      </c>
      <c r="DW32" s="27">
        <f>SUM(BX32:CA32)</f>
        <v>562</v>
      </c>
      <c r="DX32" s="27">
        <f>SUM(CB32:CE32)</f>
        <v>707</v>
      </c>
      <c r="DY32" s="27">
        <f>SUM(CF32:CI32)</f>
        <v>719</v>
      </c>
      <c r="DZ32" s="27">
        <f>SUM(CJ32:CM32)</f>
        <v>659</v>
      </c>
      <c r="EA32" s="27">
        <f>SUM(CN32:CQ32)</f>
        <v>743</v>
      </c>
      <c r="EB32" s="27">
        <f t="shared" ref="EB32" si="199">SUM(CR32:CU32)</f>
        <v>777</v>
      </c>
      <c r="EC32" s="28">
        <f>SUM(CV32:CY32)</f>
        <v>780</v>
      </c>
      <c r="ED32" s="28">
        <f>SUM(CZ32:DC32)</f>
        <v>795</v>
      </c>
      <c r="EE32" s="1364"/>
      <c r="EF32" s="29">
        <f>SUM(E32:H32)</f>
        <v>233.2</v>
      </c>
      <c r="EG32" s="27">
        <f>SUM(I32:L32)</f>
        <v>286.79999999999995</v>
      </c>
      <c r="EH32" s="27">
        <f>SUM(M32:P32)</f>
        <v>415.20000000000005</v>
      </c>
      <c r="EI32" s="27">
        <f>SUM(Q32:T32)</f>
        <v>453.1</v>
      </c>
      <c r="EJ32" s="27">
        <f>SUM(U32:X32)</f>
        <v>486.6</v>
      </c>
      <c r="EK32" s="27">
        <f>SUM(Y32:AB32)</f>
        <v>441.29999999999995</v>
      </c>
      <c r="EL32" s="27">
        <f>SUM(AC32:AF32)</f>
        <v>497.6</v>
      </c>
      <c r="EM32" s="27">
        <f>SUM(AG32:AJ32)</f>
        <v>348.8</v>
      </c>
      <c r="EN32" s="27">
        <f>SUM(AK32:AN32)</f>
        <v>343</v>
      </c>
      <c r="EO32" s="27">
        <f>SUM(AO32:AR32)</f>
        <v>337.6</v>
      </c>
      <c r="EP32" s="27">
        <f>SUM(AS32:AV32)</f>
        <v>356.8</v>
      </c>
      <c r="EQ32" s="27">
        <f>SUM(AW32:AZ32)</f>
        <v>544.4</v>
      </c>
      <c r="ER32" s="27">
        <f>SUM(BA32:BD32)</f>
        <v>542</v>
      </c>
      <c r="ES32" s="27">
        <f>SUM(BE32:BH32)</f>
        <v>445</v>
      </c>
      <c r="ET32" s="27">
        <f>SUM(BI32:BL32)</f>
        <v>349</v>
      </c>
      <c r="EU32" s="27">
        <f>SUM(BM32:BP32)</f>
        <v>571</v>
      </c>
      <c r="EV32" s="27">
        <f>SUM(BQ32:BT32)</f>
        <v>603</v>
      </c>
      <c r="EW32" s="27">
        <f>SUM(BU32:BX32)</f>
        <v>588</v>
      </c>
      <c r="EX32" s="27">
        <f>SUM(BY32:CB32)</f>
        <v>619</v>
      </c>
      <c r="EY32" s="27">
        <f>SUM(CC32:CF32)</f>
        <v>724</v>
      </c>
      <c r="EZ32" s="27">
        <f>SUM(CG32:CJ32)</f>
        <v>705</v>
      </c>
      <c r="FA32" s="27">
        <f>SUM(CK32:CN32)</f>
        <v>639</v>
      </c>
      <c r="FB32" s="27">
        <f t="shared" ref="FB32" si="200">SUM(CO32:CR32)</f>
        <v>775</v>
      </c>
      <c r="FC32" s="27">
        <f>SUM(CS32:CV32)</f>
        <v>786</v>
      </c>
      <c r="FD32" s="28">
        <f>SUM(CW32:CZ32)</f>
        <v>770</v>
      </c>
      <c r="FE32" s="299"/>
      <c r="FF32" s="299"/>
      <c r="FG32" s="299"/>
      <c r="FH32" s="299"/>
      <c r="FI32"/>
      <c r="FJ32"/>
      <c r="FK32"/>
      <c r="FL32"/>
      <c r="FM32"/>
      <c r="FN32"/>
      <c r="FO32" s="10"/>
    </row>
    <row r="33" spans="1:171" s="652" customFormat="1" ht="14.25" customHeight="1">
      <c r="A33" s="10"/>
      <c r="B33" s="430" t="s">
        <v>213</v>
      </c>
      <c r="C33" s="23"/>
      <c r="D33" s="614">
        <f>+D32/D$7</f>
        <v>7.1401869158878514E-2</v>
      </c>
      <c r="E33" s="1213">
        <f t="shared" ref="E33:BP33" si="201">+E32/E$7</f>
        <v>6.205250596658711E-2</v>
      </c>
      <c r="F33" s="1213">
        <f t="shared" si="201"/>
        <v>7.1466106148187061E-2</v>
      </c>
      <c r="G33" s="613">
        <f t="shared" si="201"/>
        <v>6.5272373540856021E-2</v>
      </c>
      <c r="H33" s="614">
        <f t="shared" si="201"/>
        <v>6.1308821049080794E-2</v>
      </c>
      <c r="I33" s="1213">
        <f t="shared" si="201"/>
        <v>7.5664826894129456E-2</v>
      </c>
      <c r="J33" s="1213">
        <f t="shared" si="201"/>
        <v>8.2490272373540854E-2</v>
      </c>
      <c r="K33" s="613">
        <f t="shared" si="201"/>
        <v>0.11591720199857246</v>
      </c>
      <c r="L33" s="614">
        <f t="shared" si="201"/>
        <v>9.1470951792336205E-2</v>
      </c>
      <c r="M33" s="1213">
        <f t="shared" si="201"/>
        <v>0.1083086053412463</v>
      </c>
      <c r="N33" s="1213">
        <f t="shared" si="201"/>
        <v>9.678756476683939E-2</v>
      </c>
      <c r="O33" s="613">
        <f t="shared" si="201"/>
        <v>0.10663707461424646</v>
      </c>
      <c r="P33" s="614">
        <f t="shared" si="201"/>
        <v>0.13162018176120338</v>
      </c>
      <c r="Q33" s="1213">
        <f t="shared" si="201"/>
        <v>0.18160377358490565</v>
      </c>
      <c r="R33" s="1213">
        <f t="shared" si="201"/>
        <v>0.18181818181818182</v>
      </c>
      <c r="S33" s="613">
        <f t="shared" si="201"/>
        <v>0.14463227857246061</v>
      </c>
      <c r="T33" s="614">
        <f t="shared" si="201"/>
        <v>0.12978830645161291</v>
      </c>
      <c r="U33" s="1213">
        <f t="shared" si="201"/>
        <v>0.12234353675180347</v>
      </c>
      <c r="V33" s="1213">
        <f t="shared" si="201"/>
        <v>0.14366751562861774</v>
      </c>
      <c r="W33" s="613">
        <f t="shared" si="201"/>
        <v>0.12342709104367136</v>
      </c>
      <c r="X33" s="614">
        <f t="shared" si="201"/>
        <v>7.7100543276028874E-2</v>
      </c>
      <c r="Y33" s="1213">
        <f t="shared" si="201"/>
        <v>8.0579760158743866E-2</v>
      </c>
      <c r="Z33" s="1213">
        <f t="shared" si="201"/>
        <v>7.2338782340069518E-2</v>
      </c>
      <c r="AA33" s="613">
        <f t="shared" si="201"/>
        <v>5.598924451383467E-2</v>
      </c>
      <c r="AB33" s="614">
        <f t="shared" si="201"/>
        <v>6.7701705268516169E-2</v>
      </c>
      <c r="AC33" s="1213">
        <f t="shared" si="201"/>
        <v>0.10228019142347752</v>
      </c>
      <c r="AD33" s="1213">
        <f t="shared" si="201"/>
        <v>0.12745936698032506</v>
      </c>
      <c r="AE33" s="613">
        <f t="shared" si="201"/>
        <v>0.42556735373724702</v>
      </c>
      <c r="AF33" s="614">
        <f t="shared" si="201"/>
        <v>0.18848785090823308</v>
      </c>
      <c r="AG33" s="1213">
        <f t="shared" si="201"/>
        <v>0.12277442328533829</v>
      </c>
      <c r="AH33" s="1213">
        <f t="shared" si="201"/>
        <v>0.10010373443983402</v>
      </c>
      <c r="AI33" s="613">
        <f t="shared" si="201"/>
        <v>0.12820855614973262</v>
      </c>
      <c r="AJ33" s="614">
        <f t="shared" si="201"/>
        <v>0.14070938549116918</v>
      </c>
      <c r="AK33" s="1213">
        <f t="shared" si="201"/>
        <v>0.11770700636942676</v>
      </c>
      <c r="AL33" s="1213">
        <f t="shared" si="201"/>
        <v>0.11901187389108775</v>
      </c>
      <c r="AM33" s="613">
        <f t="shared" si="201"/>
        <v>9.2515475520540236E-2</v>
      </c>
      <c r="AN33" s="614">
        <f t="shared" si="201"/>
        <v>7.3338150289017343E-2</v>
      </c>
      <c r="AO33" s="1213">
        <f t="shared" si="201"/>
        <v>8.2542885973763871E-2</v>
      </c>
      <c r="AP33" s="1213">
        <f t="shared" si="201"/>
        <v>8.4437679083094561E-2</v>
      </c>
      <c r="AQ33" s="613">
        <f t="shared" si="201"/>
        <v>6.281533804238143E-2</v>
      </c>
      <c r="AR33" s="614">
        <f t="shared" si="201"/>
        <v>6.8872490676822981E-2</v>
      </c>
      <c r="AS33" s="1213">
        <f t="shared" si="201"/>
        <v>6.4913219665112015E-2</v>
      </c>
      <c r="AT33" s="1213">
        <f t="shared" si="201"/>
        <v>8.4044773287801161E-2</v>
      </c>
      <c r="AU33" s="613">
        <f t="shared" si="201"/>
        <v>6.9963428207982195E-2</v>
      </c>
      <c r="AV33" s="614">
        <f t="shared" si="201"/>
        <v>6.9980907622264651E-2</v>
      </c>
      <c r="AW33" s="1213">
        <f t="shared" si="201"/>
        <v>8.7999999999999995E-2</v>
      </c>
      <c r="AX33" s="1213">
        <f t="shared" si="201"/>
        <v>8.626076354492114E-2</v>
      </c>
      <c r="AY33" s="613">
        <f t="shared" si="201"/>
        <v>0.10441240716470074</v>
      </c>
      <c r="AZ33" s="614">
        <f t="shared" si="201"/>
        <v>0.11764705882352941</v>
      </c>
      <c r="BA33" s="1213">
        <f t="shared" si="201"/>
        <v>0.10721793973370708</v>
      </c>
      <c r="BB33" s="1213">
        <f t="shared" si="201"/>
        <v>0.1035548686244204</v>
      </c>
      <c r="BC33" s="613">
        <f t="shared" si="201"/>
        <v>9.9512874043145447E-2</v>
      </c>
      <c r="BD33" s="614">
        <f t="shared" si="201"/>
        <v>7.2964169381107488E-2</v>
      </c>
      <c r="BE33" s="1213">
        <f t="shared" si="201"/>
        <v>8.8300220750551883E-2</v>
      </c>
      <c r="BF33" s="1213">
        <f t="shared" si="201"/>
        <v>7.7436582109479304E-2</v>
      </c>
      <c r="BG33" s="613">
        <f t="shared" si="201"/>
        <v>7.3844030365769503E-2</v>
      </c>
      <c r="BH33" s="614">
        <f t="shared" si="201"/>
        <v>7.2753209700427965E-2</v>
      </c>
      <c r="BI33" s="1213">
        <f t="shared" si="201"/>
        <v>9.0634441087613288E-2</v>
      </c>
      <c r="BJ33" s="1213">
        <f t="shared" si="201"/>
        <v>7.2332730560578665E-2</v>
      </c>
      <c r="BK33" s="613">
        <f t="shared" si="201"/>
        <v>6.2980030721966201E-2</v>
      </c>
      <c r="BL33" s="614">
        <f t="shared" si="201"/>
        <v>5.5747126436781612E-2</v>
      </c>
      <c r="BM33" s="1213">
        <f t="shared" si="201"/>
        <v>5.0994390617032127E-2</v>
      </c>
      <c r="BN33" s="1213">
        <f t="shared" si="201"/>
        <v>8.3041958041958047E-2</v>
      </c>
      <c r="BO33" s="613">
        <f t="shared" si="201"/>
        <v>5.6558363417569195E-2</v>
      </c>
      <c r="BP33" s="614">
        <f t="shared" si="201"/>
        <v>6.216696269982238E-2</v>
      </c>
      <c r="BQ33" s="1213">
        <f t="shared" ref="BQ33:CI33" si="202">+BQ32/BQ$7</f>
        <v>6.4687638458130262E-2</v>
      </c>
      <c r="BR33" s="1213">
        <f t="shared" si="202"/>
        <v>7.0593735390369325E-2</v>
      </c>
      <c r="BS33" s="613">
        <f t="shared" si="202"/>
        <v>7.2429906542056069E-2</v>
      </c>
      <c r="BT33" s="614">
        <f t="shared" si="202"/>
        <v>7.2248803827751201E-2</v>
      </c>
      <c r="BU33" s="1213">
        <f t="shared" si="202"/>
        <v>8.6610253857640623E-2</v>
      </c>
      <c r="BV33" s="1213">
        <f t="shared" si="202"/>
        <v>7.18232044198895E-2</v>
      </c>
      <c r="BW33" s="613">
        <f t="shared" si="202"/>
        <v>7.0809984717269486E-2</v>
      </c>
      <c r="BX33" s="614">
        <f t="shared" si="202"/>
        <v>6.4885496183206104E-2</v>
      </c>
      <c r="BY33" s="612">
        <f t="shared" si="202"/>
        <v>5.9191530317613088E-2</v>
      </c>
      <c r="BZ33" s="612">
        <f t="shared" si="202"/>
        <v>5.47886108714409E-2</v>
      </c>
      <c r="CA33" s="613">
        <f t="shared" si="202"/>
        <v>6.7886035877594092E-2</v>
      </c>
      <c r="CB33" s="614">
        <f t="shared" si="202"/>
        <v>4.354280059376546E-2</v>
      </c>
      <c r="CC33" s="612">
        <f>+CC32/CC$7</f>
        <v>4.3097151205259317E-2</v>
      </c>
      <c r="CD33" s="612">
        <f>+CD32/CD$7</f>
        <v>4.3696634856855848E-2</v>
      </c>
      <c r="CE33" s="613">
        <f>+CE32/CE$7</f>
        <v>4.2583392476933997E-2</v>
      </c>
      <c r="CF33" s="614">
        <f t="shared" si="202"/>
        <v>4.2204242291712227E-2</v>
      </c>
      <c r="CG33" s="612">
        <f t="shared" si="202"/>
        <v>4.4887181949111857E-2</v>
      </c>
      <c r="CH33" s="612">
        <f t="shared" si="202"/>
        <v>4.3861925772125616E-2</v>
      </c>
      <c r="CI33" s="613">
        <f t="shared" si="202"/>
        <v>4.7222222222222221E-2</v>
      </c>
      <c r="CJ33" s="614">
        <f t="shared" ref="CJ33:CO33" si="203">+CJ32/CJ$7</f>
        <v>5.3432835820895523E-2</v>
      </c>
      <c r="CK33" s="612">
        <f t="shared" si="203"/>
        <v>5.9645535105657808E-2</v>
      </c>
      <c r="CL33" s="612">
        <f t="shared" si="203"/>
        <v>5.1069703243616288E-2</v>
      </c>
      <c r="CM33" s="613">
        <f t="shared" si="203"/>
        <v>4.8803232825613926E-2</v>
      </c>
      <c r="CN33" s="614">
        <f t="shared" ref="CN33" si="204">+CN32/CN$7</f>
        <v>4.0050377833753148E-2</v>
      </c>
      <c r="CO33" s="1213">
        <f t="shared" si="203"/>
        <v>4.0232358003442339E-2</v>
      </c>
      <c r="CP33" s="1213">
        <f t="shared" ref="CP33:CS33" si="205">+CP32/CP$7</f>
        <v>3.6651095939633491E-2</v>
      </c>
      <c r="CQ33" s="613">
        <f t="shared" si="205"/>
        <v>3.1443466927337897E-2</v>
      </c>
      <c r="CR33" s="614">
        <f t="shared" si="205"/>
        <v>2.8075848890195501E-2</v>
      </c>
      <c r="CS33" s="1213">
        <f t="shared" si="205"/>
        <v>2.6663039042307168E-2</v>
      </c>
      <c r="CT33" s="612">
        <f t="shared" ref="CT33:CU33" si="206">+CT32/CT$7</f>
        <v>2.564011861818434E-2</v>
      </c>
      <c r="CU33" s="613">
        <f t="shared" si="206"/>
        <v>2.539145133077263E-2</v>
      </c>
      <c r="CV33" s="614">
        <f t="shared" ref="CV33:CY33" si="207">+CV32/CV$7</f>
        <v>2.6851886644022188E-2</v>
      </c>
      <c r="CW33" s="1213">
        <f t="shared" si="207"/>
        <v>2.9476788550999423E-2</v>
      </c>
      <c r="CX33" s="1213">
        <f t="shared" si="207"/>
        <v>2.8531670793377237E-2</v>
      </c>
      <c r="CY33" s="613">
        <f t="shared" si="207"/>
        <v>2.8465285188713597E-2</v>
      </c>
      <c r="CZ33" s="614">
        <f t="shared" ref="CZ33:DC33" si="208">+CZ32/CZ$7</f>
        <v>2.8932209252952076E-2</v>
      </c>
      <c r="DA33" s="1213">
        <f t="shared" si="208"/>
        <v>3.0494749796206703E-2</v>
      </c>
      <c r="DB33" s="1213">
        <f t="shared" si="208"/>
        <v>3.036297501335377E-2</v>
      </c>
      <c r="DC33" s="613">
        <f t="shared" si="208"/>
        <v>3.0736823312531341E-2</v>
      </c>
      <c r="DD33" s="153"/>
      <c r="DE33" s="612">
        <f t="shared" ref="DE33:EB33" si="209">+DE32/DE$7</f>
        <v>6.7294340772851971E-2</v>
      </c>
      <c r="DF33" s="612">
        <f t="shared" si="209"/>
        <v>8.016311784990969E-2</v>
      </c>
      <c r="DG33" s="612">
        <f t="shared" si="209"/>
        <v>0.10120893187313328</v>
      </c>
      <c r="DH33" s="612">
        <f t="shared" si="209"/>
        <v>0.15737282252999704</v>
      </c>
      <c r="DI33" s="612">
        <f t="shared" si="209"/>
        <v>0.12911795961742828</v>
      </c>
      <c r="DJ33" s="612">
        <f t="shared" si="209"/>
        <v>6.8920533132151379E-2</v>
      </c>
      <c r="DK33" s="612">
        <f t="shared" si="209"/>
        <v>0.13315887090627299</v>
      </c>
      <c r="DL33" s="612">
        <f t="shared" si="209"/>
        <v>0.12835071456160679</v>
      </c>
      <c r="DM33" s="612">
        <f t="shared" si="209"/>
        <v>0.11587358069420631</v>
      </c>
      <c r="DN33" s="612">
        <f t="shared" si="209"/>
        <v>7.5382589346532858E-2</v>
      </c>
      <c r="DO33" s="612">
        <f t="shared" si="209"/>
        <v>7.1370025818613986E-2</v>
      </c>
      <c r="DP33" s="612">
        <f t="shared" si="209"/>
        <v>8.7188240872451403E-2</v>
      </c>
      <c r="DQ33" s="612">
        <f t="shared" si="209"/>
        <v>0.10724331926863573</v>
      </c>
      <c r="DR33" s="612">
        <f t="shared" si="209"/>
        <v>7.7897620270501622E-2</v>
      </c>
      <c r="DS33" s="612">
        <f t="shared" si="209"/>
        <v>7.3703935040599619E-2</v>
      </c>
      <c r="DT33" s="1213">
        <f t="shared" si="209"/>
        <v>6.224946946474888E-2</v>
      </c>
      <c r="DU33" s="1213">
        <f t="shared" si="209"/>
        <v>6.736458807464725E-2</v>
      </c>
      <c r="DV33" s="1213">
        <f t="shared" si="209"/>
        <v>7.529754675734758E-2</v>
      </c>
      <c r="DW33" s="1213">
        <f t="shared" si="209"/>
        <v>6.1942025790807889E-2</v>
      </c>
      <c r="DX33" s="1213">
        <f t="shared" si="209"/>
        <v>4.3220442596894483E-2</v>
      </c>
      <c r="DY33" s="1213">
        <f t="shared" si="209"/>
        <v>4.4404644268774704E-2</v>
      </c>
      <c r="DZ33" s="1213">
        <f t="shared" si="209"/>
        <v>5.3149447536091618E-2</v>
      </c>
      <c r="EA33" s="1213">
        <f t="shared" si="209"/>
        <v>3.6561362070662337E-2</v>
      </c>
      <c r="EB33" s="1213">
        <f t="shared" si="209"/>
        <v>2.6393542446330027E-2</v>
      </c>
      <c r="EC33" s="613">
        <f t="shared" ref="EC33:ED33" si="210">+EC32/EC$7</f>
        <v>2.8294362122182969E-2</v>
      </c>
      <c r="ED33" s="613">
        <f t="shared" si="210"/>
        <v>3.0134095734445171E-2</v>
      </c>
      <c r="EE33" s="1364"/>
      <c r="EF33" s="614">
        <f t="shared" ref="EF33:FB33" si="211">+EF32/EF$7</f>
        <v>6.4714860552240877E-2</v>
      </c>
      <c r="EG33" s="612">
        <f t="shared" si="211"/>
        <v>8.9734363755827398E-2</v>
      </c>
      <c r="EH33" s="612">
        <f t="shared" si="211"/>
        <v>0.11087670574411837</v>
      </c>
      <c r="EI33" s="612">
        <f t="shared" si="211"/>
        <v>0.15833799273133911</v>
      </c>
      <c r="EJ33" s="612">
        <f t="shared" si="211"/>
        <v>0.11279293479520644</v>
      </c>
      <c r="EK33" s="612">
        <f t="shared" si="211"/>
        <v>6.6962050286026434E-2</v>
      </c>
      <c r="EL33" s="612">
        <f t="shared" si="211"/>
        <v>0.17846639408937662</v>
      </c>
      <c r="EM33" s="612">
        <f t="shared" si="211"/>
        <v>0.12237737702617361</v>
      </c>
      <c r="EN33" s="612">
        <f t="shared" si="211"/>
        <v>9.762623100130928E-2</v>
      </c>
      <c r="EO33" s="612">
        <f t="shared" si="211"/>
        <v>7.4078950255633824E-2</v>
      </c>
      <c r="EP33" s="612">
        <f t="shared" si="211"/>
        <v>7.162213702149868E-2</v>
      </c>
      <c r="EQ33" s="612">
        <f t="shared" si="211"/>
        <v>0.10006065395996837</v>
      </c>
      <c r="ER33" s="612">
        <f t="shared" si="211"/>
        <v>9.5204637273845066E-2</v>
      </c>
      <c r="ES33" s="612">
        <f t="shared" si="211"/>
        <v>7.7960756832515771E-2</v>
      </c>
      <c r="ET33" s="1213">
        <f t="shared" si="211"/>
        <v>6.7885625364715041E-2</v>
      </c>
      <c r="EU33" s="1213">
        <f t="shared" si="211"/>
        <v>6.3486768957082496E-2</v>
      </c>
      <c r="EV33" s="612">
        <f t="shared" si="211"/>
        <v>6.9904938557848365E-2</v>
      </c>
      <c r="EW33" s="612">
        <f t="shared" si="211"/>
        <v>7.3702682376535475E-2</v>
      </c>
      <c r="EX33" s="612">
        <f t="shared" si="211"/>
        <v>5.4871022072511301E-2</v>
      </c>
      <c r="EY33" s="612">
        <f t="shared" si="211"/>
        <v>4.2868139025401146E-2</v>
      </c>
      <c r="EZ33" s="1213">
        <f t="shared" si="211"/>
        <v>4.7097334491281985E-2</v>
      </c>
      <c r="FA33" s="1213">
        <f t="shared" si="211"/>
        <v>4.9082110761195175E-2</v>
      </c>
      <c r="FB33" s="1213">
        <f t="shared" si="211"/>
        <v>3.3470092852515655E-2</v>
      </c>
      <c r="FC33" s="1213">
        <f t="shared" ref="FC33:FD33" si="212">+FC32/FC$7</f>
        <v>2.6126597060868031E-2</v>
      </c>
      <c r="FD33" s="613">
        <f t="shared" si="212"/>
        <v>2.8853930960996286E-2</v>
      </c>
      <c r="FE33" s="736"/>
      <c r="FF33" s="736"/>
      <c r="FG33" s="736"/>
      <c r="FH33" s="736"/>
      <c r="FI33"/>
      <c r="FJ33"/>
      <c r="FK33"/>
      <c r="FL33"/>
      <c r="FM33"/>
      <c r="FN33"/>
      <c r="FO33" s="10"/>
    </row>
    <row r="34" spans="1:171" s="330" customFormat="1" ht="9.75" hidden="1" customHeight="1">
      <c r="A34" s="10"/>
      <c r="B34" s="673"/>
      <c r="C34" s="23"/>
      <c r="D34" s="369"/>
      <c r="E34" s="26"/>
      <c r="F34" s="26"/>
      <c r="G34" s="368"/>
      <c r="H34" s="369"/>
      <c r="I34" s="26"/>
      <c r="J34" s="26"/>
      <c r="K34" s="368"/>
      <c r="L34" s="369"/>
      <c r="M34" s="26"/>
      <c r="N34" s="26"/>
      <c r="O34" s="368"/>
      <c r="P34" s="369"/>
      <c r="Q34" s="26"/>
      <c r="R34" s="26"/>
      <c r="S34" s="368"/>
      <c r="T34" s="369"/>
      <c r="U34" s="26"/>
      <c r="V34" s="26"/>
      <c r="W34" s="368"/>
      <c r="X34" s="369"/>
      <c r="Y34" s="26"/>
      <c r="Z34" s="26"/>
      <c r="AA34" s="368"/>
      <c r="AB34" s="369"/>
      <c r="AC34" s="26"/>
      <c r="AD34" s="26"/>
      <c r="AE34" s="368"/>
      <c r="AF34" s="369"/>
      <c r="AG34" s="26"/>
      <c r="AH34" s="26"/>
      <c r="AI34" s="368"/>
      <c r="AJ34" s="369"/>
      <c r="AK34" s="26"/>
      <c r="AL34" s="26"/>
      <c r="AM34" s="368"/>
      <c r="AN34" s="369"/>
      <c r="AO34" s="26"/>
      <c r="AP34" s="26"/>
      <c r="AQ34" s="368"/>
      <c r="AR34" s="369"/>
      <c r="AS34" s="26"/>
      <c r="AT34" s="26"/>
      <c r="AU34" s="368"/>
      <c r="AV34" s="369"/>
      <c r="AW34" s="26"/>
      <c r="AX34" s="26"/>
      <c r="AY34" s="368"/>
      <c r="AZ34" s="369"/>
      <c r="BA34" s="26"/>
      <c r="BB34" s="26"/>
      <c r="BC34" s="368"/>
      <c r="BD34" s="369"/>
      <c r="BE34" s="26"/>
      <c r="BF34" s="26"/>
      <c r="BG34" s="368"/>
      <c r="BH34" s="369"/>
      <c r="BI34" s="26"/>
      <c r="BJ34" s="26"/>
      <c r="BK34" s="368"/>
      <c r="BL34" s="369"/>
      <c r="BM34" s="26"/>
      <c r="BN34" s="26"/>
      <c r="BO34" s="368"/>
      <c r="BP34" s="369"/>
      <c r="BQ34" s="26"/>
      <c r="BR34" s="26"/>
      <c r="BS34" s="368"/>
      <c r="BT34" s="369"/>
      <c r="BU34" s="26"/>
      <c r="BV34" s="26"/>
      <c r="BW34" s="368"/>
      <c r="BX34" s="369"/>
      <c r="BY34" s="26"/>
      <c r="BZ34" s="26"/>
      <c r="CA34" s="368"/>
      <c r="CB34" s="369"/>
      <c r="CC34" s="26"/>
      <c r="CD34" s="26"/>
      <c r="CE34" s="368"/>
      <c r="CF34" s="369"/>
      <c r="CG34" s="26"/>
      <c r="CH34" s="26"/>
      <c r="CI34" s="368"/>
      <c r="CJ34" s="369"/>
      <c r="CK34" s="26"/>
      <c r="CL34" s="26"/>
      <c r="CM34" s="368"/>
      <c r="CN34" s="369"/>
      <c r="CO34" s="26"/>
      <c r="CP34" s="26"/>
      <c r="CQ34" s="368"/>
      <c r="CR34" s="369"/>
      <c r="CS34" s="26"/>
      <c r="CT34" s="26"/>
      <c r="CU34" s="368"/>
      <c r="CV34" s="369"/>
      <c r="CW34" s="26"/>
      <c r="CX34" s="26"/>
      <c r="CY34" s="368"/>
      <c r="CZ34" s="369"/>
      <c r="DA34" s="26"/>
      <c r="DB34" s="26"/>
      <c r="DC34" s="368"/>
      <c r="DD34" s="153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8"/>
      <c r="ED34" s="28"/>
      <c r="EE34" s="1364"/>
      <c r="EF34" s="29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8"/>
      <c r="FE34" s="299"/>
      <c r="FF34" s="299"/>
      <c r="FG34" s="299"/>
      <c r="FH34" s="299"/>
      <c r="FI34"/>
      <c r="FJ34"/>
      <c r="FK34"/>
      <c r="FL34"/>
      <c r="FM34"/>
      <c r="FN34"/>
      <c r="FO34" s="10"/>
    </row>
    <row r="35" spans="1:171" ht="14.25" hidden="1" customHeight="1" outlineLevel="1">
      <c r="A35" s="7"/>
      <c r="B35" s="673" t="s">
        <v>154</v>
      </c>
      <c r="C35" s="25"/>
      <c r="D35" s="29">
        <v>0</v>
      </c>
      <c r="E35" s="26">
        <v>0</v>
      </c>
      <c r="F35" s="26">
        <v>0</v>
      </c>
      <c r="G35" s="28">
        <v>0</v>
      </c>
      <c r="H35" s="29">
        <v>0</v>
      </c>
      <c r="I35" s="26">
        <v>0</v>
      </c>
      <c r="J35" s="26">
        <v>0</v>
      </c>
      <c r="K35" s="28">
        <v>0</v>
      </c>
      <c r="L35" s="29">
        <v>0</v>
      </c>
      <c r="M35" s="26">
        <v>0</v>
      </c>
      <c r="N35" s="26">
        <v>0</v>
      </c>
      <c r="O35" s="28">
        <v>0</v>
      </c>
      <c r="P35" s="29">
        <v>0</v>
      </c>
      <c r="Q35" s="26">
        <v>0</v>
      </c>
      <c r="R35" s="26">
        <v>0</v>
      </c>
      <c r="S35" s="28">
        <v>0</v>
      </c>
      <c r="T35" s="29">
        <v>0</v>
      </c>
      <c r="U35" s="26">
        <v>0</v>
      </c>
      <c r="V35" s="26">
        <v>0</v>
      </c>
      <c r="W35" s="28">
        <v>0</v>
      </c>
      <c r="X35" s="29">
        <v>0</v>
      </c>
      <c r="Y35" s="26">
        <v>0</v>
      </c>
      <c r="Z35" s="26">
        <v>0</v>
      </c>
      <c r="AA35" s="28">
        <v>0</v>
      </c>
      <c r="AB35" s="29">
        <v>0</v>
      </c>
      <c r="AC35" s="26">
        <v>0</v>
      </c>
      <c r="AD35" s="26">
        <v>0</v>
      </c>
      <c r="AE35" s="28">
        <v>0</v>
      </c>
      <c r="AF35" s="29">
        <v>0</v>
      </c>
      <c r="AG35" s="26">
        <v>0</v>
      </c>
      <c r="AH35" s="26">
        <v>0</v>
      </c>
      <c r="AI35" s="28">
        <v>0</v>
      </c>
      <c r="AJ35" s="29">
        <v>0</v>
      </c>
      <c r="AK35" s="26">
        <v>0</v>
      </c>
      <c r="AL35" s="26">
        <v>0</v>
      </c>
      <c r="AM35" s="28">
        <v>0</v>
      </c>
      <c r="AN35" s="29">
        <v>0</v>
      </c>
      <c r="AO35" s="26">
        <v>0</v>
      </c>
      <c r="AP35" s="26">
        <v>0</v>
      </c>
      <c r="AQ35" s="28">
        <v>0</v>
      </c>
      <c r="AR35" s="29">
        <v>0</v>
      </c>
      <c r="AS35" s="26">
        <v>0</v>
      </c>
      <c r="AT35" s="26">
        <v>0</v>
      </c>
      <c r="AU35" s="28">
        <v>0</v>
      </c>
      <c r="AV35" s="29">
        <v>0</v>
      </c>
      <c r="AW35" s="26">
        <v>0</v>
      </c>
      <c r="AX35" s="26">
        <v>0</v>
      </c>
      <c r="AY35" s="28">
        <v>0</v>
      </c>
      <c r="AZ35" s="29">
        <v>0</v>
      </c>
      <c r="BA35" s="26">
        <v>0</v>
      </c>
      <c r="BB35" s="26">
        <v>0</v>
      </c>
      <c r="BC35" s="28">
        <v>0</v>
      </c>
      <c r="BD35" s="29">
        <v>0</v>
      </c>
      <c r="BE35" s="26">
        <v>0</v>
      </c>
      <c r="BF35" s="26">
        <v>0</v>
      </c>
      <c r="BG35" s="28">
        <v>0</v>
      </c>
      <c r="BH35" s="29">
        <v>0</v>
      </c>
      <c r="BI35" s="26">
        <v>0</v>
      </c>
      <c r="BJ35" s="26">
        <v>0</v>
      </c>
      <c r="BK35" s="28">
        <v>0</v>
      </c>
      <c r="BL35" s="29">
        <v>0</v>
      </c>
      <c r="BM35" s="26">
        <v>0</v>
      </c>
      <c r="BN35" s="26">
        <v>0</v>
      </c>
      <c r="BO35" s="28">
        <v>0</v>
      </c>
      <c r="BP35" s="29">
        <v>0</v>
      </c>
      <c r="BQ35" s="26">
        <v>0</v>
      </c>
      <c r="BR35" s="26">
        <v>0</v>
      </c>
      <c r="BS35" s="28">
        <v>0</v>
      </c>
      <c r="BT35" s="29">
        <v>0</v>
      </c>
      <c r="BU35" s="26">
        <v>13</v>
      </c>
      <c r="BV35" s="26">
        <v>0</v>
      </c>
      <c r="BW35" s="28">
        <v>0</v>
      </c>
      <c r="BX35" s="29">
        <v>0</v>
      </c>
      <c r="BY35" s="26">
        <v>0</v>
      </c>
      <c r="BZ35" s="26">
        <v>0</v>
      </c>
      <c r="CA35" s="28">
        <v>0</v>
      </c>
      <c r="CB35" s="29">
        <v>0</v>
      </c>
      <c r="CC35" s="26">
        <v>0</v>
      </c>
      <c r="CD35" s="26">
        <v>0</v>
      </c>
      <c r="CE35" s="28">
        <v>0</v>
      </c>
      <c r="CF35" s="29">
        <v>0</v>
      </c>
      <c r="CG35" s="26">
        <v>0</v>
      </c>
      <c r="CH35" s="26">
        <v>0</v>
      </c>
      <c r="CI35" s="28">
        <v>0</v>
      </c>
      <c r="CJ35" s="29">
        <v>0</v>
      </c>
      <c r="CK35" s="26">
        <v>0</v>
      </c>
      <c r="CL35" s="26">
        <v>2</v>
      </c>
      <c r="CM35" s="28">
        <v>0</v>
      </c>
      <c r="CN35" s="1430">
        <v>16</v>
      </c>
      <c r="CO35" s="1431">
        <v>30</v>
      </c>
      <c r="CP35" s="1431">
        <v>20</v>
      </c>
      <c r="CQ35" s="1432">
        <v>22</v>
      </c>
      <c r="CR35" s="1430">
        <v>18</v>
      </c>
      <c r="CS35" s="1431">
        <v>16</v>
      </c>
      <c r="CT35" s="27">
        <v>0</v>
      </c>
      <c r="CU35" s="28">
        <v>0</v>
      </c>
      <c r="CV35" s="29">
        <v>0</v>
      </c>
      <c r="CW35" s="27">
        <v>0</v>
      </c>
      <c r="CX35" s="27">
        <v>0</v>
      </c>
      <c r="CY35" s="28">
        <v>0</v>
      </c>
      <c r="CZ35" s="29">
        <v>0</v>
      </c>
      <c r="DA35" s="27">
        <v>0</v>
      </c>
      <c r="DB35" s="27">
        <v>0</v>
      </c>
      <c r="DC35" s="28">
        <v>0</v>
      </c>
      <c r="DD35" s="18"/>
      <c r="DE35" s="352">
        <f>SUM(D35:G35)</f>
        <v>0</v>
      </c>
      <c r="DF35" s="352">
        <f>SUM(H35:K35)</f>
        <v>0</v>
      </c>
      <c r="DG35" s="352">
        <f>SUM(L35:O35)</f>
        <v>0</v>
      </c>
      <c r="DH35" s="352">
        <f>SUM(P35:S35)</f>
        <v>0</v>
      </c>
      <c r="DI35" s="352">
        <f>SUM(T35:W35)</f>
        <v>0</v>
      </c>
      <c r="DJ35" s="352">
        <f>SUM(X35:AA35)</f>
        <v>0</v>
      </c>
      <c r="DK35" s="352">
        <f>SUM(AB35:AE35)</f>
        <v>0</v>
      </c>
      <c r="DL35" s="352">
        <f>SUM(AF35:AI35)</f>
        <v>0</v>
      </c>
      <c r="DM35" s="352">
        <f>SUM(AJ35:AM35)</f>
        <v>0</v>
      </c>
      <c r="DN35" s="352">
        <f>SUM(AN35:AQ35)</f>
        <v>0</v>
      </c>
      <c r="DO35" s="352">
        <f>SUM(AR35:AU35)</f>
        <v>0</v>
      </c>
      <c r="DP35" s="27">
        <f>SUM(AV35:AY35)</f>
        <v>0</v>
      </c>
      <c r="DQ35" s="27">
        <f>SUM(AZ35:BC35)</f>
        <v>0</v>
      </c>
      <c r="DR35" s="27">
        <f>SUM(BD35:BG35)</f>
        <v>0</v>
      </c>
      <c r="DS35" s="27">
        <f>SUM(BH35:BK35)</f>
        <v>0</v>
      </c>
      <c r="DT35" s="27">
        <f>SUM(BL35:BO35)</f>
        <v>0</v>
      </c>
      <c r="DU35" s="27">
        <f>SUM(BP35:BS35)</f>
        <v>0</v>
      </c>
      <c r="DV35" s="27">
        <f>SUM(BT35:BW35)</f>
        <v>13</v>
      </c>
      <c r="DW35" s="27">
        <f>SUM(BX35:CA35)</f>
        <v>0</v>
      </c>
      <c r="DX35" s="27">
        <f>SUM(CB35:CE35)</f>
        <v>0</v>
      </c>
      <c r="DY35" s="27">
        <f>SUM(CF35:CI35)</f>
        <v>0</v>
      </c>
      <c r="DZ35" s="27">
        <f>SUM(CJ35:CM35)</f>
        <v>2</v>
      </c>
      <c r="EA35" s="27">
        <f t="shared" ref="EA35:EA36" si="213">SUM(CN35:CQ35)</f>
        <v>88</v>
      </c>
      <c r="EB35" s="27">
        <f t="shared" ref="EB35:EB36" si="214">SUM(CR35:CU35)</f>
        <v>34</v>
      </c>
      <c r="EC35" s="28">
        <f>SUM(CV35:CY35)</f>
        <v>0</v>
      </c>
      <c r="ED35" s="28">
        <f>SUM(CZ35:DC35)</f>
        <v>0</v>
      </c>
      <c r="EE35" s="1364"/>
      <c r="EF35" s="29">
        <f>SUM(E35:H35)</f>
        <v>0</v>
      </c>
      <c r="EG35" s="27">
        <f>SUM(I35:L35)</f>
        <v>0</v>
      </c>
      <c r="EH35" s="27">
        <f>SUM(M35:P35)</f>
        <v>0</v>
      </c>
      <c r="EI35" s="27">
        <f>SUM(Q35:T35)</f>
        <v>0</v>
      </c>
      <c r="EJ35" s="27">
        <f>SUM(U35:X35)</f>
        <v>0</v>
      </c>
      <c r="EK35" s="27">
        <f>SUM(Y35:AB35)</f>
        <v>0</v>
      </c>
      <c r="EL35" s="27">
        <f>SUM(AC35:AF35)</f>
        <v>0</v>
      </c>
      <c r="EM35" s="27">
        <f>SUM(AG35:AJ35)</f>
        <v>0</v>
      </c>
      <c r="EN35" s="27">
        <f>SUM(AK35:AN35)</f>
        <v>0</v>
      </c>
      <c r="EO35" s="27">
        <f>SUM(AO35:AR35)</f>
        <v>0</v>
      </c>
      <c r="EP35" s="352">
        <f>SUM(AS35:AV35)</f>
        <v>0</v>
      </c>
      <c r="EQ35" s="352">
        <f>SUM(AW35:AZ35)</f>
        <v>0</v>
      </c>
      <c r="ER35" s="352">
        <f>SUM(BA35:BD35)</f>
        <v>0</v>
      </c>
      <c r="ES35" s="352">
        <f>SUM(BE35:BH35)</f>
        <v>0</v>
      </c>
      <c r="ET35" s="352">
        <f>SUM(BI35:BL35)</f>
        <v>0</v>
      </c>
      <c r="EU35" s="352">
        <f>SUM(BM35:BP35)</f>
        <v>0</v>
      </c>
      <c r="EV35" s="352">
        <f>SUM(BQ35:BT35)</f>
        <v>0</v>
      </c>
      <c r="EW35" s="352">
        <f>SUM(BU35:BX35)</f>
        <v>13</v>
      </c>
      <c r="EX35" s="352">
        <f>SUM(BY35:CB35)</f>
        <v>0</v>
      </c>
      <c r="EY35" s="352">
        <f>SUM(CC35:CF35)</f>
        <v>0</v>
      </c>
      <c r="EZ35" s="352">
        <f t="shared" ref="EZ35:EZ36" si="215">SUM(CG35:CJ35)</f>
        <v>0</v>
      </c>
      <c r="FA35" s="352">
        <f t="shared" ref="FA35:FA36" si="216">SUM(CK35:CN35)</f>
        <v>18</v>
      </c>
      <c r="FB35" s="352">
        <f t="shared" ref="FB35" si="217">SUM(CO35:CR35)</f>
        <v>90</v>
      </c>
      <c r="FC35" s="352">
        <f>SUM(CS35:CV35)</f>
        <v>16</v>
      </c>
      <c r="FD35" s="1177">
        <f>SUM(CW35:CZ35)</f>
        <v>0</v>
      </c>
      <c r="FE35" s="300"/>
      <c r="FF35" s="300"/>
      <c r="FG35" s="300"/>
      <c r="FH35" s="300"/>
      <c r="FO35" s="7"/>
    </row>
    <row r="36" spans="1:171" s="415" customFormat="1" ht="14.25" hidden="1" customHeight="1" outlineLevel="1">
      <c r="A36" s="413"/>
      <c r="B36" s="675" t="s">
        <v>125</v>
      </c>
      <c r="C36" s="549"/>
      <c r="D36" s="552">
        <v>0</v>
      </c>
      <c r="E36" s="550">
        <v>0</v>
      </c>
      <c r="F36" s="550">
        <v>0</v>
      </c>
      <c r="G36" s="551">
        <v>0</v>
      </c>
      <c r="H36" s="552">
        <v>0</v>
      </c>
      <c r="I36" s="550">
        <v>0</v>
      </c>
      <c r="J36" s="550">
        <v>0</v>
      </c>
      <c r="K36" s="551">
        <v>0</v>
      </c>
      <c r="L36" s="552">
        <v>0</v>
      </c>
      <c r="M36" s="550">
        <v>0</v>
      </c>
      <c r="N36" s="550">
        <v>0</v>
      </c>
      <c r="O36" s="551">
        <v>0</v>
      </c>
      <c r="P36" s="552">
        <v>0</v>
      </c>
      <c r="Q36" s="550">
        <v>0</v>
      </c>
      <c r="R36" s="550">
        <v>0</v>
      </c>
      <c r="S36" s="551">
        <v>0</v>
      </c>
      <c r="T36" s="552">
        <v>0</v>
      </c>
      <c r="U36" s="550">
        <v>0</v>
      </c>
      <c r="V36" s="550">
        <v>0</v>
      </c>
      <c r="W36" s="551">
        <v>0</v>
      </c>
      <c r="X36" s="552">
        <v>0</v>
      </c>
      <c r="Y36" s="550">
        <v>0</v>
      </c>
      <c r="Z36" s="550">
        <v>0</v>
      </c>
      <c r="AA36" s="551">
        <v>0</v>
      </c>
      <c r="AB36" s="552">
        <v>0</v>
      </c>
      <c r="AC36" s="550">
        <v>0</v>
      </c>
      <c r="AD36" s="550">
        <v>0</v>
      </c>
      <c r="AE36" s="551">
        <v>0</v>
      </c>
      <c r="AF36" s="552">
        <v>0</v>
      </c>
      <c r="AG36" s="550">
        <v>0</v>
      </c>
      <c r="AH36" s="550">
        <v>0</v>
      </c>
      <c r="AI36" s="551">
        <v>0</v>
      </c>
      <c r="AJ36" s="552">
        <v>0</v>
      </c>
      <c r="AK36" s="550">
        <v>0</v>
      </c>
      <c r="AL36" s="550">
        <v>0</v>
      </c>
      <c r="AM36" s="551">
        <v>0</v>
      </c>
      <c r="AN36" s="552">
        <v>0</v>
      </c>
      <c r="AO36" s="550">
        <v>0</v>
      </c>
      <c r="AP36" s="550">
        <v>0</v>
      </c>
      <c r="AQ36" s="551">
        <v>0</v>
      </c>
      <c r="AR36" s="552">
        <v>0</v>
      </c>
      <c r="AS36" s="550">
        <v>0</v>
      </c>
      <c r="AT36" s="550">
        <v>0</v>
      </c>
      <c r="AU36" s="551">
        <v>0</v>
      </c>
      <c r="AV36" s="552">
        <v>0</v>
      </c>
      <c r="AW36" s="550">
        <v>0</v>
      </c>
      <c r="AX36" s="550">
        <v>0</v>
      </c>
      <c r="AY36" s="551">
        <v>0</v>
      </c>
      <c r="AZ36" s="552">
        <v>0</v>
      </c>
      <c r="BA36" s="550">
        <v>0</v>
      </c>
      <c r="BB36" s="550">
        <v>0</v>
      </c>
      <c r="BC36" s="551">
        <v>0</v>
      </c>
      <c r="BD36" s="552">
        <v>0</v>
      </c>
      <c r="BE36" s="550">
        <v>0</v>
      </c>
      <c r="BF36" s="550">
        <v>0</v>
      </c>
      <c r="BG36" s="551">
        <v>0</v>
      </c>
      <c r="BH36" s="552">
        <v>0</v>
      </c>
      <c r="BI36" s="550">
        <v>0</v>
      </c>
      <c r="BJ36" s="550">
        <v>0</v>
      </c>
      <c r="BK36" s="551">
        <v>0</v>
      </c>
      <c r="BL36" s="552">
        <v>0</v>
      </c>
      <c r="BM36" s="550">
        <v>0</v>
      </c>
      <c r="BN36" s="550">
        <v>0</v>
      </c>
      <c r="BO36" s="551">
        <v>0</v>
      </c>
      <c r="BP36" s="552">
        <v>0</v>
      </c>
      <c r="BQ36" s="550">
        <v>0</v>
      </c>
      <c r="BR36" s="550">
        <v>0</v>
      </c>
      <c r="BS36" s="551">
        <v>0</v>
      </c>
      <c r="BT36" s="552">
        <v>0</v>
      </c>
      <c r="BU36" s="550">
        <v>0</v>
      </c>
      <c r="BV36" s="550">
        <v>0</v>
      </c>
      <c r="BW36" s="551">
        <v>0</v>
      </c>
      <c r="BX36" s="552">
        <v>0</v>
      </c>
      <c r="BY36" s="550">
        <v>0</v>
      </c>
      <c r="BZ36" s="550">
        <v>0</v>
      </c>
      <c r="CA36" s="551">
        <v>0</v>
      </c>
      <c r="CB36" s="552">
        <v>0</v>
      </c>
      <c r="CC36" s="550">
        <v>0</v>
      </c>
      <c r="CD36" s="550">
        <v>0</v>
      </c>
      <c r="CE36" s="551">
        <v>0</v>
      </c>
      <c r="CF36" s="552">
        <v>0</v>
      </c>
      <c r="CG36" s="550">
        <v>0</v>
      </c>
      <c r="CH36" s="550">
        <v>0</v>
      </c>
      <c r="CI36" s="551">
        <v>0</v>
      </c>
      <c r="CJ36" s="552">
        <v>0</v>
      </c>
      <c r="CK36" s="550">
        <v>0</v>
      </c>
      <c r="CL36" s="550">
        <v>0</v>
      </c>
      <c r="CM36" s="551">
        <v>0</v>
      </c>
      <c r="CN36" s="552">
        <v>0</v>
      </c>
      <c r="CO36" s="550">
        <v>0</v>
      </c>
      <c r="CP36" s="550">
        <v>0</v>
      </c>
      <c r="CQ36" s="551">
        <v>0</v>
      </c>
      <c r="CR36" s="552">
        <v>0</v>
      </c>
      <c r="CS36" s="550">
        <v>0</v>
      </c>
      <c r="CT36" s="550">
        <v>0</v>
      </c>
      <c r="CU36" s="551">
        <v>0</v>
      </c>
      <c r="CV36" s="552">
        <v>0</v>
      </c>
      <c r="CW36" s="550">
        <v>0</v>
      </c>
      <c r="CX36" s="550">
        <v>0</v>
      </c>
      <c r="CY36" s="551">
        <v>0</v>
      </c>
      <c r="CZ36" s="552">
        <v>0</v>
      </c>
      <c r="DA36" s="550">
        <v>0</v>
      </c>
      <c r="DB36" s="550">
        <v>0</v>
      </c>
      <c r="DC36" s="551">
        <v>0</v>
      </c>
      <c r="DD36" s="518"/>
      <c r="DE36" s="553">
        <f>SUM(D36:G36)</f>
        <v>0</v>
      </c>
      <c r="DF36" s="553">
        <f>SUM(H36:K36)</f>
        <v>0</v>
      </c>
      <c r="DG36" s="553">
        <f>SUM(L36:O36)</f>
        <v>0</v>
      </c>
      <c r="DH36" s="553">
        <f>SUM(P36:S36)</f>
        <v>0</v>
      </c>
      <c r="DI36" s="553">
        <f>SUM(T36:W36)</f>
        <v>0</v>
      </c>
      <c r="DJ36" s="553">
        <f>SUM(X36:AA36)</f>
        <v>0</v>
      </c>
      <c r="DK36" s="553">
        <f>SUM(AB36:AE36)</f>
        <v>0</v>
      </c>
      <c r="DL36" s="553">
        <f>SUM(AF36:AI36)</f>
        <v>0</v>
      </c>
      <c r="DM36" s="553">
        <f>SUM(AJ36:AM36)</f>
        <v>0</v>
      </c>
      <c r="DN36" s="553">
        <f>SUM(AN36:AQ36)</f>
        <v>0</v>
      </c>
      <c r="DO36" s="553">
        <f>SUM(AR36:AU36)</f>
        <v>0</v>
      </c>
      <c r="DP36" s="554">
        <f>SUM(AV36:AY36)</f>
        <v>0</v>
      </c>
      <c r="DQ36" s="554">
        <f>SUM(AZ36:BC36)</f>
        <v>0</v>
      </c>
      <c r="DR36" s="554">
        <f>SUM(BD36:BG36)</f>
        <v>0</v>
      </c>
      <c r="DS36" s="554">
        <f>SUM(BH36:BK36)</f>
        <v>0</v>
      </c>
      <c r="DT36" s="554">
        <f>SUM(BL36:BO36)</f>
        <v>0</v>
      </c>
      <c r="DU36" s="554">
        <f>SUM(BP36:BS36)</f>
        <v>0</v>
      </c>
      <c r="DV36" s="554">
        <f>SUM(BT36:BW36)</f>
        <v>0</v>
      </c>
      <c r="DW36" s="554">
        <f>SUM(BX36:CA36)</f>
        <v>0</v>
      </c>
      <c r="DX36" s="554">
        <f>SUM(CB36:CE36)</f>
        <v>0</v>
      </c>
      <c r="DY36" s="554">
        <f>SUM(CF36:CI36)</f>
        <v>0</v>
      </c>
      <c r="DZ36" s="554">
        <f>SUM(CJ36:CM36)</f>
        <v>0</v>
      </c>
      <c r="EA36" s="554">
        <f t="shared" si="213"/>
        <v>0</v>
      </c>
      <c r="EB36" s="554">
        <f t="shared" si="214"/>
        <v>0</v>
      </c>
      <c r="EC36" s="555">
        <f>SUM(CV36:CY36)</f>
        <v>0</v>
      </c>
      <c r="ED36" s="555">
        <f>SUM(CZ36:DC36)</f>
        <v>0</v>
      </c>
      <c r="EE36" s="1364"/>
      <c r="EF36" s="556">
        <f>SUM(E36:H36)</f>
        <v>0</v>
      </c>
      <c r="EG36" s="554">
        <f>SUM(I36:L36)</f>
        <v>0</v>
      </c>
      <c r="EH36" s="554">
        <f>SUM(M36:P36)</f>
        <v>0</v>
      </c>
      <c r="EI36" s="554">
        <f>SUM(Q36:T36)</f>
        <v>0</v>
      </c>
      <c r="EJ36" s="554">
        <f>SUM(U36:X36)</f>
        <v>0</v>
      </c>
      <c r="EK36" s="554">
        <f>SUM(Y36:AB36)</f>
        <v>0</v>
      </c>
      <c r="EL36" s="554">
        <f>SUM(AC36:AF36)</f>
        <v>0</v>
      </c>
      <c r="EM36" s="554">
        <f>SUM(AG36:AJ36)</f>
        <v>0</v>
      </c>
      <c r="EN36" s="554">
        <f>SUM(AK36:AN36)</f>
        <v>0</v>
      </c>
      <c r="EO36" s="554">
        <f>SUM(AO36:AR36)</f>
        <v>0</v>
      </c>
      <c r="EP36" s="553">
        <f>SUM(AS36:AV36)</f>
        <v>0</v>
      </c>
      <c r="EQ36" s="553">
        <f>SUM(AW36:AZ36)</f>
        <v>0</v>
      </c>
      <c r="ER36" s="553">
        <f>SUM(BA36:BD36)</f>
        <v>0</v>
      </c>
      <c r="ES36" s="553">
        <f>SUM(BE36:BH36)</f>
        <v>0</v>
      </c>
      <c r="ET36" s="553">
        <f>SUM(BI36:BL36)</f>
        <v>0</v>
      </c>
      <c r="EU36" s="553">
        <f>SUM(BM36:BP36)</f>
        <v>0</v>
      </c>
      <c r="EV36" s="553">
        <f>SUM(BQ36:BT36)</f>
        <v>0</v>
      </c>
      <c r="EW36" s="553">
        <f>SUM(BU36:BX36)</f>
        <v>0</v>
      </c>
      <c r="EX36" s="553">
        <f>SUM(BY36:CB36)</f>
        <v>0</v>
      </c>
      <c r="EY36" s="553">
        <f>SUM(CC36:CF36)</f>
        <v>0</v>
      </c>
      <c r="EZ36" s="553">
        <f t="shared" si="215"/>
        <v>0</v>
      </c>
      <c r="FA36" s="553">
        <f t="shared" si="216"/>
        <v>0</v>
      </c>
      <c r="FB36" s="553">
        <f t="shared" ref="FB36" si="218">SUM(CO36:CR36)</f>
        <v>0</v>
      </c>
      <c r="FC36" s="553">
        <f>SUM(CS36:CV36)</f>
        <v>0</v>
      </c>
      <c r="FD36" s="1179">
        <f>SUM(CW36:CZ36)</f>
        <v>0</v>
      </c>
      <c r="FE36" s="669"/>
      <c r="FF36" s="669"/>
      <c r="FG36" s="669"/>
      <c r="FH36" s="669"/>
      <c r="FI36"/>
      <c r="FJ36"/>
      <c r="FK36"/>
      <c r="FL36"/>
      <c r="FM36"/>
      <c r="FN36"/>
      <c r="FO36" s="413"/>
    </row>
    <row r="37" spans="1:171" ht="14.25" hidden="1" customHeight="1" outlineLevel="1">
      <c r="A37" s="7"/>
      <c r="B37" s="673" t="s">
        <v>158</v>
      </c>
      <c r="C37" s="23"/>
      <c r="D37" s="29">
        <f>+D32-D35-D36</f>
        <v>38.200000000000003</v>
      </c>
      <c r="E37" s="27">
        <f t="shared" ref="E37:BP37" si="219">+E32-E35-E36</f>
        <v>39</v>
      </c>
      <c r="F37" s="27">
        <f t="shared" si="219"/>
        <v>54.4</v>
      </c>
      <c r="G37" s="28">
        <f t="shared" si="219"/>
        <v>67.099999999999994</v>
      </c>
      <c r="H37" s="29">
        <f t="shared" si="219"/>
        <v>72.7</v>
      </c>
      <c r="I37" s="27">
        <f t="shared" si="219"/>
        <v>75.400000000000006</v>
      </c>
      <c r="J37" s="27">
        <f t="shared" si="219"/>
        <v>63.6</v>
      </c>
      <c r="K37" s="28">
        <f t="shared" si="219"/>
        <v>81.2</v>
      </c>
      <c r="L37" s="29">
        <f t="shared" si="219"/>
        <v>66.599999999999994</v>
      </c>
      <c r="M37" s="27">
        <f t="shared" si="219"/>
        <v>94.9</v>
      </c>
      <c r="N37" s="27">
        <f t="shared" si="219"/>
        <v>93.4</v>
      </c>
      <c r="O37" s="28">
        <f t="shared" si="219"/>
        <v>100.9</v>
      </c>
      <c r="P37" s="29">
        <f t="shared" si="219"/>
        <v>126</v>
      </c>
      <c r="Q37" s="27">
        <f t="shared" si="219"/>
        <v>138.6</v>
      </c>
      <c r="R37" s="27">
        <f t="shared" si="219"/>
        <v>111.4</v>
      </c>
      <c r="S37" s="28">
        <f t="shared" si="219"/>
        <v>100.1</v>
      </c>
      <c r="T37" s="29">
        <f t="shared" si="219"/>
        <v>103</v>
      </c>
      <c r="U37" s="27">
        <f t="shared" si="219"/>
        <v>125.5</v>
      </c>
      <c r="V37" s="27">
        <f t="shared" si="219"/>
        <v>124.1</v>
      </c>
      <c r="W37" s="28">
        <f t="shared" si="219"/>
        <v>133.4</v>
      </c>
      <c r="X37" s="29">
        <f t="shared" si="219"/>
        <v>103.6</v>
      </c>
      <c r="Y37" s="27">
        <f t="shared" si="219"/>
        <v>93.4</v>
      </c>
      <c r="Z37" s="27">
        <f t="shared" si="219"/>
        <v>112.4</v>
      </c>
      <c r="AA37" s="28">
        <f t="shared" si="219"/>
        <v>129.1</v>
      </c>
      <c r="AB37" s="29">
        <f t="shared" si="219"/>
        <v>106.4</v>
      </c>
      <c r="AC37" s="27">
        <f t="shared" si="219"/>
        <v>109</v>
      </c>
      <c r="AD37" s="27">
        <f t="shared" si="219"/>
        <v>104.3</v>
      </c>
      <c r="AE37" s="28">
        <f t="shared" si="219"/>
        <v>204.4</v>
      </c>
      <c r="AF37" s="29">
        <f t="shared" si="219"/>
        <v>79.900000000000006</v>
      </c>
      <c r="AG37" s="27">
        <f t="shared" si="219"/>
        <v>79.3</v>
      </c>
      <c r="AH37" s="27">
        <f t="shared" si="219"/>
        <v>77.2</v>
      </c>
      <c r="AI37" s="28">
        <f t="shared" si="219"/>
        <v>95.9</v>
      </c>
      <c r="AJ37" s="29">
        <f t="shared" si="219"/>
        <v>96.4</v>
      </c>
      <c r="AK37" s="27">
        <f t="shared" si="219"/>
        <v>92.4</v>
      </c>
      <c r="AL37" s="27">
        <f t="shared" si="219"/>
        <v>87.2</v>
      </c>
      <c r="AM37" s="28">
        <f t="shared" si="219"/>
        <v>82.2</v>
      </c>
      <c r="AN37" s="29">
        <f t="shared" si="219"/>
        <v>81.2</v>
      </c>
      <c r="AO37" s="27">
        <f t="shared" si="219"/>
        <v>81.8</v>
      </c>
      <c r="AP37" s="27">
        <f t="shared" si="219"/>
        <v>94.3</v>
      </c>
      <c r="AQ37" s="28">
        <f t="shared" si="219"/>
        <v>74.7</v>
      </c>
      <c r="AR37" s="29">
        <f t="shared" si="219"/>
        <v>86.8</v>
      </c>
      <c r="AS37" s="27">
        <f t="shared" si="219"/>
        <v>84.9</v>
      </c>
      <c r="AT37" s="27">
        <f t="shared" si="219"/>
        <v>88.6</v>
      </c>
      <c r="AU37" s="28">
        <f t="shared" si="219"/>
        <v>88</v>
      </c>
      <c r="AV37" s="29">
        <f t="shared" si="219"/>
        <v>95.3</v>
      </c>
      <c r="AW37" s="27">
        <f t="shared" si="219"/>
        <v>107.8</v>
      </c>
      <c r="AX37" s="27">
        <f t="shared" si="219"/>
        <v>113.2</v>
      </c>
      <c r="AY37" s="28">
        <f t="shared" si="219"/>
        <v>143.4</v>
      </c>
      <c r="AZ37" s="29">
        <f t="shared" si="219"/>
        <v>180</v>
      </c>
      <c r="BA37" s="27">
        <f t="shared" si="219"/>
        <v>153</v>
      </c>
      <c r="BB37" s="27">
        <f t="shared" si="219"/>
        <v>134</v>
      </c>
      <c r="BC37" s="28">
        <f t="shared" si="219"/>
        <v>143</v>
      </c>
      <c r="BD37" s="29">
        <f t="shared" si="219"/>
        <v>112</v>
      </c>
      <c r="BE37" s="27">
        <f t="shared" si="219"/>
        <v>120</v>
      </c>
      <c r="BF37" s="27">
        <f t="shared" si="219"/>
        <v>116</v>
      </c>
      <c r="BG37" s="28">
        <f t="shared" si="219"/>
        <v>107</v>
      </c>
      <c r="BH37" s="29">
        <f t="shared" si="219"/>
        <v>102</v>
      </c>
      <c r="BI37" s="27">
        <f t="shared" si="219"/>
        <v>90</v>
      </c>
      <c r="BJ37" s="27">
        <f t="shared" si="219"/>
        <v>80</v>
      </c>
      <c r="BK37" s="28">
        <f t="shared" si="219"/>
        <v>82</v>
      </c>
      <c r="BL37" s="29">
        <f t="shared" si="219"/>
        <v>97</v>
      </c>
      <c r="BM37" s="27">
        <f t="shared" si="219"/>
        <v>100</v>
      </c>
      <c r="BN37" s="27">
        <f t="shared" si="219"/>
        <v>190</v>
      </c>
      <c r="BO37" s="28">
        <f t="shared" si="219"/>
        <v>141</v>
      </c>
      <c r="BP37" s="29">
        <f t="shared" si="219"/>
        <v>140</v>
      </c>
      <c r="BQ37" s="27">
        <f t="shared" ref="BQ37:CB37" si="220">+BQ32-BQ35-BQ36</f>
        <v>146</v>
      </c>
      <c r="BR37" s="27">
        <f t="shared" si="220"/>
        <v>151</v>
      </c>
      <c r="BS37" s="28">
        <f t="shared" si="220"/>
        <v>155</v>
      </c>
      <c r="BT37" s="29">
        <f t="shared" si="220"/>
        <v>151</v>
      </c>
      <c r="BU37" s="27">
        <f t="shared" si="220"/>
        <v>161</v>
      </c>
      <c r="BV37" s="27">
        <f t="shared" si="220"/>
        <v>156</v>
      </c>
      <c r="BW37" s="28">
        <f t="shared" si="220"/>
        <v>139</v>
      </c>
      <c r="BX37" s="29">
        <f t="shared" si="220"/>
        <v>119</v>
      </c>
      <c r="BY37" s="27">
        <f t="shared" si="220"/>
        <v>123</v>
      </c>
      <c r="BZ37" s="27">
        <f t="shared" si="220"/>
        <v>127</v>
      </c>
      <c r="CA37" s="28">
        <f t="shared" si="220"/>
        <v>193</v>
      </c>
      <c r="CB37" s="29">
        <f t="shared" si="220"/>
        <v>176</v>
      </c>
      <c r="CC37" s="27">
        <f t="shared" ref="CC37:CI37" si="221">+CC32-CC35-CC36</f>
        <v>177</v>
      </c>
      <c r="CD37" s="27">
        <f t="shared" si="221"/>
        <v>174</v>
      </c>
      <c r="CE37" s="28">
        <f t="shared" si="221"/>
        <v>180</v>
      </c>
      <c r="CF37" s="29">
        <f t="shared" si="221"/>
        <v>193</v>
      </c>
      <c r="CG37" s="27">
        <f t="shared" si="221"/>
        <v>187</v>
      </c>
      <c r="CH37" s="27">
        <f t="shared" si="221"/>
        <v>169</v>
      </c>
      <c r="CI37" s="28">
        <f t="shared" si="221"/>
        <v>170</v>
      </c>
      <c r="CJ37" s="29">
        <f t="shared" ref="CJ37:CM37" si="222">+CJ32-CJ35-CJ36</f>
        <v>179</v>
      </c>
      <c r="CK37" s="27">
        <f t="shared" si="222"/>
        <v>175</v>
      </c>
      <c r="CL37" s="27">
        <f t="shared" si="222"/>
        <v>146</v>
      </c>
      <c r="CM37" s="28">
        <f t="shared" si="222"/>
        <v>157</v>
      </c>
      <c r="CN37" s="29">
        <f t="shared" ref="CN37:CQ37" si="223">+CN32-CN35-CN36</f>
        <v>143</v>
      </c>
      <c r="CO37" s="27">
        <f t="shared" si="223"/>
        <v>157</v>
      </c>
      <c r="CP37" s="27">
        <f t="shared" si="223"/>
        <v>184</v>
      </c>
      <c r="CQ37" s="28">
        <f t="shared" si="223"/>
        <v>171</v>
      </c>
      <c r="CR37" s="29">
        <f t="shared" ref="CR37:CS37" si="224">+CR32-CR35-CR36</f>
        <v>173</v>
      </c>
      <c r="CS37" s="27">
        <f t="shared" si="224"/>
        <v>180</v>
      </c>
      <c r="CT37" s="27">
        <f t="shared" ref="CT37:CU37" si="225">+CT32-CT35-CT36</f>
        <v>195</v>
      </c>
      <c r="CU37" s="28">
        <f t="shared" si="225"/>
        <v>195</v>
      </c>
      <c r="CV37" s="29">
        <f t="shared" ref="CV37:CY37" si="226">+CV32-CV35-CV36</f>
        <v>200</v>
      </c>
      <c r="CW37" s="27">
        <f t="shared" si="226"/>
        <v>200</v>
      </c>
      <c r="CX37" s="27">
        <f t="shared" si="226"/>
        <v>190</v>
      </c>
      <c r="CY37" s="28">
        <f t="shared" si="226"/>
        <v>190</v>
      </c>
      <c r="CZ37" s="29">
        <f t="shared" ref="CZ37:DC37" si="227">+CZ32-CZ35-CZ36</f>
        <v>190</v>
      </c>
      <c r="DA37" s="27">
        <f t="shared" si="227"/>
        <v>200</v>
      </c>
      <c r="DB37" s="27">
        <f t="shared" si="227"/>
        <v>200</v>
      </c>
      <c r="DC37" s="28">
        <f t="shared" si="227"/>
        <v>205</v>
      </c>
      <c r="DD37" s="18"/>
      <c r="DE37" s="352">
        <f t="shared" ref="DE37:EB37" si="228">+DE32-DE35-DE36</f>
        <v>198.7</v>
      </c>
      <c r="DF37" s="352">
        <f t="shared" si="228"/>
        <v>292.90000000000003</v>
      </c>
      <c r="DG37" s="352">
        <f t="shared" si="228"/>
        <v>355.8</v>
      </c>
      <c r="DH37" s="352">
        <f t="shared" si="228"/>
        <v>476.1</v>
      </c>
      <c r="DI37" s="352">
        <f t="shared" si="228"/>
        <v>486</v>
      </c>
      <c r="DJ37" s="352">
        <f t="shared" si="228"/>
        <v>438.5</v>
      </c>
      <c r="DK37" s="352">
        <f t="shared" si="228"/>
        <v>524.1</v>
      </c>
      <c r="DL37" s="352">
        <f t="shared" si="228"/>
        <v>332.29999999999995</v>
      </c>
      <c r="DM37" s="352">
        <f t="shared" si="228"/>
        <v>358.2</v>
      </c>
      <c r="DN37" s="352">
        <f t="shared" si="228"/>
        <v>332</v>
      </c>
      <c r="DO37" s="352">
        <f t="shared" si="228"/>
        <v>348.29999999999995</v>
      </c>
      <c r="DP37" s="27">
        <f t="shared" si="228"/>
        <v>459.70000000000005</v>
      </c>
      <c r="DQ37" s="27">
        <f t="shared" si="228"/>
        <v>610</v>
      </c>
      <c r="DR37" s="27">
        <f t="shared" si="228"/>
        <v>455</v>
      </c>
      <c r="DS37" s="27">
        <f t="shared" si="228"/>
        <v>354</v>
      </c>
      <c r="DT37" s="27">
        <f t="shared" si="228"/>
        <v>528</v>
      </c>
      <c r="DU37" s="27">
        <f t="shared" si="228"/>
        <v>592</v>
      </c>
      <c r="DV37" s="27">
        <f t="shared" si="228"/>
        <v>607</v>
      </c>
      <c r="DW37" s="27">
        <f t="shared" si="228"/>
        <v>562</v>
      </c>
      <c r="DX37" s="27">
        <f t="shared" si="228"/>
        <v>707</v>
      </c>
      <c r="DY37" s="27">
        <f t="shared" si="228"/>
        <v>719</v>
      </c>
      <c r="DZ37" s="27">
        <f t="shared" si="228"/>
        <v>657</v>
      </c>
      <c r="EA37" s="27">
        <f t="shared" si="228"/>
        <v>655</v>
      </c>
      <c r="EB37" s="27">
        <f t="shared" si="228"/>
        <v>743</v>
      </c>
      <c r="EC37" s="28">
        <f t="shared" ref="EC37:ED37" si="229">+EC32-EC35-EC36</f>
        <v>780</v>
      </c>
      <c r="ED37" s="28">
        <f t="shared" si="229"/>
        <v>795</v>
      </c>
      <c r="EE37" s="1364"/>
      <c r="EF37" s="29">
        <f>+EF32-EF35-EF36</f>
        <v>233.2</v>
      </c>
      <c r="EG37" s="27">
        <f t="shared" ref="EG37:EY37" si="230">+EG32-EG35-EG36</f>
        <v>286.79999999999995</v>
      </c>
      <c r="EH37" s="27">
        <f t="shared" si="230"/>
        <v>415.20000000000005</v>
      </c>
      <c r="EI37" s="27">
        <f t="shared" si="230"/>
        <v>453.1</v>
      </c>
      <c r="EJ37" s="27">
        <f t="shared" si="230"/>
        <v>486.6</v>
      </c>
      <c r="EK37" s="27">
        <f t="shared" si="230"/>
        <v>441.29999999999995</v>
      </c>
      <c r="EL37" s="27">
        <f t="shared" si="230"/>
        <v>497.6</v>
      </c>
      <c r="EM37" s="27">
        <f t="shared" si="230"/>
        <v>348.8</v>
      </c>
      <c r="EN37" s="27">
        <f t="shared" si="230"/>
        <v>343</v>
      </c>
      <c r="EO37" s="27">
        <f t="shared" si="230"/>
        <v>337.6</v>
      </c>
      <c r="EP37" s="352">
        <f t="shared" si="230"/>
        <v>356.8</v>
      </c>
      <c r="EQ37" s="352">
        <f t="shared" si="230"/>
        <v>544.4</v>
      </c>
      <c r="ER37" s="352">
        <f t="shared" si="230"/>
        <v>542</v>
      </c>
      <c r="ES37" s="352">
        <f t="shared" si="230"/>
        <v>445</v>
      </c>
      <c r="ET37" s="352">
        <f t="shared" si="230"/>
        <v>349</v>
      </c>
      <c r="EU37" s="352">
        <f t="shared" si="230"/>
        <v>571</v>
      </c>
      <c r="EV37" s="352">
        <f t="shared" si="230"/>
        <v>603</v>
      </c>
      <c r="EW37" s="352">
        <f t="shared" si="230"/>
        <v>575</v>
      </c>
      <c r="EX37" s="352">
        <f t="shared" si="230"/>
        <v>619</v>
      </c>
      <c r="EY37" s="352">
        <f t="shared" si="230"/>
        <v>724</v>
      </c>
      <c r="EZ37" s="352">
        <f t="shared" ref="EZ37:FA37" si="231">+EZ32-EZ35-EZ36</f>
        <v>705</v>
      </c>
      <c r="FA37" s="352">
        <f t="shared" si="231"/>
        <v>621</v>
      </c>
      <c r="FB37" s="352">
        <f t="shared" ref="FB37:FC37" si="232">+FB32-FB35-FB36</f>
        <v>685</v>
      </c>
      <c r="FC37" s="352">
        <f t="shared" si="232"/>
        <v>770</v>
      </c>
      <c r="FD37" s="1177">
        <f t="shared" ref="FD37" si="233">+FD32-FD35-FD36</f>
        <v>770</v>
      </c>
      <c r="FE37" s="300"/>
      <c r="FF37" s="300"/>
      <c r="FG37" s="300"/>
      <c r="FH37" s="300"/>
      <c r="FO37" s="7"/>
    </row>
    <row r="38" spans="1:171" s="619" customFormat="1" ht="14.25" hidden="1" customHeight="1" outlineLevel="1">
      <c r="A38" s="615"/>
      <c r="B38" s="674" t="s">
        <v>213</v>
      </c>
      <c r="C38" s="616"/>
      <c r="D38" s="614">
        <f t="shared" ref="D38:AI38" si="234">+D37/D$7</f>
        <v>7.1401869158878514E-2</v>
      </c>
      <c r="E38" s="1213">
        <f t="shared" si="234"/>
        <v>6.205250596658711E-2</v>
      </c>
      <c r="F38" s="1213">
        <f t="shared" si="234"/>
        <v>7.1466106148187061E-2</v>
      </c>
      <c r="G38" s="613">
        <f t="shared" si="234"/>
        <v>6.5272373540856021E-2</v>
      </c>
      <c r="H38" s="614">
        <f t="shared" si="234"/>
        <v>6.1308821049080794E-2</v>
      </c>
      <c r="I38" s="1213">
        <f t="shared" si="234"/>
        <v>7.5664826894129456E-2</v>
      </c>
      <c r="J38" s="1213">
        <f t="shared" si="234"/>
        <v>8.2490272373540854E-2</v>
      </c>
      <c r="K38" s="613">
        <f t="shared" si="234"/>
        <v>0.11591720199857246</v>
      </c>
      <c r="L38" s="614">
        <f t="shared" si="234"/>
        <v>9.1470951792336205E-2</v>
      </c>
      <c r="M38" s="1213">
        <f t="shared" si="234"/>
        <v>0.1083086053412463</v>
      </c>
      <c r="N38" s="1213">
        <f t="shared" si="234"/>
        <v>9.678756476683939E-2</v>
      </c>
      <c r="O38" s="613">
        <f t="shared" si="234"/>
        <v>0.10663707461424646</v>
      </c>
      <c r="P38" s="614">
        <f t="shared" si="234"/>
        <v>0.13162018176120338</v>
      </c>
      <c r="Q38" s="1213">
        <f t="shared" si="234"/>
        <v>0.18160377358490565</v>
      </c>
      <c r="R38" s="1213">
        <f t="shared" si="234"/>
        <v>0.18181818181818182</v>
      </c>
      <c r="S38" s="613">
        <f t="shared" si="234"/>
        <v>0.14463227857246061</v>
      </c>
      <c r="T38" s="614">
        <f t="shared" si="234"/>
        <v>0.12978830645161291</v>
      </c>
      <c r="U38" s="1213">
        <f t="shared" si="234"/>
        <v>0.12234353675180347</v>
      </c>
      <c r="V38" s="1213">
        <f t="shared" si="234"/>
        <v>0.14366751562861774</v>
      </c>
      <c r="W38" s="613">
        <f t="shared" si="234"/>
        <v>0.12342709104367136</v>
      </c>
      <c r="X38" s="614">
        <f t="shared" si="234"/>
        <v>7.7100543276028874E-2</v>
      </c>
      <c r="Y38" s="1213">
        <f t="shared" si="234"/>
        <v>8.0579760158743866E-2</v>
      </c>
      <c r="Z38" s="1213">
        <f t="shared" si="234"/>
        <v>7.2338782340069518E-2</v>
      </c>
      <c r="AA38" s="613">
        <f t="shared" si="234"/>
        <v>5.598924451383467E-2</v>
      </c>
      <c r="AB38" s="614">
        <f t="shared" si="234"/>
        <v>6.7701705268516169E-2</v>
      </c>
      <c r="AC38" s="1213">
        <f t="shared" si="234"/>
        <v>0.10228019142347752</v>
      </c>
      <c r="AD38" s="1213">
        <f t="shared" si="234"/>
        <v>0.12745936698032506</v>
      </c>
      <c r="AE38" s="613">
        <f t="shared" si="234"/>
        <v>0.42556735373724702</v>
      </c>
      <c r="AF38" s="614">
        <f t="shared" si="234"/>
        <v>0.18848785090823308</v>
      </c>
      <c r="AG38" s="1213">
        <f t="shared" si="234"/>
        <v>0.12277442328533829</v>
      </c>
      <c r="AH38" s="1213">
        <f t="shared" si="234"/>
        <v>0.10010373443983402</v>
      </c>
      <c r="AI38" s="613">
        <f t="shared" si="234"/>
        <v>0.12820855614973262</v>
      </c>
      <c r="AJ38" s="614">
        <f t="shared" ref="AJ38:BO38" si="235">+AJ37/AJ$7</f>
        <v>0.14070938549116918</v>
      </c>
      <c r="AK38" s="1213">
        <f t="shared" si="235"/>
        <v>0.11770700636942676</v>
      </c>
      <c r="AL38" s="1213">
        <f t="shared" si="235"/>
        <v>0.11901187389108775</v>
      </c>
      <c r="AM38" s="613">
        <f t="shared" si="235"/>
        <v>9.2515475520540236E-2</v>
      </c>
      <c r="AN38" s="614">
        <f t="shared" si="235"/>
        <v>7.3338150289017343E-2</v>
      </c>
      <c r="AO38" s="1213">
        <f t="shared" si="235"/>
        <v>8.2542885973763871E-2</v>
      </c>
      <c r="AP38" s="1213">
        <f t="shared" si="235"/>
        <v>8.4437679083094561E-2</v>
      </c>
      <c r="AQ38" s="613">
        <f t="shared" si="235"/>
        <v>6.281533804238143E-2</v>
      </c>
      <c r="AR38" s="614">
        <f t="shared" si="235"/>
        <v>6.8872490676822981E-2</v>
      </c>
      <c r="AS38" s="1213">
        <f t="shared" si="235"/>
        <v>6.4913219665112015E-2</v>
      </c>
      <c r="AT38" s="1213">
        <f t="shared" si="235"/>
        <v>8.4044773287801161E-2</v>
      </c>
      <c r="AU38" s="613">
        <f t="shared" si="235"/>
        <v>6.9963428207982195E-2</v>
      </c>
      <c r="AV38" s="614">
        <f t="shared" si="235"/>
        <v>6.9980907622264651E-2</v>
      </c>
      <c r="AW38" s="1213">
        <f t="shared" si="235"/>
        <v>8.7999999999999995E-2</v>
      </c>
      <c r="AX38" s="1213">
        <f t="shared" si="235"/>
        <v>8.626076354492114E-2</v>
      </c>
      <c r="AY38" s="613">
        <f t="shared" si="235"/>
        <v>0.10441240716470074</v>
      </c>
      <c r="AZ38" s="614">
        <f t="shared" si="235"/>
        <v>0.11764705882352941</v>
      </c>
      <c r="BA38" s="1213">
        <f t="shared" si="235"/>
        <v>0.10721793973370708</v>
      </c>
      <c r="BB38" s="1213">
        <f t="shared" si="235"/>
        <v>0.1035548686244204</v>
      </c>
      <c r="BC38" s="613">
        <f t="shared" si="235"/>
        <v>9.9512874043145447E-2</v>
      </c>
      <c r="BD38" s="614">
        <f t="shared" si="235"/>
        <v>7.2964169381107488E-2</v>
      </c>
      <c r="BE38" s="1213">
        <f t="shared" si="235"/>
        <v>8.8300220750551883E-2</v>
      </c>
      <c r="BF38" s="1213">
        <f t="shared" si="235"/>
        <v>7.7436582109479304E-2</v>
      </c>
      <c r="BG38" s="613">
        <f t="shared" si="235"/>
        <v>7.3844030365769503E-2</v>
      </c>
      <c r="BH38" s="614">
        <f t="shared" si="235"/>
        <v>7.2753209700427965E-2</v>
      </c>
      <c r="BI38" s="1213">
        <f t="shared" si="235"/>
        <v>9.0634441087613288E-2</v>
      </c>
      <c r="BJ38" s="1213">
        <f t="shared" si="235"/>
        <v>7.2332730560578665E-2</v>
      </c>
      <c r="BK38" s="613">
        <f t="shared" si="235"/>
        <v>6.2980030721966201E-2</v>
      </c>
      <c r="BL38" s="614">
        <f t="shared" si="235"/>
        <v>5.5747126436781612E-2</v>
      </c>
      <c r="BM38" s="1213">
        <f t="shared" si="235"/>
        <v>5.0994390617032127E-2</v>
      </c>
      <c r="BN38" s="1213">
        <f t="shared" si="235"/>
        <v>8.3041958041958047E-2</v>
      </c>
      <c r="BO38" s="613">
        <f t="shared" si="235"/>
        <v>5.6558363417569195E-2</v>
      </c>
      <c r="BP38" s="614">
        <f t="shared" ref="BP38:CI38" si="236">+BP37/BP$7</f>
        <v>6.216696269982238E-2</v>
      </c>
      <c r="BQ38" s="1213">
        <f t="shared" si="236"/>
        <v>6.4687638458130262E-2</v>
      </c>
      <c r="BR38" s="1213">
        <f t="shared" si="236"/>
        <v>7.0593735390369325E-2</v>
      </c>
      <c r="BS38" s="613">
        <f t="shared" si="236"/>
        <v>7.2429906542056069E-2</v>
      </c>
      <c r="BT38" s="614">
        <f t="shared" si="236"/>
        <v>7.2248803827751201E-2</v>
      </c>
      <c r="BU38" s="1213">
        <f t="shared" si="236"/>
        <v>8.0139372822299645E-2</v>
      </c>
      <c r="BV38" s="1213">
        <f t="shared" si="236"/>
        <v>7.18232044198895E-2</v>
      </c>
      <c r="BW38" s="613">
        <f t="shared" si="236"/>
        <v>7.0809984717269486E-2</v>
      </c>
      <c r="BX38" s="614">
        <f t="shared" si="236"/>
        <v>6.4885496183206104E-2</v>
      </c>
      <c r="BY38" s="612">
        <f t="shared" si="236"/>
        <v>5.9191530317613088E-2</v>
      </c>
      <c r="BZ38" s="612">
        <f t="shared" si="236"/>
        <v>5.47886108714409E-2</v>
      </c>
      <c r="CA38" s="613">
        <f t="shared" si="236"/>
        <v>6.7886035877594092E-2</v>
      </c>
      <c r="CB38" s="614">
        <f t="shared" si="236"/>
        <v>4.354280059376546E-2</v>
      </c>
      <c r="CC38" s="612">
        <f>+CC37/CC$7</f>
        <v>4.3097151205259317E-2</v>
      </c>
      <c r="CD38" s="612">
        <f>+CD37/CD$7</f>
        <v>4.3696634856855848E-2</v>
      </c>
      <c r="CE38" s="613">
        <f>+CE37/CE$7</f>
        <v>4.2583392476933997E-2</v>
      </c>
      <c r="CF38" s="614">
        <f t="shared" si="236"/>
        <v>4.2204242291712227E-2</v>
      </c>
      <c r="CG38" s="612">
        <f t="shared" si="236"/>
        <v>4.4887181949111857E-2</v>
      </c>
      <c r="CH38" s="612">
        <f t="shared" si="236"/>
        <v>4.3861925772125616E-2</v>
      </c>
      <c r="CI38" s="613">
        <f t="shared" si="236"/>
        <v>4.7222222222222221E-2</v>
      </c>
      <c r="CJ38" s="614">
        <f t="shared" ref="CJ38:CM38" si="237">+CJ37/CJ$7</f>
        <v>5.3432835820895523E-2</v>
      </c>
      <c r="CK38" s="612">
        <f t="shared" si="237"/>
        <v>5.9645535105657808E-2</v>
      </c>
      <c r="CL38" s="612">
        <f t="shared" si="237"/>
        <v>5.0379572118702552E-2</v>
      </c>
      <c r="CM38" s="613">
        <f t="shared" si="237"/>
        <v>4.8803232825613926E-2</v>
      </c>
      <c r="CN38" s="614">
        <f t="shared" ref="CN38:CQ38" si="238">+CN37/CN$7</f>
        <v>3.6020151133501259E-2</v>
      </c>
      <c r="CO38" s="1213">
        <f t="shared" si="238"/>
        <v>3.3777969018932874E-2</v>
      </c>
      <c r="CP38" s="1213">
        <f t="shared" si="238"/>
        <v>3.3057851239669422E-2</v>
      </c>
      <c r="CQ38" s="613">
        <f t="shared" si="238"/>
        <v>2.7859237536656891E-2</v>
      </c>
      <c r="CR38" s="614">
        <f t="shared" ref="CR38:CS38" si="239">+CR37/CR$7</f>
        <v>2.5429957371747757E-2</v>
      </c>
      <c r="CS38" s="1213">
        <f t="shared" si="239"/>
        <v>2.4486464426608626E-2</v>
      </c>
      <c r="CT38" s="612">
        <f t="shared" ref="CT38:CU38" si="240">+CT37/CT$7</f>
        <v>2.564011861818434E-2</v>
      </c>
      <c r="CU38" s="613">
        <f t="shared" si="240"/>
        <v>2.539145133077263E-2</v>
      </c>
      <c r="CV38" s="614">
        <f t="shared" ref="CV38:CY38" si="241">+CV37/CV$7</f>
        <v>2.6851886644022188E-2</v>
      </c>
      <c r="CW38" s="1213">
        <f t="shared" si="241"/>
        <v>2.9476788550999423E-2</v>
      </c>
      <c r="CX38" s="1213">
        <f t="shared" si="241"/>
        <v>2.8531670793377237E-2</v>
      </c>
      <c r="CY38" s="613">
        <f t="shared" si="241"/>
        <v>2.8465285188713597E-2</v>
      </c>
      <c r="CZ38" s="614">
        <f t="shared" ref="CZ38:DC38" si="242">+CZ37/CZ$7</f>
        <v>2.8932209252952076E-2</v>
      </c>
      <c r="DA38" s="1213">
        <f t="shared" si="242"/>
        <v>3.0494749796206703E-2</v>
      </c>
      <c r="DB38" s="1213">
        <f t="shared" si="242"/>
        <v>3.036297501335377E-2</v>
      </c>
      <c r="DC38" s="613">
        <f t="shared" si="242"/>
        <v>3.0736823312531341E-2</v>
      </c>
      <c r="DD38" s="617"/>
      <c r="DE38" s="618">
        <f t="shared" ref="DE38:EB38" si="243">+DE37/DE$7</f>
        <v>6.7294340772851971E-2</v>
      </c>
      <c r="DF38" s="618">
        <f t="shared" si="243"/>
        <v>8.016311784990969E-2</v>
      </c>
      <c r="DG38" s="618">
        <f t="shared" si="243"/>
        <v>0.10120893187313328</v>
      </c>
      <c r="DH38" s="618">
        <f t="shared" si="243"/>
        <v>0.15737282252999704</v>
      </c>
      <c r="DI38" s="618">
        <f t="shared" si="243"/>
        <v>0.12911795961742828</v>
      </c>
      <c r="DJ38" s="618">
        <f t="shared" si="243"/>
        <v>6.8920533132151379E-2</v>
      </c>
      <c r="DK38" s="618">
        <f t="shared" si="243"/>
        <v>0.13315887090627299</v>
      </c>
      <c r="DL38" s="618">
        <f t="shared" si="243"/>
        <v>0.12835071456160679</v>
      </c>
      <c r="DM38" s="618">
        <f t="shared" si="243"/>
        <v>0.11587358069420631</v>
      </c>
      <c r="DN38" s="618">
        <f t="shared" si="243"/>
        <v>7.5382589346532858E-2</v>
      </c>
      <c r="DO38" s="618">
        <f t="shared" si="243"/>
        <v>7.1370025818613986E-2</v>
      </c>
      <c r="DP38" s="612">
        <f t="shared" si="243"/>
        <v>8.7188240872451403E-2</v>
      </c>
      <c r="DQ38" s="612">
        <f t="shared" si="243"/>
        <v>0.10724331926863573</v>
      </c>
      <c r="DR38" s="612">
        <f t="shared" si="243"/>
        <v>7.7897620270501622E-2</v>
      </c>
      <c r="DS38" s="612">
        <f t="shared" si="243"/>
        <v>7.3703935040599619E-2</v>
      </c>
      <c r="DT38" s="1213">
        <f t="shared" si="243"/>
        <v>6.224946946474888E-2</v>
      </c>
      <c r="DU38" s="1213">
        <f t="shared" si="243"/>
        <v>6.736458807464725E-2</v>
      </c>
      <c r="DV38" s="1213">
        <f t="shared" si="243"/>
        <v>7.3718727228564485E-2</v>
      </c>
      <c r="DW38" s="1213">
        <f t="shared" si="243"/>
        <v>6.1942025790807889E-2</v>
      </c>
      <c r="DX38" s="1213">
        <f t="shared" si="243"/>
        <v>4.3220442596894483E-2</v>
      </c>
      <c r="DY38" s="1213">
        <f t="shared" si="243"/>
        <v>4.4404644268774704E-2</v>
      </c>
      <c r="DZ38" s="1213">
        <f t="shared" si="243"/>
        <v>5.2988144205177834E-2</v>
      </c>
      <c r="EA38" s="1213">
        <f t="shared" si="243"/>
        <v>3.223107961814782E-2</v>
      </c>
      <c r="EB38" s="1213">
        <f t="shared" si="243"/>
        <v>2.5238612661033732E-2</v>
      </c>
      <c r="EC38" s="613">
        <f t="shared" ref="EC38:ED38" si="244">+EC37/EC$7</f>
        <v>2.8294362122182969E-2</v>
      </c>
      <c r="ED38" s="613">
        <f t="shared" si="244"/>
        <v>3.0134095734445171E-2</v>
      </c>
      <c r="EE38" s="1364"/>
      <c r="EF38" s="614">
        <f t="shared" ref="EF38:EY38" si="245">+EF37/EF$7</f>
        <v>6.4714860552240877E-2</v>
      </c>
      <c r="EG38" s="612">
        <f t="shared" si="245"/>
        <v>8.9734363755827398E-2</v>
      </c>
      <c r="EH38" s="612">
        <f t="shared" si="245"/>
        <v>0.11087670574411837</v>
      </c>
      <c r="EI38" s="612">
        <f t="shared" si="245"/>
        <v>0.15833799273133911</v>
      </c>
      <c r="EJ38" s="612">
        <f t="shared" si="245"/>
        <v>0.11279293479520644</v>
      </c>
      <c r="EK38" s="612">
        <f t="shared" si="245"/>
        <v>6.6962050286026434E-2</v>
      </c>
      <c r="EL38" s="612">
        <f t="shared" si="245"/>
        <v>0.17846639408937662</v>
      </c>
      <c r="EM38" s="612">
        <f t="shared" si="245"/>
        <v>0.12237737702617361</v>
      </c>
      <c r="EN38" s="612">
        <f t="shared" si="245"/>
        <v>9.762623100130928E-2</v>
      </c>
      <c r="EO38" s="612">
        <f t="shared" si="245"/>
        <v>7.4078950255633824E-2</v>
      </c>
      <c r="EP38" s="618">
        <f t="shared" si="245"/>
        <v>7.162213702149868E-2</v>
      </c>
      <c r="EQ38" s="618">
        <f t="shared" si="245"/>
        <v>0.10006065395996837</v>
      </c>
      <c r="ER38" s="618">
        <f t="shared" si="245"/>
        <v>9.5204637273845066E-2</v>
      </c>
      <c r="ES38" s="618">
        <f t="shared" si="245"/>
        <v>7.7960756832515771E-2</v>
      </c>
      <c r="ET38" s="618">
        <f t="shared" si="245"/>
        <v>6.7885625364715041E-2</v>
      </c>
      <c r="EU38" s="618">
        <f t="shared" si="245"/>
        <v>6.3486768957082496E-2</v>
      </c>
      <c r="EV38" s="618">
        <f t="shared" si="245"/>
        <v>6.9904938557848365E-2</v>
      </c>
      <c r="EW38" s="618">
        <f t="shared" si="245"/>
        <v>7.2073201303584855E-2</v>
      </c>
      <c r="EX38" s="618">
        <f t="shared" si="245"/>
        <v>5.4871022072511301E-2</v>
      </c>
      <c r="EY38" s="618">
        <f t="shared" si="245"/>
        <v>4.2868139025401146E-2</v>
      </c>
      <c r="EZ38" s="618">
        <f t="shared" ref="EZ38:FA38" si="246">+EZ37/EZ$7</f>
        <v>4.7097334491281985E-2</v>
      </c>
      <c r="FA38" s="618">
        <f t="shared" si="246"/>
        <v>4.7699516091865735E-2</v>
      </c>
      <c r="FB38" s="618">
        <f t="shared" ref="FB38:FC38" si="247">+FB37/FB$7</f>
        <v>2.9583243359965452E-2</v>
      </c>
      <c r="FC38" s="618">
        <f t="shared" si="247"/>
        <v>2.5594757934947053E-2</v>
      </c>
      <c r="FD38" s="1180">
        <f t="shared" ref="FD38" si="248">+FD37/FD$7</f>
        <v>2.8853930960996286E-2</v>
      </c>
      <c r="FE38" s="784"/>
      <c r="FF38" s="784"/>
      <c r="FG38" s="784"/>
      <c r="FH38" s="784"/>
      <c r="FI38"/>
      <c r="FJ38"/>
      <c r="FK38"/>
      <c r="FL38"/>
      <c r="FM38"/>
      <c r="FN38"/>
      <c r="FO38" s="615"/>
    </row>
    <row r="39" spans="1:171" ht="14.25" customHeight="1" collapsed="1">
      <c r="A39" s="7"/>
      <c r="B39" s="673"/>
      <c r="C39" s="49"/>
      <c r="D39" s="40"/>
      <c r="E39" s="38"/>
      <c r="F39" s="38"/>
      <c r="G39" s="39"/>
      <c r="H39" s="40"/>
      <c r="I39" s="38"/>
      <c r="J39" s="38"/>
      <c r="K39" s="39"/>
      <c r="L39" s="40"/>
      <c r="M39" s="38"/>
      <c r="N39" s="38"/>
      <c r="O39" s="39"/>
      <c r="P39" s="40"/>
      <c r="Q39" s="38"/>
      <c r="R39" s="38"/>
      <c r="S39" s="39"/>
      <c r="T39" s="40"/>
      <c r="U39" s="38"/>
      <c r="V39" s="38"/>
      <c r="W39" s="39"/>
      <c r="X39" s="40"/>
      <c r="Y39" s="38"/>
      <c r="Z39" s="38"/>
      <c r="AA39" s="39"/>
      <c r="AB39" s="40"/>
      <c r="AC39" s="38"/>
      <c r="AD39" s="38"/>
      <c r="AE39" s="39"/>
      <c r="AF39" s="40"/>
      <c r="AG39" s="38"/>
      <c r="AH39" s="38"/>
      <c r="AI39" s="39"/>
      <c r="AJ39" s="40"/>
      <c r="AK39" s="38"/>
      <c r="AL39" s="38"/>
      <c r="AM39" s="39"/>
      <c r="AN39" s="40"/>
      <c r="AO39" s="38"/>
      <c r="AP39" s="38"/>
      <c r="AQ39" s="39"/>
      <c r="AR39" s="40"/>
      <c r="AS39" s="38"/>
      <c r="AT39" s="38"/>
      <c r="AU39" s="39"/>
      <c r="AV39" s="40"/>
      <c r="AW39" s="38"/>
      <c r="AX39" s="38"/>
      <c r="AY39" s="39"/>
      <c r="AZ39" s="40"/>
      <c r="BA39" s="38"/>
      <c r="BB39" s="38"/>
      <c r="BC39" s="39"/>
      <c r="BD39" s="40"/>
      <c r="BE39" s="38"/>
      <c r="BF39" s="38"/>
      <c r="BG39" s="39"/>
      <c r="BH39" s="40"/>
      <c r="BI39" s="38"/>
      <c r="BJ39" s="38"/>
      <c r="BK39" s="39"/>
      <c r="BL39" s="40"/>
      <c r="BM39" s="38"/>
      <c r="BN39" s="38"/>
      <c r="BO39" s="39"/>
      <c r="BP39" s="40"/>
      <c r="BQ39" s="38"/>
      <c r="BR39" s="38"/>
      <c r="BS39" s="39"/>
      <c r="BT39" s="40"/>
      <c r="BU39" s="38"/>
      <c r="BV39" s="38"/>
      <c r="BW39" s="39"/>
      <c r="BX39" s="40"/>
      <c r="BY39" s="38"/>
      <c r="BZ39" s="38"/>
      <c r="CA39" s="39"/>
      <c r="CB39" s="40"/>
      <c r="CC39" s="38"/>
      <c r="CD39" s="38"/>
      <c r="CE39" s="39"/>
      <c r="CF39" s="40"/>
      <c r="CG39" s="38"/>
      <c r="CH39" s="38"/>
      <c r="CI39" s="39"/>
      <c r="CJ39" s="40"/>
      <c r="CK39" s="38"/>
      <c r="CL39" s="38"/>
      <c r="CM39" s="39"/>
      <c r="CN39" s="40"/>
      <c r="CO39" s="38"/>
      <c r="CP39" s="38"/>
      <c r="CQ39" s="39"/>
      <c r="CR39" s="40"/>
      <c r="CS39" s="38"/>
      <c r="CT39" s="38"/>
      <c r="CU39" s="39"/>
      <c r="CV39" s="40"/>
      <c r="CW39" s="38"/>
      <c r="CX39" s="38"/>
      <c r="CY39" s="39"/>
      <c r="CZ39" s="40"/>
      <c r="DA39" s="38"/>
      <c r="DB39" s="38"/>
      <c r="DC39" s="39"/>
      <c r="DD39" s="18"/>
      <c r="DE39" s="355"/>
      <c r="DF39" s="355"/>
      <c r="DG39" s="355"/>
      <c r="DH39" s="355"/>
      <c r="DI39" s="355"/>
      <c r="DJ39" s="355"/>
      <c r="DK39" s="355"/>
      <c r="DL39" s="355"/>
      <c r="DM39" s="355"/>
      <c r="DN39" s="355"/>
      <c r="DO39" s="355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2"/>
      <c r="ED39" s="42"/>
      <c r="EE39" s="1364"/>
      <c r="EF39" s="50"/>
      <c r="EG39" s="41"/>
      <c r="EH39" s="41"/>
      <c r="EI39" s="41"/>
      <c r="EJ39" s="41"/>
      <c r="EK39" s="41"/>
      <c r="EL39" s="41"/>
      <c r="EM39" s="41"/>
      <c r="EN39" s="41"/>
      <c r="EO39" s="41"/>
      <c r="EP39" s="355"/>
      <c r="EQ39" s="355"/>
      <c r="ER39" s="355"/>
      <c r="ES39" s="355"/>
      <c r="ET39" s="355"/>
      <c r="EU39" s="355"/>
      <c r="EV39" s="355"/>
      <c r="EW39" s="355"/>
      <c r="EX39" s="355"/>
      <c r="EY39" s="355"/>
      <c r="EZ39" s="355"/>
      <c r="FA39" s="355"/>
      <c r="FB39" s="355"/>
      <c r="FC39" s="355"/>
      <c r="FD39" s="1181"/>
      <c r="FE39" s="300"/>
      <c r="FF39" s="300"/>
      <c r="FG39" s="300"/>
      <c r="FH39" s="300"/>
      <c r="FO39" s="7"/>
    </row>
    <row r="40" spans="1:171" s="415" customFormat="1" ht="14.25" customHeight="1">
      <c r="A40" s="413"/>
      <c r="B40" s="675" t="s">
        <v>159</v>
      </c>
      <c r="C40" s="558"/>
      <c r="D40" s="552">
        <v>0</v>
      </c>
      <c r="E40" s="550">
        <v>0</v>
      </c>
      <c r="F40" s="550">
        <v>-29</v>
      </c>
      <c r="G40" s="551">
        <v>0</v>
      </c>
      <c r="H40" s="552">
        <v>0</v>
      </c>
      <c r="I40" s="550">
        <v>29.9</v>
      </c>
      <c r="J40" s="550">
        <v>0</v>
      </c>
      <c r="K40" s="551">
        <v>-0.3</v>
      </c>
      <c r="L40" s="552">
        <v>0</v>
      </c>
      <c r="M40" s="550">
        <v>0</v>
      </c>
      <c r="N40" s="550">
        <v>0</v>
      </c>
      <c r="O40" s="551">
        <v>0</v>
      </c>
      <c r="P40" s="552">
        <v>4.5999999999999996</v>
      </c>
      <c r="Q40" s="550">
        <v>24.2</v>
      </c>
      <c r="R40" s="550">
        <v>3.4</v>
      </c>
      <c r="S40" s="551">
        <v>2.1</v>
      </c>
      <c r="T40" s="552">
        <v>7.8</v>
      </c>
      <c r="U40" s="550">
        <v>18.399999999999999</v>
      </c>
      <c r="V40" s="550">
        <v>11.1</v>
      </c>
      <c r="W40" s="551">
        <v>15.2</v>
      </c>
      <c r="X40" s="552">
        <v>22.9</v>
      </c>
      <c r="Y40" s="550">
        <v>9.1999999999999993</v>
      </c>
      <c r="Z40" s="550">
        <v>5.7</v>
      </c>
      <c r="AA40" s="551">
        <v>-47.9</v>
      </c>
      <c r="AB40" s="552">
        <v>-3.2</v>
      </c>
      <c r="AC40" s="550">
        <v>1.4</v>
      </c>
      <c r="AD40" s="550">
        <v>32.6</v>
      </c>
      <c r="AE40" s="551">
        <v>42.8</v>
      </c>
      <c r="AF40" s="552">
        <v>5</v>
      </c>
      <c r="AG40" s="550">
        <v>-13.2</v>
      </c>
      <c r="AH40" s="550">
        <v>3.3</v>
      </c>
      <c r="AI40" s="551">
        <v>26</v>
      </c>
      <c r="AJ40" s="552">
        <v>8.4</v>
      </c>
      <c r="AK40" s="550">
        <v>118.2</v>
      </c>
      <c r="AL40" s="550">
        <v>5.8</v>
      </c>
      <c r="AM40" s="551">
        <v>26.8</v>
      </c>
      <c r="AN40" s="552">
        <v>-3.3</v>
      </c>
      <c r="AO40" s="550">
        <v>-14.4</v>
      </c>
      <c r="AP40" s="550">
        <v>2.5</v>
      </c>
      <c r="AQ40" s="551">
        <v>-6.7</v>
      </c>
      <c r="AR40" s="552">
        <v>12.9</v>
      </c>
      <c r="AS40" s="550">
        <v>-8.6999999999999993</v>
      </c>
      <c r="AT40" s="550">
        <v>-25.3</v>
      </c>
      <c r="AU40" s="551">
        <v>-2.6</v>
      </c>
      <c r="AV40" s="552">
        <v>-12.1</v>
      </c>
      <c r="AW40" s="550">
        <v>-219.2</v>
      </c>
      <c r="AX40" s="550">
        <v>1.5</v>
      </c>
      <c r="AY40" s="551">
        <v>-34.9</v>
      </c>
      <c r="AZ40" s="552">
        <v>-31</v>
      </c>
      <c r="BA40" s="550">
        <v>-5</v>
      </c>
      <c r="BB40" s="550">
        <v>-28</v>
      </c>
      <c r="BC40" s="551">
        <v>-12</v>
      </c>
      <c r="BD40" s="552">
        <v>-23</v>
      </c>
      <c r="BE40" s="550">
        <v>-34</v>
      </c>
      <c r="BF40" s="550">
        <v>-13</v>
      </c>
      <c r="BG40" s="551">
        <v>-1</v>
      </c>
      <c r="BH40" s="552">
        <v>-57</v>
      </c>
      <c r="BI40" s="550">
        <v>125</v>
      </c>
      <c r="BJ40" s="550">
        <v>111</v>
      </c>
      <c r="BK40" s="551">
        <v>-2</v>
      </c>
      <c r="BL40" s="552">
        <v>8</v>
      </c>
      <c r="BM40" s="550">
        <v>-21</v>
      </c>
      <c r="BN40" s="550">
        <v>-24</v>
      </c>
      <c r="BO40" s="551">
        <v>10</v>
      </c>
      <c r="BP40" s="552">
        <v>-191</v>
      </c>
      <c r="BQ40" s="550">
        <v>-76</v>
      </c>
      <c r="BR40" s="550">
        <v>-121</v>
      </c>
      <c r="BS40" s="551">
        <v>8</v>
      </c>
      <c r="BT40" s="552">
        <v>6</v>
      </c>
      <c r="BU40" s="550">
        <v>19</v>
      </c>
      <c r="BV40" s="550">
        <v>38</v>
      </c>
      <c r="BW40" s="551">
        <v>-15</v>
      </c>
      <c r="BX40" s="552">
        <v>31</v>
      </c>
      <c r="BY40" s="550">
        <v>52</v>
      </c>
      <c r="BZ40" s="550">
        <f>55-1</f>
        <v>54</v>
      </c>
      <c r="CA40" s="551">
        <f>32+9</f>
        <v>41</v>
      </c>
      <c r="CB40" s="556">
        <f t="shared" ref="CB40:CH40" si="249">SUM(CB41:CB43)</f>
        <v>234</v>
      </c>
      <c r="CC40" s="554">
        <f t="shared" si="249"/>
        <v>13</v>
      </c>
      <c r="CD40" s="554">
        <f>SUM(CD41:CD43)</f>
        <v>6</v>
      </c>
      <c r="CE40" s="555">
        <f>SUM(CE41:CE43)</f>
        <v>19</v>
      </c>
      <c r="CF40" s="556">
        <f>SUM(CF41:CF43)</f>
        <v>-16</v>
      </c>
      <c r="CG40" s="554">
        <f t="shared" si="249"/>
        <v>-16</v>
      </c>
      <c r="CH40" s="554">
        <f t="shared" si="249"/>
        <v>-4</v>
      </c>
      <c r="CI40" s="555">
        <f t="shared" ref="CI40:CL40" si="250">SUM(CI41:CI43)</f>
        <v>-6</v>
      </c>
      <c r="CJ40" s="556">
        <f>SUM(CJ41:CJ43)</f>
        <v>17</v>
      </c>
      <c r="CK40" s="554">
        <f>SUM(CK41:CK43)</f>
        <v>6</v>
      </c>
      <c r="CL40" s="554">
        <f t="shared" si="250"/>
        <v>-5</v>
      </c>
      <c r="CM40" s="555">
        <f t="shared" ref="CM40" si="251">SUM(CM41:CM43)</f>
        <v>43</v>
      </c>
      <c r="CN40" s="556">
        <f>SUM(CN41:CN43)</f>
        <v>23</v>
      </c>
      <c r="CO40" s="554">
        <f>SUM(CO41:CO43)</f>
        <v>0</v>
      </c>
      <c r="CP40" s="554">
        <f t="shared" ref="CP40:CQ40" si="252">SUM(CP41:CP43)</f>
        <v>8</v>
      </c>
      <c r="CQ40" s="555">
        <f t="shared" si="252"/>
        <v>-30</v>
      </c>
      <c r="CR40" s="556">
        <f>SUM(CR41:CR43)</f>
        <v>11</v>
      </c>
      <c r="CS40" s="554">
        <f>SUM(CS41:CS43)</f>
        <v>-9</v>
      </c>
      <c r="CT40" s="554">
        <f t="shared" ref="CT40:CU40" si="253">CT46</f>
        <v>52</v>
      </c>
      <c r="CU40" s="554">
        <f t="shared" si="253"/>
        <v>52</v>
      </c>
      <c r="CV40" s="556">
        <f t="shared" ref="CV40:CY40" si="254">CV46</f>
        <v>52</v>
      </c>
      <c r="CW40" s="554">
        <f t="shared" si="254"/>
        <v>52</v>
      </c>
      <c r="CX40" s="554">
        <f t="shared" si="254"/>
        <v>52</v>
      </c>
      <c r="CY40" s="554">
        <f t="shared" si="254"/>
        <v>52</v>
      </c>
      <c r="CZ40" s="556">
        <f t="shared" ref="CZ40:DC40" si="255">CZ46</f>
        <v>52</v>
      </c>
      <c r="DA40" s="554">
        <f t="shared" si="255"/>
        <v>52</v>
      </c>
      <c r="DB40" s="554">
        <f t="shared" si="255"/>
        <v>52</v>
      </c>
      <c r="DC40" s="554">
        <f t="shared" si="255"/>
        <v>52</v>
      </c>
      <c r="DD40" s="518"/>
      <c r="DE40" s="553">
        <f>SUM(D40:G40)</f>
        <v>-29</v>
      </c>
      <c r="DF40" s="553">
        <f>SUM(H40:K40)</f>
        <v>29.599999999999998</v>
      </c>
      <c r="DG40" s="553">
        <f>SUM(L40:O40)</f>
        <v>0</v>
      </c>
      <c r="DH40" s="553">
        <f>SUM(P40:S40)</f>
        <v>34.299999999999997</v>
      </c>
      <c r="DI40" s="553">
        <f>SUM(T40:W40)</f>
        <v>52.5</v>
      </c>
      <c r="DJ40" s="553">
        <f>SUM(X40:AA40)</f>
        <v>-10.100000000000001</v>
      </c>
      <c r="DK40" s="553">
        <f>SUM(AB40:AE40)</f>
        <v>73.599999999999994</v>
      </c>
      <c r="DL40" s="553">
        <f>SUM(AF40:AI40)</f>
        <v>21.1</v>
      </c>
      <c r="DM40" s="553">
        <f>SUM(AJ40:AM40)</f>
        <v>159.20000000000002</v>
      </c>
      <c r="DN40" s="553">
        <f>SUM(AN40:AQ40)</f>
        <v>-21.9</v>
      </c>
      <c r="DO40" s="553">
        <f>SUM(AR40:AU40)</f>
        <v>-23.700000000000003</v>
      </c>
      <c r="DP40" s="554">
        <f>SUM(AV40:AY40)</f>
        <v>-264.7</v>
      </c>
      <c r="DQ40" s="554">
        <f>SUM(AZ40:BC40)</f>
        <v>-76</v>
      </c>
      <c r="DR40" s="554">
        <f>SUM(BD40:BG40)</f>
        <v>-71</v>
      </c>
      <c r="DS40" s="554">
        <f>SUM(BH40:BK40)</f>
        <v>177</v>
      </c>
      <c r="DT40" s="554">
        <f>SUM(BL40:BO40)</f>
        <v>-27</v>
      </c>
      <c r="DU40" s="554">
        <f>SUM(BP40:BS40)</f>
        <v>-380</v>
      </c>
      <c r="DV40" s="554">
        <f>SUM(BT40:BW40)</f>
        <v>48</v>
      </c>
      <c r="DW40" s="554">
        <f>SUM(BX40:CA40)</f>
        <v>178</v>
      </c>
      <c r="DX40" s="554">
        <f>SUM(CB40:CE40)</f>
        <v>272</v>
      </c>
      <c r="DY40" s="554">
        <f>SUM(CF40:CI40)</f>
        <v>-42</v>
      </c>
      <c r="DZ40" s="554">
        <f>SUM(CJ40:CM40)</f>
        <v>61</v>
      </c>
      <c r="EA40" s="554">
        <f t="shared" ref="EA40:EA42" si="256">SUM(CN40:CQ40)</f>
        <v>1</v>
      </c>
      <c r="EB40" s="554">
        <f t="shared" ref="EB40:EB42" si="257">SUM(CR40:CU40)</f>
        <v>106</v>
      </c>
      <c r="EC40" s="555">
        <f t="shared" ref="EC40:EC46" si="258">SUM(CV40:CY40)</f>
        <v>208</v>
      </c>
      <c r="ED40" s="555">
        <f t="shared" ref="ED40:ED46" si="259">SUM(CZ40:DC40)</f>
        <v>208</v>
      </c>
      <c r="EE40" s="1364"/>
      <c r="EF40" s="556">
        <f>SUM(E40:H40)</f>
        <v>-29</v>
      </c>
      <c r="EG40" s="554">
        <f>SUM(I40:L40)</f>
        <v>29.599999999999998</v>
      </c>
      <c r="EH40" s="554">
        <f>SUM(M40:P40)</f>
        <v>4.5999999999999996</v>
      </c>
      <c r="EI40" s="554">
        <f>SUM(Q40:T40)</f>
        <v>37.5</v>
      </c>
      <c r="EJ40" s="554">
        <f>SUM(U40:X40)</f>
        <v>67.599999999999994</v>
      </c>
      <c r="EK40" s="554">
        <f>SUM(Y40:AB40)</f>
        <v>-36.200000000000003</v>
      </c>
      <c r="EL40" s="554">
        <f>SUM(AC40:AF40)</f>
        <v>81.8</v>
      </c>
      <c r="EM40" s="554">
        <f>SUM(AG40:AJ40)</f>
        <v>24.5</v>
      </c>
      <c r="EN40" s="554">
        <f>SUM(AK40:AN40)</f>
        <v>147.5</v>
      </c>
      <c r="EO40" s="554">
        <f>SUM(AO40:AR40)</f>
        <v>-5.7000000000000011</v>
      </c>
      <c r="EP40" s="553">
        <f>SUM(AS40:AV40)</f>
        <v>-48.7</v>
      </c>
      <c r="EQ40" s="553">
        <f>SUM(AW40:AZ40)</f>
        <v>-283.60000000000002</v>
      </c>
      <c r="ER40" s="553">
        <f>SUM(BA40:BD40)</f>
        <v>-68</v>
      </c>
      <c r="ES40" s="553">
        <f>SUM(BE40:BH40)</f>
        <v>-105</v>
      </c>
      <c r="ET40" s="553">
        <f>SUM(BI40:BL40)</f>
        <v>242</v>
      </c>
      <c r="EU40" s="553">
        <f>SUM(BM40:BP40)</f>
        <v>-226</v>
      </c>
      <c r="EV40" s="553">
        <f>SUM(BQ40:BT40)</f>
        <v>-183</v>
      </c>
      <c r="EW40" s="553">
        <f>SUM(BU40:BX40)</f>
        <v>73</v>
      </c>
      <c r="EX40" s="553">
        <f>SUM(BY40:CB40)</f>
        <v>381</v>
      </c>
      <c r="EY40" s="553">
        <f>SUM(CC40:CF40)</f>
        <v>22</v>
      </c>
      <c r="EZ40" s="553">
        <f>SUM(CG40:CJ40)</f>
        <v>-9</v>
      </c>
      <c r="FA40" s="553">
        <f>SUM(CK40:CN40)</f>
        <v>67</v>
      </c>
      <c r="FB40" s="553">
        <f t="shared" ref="FB40" si="260">SUM(CO40:CR40)</f>
        <v>-11</v>
      </c>
      <c r="FC40" s="553">
        <f t="shared" ref="FC40:FC46" si="261">SUM(CS40:CV40)</f>
        <v>147</v>
      </c>
      <c r="FD40" s="553">
        <f t="shared" ref="FD40:FD46" si="262">SUM(CW40:CZ40)</f>
        <v>208</v>
      </c>
      <c r="FE40" s="557"/>
      <c r="FF40" s="669"/>
      <c r="FG40" s="669"/>
      <c r="FH40" s="669"/>
      <c r="FI40"/>
      <c r="FJ40"/>
      <c r="FK40"/>
      <c r="FL40"/>
      <c r="FM40"/>
      <c r="FN40"/>
      <c r="FO40" s="413"/>
    </row>
    <row r="41" spans="1:171" s="328" customFormat="1" ht="14.25" hidden="1" customHeight="1" outlineLevel="1">
      <c r="A41" s="7"/>
      <c r="B41" s="430" t="s">
        <v>420</v>
      </c>
      <c r="C41" s="23"/>
      <c r="D41" s="369"/>
      <c r="E41" s="26"/>
      <c r="F41" s="26"/>
      <c r="G41" s="368"/>
      <c r="H41" s="369"/>
      <c r="I41" s="26"/>
      <c r="J41" s="26"/>
      <c r="K41" s="368"/>
      <c r="L41" s="369"/>
      <c r="M41" s="26"/>
      <c r="N41" s="26"/>
      <c r="O41" s="368"/>
      <c r="P41" s="369"/>
      <c r="Q41" s="26"/>
      <c r="R41" s="26"/>
      <c r="S41" s="368"/>
      <c r="T41" s="369"/>
      <c r="U41" s="26"/>
      <c r="V41" s="26"/>
      <c r="W41" s="368"/>
      <c r="X41" s="369"/>
      <c r="Y41" s="26"/>
      <c r="Z41" s="26"/>
      <c r="AA41" s="368"/>
      <c r="AB41" s="369"/>
      <c r="AC41" s="26"/>
      <c r="AD41" s="26"/>
      <c r="AE41" s="368"/>
      <c r="AF41" s="369"/>
      <c r="AG41" s="26"/>
      <c r="AH41" s="26"/>
      <c r="AI41" s="368"/>
      <c r="AJ41" s="369"/>
      <c r="AK41" s="26"/>
      <c r="AL41" s="26"/>
      <c r="AM41" s="368"/>
      <c r="AN41" s="369"/>
      <c r="AO41" s="26"/>
      <c r="AP41" s="26"/>
      <c r="AQ41" s="368"/>
      <c r="AR41" s="369"/>
      <c r="AS41" s="26"/>
      <c r="AT41" s="26"/>
      <c r="AU41" s="368"/>
      <c r="AV41" s="369"/>
      <c r="AW41" s="26"/>
      <c r="AX41" s="26"/>
      <c r="AY41" s="368"/>
      <c r="AZ41" s="369"/>
      <c r="BA41" s="26"/>
      <c r="BB41" s="26"/>
      <c r="BC41" s="368"/>
      <c r="BD41" s="369"/>
      <c r="BE41" s="26"/>
      <c r="BF41" s="26"/>
      <c r="BG41" s="368"/>
      <c r="BH41" s="369"/>
      <c r="BI41" s="26"/>
      <c r="BJ41" s="26"/>
      <c r="BK41" s="368"/>
      <c r="BL41" s="369"/>
      <c r="BM41" s="26"/>
      <c r="BN41" s="26"/>
      <c r="BO41" s="368"/>
      <c r="BP41" s="369"/>
      <c r="BQ41" s="26"/>
      <c r="BR41" s="26"/>
      <c r="BS41" s="368"/>
      <c r="BT41" s="369"/>
      <c r="BU41" s="26"/>
      <c r="BV41" s="26"/>
      <c r="BW41" s="368"/>
      <c r="BX41" s="369"/>
      <c r="BY41" s="26"/>
      <c r="BZ41" s="26"/>
      <c r="CA41" s="368"/>
      <c r="CB41" s="842">
        <f>+CB137</f>
        <v>-3</v>
      </c>
      <c r="CC41" s="843">
        <v>12</v>
      </c>
      <c r="CD41" s="843">
        <v>9</v>
      </c>
      <c r="CE41" s="368">
        <v>22</v>
      </c>
      <c r="CF41" s="842">
        <v>11</v>
      </c>
      <c r="CG41" s="843">
        <v>1</v>
      </c>
      <c r="CH41" s="843">
        <f t="shared" ref="CH41:CO41" si="263">CH137</f>
        <v>1</v>
      </c>
      <c r="CI41" s="368">
        <f t="shared" si="263"/>
        <v>0</v>
      </c>
      <c r="CJ41" s="842">
        <f t="shared" si="263"/>
        <v>15</v>
      </c>
      <c r="CK41" s="843">
        <f t="shared" si="263"/>
        <v>1</v>
      </c>
      <c r="CL41" s="843">
        <f t="shared" si="263"/>
        <v>0</v>
      </c>
      <c r="CM41" s="368">
        <f t="shared" si="263"/>
        <v>51</v>
      </c>
      <c r="CN41" s="369">
        <v>29</v>
      </c>
      <c r="CO41" s="26">
        <f t="shared" si="263"/>
        <v>4</v>
      </c>
      <c r="CP41" s="26">
        <v>12</v>
      </c>
      <c r="CQ41" s="368">
        <v>-27</v>
      </c>
      <c r="CR41" s="369">
        <v>0</v>
      </c>
      <c r="CS41" s="26">
        <f t="shared" ref="CS41" si="264">CS137</f>
        <v>7</v>
      </c>
      <c r="CT41" s="843"/>
      <c r="CU41" s="844"/>
      <c r="CV41" s="26"/>
      <c r="CW41" s="843"/>
      <c r="CX41" s="843"/>
      <c r="CY41" s="844"/>
      <c r="CZ41" s="26"/>
      <c r="DA41" s="843"/>
      <c r="DB41" s="843"/>
      <c r="DC41" s="844"/>
      <c r="DD41" s="18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27"/>
      <c r="DQ41" s="27"/>
      <c r="DR41" s="27"/>
      <c r="DS41" s="27"/>
      <c r="DT41" s="27"/>
      <c r="DU41" s="27"/>
      <c r="DV41" s="27">
        <f>SUM(BT41:BW41)</f>
        <v>0</v>
      </c>
      <c r="DW41" s="27">
        <f>SUM(BX41:CA41)</f>
        <v>0</v>
      </c>
      <c r="DX41" s="27">
        <f>SUM(CB41:CE41)</f>
        <v>40</v>
      </c>
      <c r="DY41" s="27">
        <f>SUM(CF41:CI41)</f>
        <v>13</v>
      </c>
      <c r="DZ41" s="27">
        <f>SUM(CJ41:CM41)</f>
        <v>67</v>
      </c>
      <c r="EA41" s="27">
        <f t="shared" si="256"/>
        <v>18</v>
      </c>
      <c r="EB41" s="27">
        <f t="shared" si="257"/>
        <v>7</v>
      </c>
      <c r="EC41" s="28">
        <f t="shared" si="258"/>
        <v>0</v>
      </c>
      <c r="ED41" s="28">
        <f t="shared" si="259"/>
        <v>0</v>
      </c>
      <c r="EE41" s="1364"/>
      <c r="EF41" s="29"/>
      <c r="EG41" s="27"/>
      <c r="EH41" s="27"/>
      <c r="EI41" s="27"/>
      <c r="EJ41" s="27"/>
      <c r="EK41" s="27"/>
      <c r="EL41" s="27"/>
      <c r="EM41" s="27"/>
      <c r="EN41" s="27"/>
      <c r="EO41" s="27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>
        <f t="shared" ref="EY41:EY45" si="265">SUM(CC41:CF41)</f>
        <v>54</v>
      </c>
      <c r="EZ41" s="352">
        <f t="shared" ref="EZ41:EZ45" si="266">SUM(CG41:CJ41)</f>
        <v>17</v>
      </c>
      <c r="FA41" s="352">
        <f t="shared" ref="FA41:FA45" si="267">SUM(CK41:CN41)</f>
        <v>81</v>
      </c>
      <c r="FB41" s="352">
        <f t="shared" ref="FB41:FB45" si="268">SUM(CO41:CR41)</f>
        <v>-11</v>
      </c>
      <c r="FC41" s="352">
        <f t="shared" si="261"/>
        <v>7</v>
      </c>
      <c r="FD41" s="352">
        <f t="shared" si="262"/>
        <v>0</v>
      </c>
      <c r="FE41" s="780"/>
      <c r="FF41" s="861"/>
      <c r="FG41" s="861"/>
      <c r="FH41" s="861"/>
      <c r="FI41"/>
      <c r="FJ41"/>
      <c r="FK41"/>
      <c r="FL41"/>
      <c r="FM41"/>
      <c r="FN41"/>
      <c r="FO41" s="7"/>
    </row>
    <row r="42" spans="1:171" s="328" customFormat="1" ht="14.25" hidden="1" customHeight="1" outlineLevel="1">
      <c r="A42" s="7"/>
      <c r="B42" s="430" t="s">
        <v>419</v>
      </c>
      <c r="C42" s="23"/>
      <c r="D42" s="369"/>
      <c r="E42" s="26"/>
      <c r="F42" s="26"/>
      <c r="G42" s="368"/>
      <c r="H42" s="369"/>
      <c r="I42" s="26"/>
      <c r="J42" s="26"/>
      <c r="K42" s="368"/>
      <c r="L42" s="369"/>
      <c r="M42" s="26"/>
      <c r="N42" s="26"/>
      <c r="O42" s="368"/>
      <c r="P42" s="369"/>
      <c r="Q42" s="26"/>
      <c r="R42" s="26"/>
      <c r="S42" s="368"/>
      <c r="T42" s="369"/>
      <c r="U42" s="26"/>
      <c r="V42" s="26"/>
      <c r="W42" s="368"/>
      <c r="X42" s="369"/>
      <c r="Y42" s="26"/>
      <c r="Z42" s="26"/>
      <c r="AA42" s="368"/>
      <c r="AB42" s="369"/>
      <c r="AC42" s="26"/>
      <c r="AD42" s="26"/>
      <c r="AE42" s="368"/>
      <c r="AF42" s="369"/>
      <c r="AG42" s="26"/>
      <c r="AH42" s="26"/>
      <c r="AI42" s="368"/>
      <c r="AJ42" s="369"/>
      <c r="AK42" s="26"/>
      <c r="AL42" s="26"/>
      <c r="AM42" s="368"/>
      <c r="AN42" s="369"/>
      <c r="AO42" s="26"/>
      <c r="AP42" s="26"/>
      <c r="AQ42" s="368"/>
      <c r="AR42" s="369"/>
      <c r="AS42" s="26"/>
      <c r="AT42" s="26"/>
      <c r="AU42" s="368"/>
      <c r="AV42" s="369"/>
      <c r="AW42" s="26"/>
      <c r="AX42" s="26"/>
      <c r="AY42" s="368"/>
      <c r="AZ42" s="369"/>
      <c r="BA42" s="26"/>
      <c r="BB42" s="26"/>
      <c r="BC42" s="368"/>
      <c r="BD42" s="369"/>
      <c r="BE42" s="26"/>
      <c r="BF42" s="26"/>
      <c r="BG42" s="368"/>
      <c r="BH42" s="369"/>
      <c r="BI42" s="26"/>
      <c r="BJ42" s="26"/>
      <c r="BK42" s="368"/>
      <c r="BL42" s="369"/>
      <c r="BM42" s="26"/>
      <c r="BN42" s="26"/>
      <c r="BO42" s="368"/>
      <c r="BP42" s="369"/>
      <c r="BQ42" s="26"/>
      <c r="BR42" s="26"/>
      <c r="BS42" s="368"/>
      <c r="BT42" s="369"/>
      <c r="BU42" s="26"/>
      <c r="BV42" s="26"/>
      <c r="BW42" s="368"/>
      <c r="BX42" s="369"/>
      <c r="BY42" s="26"/>
      <c r="BZ42" s="26"/>
      <c r="CA42" s="368"/>
      <c r="CB42" s="842">
        <f>+CB136</f>
        <v>233</v>
      </c>
      <c r="CC42" s="843">
        <f t="shared" ref="CC42:CI42" si="269">+CC136</f>
        <v>0</v>
      </c>
      <c r="CD42" s="843">
        <f>+CD136</f>
        <v>0</v>
      </c>
      <c r="CE42" s="368">
        <f>+CE136</f>
        <v>0</v>
      </c>
      <c r="CF42" s="842">
        <f t="shared" si="269"/>
        <v>0</v>
      </c>
      <c r="CG42" s="843">
        <f t="shared" si="269"/>
        <v>0</v>
      </c>
      <c r="CH42" s="843">
        <f t="shared" si="269"/>
        <v>0</v>
      </c>
      <c r="CI42" s="368">
        <f t="shared" si="269"/>
        <v>0</v>
      </c>
      <c r="CJ42" s="842">
        <f t="shared" ref="CJ42:CM42" si="270">+CJ136</f>
        <v>0</v>
      </c>
      <c r="CK42" s="843">
        <f t="shared" si="270"/>
        <v>0</v>
      </c>
      <c r="CL42" s="843">
        <f t="shared" si="270"/>
        <v>0</v>
      </c>
      <c r="CM42" s="368">
        <f t="shared" si="270"/>
        <v>0</v>
      </c>
      <c r="CN42" s="842">
        <f t="shared" ref="CN42" si="271">+CN136</f>
        <v>0</v>
      </c>
      <c r="CO42" s="843"/>
      <c r="CP42" s="843">
        <f t="shared" ref="CP42:CR42" si="272">+CP136</f>
        <v>0</v>
      </c>
      <c r="CQ42" s="368">
        <f t="shared" si="272"/>
        <v>0</v>
      </c>
      <c r="CR42" s="842">
        <f t="shared" si="272"/>
        <v>0</v>
      </c>
      <c r="CS42" s="843"/>
      <c r="CT42" s="843">
        <f t="shared" ref="CT42:CU44" si="273">+CT136</f>
        <v>0</v>
      </c>
      <c r="CU42" s="844">
        <f t="shared" si="273"/>
        <v>0</v>
      </c>
      <c r="CV42" s="843">
        <f t="shared" ref="CV42:CY42" si="274">+CV136</f>
        <v>0</v>
      </c>
      <c r="CW42" s="843">
        <f t="shared" si="274"/>
        <v>0</v>
      </c>
      <c r="CX42" s="843">
        <f t="shared" si="274"/>
        <v>0</v>
      </c>
      <c r="CY42" s="844">
        <f t="shared" si="274"/>
        <v>0</v>
      </c>
      <c r="CZ42" s="843">
        <f t="shared" ref="CZ42:DC42" si="275">+CZ136</f>
        <v>0</v>
      </c>
      <c r="DA42" s="843">
        <f t="shared" si="275"/>
        <v>0</v>
      </c>
      <c r="DB42" s="843">
        <f t="shared" si="275"/>
        <v>0</v>
      </c>
      <c r="DC42" s="844">
        <f t="shared" si="275"/>
        <v>0</v>
      </c>
      <c r="DD42" s="18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27"/>
      <c r="DQ42" s="27"/>
      <c r="DR42" s="27"/>
      <c r="DS42" s="27"/>
      <c r="DT42" s="27"/>
      <c r="DU42" s="27"/>
      <c r="DV42" s="27">
        <f>SUM(BT42:BW42)</f>
        <v>0</v>
      </c>
      <c r="DW42" s="27">
        <f>SUM(BX42:CA42)</f>
        <v>0</v>
      </c>
      <c r="DX42" s="27">
        <f>SUM(CB42:CE42)</f>
        <v>233</v>
      </c>
      <c r="DY42" s="27">
        <f>SUM(CF42:CI42)</f>
        <v>0</v>
      </c>
      <c r="DZ42" s="27">
        <f>SUM(CJ42:CM42)</f>
        <v>0</v>
      </c>
      <c r="EA42" s="27">
        <f t="shared" si="256"/>
        <v>0</v>
      </c>
      <c r="EB42" s="27">
        <f t="shared" si="257"/>
        <v>0</v>
      </c>
      <c r="EC42" s="28">
        <f t="shared" si="258"/>
        <v>0</v>
      </c>
      <c r="ED42" s="28">
        <f t="shared" si="259"/>
        <v>0</v>
      </c>
      <c r="EE42" s="1364"/>
      <c r="EF42" s="29"/>
      <c r="EG42" s="27"/>
      <c r="EH42" s="27"/>
      <c r="EI42" s="27"/>
      <c r="EJ42" s="27"/>
      <c r="EK42" s="27"/>
      <c r="EL42" s="27"/>
      <c r="EM42" s="27"/>
      <c r="EN42" s="27"/>
      <c r="EO42" s="27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>
        <f t="shared" si="265"/>
        <v>0</v>
      </c>
      <c r="EZ42" s="352">
        <f t="shared" si="266"/>
        <v>0</v>
      </c>
      <c r="FA42" s="352">
        <f t="shared" si="267"/>
        <v>0</v>
      </c>
      <c r="FB42" s="352">
        <f t="shared" si="268"/>
        <v>0</v>
      </c>
      <c r="FC42" s="352">
        <f t="shared" si="261"/>
        <v>0</v>
      </c>
      <c r="FD42" s="352">
        <f t="shared" si="262"/>
        <v>0</v>
      </c>
      <c r="FE42" s="780"/>
      <c r="FF42" s="861"/>
      <c r="FG42" s="861"/>
      <c r="FH42" s="861"/>
      <c r="FI42"/>
      <c r="FJ42"/>
      <c r="FK42"/>
      <c r="FL42"/>
      <c r="FM42"/>
      <c r="FN42"/>
      <c r="FO42" s="7"/>
    </row>
    <row r="43" spans="1:171" s="328" customFormat="1" ht="14.25" hidden="1" customHeight="1" outlineLevel="1">
      <c r="A43" s="7"/>
      <c r="B43" s="430" t="s">
        <v>577</v>
      </c>
      <c r="C43" s="23"/>
      <c r="D43" s="369"/>
      <c r="E43" s="26"/>
      <c r="F43" s="26"/>
      <c r="G43" s="368"/>
      <c r="H43" s="369"/>
      <c r="I43" s="26"/>
      <c r="J43" s="26"/>
      <c r="K43" s="368"/>
      <c r="L43" s="369"/>
      <c r="M43" s="26"/>
      <c r="N43" s="26"/>
      <c r="O43" s="368"/>
      <c r="P43" s="369"/>
      <c r="Q43" s="26"/>
      <c r="R43" s="26"/>
      <c r="S43" s="368"/>
      <c r="T43" s="369"/>
      <c r="U43" s="26"/>
      <c r="V43" s="26"/>
      <c r="W43" s="368"/>
      <c r="X43" s="369"/>
      <c r="Y43" s="26"/>
      <c r="Z43" s="26"/>
      <c r="AA43" s="368"/>
      <c r="AB43" s="369"/>
      <c r="AC43" s="26"/>
      <c r="AD43" s="26"/>
      <c r="AE43" s="368"/>
      <c r="AF43" s="369"/>
      <c r="AG43" s="26"/>
      <c r="AH43" s="26"/>
      <c r="AI43" s="368"/>
      <c r="AJ43" s="369"/>
      <c r="AK43" s="26"/>
      <c r="AL43" s="26"/>
      <c r="AM43" s="368"/>
      <c r="AN43" s="369"/>
      <c r="AO43" s="26"/>
      <c r="AP43" s="26"/>
      <c r="AQ43" s="368"/>
      <c r="AR43" s="369"/>
      <c r="AS43" s="26"/>
      <c r="AT43" s="26"/>
      <c r="AU43" s="368"/>
      <c r="AV43" s="369"/>
      <c r="AW43" s="26"/>
      <c r="AX43" s="26"/>
      <c r="AY43" s="368"/>
      <c r="AZ43" s="369"/>
      <c r="BA43" s="26"/>
      <c r="BB43" s="26"/>
      <c r="BC43" s="368"/>
      <c r="BD43" s="369"/>
      <c r="BE43" s="26"/>
      <c r="BF43" s="26"/>
      <c r="BG43" s="368"/>
      <c r="BH43" s="369"/>
      <c r="BI43" s="26"/>
      <c r="BJ43" s="26"/>
      <c r="BK43" s="368"/>
      <c r="BL43" s="369"/>
      <c r="BM43" s="26"/>
      <c r="BN43" s="26"/>
      <c r="BO43" s="368"/>
      <c r="BP43" s="369"/>
      <c r="BQ43" s="26"/>
      <c r="BR43" s="26"/>
      <c r="BS43" s="368"/>
      <c r="BT43" s="369"/>
      <c r="BU43" s="26"/>
      <c r="BV43" s="26"/>
      <c r="BW43" s="368"/>
      <c r="BX43" s="369"/>
      <c r="BY43" s="26"/>
      <c r="BZ43" s="26"/>
      <c r="CA43" s="368"/>
      <c r="CB43" s="369">
        <v>4</v>
      </c>
      <c r="CC43" s="26">
        <v>1</v>
      </c>
      <c r="CD43" s="26">
        <v>-3</v>
      </c>
      <c r="CE43" s="368">
        <v>-3</v>
      </c>
      <c r="CF43" s="369">
        <v>-27</v>
      </c>
      <c r="CG43" s="26">
        <v>-17</v>
      </c>
      <c r="CH43" s="26">
        <v>-5</v>
      </c>
      <c r="CI43" s="368">
        <v>-6</v>
      </c>
      <c r="CJ43" s="369">
        <v>2</v>
      </c>
      <c r="CK43" s="26">
        <v>5</v>
      </c>
      <c r="CL43" s="26">
        <v>-5</v>
      </c>
      <c r="CM43" s="368">
        <v>-8</v>
      </c>
      <c r="CN43" s="369">
        <v>-6</v>
      </c>
      <c r="CO43" s="26">
        <v>-4</v>
      </c>
      <c r="CP43" s="26">
        <v>-4</v>
      </c>
      <c r="CQ43" s="368">
        <v>-3</v>
      </c>
      <c r="CR43" s="369">
        <v>11</v>
      </c>
      <c r="CS43" s="26">
        <v>-16</v>
      </c>
      <c r="CT43" s="843">
        <f t="shared" si="273"/>
        <v>0</v>
      </c>
      <c r="CU43" s="844">
        <f t="shared" si="273"/>
        <v>0</v>
      </c>
      <c r="CV43" s="842">
        <f t="shared" ref="CV43:CY44" si="276">+CV137</f>
        <v>0</v>
      </c>
      <c r="CW43" s="843">
        <f t="shared" si="276"/>
        <v>0</v>
      </c>
      <c r="CX43" s="843">
        <f t="shared" si="276"/>
        <v>0</v>
      </c>
      <c r="CY43" s="844">
        <f t="shared" si="276"/>
        <v>0</v>
      </c>
      <c r="CZ43" s="842">
        <f t="shared" ref="CZ43:DC44" si="277">+CZ137</f>
        <v>0</v>
      </c>
      <c r="DA43" s="843">
        <f t="shared" si="277"/>
        <v>0</v>
      </c>
      <c r="DB43" s="843">
        <f t="shared" si="277"/>
        <v>0</v>
      </c>
      <c r="DC43" s="844">
        <f t="shared" si="277"/>
        <v>0</v>
      </c>
      <c r="DD43" s="18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27"/>
      <c r="DQ43" s="27"/>
      <c r="DR43" s="27"/>
      <c r="DS43" s="27"/>
      <c r="DT43" s="27"/>
      <c r="DU43" s="27"/>
      <c r="DV43" s="27">
        <f>SUM(BT43:BW43)</f>
        <v>0</v>
      </c>
      <c r="DW43" s="27">
        <f>SUM(BX43:CA43)</f>
        <v>0</v>
      </c>
      <c r="DX43" s="27">
        <f t="shared" ref="DX43:DX46" si="278">SUM(CB43:CE43)</f>
        <v>-1</v>
      </c>
      <c r="DY43" s="27">
        <f t="shared" ref="DY43:DY46" si="279">SUM(CF43:CI43)</f>
        <v>-55</v>
      </c>
      <c r="DZ43" s="27">
        <f t="shared" ref="DZ43:DZ46" si="280">SUM(CJ43:CM43)</f>
        <v>-6</v>
      </c>
      <c r="EA43" s="27">
        <f t="shared" ref="EA43:EA46" si="281">SUM(CN43:CQ43)</f>
        <v>-17</v>
      </c>
      <c r="EB43" s="27">
        <f t="shared" ref="EB43:EB46" si="282">SUM(CR43:CU43)</f>
        <v>-5</v>
      </c>
      <c r="EC43" s="28">
        <f t="shared" si="258"/>
        <v>0</v>
      </c>
      <c r="ED43" s="28">
        <f t="shared" si="259"/>
        <v>0</v>
      </c>
      <c r="EE43" s="1364"/>
      <c r="EF43" s="29"/>
      <c r="EG43" s="27"/>
      <c r="EH43" s="27"/>
      <c r="EI43" s="27"/>
      <c r="EJ43" s="27"/>
      <c r="EK43" s="27"/>
      <c r="EL43" s="27"/>
      <c r="EM43" s="27"/>
      <c r="EN43" s="27"/>
      <c r="EO43" s="27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>
        <f t="shared" si="265"/>
        <v>-32</v>
      </c>
      <c r="EZ43" s="352">
        <f t="shared" si="266"/>
        <v>-26</v>
      </c>
      <c r="FA43" s="352">
        <f t="shared" si="267"/>
        <v>-14</v>
      </c>
      <c r="FB43" s="352">
        <f t="shared" si="268"/>
        <v>0</v>
      </c>
      <c r="FC43" s="352">
        <f t="shared" si="261"/>
        <v>-16</v>
      </c>
      <c r="FD43" s="352">
        <f t="shared" si="262"/>
        <v>0</v>
      </c>
      <c r="FE43" s="780"/>
      <c r="FF43" s="861"/>
      <c r="FG43" s="861"/>
      <c r="FH43" s="861"/>
      <c r="FI43"/>
      <c r="FJ43"/>
      <c r="FK43"/>
      <c r="FL43"/>
      <c r="FM43"/>
      <c r="FN43"/>
      <c r="FO43" s="7"/>
    </row>
    <row r="44" spans="1:171" s="328" customFormat="1" ht="14.25" hidden="1" customHeight="1" outlineLevel="1">
      <c r="A44" s="7"/>
      <c r="B44" s="443" t="s">
        <v>579</v>
      </c>
      <c r="C44" s="23"/>
      <c r="D44" s="369"/>
      <c r="E44" s="26"/>
      <c r="F44" s="26"/>
      <c r="G44" s="368"/>
      <c r="H44" s="369"/>
      <c r="I44" s="26"/>
      <c r="J44" s="26"/>
      <c r="K44" s="368"/>
      <c r="L44" s="369"/>
      <c r="M44" s="26"/>
      <c r="N44" s="26"/>
      <c r="O44" s="368"/>
      <c r="P44" s="369"/>
      <c r="Q44" s="26"/>
      <c r="R44" s="26"/>
      <c r="S44" s="368"/>
      <c r="T44" s="369"/>
      <c r="U44" s="26"/>
      <c r="V44" s="26"/>
      <c r="W44" s="368"/>
      <c r="X44" s="369"/>
      <c r="Y44" s="26"/>
      <c r="Z44" s="26"/>
      <c r="AA44" s="368"/>
      <c r="AB44" s="369"/>
      <c r="AC44" s="26"/>
      <c r="AD44" s="26"/>
      <c r="AE44" s="368"/>
      <c r="AF44" s="369"/>
      <c r="AG44" s="26"/>
      <c r="AH44" s="26"/>
      <c r="AI44" s="368"/>
      <c r="AJ44" s="369"/>
      <c r="AK44" s="26"/>
      <c r="AL44" s="26"/>
      <c r="AM44" s="368"/>
      <c r="AN44" s="369"/>
      <c r="AO44" s="26"/>
      <c r="AP44" s="26"/>
      <c r="AQ44" s="368"/>
      <c r="AR44" s="369"/>
      <c r="AS44" s="26"/>
      <c r="AT44" s="26"/>
      <c r="AU44" s="368"/>
      <c r="AV44" s="369"/>
      <c r="AW44" s="26"/>
      <c r="AX44" s="26"/>
      <c r="AY44" s="368"/>
      <c r="AZ44" s="369"/>
      <c r="BA44" s="26"/>
      <c r="BB44" s="26"/>
      <c r="BC44" s="368"/>
      <c r="BD44" s="369"/>
      <c r="BE44" s="26"/>
      <c r="BF44" s="26"/>
      <c r="BG44" s="368"/>
      <c r="BH44" s="369"/>
      <c r="BI44" s="26"/>
      <c r="BJ44" s="26"/>
      <c r="BK44" s="368"/>
      <c r="BL44" s="369"/>
      <c r="BM44" s="26"/>
      <c r="BN44" s="26"/>
      <c r="BO44" s="368"/>
      <c r="BP44" s="369"/>
      <c r="BQ44" s="26"/>
      <c r="BR44" s="26"/>
      <c r="BS44" s="368"/>
      <c r="BT44" s="369"/>
      <c r="BU44" s="26"/>
      <c r="BV44" s="26"/>
      <c r="BW44" s="368"/>
      <c r="BX44" s="369"/>
      <c r="BY44" s="26"/>
      <c r="BZ44" s="26"/>
      <c r="CA44" s="368"/>
      <c r="CB44" s="29">
        <f t="shared" ref="CB44:CL44" si="283">+CB43</f>
        <v>4</v>
      </c>
      <c r="CC44" s="27">
        <f t="shared" si="283"/>
        <v>1</v>
      </c>
      <c r="CD44" s="27">
        <f t="shared" si="283"/>
        <v>-3</v>
      </c>
      <c r="CE44" s="28">
        <f t="shared" si="283"/>
        <v>-3</v>
      </c>
      <c r="CF44" s="29">
        <f t="shared" si="283"/>
        <v>-27</v>
      </c>
      <c r="CG44" s="27">
        <f t="shared" si="283"/>
        <v>-17</v>
      </c>
      <c r="CH44" s="27">
        <f t="shared" si="283"/>
        <v>-5</v>
      </c>
      <c r="CI44" s="28">
        <f t="shared" si="283"/>
        <v>-6</v>
      </c>
      <c r="CJ44" s="29">
        <f t="shared" si="283"/>
        <v>2</v>
      </c>
      <c r="CK44" s="27">
        <f t="shared" si="283"/>
        <v>5</v>
      </c>
      <c r="CL44" s="27">
        <f t="shared" si="283"/>
        <v>-5</v>
      </c>
      <c r="CM44" s="28">
        <f>+CM43</f>
        <v>-8</v>
      </c>
      <c r="CN44" s="29">
        <f t="shared" ref="CN44:CP44" si="284">+CN43</f>
        <v>-6</v>
      </c>
      <c r="CO44" s="27">
        <f t="shared" si="284"/>
        <v>-4</v>
      </c>
      <c r="CP44" s="27">
        <f t="shared" si="284"/>
        <v>-4</v>
      </c>
      <c r="CQ44" s="28">
        <f>+CQ43</f>
        <v>-3</v>
      </c>
      <c r="CR44" s="1430">
        <v>5</v>
      </c>
      <c r="CS44" s="1441">
        <v>-23</v>
      </c>
      <c r="CT44" s="843">
        <f t="shared" si="273"/>
        <v>0</v>
      </c>
      <c r="CU44" s="844">
        <f t="shared" si="273"/>
        <v>0</v>
      </c>
      <c r="CV44" s="842">
        <f t="shared" si="276"/>
        <v>0</v>
      </c>
      <c r="CW44" s="843">
        <f t="shared" si="276"/>
        <v>0</v>
      </c>
      <c r="CX44" s="843">
        <f t="shared" si="276"/>
        <v>0</v>
      </c>
      <c r="CY44" s="844">
        <f t="shared" si="276"/>
        <v>0</v>
      </c>
      <c r="CZ44" s="842">
        <f t="shared" si="277"/>
        <v>0</v>
      </c>
      <c r="DA44" s="843">
        <f t="shared" si="277"/>
        <v>0</v>
      </c>
      <c r="DB44" s="843">
        <f t="shared" si="277"/>
        <v>0</v>
      </c>
      <c r="DC44" s="844">
        <f t="shared" si="277"/>
        <v>0</v>
      </c>
      <c r="DD44" s="18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27"/>
      <c r="DQ44" s="27"/>
      <c r="DR44" s="27"/>
      <c r="DS44" s="27"/>
      <c r="DT44" s="27"/>
      <c r="DU44" s="27"/>
      <c r="DV44" s="27"/>
      <c r="DW44" s="27"/>
      <c r="DX44" s="27">
        <f t="shared" si="278"/>
        <v>-1</v>
      </c>
      <c r="DY44" s="27">
        <f t="shared" si="279"/>
        <v>-55</v>
      </c>
      <c r="DZ44" s="27">
        <f t="shared" si="280"/>
        <v>-6</v>
      </c>
      <c r="EA44" s="27">
        <f t="shared" si="281"/>
        <v>-17</v>
      </c>
      <c r="EB44" s="27">
        <f t="shared" si="282"/>
        <v>-18</v>
      </c>
      <c r="EC44" s="28">
        <f t="shared" si="258"/>
        <v>0</v>
      </c>
      <c r="ED44" s="28">
        <f t="shared" si="259"/>
        <v>0</v>
      </c>
      <c r="EE44" s="1364"/>
      <c r="EF44" s="29"/>
      <c r="EG44" s="27"/>
      <c r="EH44" s="27"/>
      <c r="EI44" s="27"/>
      <c r="EJ44" s="27"/>
      <c r="EK44" s="27"/>
      <c r="EL44" s="27"/>
      <c r="EM44" s="27"/>
      <c r="EN44" s="27"/>
      <c r="EO44" s="27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>
        <f t="shared" si="265"/>
        <v>-32</v>
      </c>
      <c r="EZ44" s="352">
        <f t="shared" si="266"/>
        <v>-26</v>
      </c>
      <c r="FA44" s="352">
        <f t="shared" si="267"/>
        <v>-14</v>
      </c>
      <c r="FB44" s="352">
        <f t="shared" si="268"/>
        <v>-6</v>
      </c>
      <c r="FC44" s="352">
        <f t="shared" si="261"/>
        <v>-23</v>
      </c>
      <c r="FD44" s="352">
        <f t="shared" si="262"/>
        <v>0</v>
      </c>
      <c r="FE44" s="780"/>
      <c r="FF44" s="861"/>
      <c r="FG44" s="861"/>
      <c r="FH44" s="861"/>
      <c r="FI44"/>
      <c r="FJ44"/>
      <c r="FK44"/>
      <c r="FL44"/>
      <c r="FM44"/>
      <c r="FN44"/>
      <c r="FO44" s="7"/>
    </row>
    <row r="45" spans="1:171" s="328" customFormat="1" ht="14.25" hidden="1" customHeight="1" outlineLevel="1">
      <c r="A45" s="7"/>
      <c r="B45" s="1164" t="s">
        <v>578</v>
      </c>
      <c r="C45" s="23"/>
      <c r="D45" s="369"/>
      <c r="E45" s="26"/>
      <c r="F45" s="26"/>
      <c r="G45" s="368"/>
      <c r="H45" s="369"/>
      <c r="I45" s="26"/>
      <c r="J45" s="26"/>
      <c r="K45" s="368"/>
      <c r="L45" s="369"/>
      <c r="M45" s="26"/>
      <c r="N45" s="26"/>
      <c r="O45" s="368"/>
      <c r="P45" s="369"/>
      <c r="Q45" s="26"/>
      <c r="R45" s="26"/>
      <c r="S45" s="368"/>
      <c r="T45" s="369"/>
      <c r="U45" s="26"/>
      <c r="V45" s="26"/>
      <c r="W45" s="368"/>
      <c r="X45" s="369"/>
      <c r="Y45" s="26"/>
      <c r="Z45" s="26"/>
      <c r="AA45" s="368"/>
      <c r="AB45" s="369"/>
      <c r="AC45" s="26"/>
      <c r="AD45" s="26"/>
      <c r="AE45" s="368"/>
      <c r="AF45" s="369"/>
      <c r="AG45" s="26"/>
      <c r="AH45" s="26"/>
      <c r="AI45" s="368"/>
      <c r="AJ45" s="369"/>
      <c r="AK45" s="26"/>
      <c r="AL45" s="26"/>
      <c r="AM45" s="368"/>
      <c r="AN45" s="369"/>
      <c r="AO45" s="26"/>
      <c r="AP45" s="26"/>
      <c r="AQ45" s="368"/>
      <c r="AR45" s="369"/>
      <c r="AS45" s="26"/>
      <c r="AT45" s="26"/>
      <c r="AU45" s="368"/>
      <c r="AV45" s="369"/>
      <c r="AW45" s="26"/>
      <c r="AX45" s="26"/>
      <c r="AY45" s="368"/>
      <c r="AZ45" s="369"/>
      <c r="BA45" s="26"/>
      <c r="BB45" s="26"/>
      <c r="BC45" s="368"/>
      <c r="BD45" s="369"/>
      <c r="BE45" s="26"/>
      <c r="BF45" s="26"/>
      <c r="BG45" s="368"/>
      <c r="BH45" s="369"/>
      <c r="BI45" s="26"/>
      <c r="BJ45" s="26"/>
      <c r="BK45" s="368"/>
      <c r="BL45" s="369"/>
      <c r="BM45" s="26"/>
      <c r="BN45" s="26"/>
      <c r="BO45" s="368"/>
      <c r="BP45" s="369"/>
      <c r="BQ45" s="26"/>
      <c r="BR45" s="26"/>
      <c r="BS45" s="368"/>
      <c r="BT45" s="369"/>
      <c r="BU45" s="26"/>
      <c r="BV45" s="26"/>
      <c r="BW45" s="368"/>
      <c r="BX45" s="369"/>
      <c r="BY45" s="26"/>
      <c r="BZ45" s="26"/>
      <c r="CA45" s="368"/>
      <c r="CB45" s="369">
        <f>CFS!CB11</f>
        <v>22</v>
      </c>
      <c r="CC45" s="26">
        <f>CFS!CC11</f>
        <v>27</v>
      </c>
      <c r="CD45" s="26">
        <f>CFS!CD11</f>
        <v>32</v>
      </c>
      <c r="CE45" s="368">
        <f>CFS!CE11</f>
        <v>34</v>
      </c>
      <c r="CF45" s="369">
        <f>CFS!CF11</f>
        <v>35</v>
      </c>
      <c r="CG45" s="26">
        <f>CFS!CG11</f>
        <v>49</v>
      </c>
      <c r="CH45" s="26">
        <f>CFS!CH11</f>
        <v>43</v>
      </c>
      <c r="CI45" s="368">
        <f>CFS!CI11</f>
        <v>41</v>
      </c>
      <c r="CJ45" s="369">
        <f>CFS!CJ11</f>
        <v>46</v>
      </c>
      <c r="CK45" s="26">
        <f>CFS!CK11</f>
        <v>55</v>
      </c>
      <c r="CL45" s="26">
        <f>CFS!CL11</f>
        <v>47</v>
      </c>
      <c r="CM45" s="368">
        <f>CFS!CM11</f>
        <v>43</v>
      </c>
      <c r="CN45" s="369">
        <v>46</v>
      </c>
      <c r="CO45" s="26">
        <f>CFS!CO11</f>
        <v>55</v>
      </c>
      <c r="CP45" s="26">
        <v>57</v>
      </c>
      <c r="CQ45" s="368">
        <v>57</v>
      </c>
      <c r="CR45" s="369">
        <v>51</v>
      </c>
      <c r="CS45" s="26">
        <f>22+16+14</f>
        <v>52</v>
      </c>
      <c r="CT45" s="26">
        <f t="shared" ref="CT45:CU45" si="285">CS45</f>
        <v>52</v>
      </c>
      <c r="CU45" s="368">
        <f t="shared" si="285"/>
        <v>52</v>
      </c>
      <c r="CV45" s="369">
        <f t="shared" ref="CV45" si="286">CU45</f>
        <v>52</v>
      </c>
      <c r="CW45" s="26">
        <f t="shared" ref="CW45" si="287">CV45</f>
        <v>52</v>
      </c>
      <c r="CX45" s="26">
        <f t="shared" ref="CX45" si="288">CW45</f>
        <v>52</v>
      </c>
      <c r="CY45" s="368">
        <f t="shared" ref="CY45" si="289">CX45</f>
        <v>52</v>
      </c>
      <c r="CZ45" s="369">
        <f t="shared" ref="CZ45" si="290">CY45</f>
        <v>52</v>
      </c>
      <c r="DA45" s="26">
        <f t="shared" ref="DA45" si="291">CZ45</f>
        <v>52</v>
      </c>
      <c r="DB45" s="26">
        <f t="shared" ref="DB45" si="292">DA45</f>
        <v>52</v>
      </c>
      <c r="DC45" s="368">
        <f t="shared" ref="DC45" si="293">DB45</f>
        <v>52</v>
      </c>
      <c r="DD45" s="18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27"/>
      <c r="DQ45" s="27"/>
      <c r="DR45" s="27"/>
      <c r="DS45" s="27"/>
      <c r="DT45" s="27"/>
      <c r="DU45" s="27"/>
      <c r="DV45" s="27"/>
      <c r="DW45" s="27"/>
      <c r="DX45" s="27">
        <f t="shared" si="278"/>
        <v>115</v>
      </c>
      <c r="DY45" s="27">
        <f t="shared" si="279"/>
        <v>168</v>
      </c>
      <c r="DZ45" s="27">
        <f t="shared" si="280"/>
        <v>191</v>
      </c>
      <c r="EA45" s="27">
        <f t="shared" si="281"/>
        <v>215</v>
      </c>
      <c r="EB45" s="27">
        <f t="shared" si="282"/>
        <v>207</v>
      </c>
      <c r="EC45" s="28">
        <f t="shared" si="258"/>
        <v>208</v>
      </c>
      <c r="ED45" s="28">
        <f t="shared" si="259"/>
        <v>208</v>
      </c>
      <c r="EE45" s="1364"/>
      <c r="EF45" s="29"/>
      <c r="EG45" s="27"/>
      <c r="EH45" s="27"/>
      <c r="EI45" s="27"/>
      <c r="EJ45" s="27"/>
      <c r="EK45" s="27"/>
      <c r="EL45" s="27"/>
      <c r="EM45" s="27"/>
      <c r="EN45" s="27"/>
      <c r="EO45" s="27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>
        <f t="shared" si="265"/>
        <v>128</v>
      </c>
      <c r="EZ45" s="352">
        <f t="shared" si="266"/>
        <v>179</v>
      </c>
      <c r="FA45" s="352">
        <f t="shared" si="267"/>
        <v>191</v>
      </c>
      <c r="FB45" s="352">
        <f t="shared" si="268"/>
        <v>220</v>
      </c>
      <c r="FC45" s="352">
        <f t="shared" si="261"/>
        <v>208</v>
      </c>
      <c r="FD45" s="352">
        <f t="shared" si="262"/>
        <v>208</v>
      </c>
      <c r="FE45" s="780"/>
      <c r="FF45" s="861"/>
      <c r="FG45" s="861"/>
      <c r="FH45" s="861"/>
      <c r="FI45"/>
      <c r="FJ45"/>
      <c r="FK45"/>
      <c r="FL45"/>
      <c r="FM45"/>
      <c r="FN45"/>
      <c r="FO45" s="7"/>
    </row>
    <row r="46" spans="1:171" ht="14.25" customHeight="1" collapsed="1">
      <c r="A46" s="7"/>
      <c r="B46" s="673" t="s">
        <v>268</v>
      </c>
      <c r="C46" s="23"/>
      <c r="D46" s="369">
        <v>0</v>
      </c>
      <c r="E46" s="26">
        <v>0</v>
      </c>
      <c r="F46" s="26">
        <v>0</v>
      </c>
      <c r="G46" s="368">
        <v>0</v>
      </c>
      <c r="H46" s="369">
        <v>0</v>
      </c>
      <c r="I46" s="26">
        <v>0</v>
      </c>
      <c r="J46" s="26">
        <v>0</v>
      </c>
      <c r="K46" s="368">
        <v>0</v>
      </c>
      <c r="L46" s="369">
        <v>0</v>
      </c>
      <c r="M46" s="26">
        <v>0</v>
      </c>
      <c r="N46" s="26">
        <v>0</v>
      </c>
      <c r="O46" s="368">
        <v>0</v>
      </c>
      <c r="P46" s="369">
        <v>0</v>
      </c>
      <c r="Q46" s="26">
        <v>0</v>
      </c>
      <c r="R46" s="26">
        <v>0</v>
      </c>
      <c r="S46" s="368">
        <v>0</v>
      </c>
      <c r="T46" s="369">
        <v>0</v>
      </c>
      <c r="U46" s="26">
        <v>0</v>
      </c>
      <c r="V46" s="26">
        <v>0</v>
      </c>
      <c r="W46" s="368">
        <v>0</v>
      </c>
      <c r="X46" s="369">
        <v>0</v>
      </c>
      <c r="Y46" s="26">
        <v>0</v>
      </c>
      <c r="Z46" s="26">
        <v>0</v>
      </c>
      <c r="AA46" s="368">
        <v>0</v>
      </c>
      <c r="AB46" s="369">
        <v>0</v>
      </c>
      <c r="AC46" s="26">
        <v>0</v>
      </c>
      <c r="AD46" s="26">
        <v>0</v>
      </c>
      <c r="AE46" s="368">
        <v>0</v>
      </c>
      <c r="AF46" s="369">
        <v>0</v>
      </c>
      <c r="AG46" s="26">
        <v>0</v>
      </c>
      <c r="AH46" s="26">
        <v>0</v>
      </c>
      <c r="AI46" s="368">
        <v>0</v>
      </c>
      <c r="AJ46" s="369">
        <v>0</v>
      </c>
      <c r="AK46" s="26">
        <v>0</v>
      </c>
      <c r="AL46" s="26">
        <v>0</v>
      </c>
      <c r="AM46" s="368">
        <v>0</v>
      </c>
      <c r="AN46" s="369">
        <v>0</v>
      </c>
      <c r="AO46" s="26">
        <v>0</v>
      </c>
      <c r="AP46" s="26">
        <v>0</v>
      </c>
      <c r="AQ46" s="368">
        <v>0</v>
      </c>
      <c r="AR46" s="369">
        <v>0</v>
      </c>
      <c r="AS46" s="26">
        <v>0</v>
      </c>
      <c r="AT46" s="26">
        <v>0</v>
      </c>
      <c r="AU46" s="368">
        <v>0</v>
      </c>
      <c r="AV46" s="369">
        <v>0</v>
      </c>
      <c r="AW46" s="26">
        <v>0</v>
      </c>
      <c r="AX46" s="26">
        <v>0</v>
      </c>
      <c r="AY46" s="368">
        <v>0</v>
      </c>
      <c r="AZ46" s="369">
        <v>0</v>
      </c>
      <c r="BA46" s="26">
        <v>0</v>
      </c>
      <c r="BB46" s="26">
        <v>0</v>
      </c>
      <c r="BC46" s="368">
        <v>0</v>
      </c>
      <c r="BD46" s="369">
        <v>0</v>
      </c>
      <c r="BE46" s="26">
        <v>0</v>
      </c>
      <c r="BF46" s="26">
        <v>0</v>
      </c>
      <c r="BG46" s="368">
        <v>0</v>
      </c>
      <c r="BH46" s="369">
        <v>0</v>
      </c>
      <c r="BI46" s="26">
        <v>0</v>
      </c>
      <c r="BJ46" s="26">
        <v>0</v>
      </c>
      <c r="BK46" s="368">
        <v>0</v>
      </c>
      <c r="BL46" s="369">
        <v>0</v>
      </c>
      <c r="BM46" s="26">
        <v>0</v>
      </c>
      <c r="BN46" s="26">
        <v>0</v>
      </c>
      <c r="BO46" s="368">
        <v>0</v>
      </c>
      <c r="BP46" s="369">
        <v>0</v>
      </c>
      <c r="BQ46" s="26">
        <v>0</v>
      </c>
      <c r="BR46" s="26">
        <v>0</v>
      </c>
      <c r="BS46" s="368">
        <v>0</v>
      </c>
      <c r="BT46" s="369">
        <v>0</v>
      </c>
      <c r="BU46" s="26">
        <v>0</v>
      </c>
      <c r="BV46" s="26">
        <v>0</v>
      </c>
      <c r="BW46" s="368">
        <v>0</v>
      </c>
      <c r="BX46" s="369">
        <v>0</v>
      </c>
      <c r="BY46" s="26">
        <v>0</v>
      </c>
      <c r="BZ46" s="26">
        <v>0</v>
      </c>
      <c r="CA46" s="368">
        <v>0</v>
      </c>
      <c r="CB46" s="29">
        <f>CB44+CB45</f>
        <v>26</v>
      </c>
      <c r="CC46" s="27">
        <f t="shared" ref="CC46:CU46" si="294">CC44+CC45</f>
        <v>28</v>
      </c>
      <c r="CD46" s="27">
        <f t="shared" si="294"/>
        <v>29</v>
      </c>
      <c r="CE46" s="28">
        <f t="shared" si="294"/>
        <v>31</v>
      </c>
      <c r="CF46" s="29">
        <f t="shared" si="294"/>
        <v>8</v>
      </c>
      <c r="CG46" s="27">
        <f t="shared" si="294"/>
        <v>32</v>
      </c>
      <c r="CH46" s="27">
        <f t="shared" si="294"/>
        <v>38</v>
      </c>
      <c r="CI46" s="28">
        <f t="shared" si="294"/>
        <v>35</v>
      </c>
      <c r="CJ46" s="29">
        <f t="shared" si="294"/>
        <v>48</v>
      </c>
      <c r="CK46" s="27">
        <f t="shared" si="294"/>
        <v>60</v>
      </c>
      <c r="CL46" s="27">
        <f t="shared" si="294"/>
        <v>42</v>
      </c>
      <c r="CM46" s="28">
        <f t="shared" si="294"/>
        <v>35</v>
      </c>
      <c r="CN46" s="29">
        <f t="shared" ref="CN46:CQ46" si="295">CN44+CN45</f>
        <v>40</v>
      </c>
      <c r="CO46" s="27">
        <f t="shared" si="295"/>
        <v>51</v>
      </c>
      <c r="CP46" s="27">
        <f t="shared" si="295"/>
        <v>53</v>
      </c>
      <c r="CQ46" s="28">
        <f t="shared" si="295"/>
        <v>54</v>
      </c>
      <c r="CR46" s="29">
        <f t="shared" ref="CR46:CS46" si="296">CR44+CR45</f>
        <v>56</v>
      </c>
      <c r="CS46" s="27">
        <f t="shared" si="296"/>
        <v>29</v>
      </c>
      <c r="CT46" s="26">
        <f t="shared" si="294"/>
        <v>52</v>
      </c>
      <c r="CU46" s="368">
        <f t="shared" si="294"/>
        <v>52</v>
      </c>
      <c r="CV46" s="369">
        <f t="shared" ref="CV46:CY46" si="297">CV44+CV45</f>
        <v>52</v>
      </c>
      <c r="CW46" s="26">
        <f t="shared" si="297"/>
        <v>52</v>
      </c>
      <c r="CX46" s="26">
        <f t="shared" si="297"/>
        <v>52</v>
      </c>
      <c r="CY46" s="368">
        <f t="shared" si="297"/>
        <v>52</v>
      </c>
      <c r="CZ46" s="369">
        <f t="shared" ref="CZ46:DC46" si="298">CZ44+CZ45</f>
        <v>52</v>
      </c>
      <c r="DA46" s="26">
        <f t="shared" si="298"/>
        <v>52</v>
      </c>
      <c r="DB46" s="26">
        <f t="shared" si="298"/>
        <v>52</v>
      </c>
      <c r="DC46" s="368">
        <f t="shared" si="298"/>
        <v>52</v>
      </c>
      <c r="DD46" s="18"/>
      <c r="DE46" s="352">
        <f>SUM(D46:G46)</f>
        <v>0</v>
      </c>
      <c r="DF46" s="352">
        <f>SUM(H46:K46)</f>
        <v>0</v>
      </c>
      <c r="DG46" s="352">
        <f>SUM(L46:O46)</f>
        <v>0</v>
      </c>
      <c r="DH46" s="352">
        <f>SUM(P46:S46)</f>
        <v>0</v>
      </c>
      <c r="DI46" s="352">
        <f>SUM(T46:W46)</f>
        <v>0</v>
      </c>
      <c r="DJ46" s="352">
        <f>SUM(X46:AA46)</f>
        <v>0</v>
      </c>
      <c r="DK46" s="352">
        <f>SUM(AB46:AE46)</f>
        <v>0</v>
      </c>
      <c r="DL46" s="352">
        <f>SUM(AF46:AI46)</f>
        <v>0</v>
      </c>
      <c r="DM46" s="352">
        <f>SUM(AJ46:AM46)</f>
        <v>0</v>
      </c>
      <c r="DN46" s="352">
        <f>SUM(AN46:AQ46)</f>
        <v>0</v>
      </c>
      <c r="DO46" s="352">
        <f>SUM(AR46:AU46)</f>
        <v>0</v>
      </c>
      <c r="DP46" s="27">
        <f>SUM(AV46:AY46)</f>
        <v>0</v>
      </c>
      <c r="DQ46" s="27">
        <f>SUM(AZ46:BC46)</f>
        <v>0</v>
      </c>
      <c r="DR46" s="27">
        <f>SUM(BD46:BG46)</f>
        <v>0</v>
      </c>
      <c r="DS46" s="27">
        <f>SUM(BH46:BK46)</f>
        <v>0</v>
      </c>
      <c r="DT46" s="27">
        <f>SUM(BL46:BO46)</f>
        <v>0</v>
      </c>
      <c r="DU46" s="27">
        <f>SUM(BP46:BS46)</f>
        <v>0</v>
      </c>
      <c r="DV46" s="27">
        <f>SUM(BT46:BW46)</f>
        <v>0</v>
      </c>
      <c r="DW46" s="27">
        <f>SUM(BX46:CA46)</f>
        <v>0</v>
      </c>
      <c r="DX46" s="27">
        <f t="shared" si="278"/>
        <v>114</v>
      </c>
      <c r="DY46" s="27">
        <f t="shared" si="279"/>
        <v>113</v>
      </c>
      <c r="DZ46" s="27">
        <f t="shared" si="280"/>
        <v>185</v>
      </c>
      <c r="EA46" s="27">
        <f t="shared" si="281"/>
        <v>198</v>
      </c>
      <c r="EB46" s="27">
        <f t="shared" si="282"/>
        <v>189</v>
      </c>
      <c r="EC46" s="28">
        <f t="shared" si="258"/>
        <v>208</v>
      </c>
      <c r="ED46" s="28">
        <f t="shared" si="259"/>
        <v>208</v>
      </c>
      <c r="EE46" s="1364"/>
      <c r="EF46" s="29">
        <f>SUM(E46:H46)</f>
        <v>0</v>
      </c>
      <c r="EG46" s="27">
        <f>SUM(I46:L46)</f>
        <v>0</v>
      </c>
      <c r="EH46" s="27">
        <f>SUM(M46:P46)</f>
        <v>0</v>
      </c>
      <c r="EI46" s="27">
        <f>SUM(Q46:T46)</f>
        <v>0</v>
      </c>
      <c r="EJ46" s="27">
        <f>SUM(U46:X46)</f>
        <v>0</v>
      </c>
      <c r="EK46" s="27">
        <f>SUM(Y46:AB46)</f>
        <v>0</v>
      </c>
      <c r="EL46" s="27">
        <f>SUM(AC46:AF46)</f>
        <v>0</v>
      </c>
      <c r="EM46" s="27">
        <f>SUM(AG46:AJ46)</f>
        <v>0</v>
      </c>
      <c r="EN46" s="27">
        <f>SUM(AK46:AN46)</f>
        <v>0</v>
      </c>
      <c r="EO46" s="27">
        <f>SUM(AO46:AR46)</f>
        <v>0</v>
      </c>
      <c r="EP46" s="352">
        <f>SUM(AS46:AV46)</f>
        <v>0</v>
      </c>
      <c r="EQ46" s="352">
        <f>SUM(AW46:AZ46)</f>
        <v>0</v>
      </c>
      <c r="ER46" s="352">
        <f>SUM(BA46:BD46)</f>
        <v>0</v>
      </c>
      <c r="ES46" s="352">
        <f>SUM(BE46:BH46)</f>
        <v>0</v>
      </c>
      <c r="ET46" s="352">
        <f>SUM(BI46:BL46)</f>
        <v>0</v>
      </c>
      <c r="EU46" s="352">
        <f>SUM(BM46:BP46)</f>
        <v>0</v>
      </c>
      <c r="EV46" s="352">
        <f>SUM(BQ46:BT46)</f>
        <v>0</v>
      </c>
      <c r="EW46" s="352">
        <f>SUM(BU46:BX46)</f>
        <v>0</v>
      </c>
      <c r="EX46" s="352">
        <f>SUM(BY46:CB46)</f>
        <v>26</v>
      </c>
      <c r="EY46" s="352">
        <f>SUM(CC46:CF46)</f>
        <v>96</v>
      </c>
      <c r="EZ46" s="352">
        <f>SUM(CG46:CJ46)</f>
        <v>153</v>
      </c>
      <c r="FA46" s="352">
        <f>SUM(CK46:CN46)</f>
        <v>177</v>
      </c>
      <c r="FB46" s="352">
        <f t="shared" ref="FB46" si="299">SUM(CO46:CR46)</f>
        <v>214</v>
      </c>
      <c r="FC46" s="352">
        <f t="shared" si="261"/>
        <v>185</v>
      </c>
      <c r="FD46" s="352">
        <f t="shared" si="262"/>
        <v>208</v>
      </c>
      <c r="FE46" s="308"/>
      <c r="FF46" s="300"/>
      <c r="FG46" s="300"/>
      <c r="FH46" s="300"/>
      <c r="FO46" s="7"/>
    </row>
    <row r="47" spans="1:171" s="330" customFormat="1" ht="14.25" hidden="1" customHeight="1" outlineLevel="1">
      <c r="A47" s="10"/>
      <c r="B47" s="543"/>
      <c r="C47" s="31"/>
      <c r="D47" s="34"/>
      <c r="E47" s="1209"/>
      <c r="F47" s="1209"/>
      <c r="G47" s="33"/>
      <c r="H47" s="34"/>
      <c r="I47" s="1209"/>
      <c r="J47" s="1209"/>
      <c r="K47" s="33"/>
      <c r="L47" s="34"/>
      <c r="M47" s="1209"/>
      <c r="N47" s="1209"/>
      <c r="O47" s="33"/>
      <c r="P47" s="34"/>
      <c r="Q47" s="1209"/>
      <c r="R47" s="1209"/>
      <c r="S47" s="33"/>
      <c r="T47" s="34"/>
      <c r="U47" s="1209"/>
      <c r="V47" s="1209"/>
      <c r="W47" s="33"/>
      <c r="X47" s="34"/>
      <c r="Y47" s="1209"/>
      <c r="Z47" s="1209"/>
      <c r="AA47" s="33"/>
      <c r="AB47" s="34"/>
      <c r="AC47" s="1209"/>
      <c r="AD47" s="1209"/>
      <c r="AE47" s="33"/>
      <c r="AF47" s="34"/>
      <c r="AG47" s="1209"/>
      <c r="AH47" s="1209"/>
      <c r="AI47" s="33"/>
      <c r="AJ47" s="34"/>
      <c r="AK47" s="1209"/>
      <c r="AL47" s="1209"/>
      <c r="AM47" s="33"/>
      <c r="AN47" s="34"/>
      <c r="AO47" s="1209"/>
      <c r="AP47" s="1209"/>
      <c r="AQ47" s="33"/>
      <c r="AR47" s="34"/>
      <c r="AS47" s="1209"/>
      <c r="AT47" s="1209"/>
      <c r="AU47" s="33"/>
      <c r="AV47" s="34"/>
      <c r="AW47" s="1209"/>
      <c r="AX47" s="1209"/>
      <c r="AY47" s="33"/>
      <c r="AZ47" s="34"/>
      <c r="BA47" s="1209"/>
      <c r="BB47" s="1209"/>
      <c r="BC47" s="33"/>
      <c r="BD47" s="34"/>
      <c r="BE47" s="1209"/>
      <c r="BF47" s="1209"/>
      <c r="BG47" s="33"/>
      <c r="BH47" s="34"/>
      <c r="BI47" s="1209"/>
      <c r="BJ47" s="1209"/>
      <c r="BK47" s="33"/>
      <c r="BL47" s="34"/>
      <c r="BM47" s="1209"/>
      <c r="BN47" s="1209"/>
      <c r="BO47" s="33"/>
      <c r="BP47" s="34"/>
      <c r="BQ47" s="1209"/>
      <c r="BR47" s="1209"/>
      <c r="BS47" s="33"/>
      <c r="BT47" s="34"/>
      <c r="BU47" s="1209"/>
      <c r="BV47" s="1209"/>
      <c r="BW47" s="33"/>
      <c r="BX47" s="34"/>
      <c r="BY47" s="32"/>
      <c r="BZ47" s="32"/>
      <c r="CA47" s="33"/>
      <c r="CB47" s="34"/>
      <c r="CC47" s="32"/>
      <c r="CD47" s="32"/>
      <c r="CE47" s="33"/>
      <c r="CF47" s="34"/>
      <c r="CG47" s="32"/>
      <c r="CH47" s="32"/>
      <c r="CI47" s="33"/>
      <c r="CJ47" s="34"/>
      <c r="CK47" s="32"/>
      <c r="CL47" s="32"/>
      <c r="CM47" s="33"/>
      <c r="CN47" s="34"/>
      <c r="CO47" s="1209"/>
      <c r="CP47" s="1209"/>
      <c r="CQ47" s="33"/>
      <c r="CR47" s="34"/>
      <c r="CS47" s="1209"/>
      <c r="CT47" s="32"/>
      <c r="CU47" s="33"/>
      <c r="CV47" s="34"/>
      <c r="CW47" s="1209"/>
      <c r="CX47" s="1209"/>
      <c r="CY47" s="33"/>
      <c r="CZ47" s="34"/>
      <c r="DA47" s="1209"/>
      <c r="DB47" s="1209"/>
      <c r="DC47" s="33"/>
      <c r="DD47" s="153"/>
      <c r="DE47" s="32"/>
      <c r="DF47" s="32"/>
      <c r="DG47" s="32"/>
      <c r="DH47" s="32"/>
      <c r="DI47" s="32"/>
      <c r="DJ47" s="32"/>
      <c r="DK47" s="32"/>
      <c r="DL47" s="32"/>
      <c r="DM47" s="32"/>
      <c r="DN47" s="32"/>
      <c r="DO47" s="32"/>
      <c r="DP47" s="32"/>
      <c r="DQ47" s="32"/>
      <c r="DR47" s="32"/>
      <c r="DS47" s="32"/>
      <c r="DT47" s="1209"/>
      <c r="DU47" s="1209"/>
      <c r="DV47" s="1209"/>
      <c r="DW47" s="1209"/>
      <c r="DX47" s="1209"/>
      <c r="DY47" s="1209"/>
      <c r="DZ47" s="1209"/>
      <c r="EA47" s="1209"/>
      <c r="EB47" s="1209"/>
      <c r="EC47" s="33"/>
      <c r="ED47" s="33"/>
      <c r="EE47" s="1364"/>
      <c r="EF47" s="34"/>
      <c r="EG47" s="32"/>
      <c r="EH47" s="32"/>
      <c r="EI47" s="32"/>
      <c r="EJ47" s="32"/>
      <c r="EK47" s="32"/>
      <c r="EL47" s="32"/>
      <c r="EM47" s="32"/>
      <c r="EN47" s="32"/>
      <c r="EO47" s="32"/>
      <c r="EP47" s="32"/>
      <c r="EQ47" s="32"/>
      <c r="ER47" s="32"/>
      <c r="ES47" s="32"/>
      <c r="ET47" s="1209"/>
      <c r="EU47" s="1209"/>
      <c r="EV47" s="32"/>
      <c r="EW47" s="32"/>
      <c r="EX47" s="32"/>
      <c r="EY47" s="32"/>
      <c r="EZ47" s="1209"/>
      <c r="FA47" s="1209"/>
      <c r="FB47" s="1209"/>
      <c r="FC47" s="1209"/>
      <c r="FD47" s="1209"/>
      <c r="FE47" s="393"/>
      <c r="FF47" s="299"/>
      <c r="FG47" s="299"/>
      <c r="FH47" s="299"/>
      <c r="FI47"/>
      <c r="FJ47"/>
      <c r="FK47"/>
      <c r="FL47"/>
      <c r="FM47"/>
      <c r="FN47"/>
      <c r="FO47" s="10"/>
    </row>
    <row r="48" spans="1:171" ht="14.25" hidden="1" customHeight="1" outlineLevel="1">
      <c r="A48" s="7"/>
      <c r="B48" s="673" t="s">
        <v>230</v>
      </c>
      <c r="C48" s="23"/>
      <c r="D48" s="29">
        <f t="shared" ref="D48:AI48" si="300">D24+D32+D40</f>
        <v>65.2</v>
      </c>
      <c r="E48" s="27">
        <f t="shared" si="300"/>
        <v>67.900000000000006</v>
      </c>
      <c r="F48" s="27">
        <f t="shared" si="300"/>
        <v>59</v>
      </c>
      <c r="G48" s="28">
        <f t="shared" si="300"/>
        <v>106.39999999999999</v>
      </c>
      <c r="H48" s="29">
        <f t="shared" si="300"/>
        <v>119.30000000000001</v>
      </c>
      <c r="I48" s="27">
        <f t="shared" si="300"/>
        <v>153.30000000000001</v>
      </c>
      <c r="J48" s="27">
        <f t="shared" si="300"/>
        <v>114.80000000000001</v>
      </c>
      <c r="K48" s="28">
        <f t="shared" si="300"/>
        <v>127.00000000000001</v>
      </c>
      <c r="L48" s="29">
        <f t="shared" si="300"/>
        <v>113.8</v>
      </c>
      <c r="M48" s="27">
        <f t="shared" si="300"/>
        <v>141.69999999999999</v>
      </c>
      <c r="N48" s="27">
        <f t="shared" si="300"/>
        <v>146</v>
      </c>
      <c r="O48" s="28">
        <f t="shared" si="300"/>
        <v>163.19999999999999</v>
      </c>
      <c r="P48" s="29">
        <f t="shared" si="300"/>
        <v>197.79999999999998</v>
      </c>
      <c r="Q48" s="27">
        <f t="shared" si="300"/>
        <v>234.79999999999998</v>
      </c>
      <c r="R48" s="27">
        <f t="shared" si="300"/>
        <v>185.50000000000003</v>
      </c>
      <c r="S48" s="28">
        <f t="shared" si="300"/>
        <v>178.7</v>
      </c>
      <c r="T48" s="29">
        <f t="shared" si="300"/>
        <v>178.5</v>
      </c>
      <c r="U48" s="27">
        <f t="shared" si="300"/>
        <v>229.4</v>
      </c>
      <c r="V48" s="27">
        <f t="shared" si="300"/>
        <v>216.79999999999998</v>
      </c>
      <c r="W48" s="28">
        <f t="shared" si="300"/>
        <v>235.89999999999998</v>
      </c>
      <c r="X48" s="29">
        <f t="shared" si="300"/>
        <v>218</v>
      </c>
      <c r="Y48" s="27">
        <f t="shared" si="300"/>
        <v>205.89999999999998</v>
      </c>
      <c r="Z48" s="27">
        <f t="shared" si="300"/>
        <v>218.6</v>
      </c>
      <c r="AA48" s="28">
        <f t="shared" si="300"/>
        <v>212.89999999999995</v>
      </c>
      <c r="AB48" s="29">
        <f t="shared" si="300"/>
        <v>242.20000000000002</v>
      </c>
      <c r="AC48" s="27">
        <f t="shared" si="300"/>
        <v>241.3</v>
      </c>
      <c r="AD48" s="27">
        <f t="shared" si="300"/>
        <v>251.4</v>
      </c>
      <c r="AE48" s="28">
        <f t="shared" si="300"/>
        <v>352.3</v>
      </c>
      <c r="AF48" s="29">
        <f t="shared" si="300"/>
        <v>239.4</v>
      </c>
      <c r="AG48" s="27">
        <f t="shared" si="300"/>
        <v>202</v>
      </c>
      <c r="AH48" s="27">
        <f t="shared" si="300"/>
        <v>214.90000000000003</v>
      </c>
      <c r="AI48" s="28">
        <f t="shared" si="300"/>
        <v>258.39999999999998</v>
      </c>
      <c r="AJ48" s="29">
        <f t="shared" ref="AJ48:BO48" si="301">AJ24+AJ32+AJ40</f>
        <v>259.3</v>
      </c>
      <c r="AK48" s="27">
        <f t="shared" si="301"/>
        <v>384.7</v>
      </c>
      <c r="AL48" s="27">
        <f t="shared" si="301"/>
        <v>254.7</v>
      </c>
      <c r="AM48" s="28">
        <f t="shared" si="301"/>
        <v>275.10000000000002</v>
      </c>
      <c r="AN48" s="29">
        <f t="shared" si="301"/>
        <v>264.3</v>
      </c>
      <c r="AO48" s="27">
        <f t="shared" si="301"/>
        <v>255.29999999999998</v>
      </c>
      <c r="AP48" s="27">
        <f t="shared" si="301"/>
        <v>278.2</v>
      </c>
      <c r="AQ48" s="28">
        <f t="shared" si="301"/>
        <v>267.2</v>
      </c>
      <c r="AR48" s="29">
        <f t="shared" si="301"/>
        <v>248.1</v>
      </c>
      <c r="AS48" s="27">
        <f t="shared" si="301"/>
        <v>227.60000000000002</v>
      </c>
      <c r="AT48" s="27">
        <f t="shared" si="301"/>
        <v>216.7</v>
      </c>
      <c r="AU48" s="28">
        <f t="shared" si="301"/>
        <v>235.9</v>
      </c>
      <c r="AV48" s="29">
        <f t="shared" si="301"/>
        <v>248.70000000000002</v>
      </c>
      <c r="AW48" s="27">
        <f t="shared" si="301"/>
        <v>48.100000000000023</v>
      </c>
      <c r="AX48" s="27">
        <f t="shared" si="301"/>
        <v>282.39999999999998</v>
      </c>
      <c r="AY48" s="28">
        <f t="shared" si="301"/>
        <v>271.40000000000003</v>
      </c>
      <c r="AZ48" s="29">
        <f t="shared" si="301"/>
        <v>332</v>
      </c>
      <c r="BA48" s="27">
        <f t="shared" si="301"/>
        <v>391</v>
      </c>
      <c r="BB48" s="27">
        <f t="shared" si="301"/>
        <v>301</v>
      </c>
      <c r="BC48" s="28">
        <f t="shared" si="301"/>
        <v>315</v>
      </c>
      <c r="BD48" s="29">
        <f t="shared" si="301"/>
        <v>252</v>
      </c>
      <c r="BE48" s="27">
        <f t="shared" si="301"/>
        <v>266</v>
      </c>
      <c r="BF48" s="27">
        <f t="shared" si="301"/>
        <v>273</v>
      </c>
      <c r="BG48" s="28">
        <f t="shared" si="301"/>
        <v>273</v>
      </c>
      <c r="BH48" s="29">
        <f t="shared" si="301"/>
        <v>223</v>
      </c>
      <c r="BI48" s="27">
        <f t="shared" si="301"/>
        <v>383</v>
      </c>
      <c r="BJ48" s="27">
        <f t="shared" si="301"/>
        <v>353</v>
      </c>
      <c r="BK48" s="28">
        <f t="shared" si="301"/>
        <v>219</v>
      </c>
      <c r="BL48" s="29">
        <f t="shared" si="301"/>
        <v>242</v>
      </c>
      <c r="BM48" s="27">
        <f t="shared" si="301"/>
        <v>227</v>
      </c>
      <c r="BN48" s="27">
        <f t="shared" si="301"/>
        <v>308</v>
      </c>
      <c r="BO48" s="28">
        <f t="shared" si="301"/>
        <v>348</v>
      </c>
      <c r="BP48" s="29">
        <f t="shared" ref="BP48:CI48" si="302">BP24+BP32+BP40</f>
        <v>134</v>
      </c>
      <c r="BQ48" s="27">
        <f t="shared" si="302"/>
        <v>256</v>
      </c>
      <c r="BR48" s="27">
        <f t="shared" si="302"/>
        <v>241</v>
      </c>
      <c r="BS48" s="28">
        <f t="shared" si="302"/>
        <v>372</v>
      </c>
      <c r="BT48" s="29">
        <f t="shared" si="302"/>
        <v>387</v>
      </c>
      <c r="BU48" s="27">
        <f t="shared" si="302"/>
        <v>415</v>
      </c>
      <c r="BV48" s="27">
        <f t="shared" si="302"/>
        <v>425</v>
      </c>
      <c r="BW48" s="28">
        <f t="shared" si="302"/>
        <v>359</v>
      </c>
      <c r="BX48" s="29">
        <f t="shared" si="302"/>
        <v>374</v>
      </c>
      <c r="BY48" s="27">
        <f t="shared" si="302"/>
        <v>389</v>
      </c>
      <c r="BZ48" s="27">
        <f t="shared" si="302"/>
        <v>407</v>
      </c>
      <c r="CA48" s="28">
        <f t="shared" si="302"/>
        <v>501</v>
      </c>
      <c r="CB48" s="29">
        <f t="shared" si="302"/>
        <v>730</v>
      </c>
      <c r="CC48" s="27">
        <f t="shared" si="302"/>
        <v>534</v>
      </c>
      <c r="CD48" s="27">
        <f>CD24+CD32+CD40</f>
        <v>529</v>
      </c>
      <c r="CE48" s="28">
        <f>CE24+CE32+CE40</f>
        <v>557</v>
      </c>
      <c r="CF48" s="29">
        <f>CF24+CF32+CF40</f>
        <v>553</v>
      </c>
      <c r="CG48" s="27">
        <f t="shared" si="302"/>
        <v>550</v>
      </c>
      <c r="CH48" s="27">
        <f t="shared" si="302"/>
        <v>571</v>
      </c>
      <c r="CI48" s="28">
        <f t="shared" si="302"/>
        <v>543</v>
      </c>
      <c r="CJ48" s="29">
        <f>CJ24+CJ32+CJ40</f>
        <v>617</v>
      </c>
      <c r="CK48" s="27">
        <f t="shared" ref="CK48:CM48" si="303">CK24+CK32+CK40</f>
        <v>584</v>
      </c>
      <c r="CL48" s="27">
        <f t="shared" si="303"/>
        <v>525</v>
      </c>
      <c r="CM48" s="28">
        <f t="shared" si="303"/>
        <v>611</v>
      </c>
      <c r="CN48" s="29">
        <f>CN24+CN32+CN40</f>
        <v>652</v>
      </c>
      <c r="CO48" s="27">
        <f t="shared" ref="CO48:CQ48" si="304">CO24+CO32+CO40</f>
        <v>660</v>
      </c>
      <c r="CP48" s="27">
        <f t="shared" si="304"/>
        <v>646</v>
      </c>
      <c r="CQ48" s="28">
        <f t="shared" si="304"/>
        <v>610</v>
      </c>
      <c r="CR48" s="29">
        <f>CR24+CR32+CR40</f>
        <v>650</v>
      </c>
      <c r="CS48" s="27">
        <f t="shared" ref="CS48" si="305">CS24+CS32+CS40</f>
        <v>710</v>
      </c>
      <c r="CT48" s="27">
        <f t="shared" ref="CT48:CU48" si="306">CT24+CT32+CT40</f>
        <v>777</v>
      </c>
      <c r="CU48" s="28">
        <f t="shared" si="306"/>
        <v>707</v>
      </c>
      <c r="CV48" s="29">
        <f t="shared" ref="CV48:CY48" si="307">CV24+CV32+CV40</f>
        <v>734</v>
      </c>
      <c r="CW48" s="27">
        <f t="shared" si="307"/>
        <v>734</v>
      </c>
      <c r="CX48" s="27">
        <f t="shared" si="307"/>
        <v>724</v>
      </c>
      <c r="CY48" s="28">
        <f t="shared" si="307"/>
        <v>724</v>
      </c>
      <c r="CZ48" s="29">
        <f t="shared" ref="CZ48:DC48" si="308">CZ24+CZ32+CZ40</f>
        <v>712</v>
      </c>
      <c r="DA48" s="27">
        <f t="shared" si="308"/>
        <v>722</v>
      </c>
      <c r="DB48" s="27">
        <f t="shared" si="308"/>
        <v>727</v>
      </c>
      <c r="DC48" s="28">
        <f t="shared" si="308"/>
        <v>737</v>
      </c>
      <c r="DD48" s="18"/>
      <c r="DE48" s="352">
        <f t="shared" ref="DE48:EB48" si="309">DE24+DE32+DE40</f>
        <v>298.5</v>
      </c>
      <c r="DF48" s="352">
        <f t="shared" si="309"/>
        <v>514.40000000000009</v>
      </c>
      <c r="DG48" s="352">
        <f t="shared" si="309"/>
        <v>564.70000000000005</v>
      </c>
      <c r="DH48" s="352">
        <f t="shared" si="309"/>
        <v>796.8</v>
      </c>
      <c r="DI48" s="352">
        <f t="shared" si="309"/>
        <v>860.59999999999991</v>
      </c>
      <c r="DJ48" s="352">
        <f t="shared" si="309"/>
        <v>855.4</v>
      </c>
      <c r="DK48" s="352">
        <f t="shared" si="309"/>
        <v>1087.2</v>
      </c>
      <c r="DL48" s="352">
        <f t="shared" si="309"/>
        <v>914.69999999999993</v>
      </c>
      <c r="DM48" s="352">
        <f t="shared" si="309"/>
        <v>1173.8</v>
      </c>
      <c r="DN48" s="352">
        <f t="shared" si="309"/>
        <v>1065</v>
      </c>
      <c r="DO48" s="352">
        <f t="shared" si="309"/>
        <v>928.3</v>
      </c>
      <c r="DP48" s="27">
        <f t="shared" si="309"/>
        <v>850.60000000000014</v>
      </c>
      <c r="DQ48" s="27">
        <f t="shared" si="309"/>
        <v>1339</v>
      </c>
      <c r="DR48" s="27">
        <f t="shared" si="309"/>
        <v>1064</v>
      </c>
      <c r="DS48" s="27">
        <f t="shared" si="309"/>
        <v>1178</v>
      </c>
      <c r="DT48" s="27">
        <f t="shared" si="309"/>
        <v>1125</v>
      </c>
      <c r="DU48" s="27">
        <f t="shared" si="309"/>
        <v>1003</v>
      </c>
      <c r="DV48" s="27">
        <f t="shared" si="309"/>
        <v>1586</v>
      </c>
      <c r="DW48" s="27">
        <f t="shared" si="309"/>
        <v>1671</v>
      </c>
      <c r="DX48" s="27">
        <f t="shared" si="309"/>
        <v>2350</v>
      </c>
      <c r="DY48" s="27">
        <f t="shared" si="309"/>
        <v>2217</v>
      </c>
      <c r="DZ48" s="27">
        <f t="shared" si="309"/>
        <v>2337</v>
      </c>
      <c r="EA48" s="27">
        <f t="shared" si="309"/>
        <v>2568</v>
      </c>
      <c r="EB48" s="27">
        <f t="shared" si="309"/>
        <v>2844</v>
      </c>
      <c r="EC48" s="28">
        <f t="shared" ref="EC48:ED48" si="310">EC24+EC32+EC40</f>
        <v>2916</v>
      </c>
      <c r="ED48" s="28">
        <f t="shared" si="310"/>
        <v>2898</v>
      </c>
      <c r="EE48" s="1364"/>
      <c r="EF48" s="29">
        <f t="shared" ref="EF48:EY48" si="311">EF24+EF32+EF40</f>
        <v>352.6</v>
      </c>
      <c r="EG48" s="27">
        <f t="shared" si="311"/>
        <v>508.9</v>
      </c>
      <c r="EH48" s="27">
        <f t="shared" si="311"/>
        <v>648.70000000000005</v>
      </c>
      <c r="EI48" s="27">
        <f t="shared" si="311"/>
        <v>777.5</v>
      </c>
      <c r="EJ48" s="27">
        <f t="shared" si="311"/>
        <v>900.1</v>
      </c>
      <c r="EK48" s="27">
        <f t="shared" si="311"/>
        <v>879.59999999999991</v>
      </c>
      <c r="EL48" s="27">
        <f t="shared" si="311"/>
        <v>1084.4000000000001</v>
      </c>
      <c r="EM48" s="27">
        <f t="shared" si="311"/>
        <v>934.59999999999991</v>
      </c>
      <c r="EN48" s="27">
        <f t="shared" si="311"/>
        <v>1178.8</v>
      </c>
      <c r="EO48" s="27">
        <f t="shared" si="311"/>
        <v>1048.8</v>
      </c>
      <c r="EP48" s="352">
        <f t="shared" si="311"/>
        <v>928.89999999999986</v>
      </c>
      <c r="EQ48" s="352">
        <f t="shared" si="311"/>
        <v>933.9</v>
      </c>
      <c r="ER48" s="352">
        <f t="shared" si="311"/>
        <v>1259</v>
      </c>
      <c r="ES48" s="352">
        <f t="shared" si="311"/>
        <v>1035</v>
      </c>
      <c r="ET48" s="352">
        <f t="shared" si="311"/>
        <v>1197</v>
      </c>
      <c r="EU48" s="352">
        <f t="shared" si="311"/>
        <v>1017</v>
      </c>
      <c r="EV48" s="352">
        <f t="shared" si="311"/>
        <v>1256</v>
      </c>
      <c r="EW48" s="352">
        <f t="shared" si="311"/>
        <v>1573</v>
      </c>
      <c r="EX48" s="352">
        <f t="shared" si="311"/>
        <v>2027</v>
      </c>
      <c r="EY48" s="352">
        <f t="shared" si="311"/>
        <v>2173</v>
      </c>
      <c r="EZ48" s="352">
        <f t="shared" ref="EZ48:FA48" si="312">EZ24+EZ32+EZ40</f>
        <v>2281</v>
      </c>
      <c r="FA48" s="352">
        <f t="shared" si="312"/>
        <v>2372</v>
      </c>
      <c r="FB48" s="352">
        <f t="shared" ref="FB48:FC48" si="313">FB24+FB32+FB40</f>
        <v>2566</v>
      </c>
      <c r="FC48" s="352">
        <f t="shared" si="313"/>
        <v>2928</v>
      </c>
      <c r="FD48" s="352">
        <f t="shared" ref="FD48" si="314">FD24+FD32+FD40</f>
        <v>2894</v>
      </c>
      <c r="FE48" s="308"/>
      <c r="FF48" s="300"/>
      <c r="FG48" s="300"/>
      <c r="FH48" s="300"/>
      <c r="FO48" s="7"/>
    </row>
    <row r="49" spans="1:171" ht="14.25" hidden="1" customHeight="1" outlineLevel="1">
      <c r="A49" s="7"/>
      <c r="B49" s="673" t="s">
        <v>133</v>
      </c>
      <c r="C49" s="23"/>
      <c r="D49" s="29">
        <f t="shared" ref="D49:BO49" si="315">D50</f>
        <v>65.2</v>
      </c>
      <c r="E49" s="27">
        <f t="shared" si="315"/>
        <v>67.900000000000006</v>
      </c>
      <c r="F49" s="27">
        <f t="shared" si="315"/>
        <v>88</v>
      </c>
      <c r="G49" s="28">
        <f t="shared" si="315"/>
        <v>106.39999999999999</v>
      </c>
      <c r="H49" s="29">
        <f t="shared" si="315"/>
        <v>119.30000000000001</v>
      </c>
      <c r="I49" s="27">
        <f t="shared" si="315"/>
        <v>123.4</v>
      </c>
      <c r="J49" s="27">
        <f t="shared" si="315"/>
        <v>114.80000000000001</v>
      </c>
      <c r="K49" s="28">
        <f t="shared" si="315"/>
        <v>127.30000000000001</v>
      </c>
      <c r="L49" s="29">
        <f t="shared" si="315"/>
        <v>113.8</v>
      </c>
      <c r="M49" s="27">
        <f t="shared" si="315"/>
        <v>141.69999999999999</v>
      </c>
      <c r="N49" s="27">
        <f t="shared" si="315"/>
        <v>146</v>
      </c>
      <c r="O49" s="28">
        <f t="shared" si="315"/>
        <v>163.19999999999999</v>
      </c>
      <c r="P49" s="29">
        <f t="shared" si="315"/>
        <v>193.2</v>
      </c>
      <c r="Q49" s="27">
        <f t="shared" si="315"/>
        <v>210.6</v>
      </c>
      <c r="R49" s="27">
        <f t="shared" si="315"/>
        <v>182.10000000000002</v>
      </c>
      <c r="S49" s="28">
        <f t="shared" si="315"/>
        <v>176.6</v>
      </c>
      <c r="T49" s="29">
        <f t="shared" si="315"/>
        <v>170.7</v>
      </c>
      <c r="U49" s="27">
        <f t="shared" si="315"/>
        <v>211</v>
      </c>
      <c r="V49" s="27">
        <f t="shared" si="315"/>
        <v>205.7</v>
      </c>
      <c r="W49" s="28">
        <f t="shared" si="315"/>
        <v>220.7</v>
      </c>
      <c r="X49" s="29">
        <f t="shared" si="315"/>
        <v>195.1</v>
      </c>
      <c r="Y49" s="27">
        <f t="shared" si="315"/>
        <v>196.7</v>
      </c>
      <c r="Z49" s="27">
        <f t="shared" si="315"/>
        <v>212.9</v>
      </c>
      <c r="AA49" s="28">
        <f t="shared" si="315"/>
        <v>260.79999999999995</v>
      </c>
      <c r="AB49" s="29">
        <f t="shared" si="315"/>
        <v>245.4</v>
      </c>
      <c r="AC49" s="27">
        <f t="shared" si="315"/>
        <v>239.9</v>
      </c>
      <c r="AD49" s="27">
        <f t="shared" si="315"/>
        <v>218.8</v>
      </c>
      <c r="AE49" s="28">
        <f t="shared" si="315"/>
        <v>309.5</v>
      </c>
      <c r="AF49" s="29">
        <f t="shared" si="315"/>
        <v>234.4</v>
      </c>
      <c r="AG49" s="27">
        <f t="shared" si="315"/>
        <v>215.2</v>
      </c>
      <c r="AH49" s="27">
        <f t="shared" si="315"/>
        <v>211.60000000000002</v>
      </c>
      <c r="AI49" s="28">
        <f t="shared" si="315"/>
        <v>232.4</v>
      </c>
      <c r="AJ49" s="29">
        <f t="shared" si="315"/>
        <v>250.9</v>
      </c>
      <c r="AK49" s="27">
        <f t="shared" si="315"/>
        <v>266.5</v>
      </c>
      <c r="AL49" s="27">
        <f t="shared" si="315"/>
        <v>248.89999999999998</v>
      </c>
      <c r="AM49" s="28">
        <f t="shared" si="315"/>
        <v>248.3</v>
      </c>
      <c r="AN49" s="29">
        <f t="shared" si="315"/>
        <v>267.60000000000002</v>
      </c>
      <c r="AO49" s="27">
        <f t="shared" si="315"/>
        <v>269.7</v>
      </c>
      <c r="AP49" s="27">
        <f t="shared" si="315"/>
        <v>275.7</v>
      </c>
      <c r="AQ49" s="28">
        <f t="shared" si="315"/>
        <v>273.89999999999998</v>
      </c>
      <c r="AR49" s="29">
        <f t="shared" si="315"/>
        <v>235.2</v>
      </c>
      <c r="AS49" s="27">
        <f t="shared" si="315"/>
        <v>236.3</v>
      </c>
      <c r="AT49" s="27">
        <f t="shared" si="315"/>
        <v>242</v>
      </c>
      <c r="AU49" s="28">
        <f t="shared" si="315"/>
        <v>238.5</v>
      </c>
      <c r="AV49" s="29">
        <f t="shared" si="315"/>
        <v>260.8</v>
      </c>
      <c r="AW49" s="27">
        <f t="shared" si="315"/>
        <v>267.3</v>
      </c>
      <c r="AX49" s="27">
        <f t="shared" si="315"/>
        <v>280.89999999999998</v>
      </c>
      <c r="AY49" s="28">
        <f t="shared" si="315"/>
        <v>306.3</v>
      </c>
      <c r="AZ49" s="29">
        <f t="shared" si="315"/>
        <v>363</v>
      </c>
      <c r="BA49" s="27">
        <f t="shared" si="315"/>
        <v>396</v>
      </c>
      <c r="BB49" s="27">
        <f t="shared" si="315"/>
        <v>329</v>
      </c>
      <c r="BC49" s="28">
        <f t="shared" si="315"/>
        <v>327</v>
      </c>
      <c r="BD49" s="29">
        <f t="shared" si="315"/>
        <v>275</v>
      </c>
      <c r="BE49" s="27">
        <f t="shared" si="315"/>
        <v>300</v>
      </c>
      <c r="BF49" s="27">
        <f t="shared" si="315"/>
        <v>286</v>
      </c>
      <c r="BG49" s="28">
        <f t="shared" si="315"/>
        <v>274</v>
      </c>
      <c r="BH49" s="29">
        <f t="shared" si="315"/>
        <v>280</v>
      </c>
      <c r="BI49" s="27">
        <f t="shared" si="315"/>
        <v>258</v>
      </c>
      <c r="BJ49" s="27">
        <f t="shared" si="315"/>
        <v>242</v>
      </c>
      <c r="BK49" s="28">
        <f t="shared" si="315"/>
        <v>221</v>
      </c>
      <c r="BL49" s="29">
        <f t="shared" si="315"/>
        <v>234</v>
      </c>
      <c r="BM49" s="27">
        <f t="shared" si="315"/>
        <v>248</v>
      </c>
      <c r="BN49" s="27">
        <f t="shared" si="315"/>
        <v>332</v>
      </c>
      <c r="BO49" s="28">
        <f t="shared" si="315"/>
        <v>338</v>
      </c>
      <c r="BP49" s="29">
        <f t="shared" ref="BP49:BZ49" si="316">BP50</f>
        <v>325</v>
      </c>
      <c r="BQ49" s="27">
        <f t="shared" si="316"/>
        <v>332</v>
      </c>
      <c r="BR49" s="27">
        <f t="shared" si="316"/>
        <v>362</v>
      </c>
      <c r="BS49" s="28">
        <f t="shared" si="316"/>
        <v>364</v>
      </c>
      <c r="BT49" s="29">
        <f t="shared" si="316"/>
        <v>381</v>
      </c>
      <c r="BU49" s="27">
        <f t="shared" si="316"/>
        <v>383</v>
      </c>
      <c r="BV49" s="27">
        <f t="shared" si="316"/>
        <v>387</v>
      </c>
      <c r="BW49" s="28">
        <f t="shared" si="316"/>
        <v>374</v>
      </c>
      <c r="BX49" s="29">
        <f t="shared" si="316"/>
        <v>343</v>
      </c>
      <c r="BY49" s="27">
        <f t="shared" si="316"/>
        <v>337</v>
      </c>
      <c r="BZ49" s="27">
        <f t="shared" si="316"/>
        <v>353</v>
      </c>
      <c r="CA49" s="28">
        <f t="shared" ref="CA49" si="317">CA50</f>
        <v>460</v>
      </c>
      <c r="CB49" s="29">
        <f>CB29+CB37+CB44</f>
        <v>500</v>
      </c>
      <c r="CC49" s="27">
        <f t="shared" ref="CC49:CT49" si="318">CC29+CC37+CC44</f>
        <v>522</v>
      </c>
      <c r="CD49" s="27">
        <f t="shared" si="318"/>
        <v>520</v>
      </c>
      <c r="CE49" s="28">
        <f t="shared" si="318"/>
        <v>535</v>
      </c>
      <c r="CF49" s="29">
        <f t="shared" si="318"/>
        <v>542</v>
      </c>
      <c r="CG49" s="27">
        <f t="shared" si="318"/>
        <v>549</v>
      </c>
      <c r="CH49" s="27">
        <f t="shared" si="318"/>
        <v>570</v>
      </c>
      <c r="CI49" s="28">
        <f t="shared" si="318"/>
        <v>543</v>
      </c>
      <c r="CJ49" s="29">
        <f t="shared" si="318"/>
        <v>602</v>
      </c>
      <c r="CK49" s="27">
        <f t="shared" si="318"/>
        <v>583</v>
      </c>
      <c r="CL49" s="27">
        <f t="shared" si="318"/>
        <v>523</v>
      </c>
      <c r="CM49" s="28">
        <f t="shared" si="318"/>
        <v>560</v>
      </c>
      <c r="CN49" s="29">
        <f>CN29+CN37+CN44</f>
        <v>594</v>
      </c>
      <c r="CO49" s="27">
        <f t="shared" ref="CO49:CQ49" si="319">CO29+CO37+CO44</f>
        <v>612</v>
      </c>
      <c r="CP49" s="27">
        <f t="shared" si="319"/>
        <v>600</v>
      </c>
      <c r="CQ49" s="28">
        <f t="shared" si="319"/>
        <v>601</v>
      </c>
      <c r="CR49" s="29">
        <f>CR29+CR37+CR44</f>
        <v>612</v>
      </c>
      <c r="CS49" s="27">
        <f t="shared" ref="CS49" si="320">CS29+CS37+CS44</f>
        <v>666</v>
      </c>
      <c r="CT49" s="27">
        <f t="shared" si="318"/>
        <v>725</v>
      </c>
      <c r="CU49" s="28">
        <f>CU29+CU37+CU44</f>
        <v>655</v>
      </c>
      <c r="CV49" s="29">
        <f t="shared" ref="CV49:CY49" si="321">CV29+CV37+CV44</f>
        <v>682</v>
      </c>
      <c r="CW49" s="27">
        <f t="shared" si="321"/>
        <v>682</v>
      </c>
      <c r="CX49" s="27">
        <f t="shared" si="321"/>
        <v>672</v>
      </c>
      <c r="CY49" s="28">
        <f t="shared" si="321"/>
        <v>672</v>
      </c>
      <c r="CZ49" s="29">
        <f t="shared" ref="CZ49:DC49" si="322">CZ29+CZ37+CZ44</f>
        <v>660</v>
      </c>
      <c r="DA49" s="27">
        <f t="shared" si="322"/>
        <v>670</v>
      </c>
      <c r="DB49" s="27">
        <f t="shared" si="322"/>
        <v>675</v>
      </c>
      <c r="DC49" s="28">
        <f t="shared" si="322"/>
        <v>685</v>
      </c>
      <c r="DD49" s="18"/>
      <c r="DE49" s="352">
        <f t="shared" ref="DE49:DU49" si="323">DE50</f>
        <v>327.5</v>
      </c>
      <c r="DF49" s="352">
        <f t="shared" si="323"/>
        <v>484.80000000000007</v>
      </c>
      <c r="DG49" s="352">
        <f t="shared" si="323"/>
        <v>564.70000000000005</v>
      </c>
      <c r="DH49" s="352">
        <f t="shared" si="323"/>
        <v>762.5</v>
      </c>
      <c r="DI49" s="352">
        <f t="shared" si="323"/>
        <v>808.09999999999991</v>
      </c>
      <c r="DJ49" s="352">
        <f t="shared" si="323"/>
        <v>865.5</v>
      </c>
      <c r="DK49" s="352">
        <f t="shared" si="323"/>
        <v>1013.6</v>
      </c>
      <c r="DL49" s="352">
        <f t="shared" si="323"/>
        <v>893.59999999999991</v>
      </c>
      <c r="DM49" s="352">
        <f t="shared" si="323"/>
        <v>1014.5999999999999</v>
      </c>
      <c r="DN49" s="352">
        <f t="shared" si="323"/>
        <v>1086.9000000000001</v>
      </c>
      <c r="DO49" s="352">
        <f t="shared" si="323"/>
        <v>952</v>
      </c>
      <c r="DP49" s="27">
        <f t="shared" si="323"/>
        <v>1115.3000000000002</v>
      </c>
      <c r="DQ49" s="27">
        <f t="shared" si="323"/>
        <v>1415</v>
      </c>
      <c r="DR49" s="27">
        <f t="shared" si="323"/>
        <v>1135</v>
      </c>
      <c r="DS49" s="27">
        <f t="shared" si="323"/>
        <v>1001</v>
      </c>
      <c r="DT49" s="27">
        <f t="shared" si="323"/>
        <v>1152</v>
      </c>
      <c r="DU49" s="27">
        <f t="shared" si="323"/>
        <v>1383</v>
      </c>
      <c r="DV49" s="27">
        <f t="shared" ref="DV49:DW49" si="324">DV50</f>
        <v>1525</v>
      </c>
      <c r="DW49" s="27">
        <f t="shared" si="324"/>
        <v>1493</v>
      </c>
      <c r="DX49" s="27">
        <f>DX29+DX37+DX44</f>
        <v>2077</v>
      </c>
      <c r="DY49" s="27">
        <f t="shared" ref="DY49:EA49" si="325">DY29+DY37+DY44</f>
        <v>2204</v>
      </c>
      <c r="DZ49" s="27">
        <f t="shared" si="325"/>
        <v>2268</v>
      </c>
      <c r="EA49" s="27">
        <f t="shared" si="325"/>
        <v>2407</v>
      </c>
      <c r="EB49" s="27">
        <f t="shared" ref="EB49" si="326">EB29+EB37+EB44</f>
        <v>2658</v>
      </c>
      <c r="EC49" s="28">
        <f t="shared" ref="EC49:ED49" si="327">EC29+EC37+EC44</f>
        <v>2708</v>
      </c>
      <c r="ED49" s="28">
        <f t="shared" si="327"/>
        <v>2690</v>
      </c>
      <c r="EE49" s="1364"/>
      <c r="EF49" s="29"/>
      <c r="EG49" s="27"/>
      <c r="EH49" s="27"/>
      <c r="EI49" s="27"/>
      <c r="EJ49" s="27"/>
      <c r="EK49" s="27"/>
      <c r="EL49" s="27"/>
      <c r="EM49" s="27"/>
      <c r="EN49" s="27"/>
      <c r="EO49" s="27"/>
      <c r="EP49" s="352"/>
      <c r="EQ49" s="352"/>
      <c r="ER49" s="352"/>
      <c r="ES49" s="352"/>
      <c r="ET49" s="352"/>
      <c r="EU49" s="352"/>
      <c r="EV49" s="352"/>
      <c r="EW49" s="352"/>
      <c r="EX49" s="352"/>
      <c r="EY49" s="27">
        <f>SUM(CC49:CF49)</f>
        <v>2119</v>
      </c>
      <c r="EZ49" s="27">
        <f t="shared" ref="EZ49" si="328">SUM(CG49:CJ49)</f>
        <v>2264</v>
      </c>
      <c r="FA49" s="27">
        <f t="shared" ref="FA49" si="329">SUM(CK49:CN49)</f>
        <v>2260</v>
      </c>
      <c r="FB49" s="27">
        <f t="shared" ref="FB49" si="330">SUM(CO49:CR49)</f>
        <v>2425</v>
      </c>
      <c r="FC49" s="27">
        <f>SUM(CS49:CV49)</f>
        <v>2728</v>
      </c>
      <c r="FD49" s="27">
        <f>SUM(CW49:CZ49)</f>
        <v>2686</v>
      </c>
      <c r="FE49" s="308"/>
      <c r="FF49" s="300"/>
      <c r="FG49" s="300"/>
      <c r="FH49" s="300"/>
      <c r="FO49" s="7"/>
    </row>
    <row r="50" spans="1:171" ht="14.25" hidden="1" customHeight="1" outlineLevel="1">
      <c r="A50" s="7"/>
      <c r="B50" s="673" t="s">
        <v>269</v>
      </c>
      <c r="C50" s="23"/>
      <c r="D50" s="29">
        <f t="shared" ref="D50:AI50" si="331">D29+D37+D46</f>
        <v>65.2</v>
      </c>
      <c r="E50" s="27">
        <f t="shared" si="331"/>
        <v>67.900000000000006</v>
      </c>
      <c r="F50" s="27">
        <f t="shared" si="331"/>
        <v>88</v>
      </c>
      <c r="G50" s="28">
        <f t="shared" si="331"/>
        <v>106.39999999999999</v>
      </c>
      <c r="H50" s="29">
        <f t="shared" si="331"/>
        <v>119.30000000000001</v>
      </c>
      <c r="I50" s="27">
        <f t="shared" si="331"/>
        <v>123.4</v>
      </c>
      <c r="J50" s="27">
        <f t="shared" si="331"/>
        <v>114.80000000000001</v>
      </c>
      <c r="K50" s="28">
        <f t="shared" si="331"/>
        <v>127.30000000000001</v>
      </c>
      <c r="L50" s="29">
        <f t="shared" si="331"/>
        <v>113.8</v>
      </c>
      <c r="M50" s="27">
        <f t="shared" si="331"/>
        <v>141.69999999999999</v>
      </c>
      <c r="N50" s="27">
        <f t="shared" si="331"/>
        <v>146</v>
      </c>
      <c r="O50" s="28">
        <f t="shared" si="331"/>
        <v>163.19999999999999</v>
      </c>
      <c r="P50" s="29">
        <f t="shared" si="331"/>
        <v>193.2</v>
      </c>
      <c r="Q50" s="27">
        <f t="shared" si="331"/>
        <v>210.6</v>
      </c>
      <c r="R50" s="27">
        <f t="shared" si="331"/>
        <v>182.10000000000002</v>
      </c>
      <c r="S50" s="28">
        <f t="shared" si="331"/>
        <v>176.6</v>
      </c>
      <c r="T50" s="29">
        <f t="shared" si="331"/>
        <v>170.7</v>
      </c>
      <c r="U50" s="27">
        <f t="shared" si="331"/>
        <v>211</v>
      </c>
      <c r="V50" s="27">
        <f t="shared" si="331"/>
        <v>205.7</v>
      </c>
      <c r="W50" s="28">
        <f t="shared" si="331"/>
        <v>220.7</v>
      </c>
      <c r="X50" s="29">
        <f t="shared" si="331"/>
        <v>195.1</v>
      </c>
      <c r="Y50" s="27">
        <f t="shared" si="331"/>
        <v>196.7</v>
      </c>
      <c r="Z50" s="27">
        <f t="shared" si="331"/>
        <v>212.9</v>
      </c>
      <c r="AA50" s="28">
        <f t="shared" si="331"/>
        <v>260.79999999999995</v>
      </c>
      <c r="AB50" s="29">
        <f t="shared" si="331"/>
        <v>245.4</v>
      </c>
      <c r="AC50" s="27">
        <f t="shared" si="331"/>
        <v>239.9</v>
      </c>
      <c r="AD50" s="27">
        <f t="shared" si="331"/>
        <v>218.8</v>
      </c>
      <c r="AE50" s="28">
        <f t="shared" si="331"/>
        <v>309.5</v>
      </c>
      <c r="AF50" s="29">
        <f t="shared" si="331"/>
        <v>234.4</v>
      </c>
      <c r="AG50" s="27">
        <f t="shared" si="331"/>
        <v>215.2</v>
      </c>
      <c r="AH50" s="27">
        <f t="shared" si="331"/>
        <v>211.60000000000002</v>
      </c>
      <c r="AI50" s="28">
        <f t="shared" si="331"/>
        <v>232.4</v>
      </c>
      <c r="AJ50" s="29">
        <f t="shared" ref="AJ50:BO50" si="332">AJ29+AJ37+AJ46</f>
        <v>250.9</v>
      </c>
      <c r="AK50" s="27">
        <f t="shared" si="332"/>
        <v>266.5</v>
      </c>
      <c r="AL50" s="27">
        <f t="shared" si="332"/>
        <v>248.89999999999998</v>
      </c>
      <c r="AM50" s="28">
        <f t="shared" si="332"/>
        <v>248.3</v>
      </c>
      <c r="AN50" s="29">
        <f t="shared" si="332"/>
        <v>267.60000000000002</v>
      </c>
      <c r="AO50" s="27">
        <f t="shared" si="332"/>
        <v>269.7</v>
      </c>
      <c r="AP50" s="27">
        <f t="shared" si="332"/>
        <v>275.7</v>
      </c>
      <c r="AQ50" s="28">
        <f t="shared" si="332"/>
        <v>273.89999999999998</v>
      </c>
      <c r="AR50" s="29">
        <f t="shared" si="332"/>
        <v>235.2</v>
      </c>
      <c r="AS50" s="27">
        <f t="shared" si="332"/>
        <v>236.3</v>
      </c>
      <c r="AT50" s="27">
        <f t="shared" si="332"/>
        <v>242</v>
      </c>
      <c r="AU50" s="28">
        <f t="shared" si="332"/>
        <v>238.5</v>
      </c>
      <c r="AV50" s="29">
        <f t="shared" si="332"/>
        <v>260.8</v>
      </c>
      <c r="AW50" s="27">
        <f t="shared" si="332"/>
        <v>267.3</v>
      </c>
      <c r="AX50" s="27">
        <f t="shared" si="332"/>
        <v>280.89999999999998</v>
      </c>
      <c r="AY50" s="28">
        <f t="shared" si="332"/>
        <v>306.3</v>
      </c>
      <c r="AZ50" s="29">
        <f t="shared" si="332"/>
        <v>363</v>
      </c>
      <c r="BA50" s="27">
        <f t="shared" si="332"/>
        <v>396</v>
      </c>
      <c r="BB50" s="27">
        <f t="shared" si="332"/>
        <v>329</v>
      </c>
      <c r="BC50" s="28">
        <f t="shared" si="332"/>
        <v>327</v>
      </c>
      <c r="BD50" s="29">
        <f t="shared" si="332"/>
        <v>275</v>
      </c>
      <c r="BE50" s="27">
        <f t="shared" si="332"/>
        <v>300</v>
      </c>
      <c r="BF50" s="27">
        <f t="shared" si="332"/>
        <v>286</v>
      </c>
      <c r="BG50" s="28">
        <f t="shared" si="332"/>
        <v>274</v>
      </c>
      <c r="BH50" s="29">
        <f t="shared" si="332"/>
        <v>280</v>
      </c>
      <c r="BI50" s="27">
        <f t="shared" si="332"/>
        <v>258</v>
      </c>
      <c r="BJ50" s="27">
        <f t="shared" si="332"/>
        <v>242</v>
      </c>
      <c r="BK50" s="28">
        <f t="shared" si="332"/>
        <v>221</v>
      </c>
      <c r="BL50" s="29">
        <f t="shared" si="332"/>
        <v>234</v>
      </c>
      <c r="BM50" s="27">
        <f t="shared" si="332"/>
        <v>248</v>
      </c>
      <c r="BN50" s="27">
        <f t="shared" si="332"/>
        <v>332</v>
      </c>
      <c r="BO50" s="28">
        <f t="shared" si="332"/>
        <v>338</v>
      </c>
      <c r="BP50" s="29">
        <f t="shared" ref="BP50:CA50" si="333">BP29+BP37+BP46</f>
        <v>325</v>
      </c>
      <c r="BQ50" s="27">
        <f t="shared" si="333"/>
        <v>332</v>
      </c>
      <c r="BR50" s="27">
        <f t="shared" si="333"/>
        <v>362</v>
      </c>
      <c r="BS50" s="28">
        <f t="shared" si="333"/>
        <v>364</v>
      </c>
      <c r="BT50" s="29">
        <f t="shared" si="333"/>
        <v>381</v>
      </c>
      <c r="BU50" s="27">
        <f t="shared" si="333"/>
        <v>383</v>
      </c>
      <c r="BV50" s="27">
        <f t="shared" si="333"/>
        <v>387</v>
      </c>
      <c r="BW50" s="28">
        <f t="shared" si="333"/>
        <v>374</v>
      </c>
      <c r="BX50" s="29">
        <f t="shared" si="333"/>
        <v>343</v>
      </c>
      <c r="BY50" s="27">
        <f t="shared" si="333"/>
        <v>337</v>
      </c>
      <c r="BZ50" s="27">
        <f t="shared" si="333"/>
        <v>353</v>
      </c>
      <c r="CA50" s="28">
        <f t="shared" si="333"/>
        <v>460</v>
      </c>
      <c r="CB50" s="29">
        <f>CB29+CB37+CB46</f>
        <v>522</v>
      </c>
      <c r="CC50" s="27">
        <f t="shared" ref="CC50:CU50" si="334">CC29+CC37+CC46</f>
        <v>549</v>
      </c>
      <c r="CD50" s="27">
        <f t="shared" si="334"/>
        <v>552</v>
      </c>
      <c r="CE50" s="28">
        <f t="shared" si="334"/>
        <v>569</v>
      </c>
      <c r="CF50" s="29">
        <f t="shared" si="334"/>
        <v>577</v>
      </c>
      <c r="CG50" s="27">
        <f t="shared" si="334"/>
        <v>598</v>
      </c>
      <c r="CH50" s="27">
        <f t="shared" si="334"/>
        <v>613</v>
      </c>
      <c r="CI50" s="28">
        <f t="shared" si="334"/>
        <v>584</v>
      </c>
      <c r="CJ50" s="29">
        <f t="shared" si="334"/>
        <v>648</v>
      </c>
      <c r="CK50" s="27">
        <f t="shared" si="334"/>
        <v>638</v>
      </c>
      <c r="CL50" s="27">
        <f t="shared" si="334"/>
        <v>570</v>
      </c>
      <c r="CM50" s="28">
        <f t="shared" si="334"/>
        <v>603</v>
      </c>
      <c r="CN50" s="29">
        <f t="shared" ref="CN50:CQ50" si="335">CN29+CN37+CN46</f>
        <v>640</v>
      </c>
      <c r="CO50" s="27">
        <f t="shared" si="335"/>
        <v>667</v>
      </c>
      <c r="CP50" s="27">
        <f t="shared" si="335"/>
        <v>657</v>
      </c>
      <c r="CQ50" s="28">
        <f t="shared" si="335"/>
        <v>658</v>
      </c>
      <c r="CR50" s="29">
        <f t="shared" ref="CR50:CS50" si="336">CR29+CR37+CR46</f>
        <v>663</v>
      </c>
      <c r="CS50" s="27">
        <f t="shared" si="336"/>
        <v>718</v>
      </c>
      <c r="CT50" s="27">
        <f t="shared" si="334"/>
        <v>777</v>
      </c>
      <c r="CU50" s="28">
        <f t="shared" si="334"/>
        <v>707</v>
      </c>
      <c r="CV50" s="29">
        <f t="shared" ref="CV50:CY50" si="337">CV29+CV37+CV46</f>
        <v>734</v>
      </c>
      <c r="CW50" s="27">
        <f t="shared" si="337"/>
        <v>734</v>
      </c>
      <c r="CX50" s="27">
        <f t="shared" si="337"/>
        <v>724</v>
      </c>
      <c r="CY50" s="28">
        <f t="shared" si="337"/>
        <v>724</v>
      </c>
      <c r="CZ50" s="29">
        <f t="shared" ref="CZ50:DC50" si="338">CZ29+CZ37+CZ46</f>
        <v>712</v>
      </c>
      <c r="DA50" s="27">
        <f t="shared" si="338"/>
        <v>722</v>
      </c>
      <c r="DB50" s="27">
        <f t="shared" si="338"/>
        <v>727</v>
      </c>
      <c r="DC50" s="28">
        <f t="shared" si="338"/>
        <v>737</v>
      </c>
      <c r="DD50" s="18"/>
      <c r="DE50" s="352">
        <f t="shared" ref="DE50:EA50" si="339">DE29+DE37+DE46</f>
        <v>327.5</v>
      </c>
      <c r="DF50" s="352">
        <f t="shared" si="339"/>
        <v>484.80000000000007</v>
      </c>
      <c r="DG50" s="352">
        <f t="shared" si="339"/>
        <v>564.70000000000005</v>
      </c>
      <c r="DH50" s="352">
        <f t="shared" si="339"/>
        <v>762.5</v>
      </c>
      <c r="DI50" s="352">
        <f t="shared" si="339"/>
        <v>808.09999999999991</v>
      </c>
      <c r="DJ50" s="352">
        <f t="shared" si="339"/>
        <v>865.5</v>
      </c>
      <c r="DK50" s="352">
        <f t="shared" si="339"/>
        <v>1013.6</v>
      </c>
      <c r="DL50" s="352">
        <f t="shared" si="339"/>
        <v>893.59999999999991</v>
      </c>
      <c r="DM50" s="352">
        <f t="shared" si="339"/>
        <v>1014.5999999999999</v>
      </c>
      <c r="DN50" s="352">
        <f t="shared" si="339"/>
        <v>1086.9000000000001</v>
      </c>
      <c r="DO50" s="352">
        <f t="shared" si="339"/>
        <v>952</v>
      </c>
      <c r="DP50" s="27">
        <f t="shared" si="339"/>
        <v>1115.3000000000002</v>
      </c>
      <c r="DQ50" s="27">
        <f t="shared" si="339"/>
        <v>1415</v>
      </c>
      <c r="DR50" s="27">
        <f t="shared" si="339"/>
        <v>1135</v>
      </c>
      <c r="DS50" s="27">
        <f t="shared" si="339"/>
        <v>1001</v>
      </c>
      <c r="DT50" s="27">
        <f t="shared" si="339"/>
        <v>1152</v>
      </c>
      <c r="DU50" s="27">
        <f t="shared" si="339"/>
        <v>1383</v>
      </c>
      <c r="DV50" s="27">
        <f t="shared" si="339"/>
        <v>1525</v>
      </c>
      <c r="DW50" s="27">
        <f t="shared" si="339"/>
        <v>1493</v>
      </c>
      <c r="DX50" s="27">
        <f>DX29+DX37+DX46</f>
        <v>2192</v>
      </c>
      <c r="DY50" s="27">
        <f t="shared" si="339"/>
        <v>2372</v>
      </c>
      <c r="DZ50" s="27">
        <f t="shared" si="339"/>
        <v>2459</v>
      </c>
      <c r="EA50" s="27">
        <f t="shared" si="339"/>
        <v>2622</v>
      </c>
      <c r="EB50" s="27">
        <f t="shared" ref="EB50" si="340">EB29+EB37+EB46</f>
        <v>2865</v>
      </c>
      <c r="EC50" s="28">
        <f t="shared" ref="EC50:ED50" si="341">EC29+EC37+EC46</f>
        <v>2916</v>
      </c>
      <c r="ED50" s="28">
        <f t="shared" si="341"/>
        <v>2898</v>
      </c>
      <c r="EE50" s="1364"/>
      <c r="EF50" s="29">
        <f t="shared" ref="EF50:EY50" si="342">EF29+EF37+EF46</f>
        <v>381.6</v>
      </c>
      <c r="EG50" s="27">
        <f t="shared" si="342"/>
        <v>479.29999999999995</v>
      </c>
      <c r="EH50" s="27">
        <f t="shared" si="342"/>
        <v>644.1</v>
      </c>
      <c r="EI50" s="27">
        <f t="shared" si="342"/>
        <v>740</v>
      </c>
      <c r="EJ50" s="27">
        <f t="shared" si="342"/>
        <v>832.5</v>
      </c>
      <c r="EK50" s="27">
        <f t="shared" si="342"/>
        <v>915.8</v>
      </c>
      <c r="EL50" s="27">
        <f t="shared" si="342"/>
        <v>1002.6</v>
      </c>
      <c r="EM50" s="27">
        <f t="shared" si="342"/>
        <v>910.09999999999991</v>
      </c>
      <c r="EN50" s="27">
        <f t="shared" si="342"/>
        <v>1031.3</v>
      </c>
      <c r="EO50" s="27">
        <f t="shared" si="342"/>
        <v>1054.5</v>
      </c>
      <c r="EP50" s="352">
        <f t="shared" si="342"/>
        <v>977.59999999999991</v>
      </c>
      <c r="EQ50" s="352">
        <f t="shared" si="342"/>
        <v>1217.5</v>
      </c>
      <c r="ER50" s="352">
        <f t="shared" si="342"/>
        <v>1327</v>
      </c>
      <c r="ES50" s="352">
        <f t="shared" si="342"/>
        <v>1140</v>
      </c>
      <c r="ET50" s="352">
        <f t="shared" si="342"/>
        <v>955</v>
      </c>
      <c r="EU50" s="352">
        <f t="shared" si="342"/>
        <v>1243</v>
      </c>
      <c r="EV50" s="352">
        <f t="shared" si="342"/>
        <v>1439</v>
      </c>
      <c r="EW50" s="352">
        <f t="shared" si="342"/>
        <v>1487</v>
      </c>
      <c r="EX50" s="352">
        <f t="shared" si="342"/>
        <v>1672</v>
      </c>
      <c r="EY50" s="352">
        <f t="shared" si="342"/>
        <v>2247</v>
      </c>
      <c r="EZ50" s="352">
        <f t="shared" ref="EZ50:FA50" si="343">EZ29+EZ37+EZ46</f>
        <v>2443</v>
      </c>
      <c r="FA50" s="352">
        <f t="shared" si="343"/>
        <v>2451</v>
      </c>
      <c r="FB50" s="352">
        <f>FB29+FB37+FB46</f>
        <v>2645</v>
      </c>
      <c r="FC50" s="352">
        <f>FC29+FC37+FC46</f>
        <v>2936</v>
      </c>
      <c r="FD50" s="352">
        <f>FD29+FD37+FD46</f>
        <v>2894</v>
      </c>
      <c r="FE50" s="308"/>
      <c r="FF50" s="300"/>
      <c r="FG50" s="300"/>
      <c r="FH50" s="300"/>
      <c r="FO50" s="7"/>
    </row>
    <row r="51" spans="1:171" ht="9.75" hidden="1" customHeight="1" outlineLevel="1">
      <c r="A51" s="7"/>
      <c r="B51" s="673"/>
      <c r="C51" s="23"/>
      <c r="D51" s="40"/>
      <c r="E51" s="38"/>
      <c r="F51" s="38"/>
      <c r="G51" s="39"/>
      <c r="H51" s="40"/>
      <c r="I51" s="38"/>
      <c r="J51" s="38"/>
      <c r="K51" s="39"/>
      <c r="L51" s="40"/>
      <c r="M51" s="38"/>
      <c r="N51" s="38"/>
      <c r="O51" s="39"/>
      <c r="P51" s="40"/>
      <c r="Q51" s="38"/>
      <c r="R51" s="38"/>
      <c r="S51" s="39"/>
      <c r="T51" s="40"/>
      <c r="U51" s="38"/>
      <c r="V51" s="38"/>
      <c r="W51" s="39"/>
      <c r="X51" s="40"/>
      <c r="Y51" s="38"/>
      <c r="Z51" s="38"/>
      <c r="AA51" s="39"/>
      <c r="AB51" s="40"/>
      <c r="AC51" s="38"/>
      <c r="AD51" s="38"/>
      <c r="AE51" s="39"/>
      <c r="AF51" s="40"/>
      <c r="AG51" s="38"/>
      <c r="AH51" s="38"/>
      <c r="AI51" s="39"/>
      <c r="AJ51" s="40"/>
      <c r="AK51" s="38"/>
      <c r="AL51" s="38"/>
      <c r="AM51" s="39"/>
      <c r="AN51" s="40"/>
      <c r="AO51" s="38"/>
      <c r="AP51" s="38"/>
      <c r="AQ51" s="39"/>
      <c r="AR51" s="40"/>
      <c r="AS51" s="38"/>
      <c r="AT51" s="38"/>
      <c r="AU51" s="39"/>
      <c r="AV51" s="40"/>
      <c r="AW51" s="38"/>
      <c r="AX51" s="38"/>
      <c r="AY51" s="39"/>
      <c r="AZ51" s="40"/>
      <c r="BA51" s="38"/>
      <c r="BB51" s="38"/>
      <c r="BC51" s="39"/>
      <c r="BD51" s="40"/>
      <c r="BE51" s="38"/>
      <c r="BF51" s="38"/>
      <c r="BG51" s="39"/>
      <c r="BH51" s="40"/>
      <c r="BI51" s="38"/>
      <c r="BJ51" s="38"/>
      <c r="BK51" s="39"/>
      <c r="BL51" s="40"/>
      <c r="BM51" s="38"/>
      <c r="BN51" s="38"/>
      <c r="BO51" s="39"/>
      <c r="BP51" s="40"/>
      <c r="BQ51" s="38"/>
      <c r="BR51" s="38"/>
      <c r="BS51" s="39"/>
      <c r="BT51" s="40"/>
      <c r="BU51" s="38"/>
      <c r="BV51" s="38"/>
      <c r="BW51" s="39"/>
      <c r="BX51" s="40"/>
      <c r="BY51" s="38"/>
      <c r="BZ51" s="38"/>
      <c r="CA51" s="39"/>
      <c r="CB51" s="40"/>
      <c r="CC51" s="38"/>
      <c r="CD51" s="38"/>
      <c r="CE51" s="39"/>
      <c r="CF51" s="40"/>
      <c r="CG51" s="38"/>
      <c r="CH51" s="38"/>
      <c r="CI51" s="39"/>
      <c r="CJ51" s="40"/>
      <c r="CK51" s="38"/>
      <c r="CL51" s="38"/>
      <c r="CM51" s="39"/>
      <c r="CN51" s="40"/>
      <c r="CO51" s="38"/>
      <c r="CP51" s="38"/>
      <c r="CQ51" s="39"/>
      <c r="CR51" s="40"/>
      <c r="CS51" s="38"/>
      <c r="CT51" s="38"/>
      <c r="CU51" s="39"/>
      <c r="CV51" s="40"/>
      <c r="CW51" s="38"/>
      <c r="CX51" s="38"/>
      <c r="CY51" s="39"/>
      <c r="CZ51" s="40"/>
      <c r="DA51" s="38"/>
      <c r="DB51" s="38"/>
      <c r="DC51" s="39"/>
      <c r="DD51" s="18"/>
      <c r="DE51" s="356"/>
      <c r="DF51" s="356"/>
      <c r="DG51" s="356"/>
      <c r="DH51" s="356"/>
      <c r="DI51" s="356"/>
      <c r="DJ51" s="356"/>
      <c r="DK51" s="356"/>
      <c r="DL51" s="356"/>
      <c r="DM51" s="356"/>
      <c r="DN51" s="356"/>
      <c r="DO51" s="356"/>
      <c r="DP51" s="38"/>
      <c r="DQ51" s="38"/>
      <c r="DR51" s="38"/>
      <c r="DS51" s="38"/>
      <c r="DT51" s="38"/>
      <c r="DU51" s="38"/>
      <c r="DV51" s="38"/>
      <c r="DW51" s="38"/>
      <c r="DX51" s="38">
        <f t="shared" ref="DX51:DY51" si="344">DX50-DX49</f>
        <v>115</v>
      </c>
      <c r="DY51" s="38">
        <f t="shared" si="344"/>
        <v>168</v>
      </c>
      <c r="DZ51" s="38">
        <f>DZ50-DZ49</f>
        <v>191</v>
      </c>
      <c r="EA51" s="38">
        <f>EA50-EA49</f>
        <v>215</v>
      </c>
      <c r="EB51" s="38">
        <f>EB50-EB49</f>
        <v>207</v>
      </c>
      <c r="EC51" s="39">
        <f>EC50-EC49</f>
        <v>208</v>
      </c>
      <c r="ED51" s="39">
        <f>ED50-ED49</f>
        <v>208</v>
      </c>
      <c r="EE51" s="1364"/>
      <c r="EF51" s="40"/>
      <c r="EG51" s="38"/>
      <c r="EH51" s="38"/>
      <c r="EI51" s="38"/>
      <c r="EJ51" s="38"/>
      <c r="EK51" s="38"/>
      <c r="EL51" s="38"/>
      <c r="EM51" s="38"/>
      <c r="EN51" s="38"/>
      <c r="EO51" s="38"/>
      <c r="EP51" s="356"/>
      <c r="EQ51" s="356"/>
      <c r="ER51" s="356"/>
      <c r="ES51" s="356"/>
      <c r="ET51" s="356"/>
      <c r="EU51" s="356"/>
      <c r="EV51" s="356"/>
      <c r="EW51" s="356"/>
      <c r="EX51" s="356"/>
      <c r="EY51" s="38">
        <f t="shared" ref="EY51" si="345">EY50-EY49</f>
        <v>128</v>
      </c>
      <c r="EZ51" s="38">
        <f t="shared" ref="EZ51" si="346">EZ50-EZ49</f>
        <v>179</v>
      </c>
      <c r="FA51" s="38">
        <f>FA50-FA49</f>
        <v>191</v>
      </c>
      <c r="FB51" s="38">
        <f>FB50-FB49</f>
        <v>220</v>
      </c>
      <c r="FC51" s="38">
        <f>FC50-FC49</f>
        <v>208</v>
      </c>
      <c r="FD51" s="38">
        <f>FD50-FD49</f>
        <v>208</v>
      </c>
      <c r="FE51" s="38">
        <f>FE50-FE49</f>
        <v>0</v>
      </c>
      <c r="FF51" s="38"/>
      <c r="FG51" s="38"/>
      <c r="FH51" s="38"/>
      <c r="FO51" s="7"/>
    </row>
    <row r="52" spans="1:171" ht="14.25" hidden="1" customHeight="1" outlineLevel="1">
      <c r="A52" s="7"/>
      <c r="B52" s="540" t="s">
        <v>229</v>
      </c>
      <c r="C52" s="44"/>
      <c r="D52" s="807">
        <f t="shared" ref="D52:AI52" si="347">D17-D48</f>
        <v>245.3</v>
      </c>
      <c r="E52" s="808">
        <f t="shared" si="347"/>
        <v>293.10000000000002</v>
      </c>
      <c r="F52" s="808">
        <f t="shared" si="347"/>
        <v>345.00000000000006</v>
      </c>
      <c r="G52" s="809">
        <f t="shared" si="347"/>
        <v>442.1</v>
      </c>
      <c r="H52" s="807">
        <f t="shared" si="347"/>
        <v>528.39999999999986</v>
      </c>
      <c r="I52" s="808">
        <f t="shared" si="347"/>
        <v>291.09999999999997</v>
      </c>
      <c r="J52" s="808">
        <f t="shared" si="347"/>
        <v>98.199999999999989</v>
      </c>
      <c r="K52" s="809">
        <f t="shared" si="347"/>
        <v>23.29999999999994</v>
      </c>
      <c r="L52" s="807">
        <f t="shared" si="347"/>
        <v>41.400000000000048</v>
      </c>
      <c r="M52" s="808">
        <f t="shared" si="347"/>
        <v>77.000000000000057</v>
      </c>
      <c r="N52" s="808">
        <f t="shared" si="347"/>
        <v>169</v>
      </c>
      <c r="O52" s="809">
        <f t="shared" si="347"/>
        <v>124.2000000000001</v>
      </c>
      <c r="P52" s="807">
        <f t="shared" si="347"/>
        <v>12.399999999999949</v>
      </c>
      <c r="Q52" s="808">
        <f t="shared" si="347"/>
        <v>-212.09999999999994</v>
      </c>
      <c r="R52" s="808">
        <f t="shared" si="347"/>
        <v>-178.79999999999998</v>
      </c>
      <c r="S52" s="809">
        <f t="shared" si="347"/>
        <v>-137.89999999999992</v>
      </c>
      <c r="T52" s="807">
        <f t="shared" si="347"/>
        <v>-62.600000000000023</v>
      </c>
      <c r="U52" s="808">
        <f t="shared" si="347"/>
        <v>51.299999999999926</v>
      </c>
      <c r="V52" s="808">
        <f t="shared" si="347"/>
        <v>-27.799999999999983</v>
      </c>
      <c r="W52" s="809">
        <f t="shared" si="347"/>
        <v>-7.8999999999999773</v>
      </c>
      <c r="X52" s="807">
        <f t="shared" si="347"/>
        <v>559.80000000000007</v>
      </c>
      <c r="Y52" s="808">
        <f t="shared" si="347"/>
        <v>272.09999999999991</v>
      </c>
      <c r="Z52" s="808">
        <f t="shared" si="347"/>
        <v>443.09999999999991</v>
      </c>
      <c r="AA52" s="809">
        <f t="shared" si="347"/>
        <v>1117.7000000000003</v>
      </c>
      <c r="AB52" s="807">
        <f t="shared" si="347"/>
        <v>520.29999999999984</v>
      </c>
      <c r="AC52" s="808">
        <f t="shared" si="347"/>
        <v>-40.999999999999943</v>
      </c>
      <c r="AD52" s="808">
        <f t="shared" si="347"/>
        <v>-527.19999999999993</v>
      </c>
      <c r="AE52" s="809">
        <f t="shared" si="347"/>
        <v>-928.59999999999923</v>
      </c>
      <c r="AF52" s="807">
        <f t="shared" si="347"/>
        <v>-452</v>
      </c>
      <c r="AG52" s="808">
        <f t="shared" si="347"/>
        <v>-59</v>
      </c>
      <c r="AH52" s="808">
        <f t="shared" si="347"/>
        <v>-46.699999999999989</v>
      </c>
      <c r="AI52" s="809">
        <f t="shared" si="347"/>
        <v>-467.6</v>
      </c>
      <c r="AJ52" s="807">
        <f t="shared" ref="AJ52:BO52" si="348">AJ17-AJ48</f>
        <v>-296.59999999999997</v>
      </c>
      <c r="AK52" s="808">
        <f t="shared" si="348"/>
        <v>-600.59999999999991</v>
      </c>
      <c r="AL52" s="808">
        <f t="shared" si="348"/>
        <v>-183.7</v>
      </c>
      <c r="AM52" s="809">
        <f t="shared" si="348"/>
        <v>-105.60000000000002</v>
      </c>
      <c r="AN52" s="807">
        <f t="shared" si="348"/>
        <v>21.699999999999989</v>
      </c>
      <c r="AO52" s="808">
        <f t="shared" si="348"/>
        <v>-7.0999999999999375</v>
      </c>
      <c r="AP52" s="808">
        <f t="shared" si="348"/>
        <v>109.69999999999999</v>
      </c>
      <c r="AQ52" s="809">
        <f t="shared" si="348"/>
        <v>125.40000000000003</v>
      </c>
      <c r="AR52" s="807">
        <f t="shared" si="348"/>
        <v>174.9</v>
      </c>
      <c r="AS52" s="808">
        <f t="shared" si="348"/>
        <v>126.40000000000009</v>
      </c>
      <c r="AT52" s="808">
        <f t="shared" si="348"/>
        <v>-130.09999999999997</v>
      </c>
      <c r="AU52" s="809">
        <f t="shared" si="348"/>
        <v>46.299999999999926</v>
      </c>
      <c r="AV52" s="807">
        <f t="shared" si="348"/>
        <v>62.399999999999892</v>
      </c>
      <c r="AW52" s="808">
        <f t="shared" si="348"/>
        <v>187.19999999999993</v>
      </c>
      <c r="AX52" s="808">
        <f t="shared" si="348"/>
        <v>47.399999999999977</v>
      </c>
      <c r="AY52" s="809">
        <f t="shared" si="348"/>
        <v>53.300000000000011</v>
      </c>
      <c r="AZ52" s="807">
        <f t="shared" si="348"/>
        <v>110</v>
      </c>
      <c r="BA52" s="808">
        <f t="shared" si="348"/>
        <v>-34</v>
      </c>
      <c r="BB52" s="808">
        <f t="shared" si="348"/>
        <v>-195</v>
      </c>
      <c r="BC52" s="809">
        <f t="shared" si="348"/>
        <v>-142</v>
      </c>
      <c r="BD52" s="807">
        <f t="shared" si="348"/>
        <v>-247</v>
      </c>
      <c r="BE52" s="808">
        <f t="shared" si="348"/>
        <v>-309</v>
      </c>
      <c r="BF52" s="808">
        <f t="shared" si="348"/>
        <v>-225</v>
      </c>
      <c r="BG52" s="809">
        <f t="shared" si="348"/>
        <v>-338</v>
      </c>
      <c r="BH52" s="807">
        <f t="shared" si="348"/>
        <v>-672</v>
      </c>
      <c r="BI52" s="808">
        <f t="shared" si="348"/>
        <v>-650</v>
      </c>
      <c r="BJ52" s="808">
        <f t="shared" si="348"/>
        <v>-246</v>
      </c>
      <c r="BK52" s="809">
        <f t="shared" si="348"/>
        <v>-49</v>
      </c>
      <c r="BL52" s="807">
        <f t="shared" si="348"/>
        <v>201</v>
      </c>
      <c r="BM52" s="808">
        <f t="shared" si="348"/>
        <v>415</v>
      </c>
      <c r="BN52" s="808">
        <f t="shared" si="348"/>
        <v>540</v>
      </c>
      <c r="BO52" s="809">
        <f t="shared" si="348"/>
        <v>433</v>
      </c>
      <c r="BP52" s="807">
        <f t="shared" ref="BP52:CI52" si="349">BP17-BP48</f>
        <v>390</v>
      </c>
      <c r="BQ52" s="808">
        <f t="shared" si="349"/>
        <v>179</v>
      </c>
      <c r="BR52" s="808">
        <f t="shared" si="349"/>
        <v>237</v>
      </c>
      <c r="BS52" s="809">
        <f t="shared" si="349"/>
        <v>-51</v>
      </c>
      <c r="BT52" s="807">
        <f t="shared" si="349"/>
        <v>-82</v>
      </c>
      <c r="BU52" s="808">
        <f t="shared" si="349"/>
        <v>-205</v>
      </c>
      <c r="BV52" s="808">
        <f t="shared" si="349"/>
        <v>-191</v>
      </c>
      <c r="BW52" s="809">
        <f t="shared" si="349"/>
        <v>-140</v>
      </c>
      <c r="BX52" s="807">
        <f t="shared" si="349"/>
        <v>-157</v>
      </c>
      <c r="BY52" s="808">
        <f t="shared" si="349"/>
        <v>-23</v>
      </c>
      <c r="BZ52" s="808">
        <f t="shared" si="349"/>
        <v>149</v>
      </c>
      <c r="CA52" s="809">
        <f t="shared" si="349"/>
        <v>207</v>
      </c>
      <c r="CB52" s="807">
        <f t="shared" si="349"/>
        <v>551</v>
      </c>
      <c r="CC52" s="808">
        <f t="shared" si="349"/>
        <v>869</v>
      </c>
      <c r="CD52" s="808">
        <f>CD17-CD48</f>
        <v>839</v>
      </c>
      <c r="CE52" s="809">
        <f>CE17-CE48</f>
        <v>828</v>
      </c>
      <c r="CF52" s="807">
        <f>CF17-CF48</f>
        <v>1085</v>
      </c>
      <c r="CG52" s="808">
        <f t="shared" si="349"/>
        <v>855</v>
      </c>
      <c r="CH52" s="808">
        <f t="shared" si="349"/>
        <v>631</v>
      </c>
      <c r="CI52" s="809">
        <f t="shared" si="349"/>
        <v>427</v>
      </c>
      <c r="CJ52" s="807">
        <f>CJ17-CJ48</f>
        <v>232</v>
      </c>
      <c r="CK52" s="808">
        <f t="shared" ref="CK52:CM52" si="350">CK17-CK48</f>
        <v>-5</v>
      </c>
      <c r="CL52" s="808">
        <f t="shared" si="350"/>
        <v>-27</v>
      </c>
      <c r="CM52" s="809">
        <f t="shared" si="350"/>
        <v>-32</v>
      </c>
      <c r="CN52" s="807">
        <f>CN17-CN48</f>
        <v>359</v>
      </c>
      <c r="CO52" s="808">
        <f t="shared" ref="CO52:CQ52" si="351">CO17-CO48</f>
        <v>1044</v>
      </c>
      <c r="CP52" s="808">
        <f t="shared" si="351"/>
        <v>1963</v>
      </c>
      <c r="CQ52" s="809">
        <f t="shared" si="351"/>
        <v>2502</v>
      </c>
      <c r="CR52" s="807">
        <f>CR17-CR48</f>
        <v>3097</v>
      </c>
      <c r="CS52" s="808">
        <f t="shared" ref="CS52" si="352">CS17-CS48</f>
        <v>3560</v>
      </c>
      <c r="CT52" s="808">
        <f t="shared" ref="CT52:CU52" si="353">CT17-CT48</f>
        <v>3698.9683388944904</v>
      </c>
      <c r="CU52" s="809">
        <f t="shared" si="353"/>
        <v>3640.6937506253917</v>
      </c>
      <c r="CV52" s="807">
        <f t="shared" ref="CV52:CY52" si="354">CV17-CV48</f>
        <v>3174.302741376348</v>
      </c>
      <c r="CW52" s="808">
        <f t="shared" si="354"/>
        <v>2667.4150225051444</v>
      </c>
      <c r="CX52" s="808">
        <f t="shared" si="354"/>
        <v>2175.5363415952124</v>
      </c>
      <c r="CY52" s="809">
        <f t="shared" si="354"/>
        <v>1916.5902583424554</v>
      </c>
      <c r="CZ52" s="807">
        <f t="shared" ref="CZ52:DC52" si="355">CZ17-CZ48</f>
        <v>1718.3874494957108</v>
      </c>
      <c r="DA52" s="808">
        <f t="shared" si="355"/>
        <v>1567.0143801066833</v>
      </c>
      <c r="DB52" s="808">
        <f t="shared" si="355"/>
        <v>1497.2584885223869</v>
      </c>
      <c r="DC52" s="809">
        <f t="shared" si="355"/>
        <v>1451.9081043710312</v>
      </c>
      <c r="DD52" s="743"/>
      <c r="DE52" s="810">
        <f t="shared" ref="DE52:EB52" si="356">DE17-DE48</f>
        <v>1325.4999999999998</v>
      </c>
      <c r="DF52" s="810">
        <f t="shared" si="356"/>
        <v>941</v>
      </c>
      <c r="DG52" s="810">
        <f t="shared" si="356"/>
        <v>411.60000000000014</v>
      </c>
      <c r="DH52" s="810">
        <f t="shared" si="356"/>
        <v>-516.39999999999986</v>
      </c>
      <c r="DI52" s="810">
        <f t="shared" si="356"/>
        <v>-47.000000000000455</v>
      </c>
      <c r="DJ52" s="810">
        <f t="shared" si="356"/>
        <v>2392.7000000000003</v>
      </c>
      <c r="DK52" s="810">
        <f t="shared" si="356"/>
        <v>-976.49999999999886</v>
      </c>
      <c r="DL52" s="810">
        <f t="shared" si="356"/>
        <v>-1025.3000000000002</v>
      </c>
      <c r="DM52" s="810">
        <f t="shared" si="356"/>
        <v>-1186.4999999999998</v>
      </c>
      <c r="DN52" s="810">
        <f t="shared" si="356"/>
        <v>249.69999999999982</v>
      </c>
      <c r="DO52" s="810">
        <f t="shared" si="356"/>
        <v>217.50000000000023</v>
      </c>
      <c r="DP52" s="808">
        <f t="shared" si="356"/>
        <v>350.2999999999995</v>
      </c>
      <c r="DQ52" s="808">
        <f t="shared" si="356"/>
        <v>-261</v>
      </c>
      <c r="DR52" s="808">
        <f t="shared" si="356"/>
        <v>-1119</v>
      </c>
      <c r="DS52" s="808">
        <f t="shared" si="356"/>
        <v>-1617</v>
      </c>
      <c r="DT52" s="808">
        <f t="shared" si="356"/>
        <v>1589</v>
      </c>
      <c r="DU52" s="808">
        <f t="shared" si="356"/>
        <v>755</v>
      </c>
      <c r="DV52" s="808">
        <f t="shared" si="356"/>
        <v>-618</v>
      </c>
      <c r="DW52" s="808">
        <f t="shared" si="356"/>
        <v>176</v>
      </c>
      <c r="DX52" s="808">
        <f t="shared" si="356"/>
        <v>3087</v>
      </c>
      <c r="DY52" s="808">
        <f t="shared" si="356"/>
        <v>2998</v>
      </c>
      <c r="DZ52" s="808">
        <f t="shared" si="356"/>
        <v>168</v>
      </c>
      <c r="EA52" s="808">
        <f>EA17-EA48</f>
        <v>5868</v>
      </c>
      <c r="EB52" s="808">
        <f t="shared" si="356"/>
        <v>13996.662089519879</v>
      </c>
      <c r="EC52" s="809">
        <f t="shared" ref="EC52:ED52" si="357">EC17-EC48</f>
        <v>9933.8443638191602</v>
      </c>
      <c r="ED52" s="809">
        <f t="shared" si="357"/>
        <v>6234.5684224958059</v>
      </c>
      <c r="EE52" s="1364"/>
      <c r="EF52" s="45">
        <f t="shared" ref="EF52:EY52" si="358">EF17-EF48</f>
        <v>1608.6</v>
      </c>
      <c r="EG52" s="46">
        <f t="shared" si="358"/>
        <v>454.00000000000011</v>
      </c>
      <c r="EH52" s="46">
        <f t="shared" si="358"/>
        <v>382.59999999999968</v>
      </c>
      <c r="EI52" s="46">
        <f t="shared" si="358"/>
        <v>-591.40000000000009</v>
      </c>
      <c r="EJ52" s="46">
        <f t="shared" si="358"/>
        <v>575.39999999999952</v>
      </c>
      <c r="EK52" s="46">
        <f t="shared" si="358"/>
        <v>2353.1999999999994</v>
      </c>
      <c r="EL52" s="46">
        <f t="shared" si="358"/>
        <v>-1948.7999999999993</v>
      </c>
      <c r="EM52" s="46">
        <f t="shared" si="358"/>
        <v>-869.90000000000055</v>
      </c>
      <c r="EN52" s="46">
        <f t="shared" si="358"/>
        <v>-868.2000000000005</v>
      </c>
      <c r="EO52" s="46">
        <f t="shared" si="358"/>
        <v>402.90000000000077</v>
      </c>
      <c r="EP52" s="357">
        <f t="shared" si="358"/>
        <v>105.00000000000068</v>
      </c>
      <c r="EQ52" s="357">
        <f t="shared" si="358"/>
        <v>397.90000000000111</v>
      </c>
      <c r="ER52" s="357">
        <f t="shared" si="358"/>
        <v>-618</v>
      </c>
      <c r="ES52" s="357">
        <f t="shared" si="358"/>
        <v>-1544</v>
      </c>
      <c r="ET52" s="357">
        <f t="shared" si="358"/>
        <v>-744</v>
      </c>
      <c r="EU52" s="357">
        <f t="shared" si="358"/>
        <v>1778</v>
      </c>
      <c r="EV52" s="357">
        <f t="shared" si="358"/>
        <v>283</v>
      </c>
      <c r="EW52" s="357">
        <f t="shared" si="358"/>
        <v>-693</v>
      </c>
      <c r="EX52" s="357">
        <f t="shared" si="358"/>
        <v>884</v>
      </c>
      <c r="EY52" s="357">
        <f t="shared" si="358"/>
        <v>3621</v>
      </c>
      <c r="EZ52" s="357">
        <f t="shared" ref="EZ52:FA52" si="359">EZ17-EZ48</f>
        <v>2145</v>
      </c>
      <c r="FA52" s="357">
        <f t="shared" si="359"/>
        <v>295</v>
      </c>
      <c r="FB52" s="357">
        <f t="shared" ref="FB52:FC52" si="360">FB17-FB48</f>
        <v>8606</v>
      </c>
      <c r="FC52" s="357">
        <f t="shared" si="360"/>
        <v>14073.964830896228</v>
      </c>
      <c r="FD52" s="357">
        <f t="shared" ref="FD52" si="361">FD17-FD48</f>
        <v>8477.9290719385208</v>
      </c>
      <c r="FE52" s="308"/>
      <c r="FF52" s="300"/>
      <c r="FG52" s="300"/>
      <c r="FH52" s="300"/>
      <c r="FO52" s="7"/>
    </row>
    <row r="53" spans="1:171" ht="14.25" hidden="1" customHeight="1" outlineLevel="1">
      <c r="A53" s="7"/>
      <c r="B53" s="548" t="s">
        <v>193</v>
      </c>
      <c r="C53" s="31"/>
      <c r="D53" s="34">
        <f t="shared" ref="D53:AI53" si="362">D52/D7</f>
        <v>0.45850467289719626</v>
      </c>
      <c r="E53" s="1209">
        <f t="shared" si="362"/>
        <v>0.46634844868735087</v>
      </c>
      <c r="F53" s="1209">
        <f t="shared" si="362"/>
        <v>0.45323173935890704</v>
      </c>
      <c r="G53" s="33">
        <f t="shared" si="362"/>
        <v>0.43005836575875489</v>
      </c>
      <c r="H53" s="34">
        <f t="shared" si="362"/>
        <v>0.44560634171023772</v>
      </c>
      <c r="I53" s="1209">
        <f t="shared" si="362"/>
        <v>0.29212242849974907</v>
      </c>
      <c r="J53" s="1209">
        <f t="shared" si="362"/>
        <v>0.12736705577172502</v>
      </c>
      <c r="K53" s="33">
        <f t="shared" si="362"/>
        <v>3.3261955745895702E-2</v>
      </c>
      <c r="L53" s="34">
        <f t="shared" si="362"/>
        <v>5.6860321384425282E-2</v>
      </c>
      <c r="M53" s="1209">
        <f t="shared" si="362"/>
        <v>8.7879479570874289E-2</v>
      </c>
      <c r="N53" s="1209">
        <f t="shared" si="362"/>
        <v>0.17512953367875647</v>
      </c>
      <c r="O53" s="33">
        <f t="shared" si="362"/>
        <v>0.13126188966391894</v>
      </c>
      <c r="P53" s="34">
        <f t="shared" si="362"/>
        <v>1.2953097252689803E-2</v>
      </c>
      <c r="Q53" s="1209">
        <f t="shared" si="362"/>
        <v>-0.27790880503144644</v>
      </c>
      <c r="R53" s="1209">
        <f t="shared" si="362"/>
        <v>-0.29182307817855391</v>
      </c>
      <c r="S53" s="33">
        <f t="shared" si="362"/>
        <v>-0.19924866348793516</v>
      </c>
      <c r="T53" s="34">
        <f t="shared" si="362"/>
        <v>-7.8881048387096794E-2</v>
      </c>
      <c r="U53" s="1209">
        <f t="shared" si="362"/>
        <v>5.0009748488984138E-2</v>
      </c>
      <c r="V53" s="1209">
        <f t="shared" si="362"/>
        <v>-3.2183375781430872E-2</v>
      </c>
      <c r="W53" s="33">
        <f t="shared" si="362"/>
        <v>-7.309400444115449E-3</v>
      </c>
      <c r="X53" s="34">
        <f t="shared" si="362"/>
        <v>0.41661085063630277</v>
      </c>
      <c r="Y53" s="1209">
        <f t="shared" si="362"/>
        <v>0.23475109999137256</v>
      </c>
      <c r="Z53" s="1209">
        <f t="shared" si="362"/>
        <v>0.28517183678723124</v>
      </c>
      <c r="AA53" s="33">
        <f t="shared" si="362"/>
        <v>0.484734148668575</v>
      </c>
      <c r="AB53" s="34">
        <f t="shared" si="362"/>
        <v>0.33106388393993375</v>
      </c>
      <c r="AC53" s="1209">
        <f t="shared" si="362"/>
        <v>-3.8472365581308003E-2</v>
      </c>
      <c r="AD53" s="1209">
        <f t="shared" si="362"/>
        <v>-0.64426249541732861</v>
      </c>
      <c r="AE53" s="33">
        <f t="shared" si="362"/>
        <v>-1.9333749739745951</v>
      </c>
      <c r="AF53" s="34">
        <f t="shared" si="362"/>
        <v>-1.0662892191554612</v>
      </c>
      <c r="AG53" s="1209">
        <f t="shared" si="362"/>
        <v>-9.1345409506115499E-2</v>
      </c>
      <c r="AH53" s="1209">
        <f t="shared" si="362"/>
        <v>-6.0554979253112012E-2</v>
      </c>
      <c r="AI53" s="33">
        <f t="shared" si="362"/>
        <v>-0.62513368983957218</v>
      </c>
      <c r="AJ53" s="34">
        <f t="shared" ref="AJ53:BO53" si="363">AJ52/AJ7</f>
        <v>-0.43292949934316149</v>
      </c>
      <c r="AK53" s="1209">
        <f t="shared" si="363"/>
        <v>-0.76509554140127378</v>
      </c>
      <c r="AL53" s="1209">
        <f t="shared" si="363"/>
        <v>-0.25071652791046811</v>
      </c>
      <c r="AM53" s="33">
        <f t="shared" si="363"/>
        <v>-0.11885199774901523</v>
      </c>
      <c r="AN53" s="34">
        <f t="shared" si="363"/>
        <v>1.9598988439306346E-2</v>
      </c>
      <c r="AO53" s="1209">
        <f t="shared" si="363"/>
        <v>-7.1644803229060925E-3</v>
      </c>
      <c r="AP53" s="1209">
        <f t="shared" si="363"/>
        <v>9.8227077363896839E-2</v>
      </c>
      <c r="AQ53" s="33">
        <f t="shared" si="363"/>
        <v>0.10544904137235118</v>
      </c>
      <c r="AR53" s="34">
        <f t="shared" si="363"/>
        <v>0.13877648179005</v>
      </c>
      <c r="AS53" s="1209">
        <f t="shared" si="363"/>
        <v>9.6643474271733379E-2</v>
      </c>
      <c r="AT53" s="1209">
        <f t="shared" si="363"/>
        <v>-0.12341111743502178</v>
      </c>
      <c r="AU53" s="33">
        <f t="shared" si="363"/>
        <v>3.6810303704881482E-2</v>
      </c>
      <c r="AV53" s="34">
        <f t="shared" si="363"/>
        <v>4.5821706564840574E-2</v>
      </c>
      <c r="AW53" s="1209">
        <f t="shared" si="363"/>
        <v>0.1528163265306122</v>
      </c>
      <c r="AX53" s="1209">
        <f t="shared" si="363"/>
        <v>3.611978968223728E-2</v>
      </c>
      <c r="AY53" s="33">
        <f t="shared" si="363"/>
        <v>3.8808795689529642E-2</v>
      </c>
      <c r="AZ53" s="34">
        <f t="shared" si="363"/>
        <v>7.1895424836601302E-2</v>
      </c>
      <c r="BA53" s="1209">
        <f t="shared" si="363"/>
        <v>-2.3826208829712685E-2</v>
      </c>
      <c r="BB53" s="1209">
        <f t="shared" si="363"/>
        <v>-0.15069551777434312</v>
      </c>
      <c r="BC53" s="33">
        <f t="shared" si="363"/>
        <v>-9.8816979819067507E-2</v>
      </c>
      <c r="BD53" s="34">
        <f t="shared" si="363"/>
        <v>-0.16091205211726384</v>
      </c>
      <c r="BE53" s="1209">
        <f t="shared" si="363"/>
        <v>-0.22737306843267108</v>
      </c>
      <c r="BF53" s="1209">
        <f t="shared" si="363"/>
        <v>-0.15020026702269693</v>
      </c>
      <c r="BG53" s="33">
        <f t="shared" si="363"/>
        <v>-0.23326432022084195</v>
      </c>
      <c r="BH53" s="34">
        <f t="shared" si="363"/>
        <v>-0.47931526390870183</v>
      </c>
      <c r="BI53" s="1209">
        <f t="shared" si="363"/>
        <v>-0.65458207452165151</v>
      </c>
      <c r="BJ53" s="1209">
        <f t="shared" si="363"/>
        <v>-0.22242314647377939</v>
      </c>
      <c r="BK53" s="33">
        <f t="shared" si="363"/>
        <v>-3.7634408602150539E-2</v>
      </c>
      <c r="BL53" s="34">
        <f t="shared" si="363"/>
        <v>0.11551724137931034</v>
      </c>
      <c r="BM53" s="1209">
        <f t="shared" si="363"/>
        <v>0.21162672106068334</v>
      </c>
      <c r="BN53" s="1209">
        <f t="shared" si="363"/>
        <v>0.23601398601398602</v>
      </c>
      <c r="BO53" s="33">
        <f t="shared" si="363"/>
        <v>0.17368632170076215</v>
      </c>
      <c r="BP53" s="34">
        <f t="shared" ref="BP53:CI53" si="364">BP52/BP7</f>
        <v>0.17317939609236235</v>
      </c>
      <c r="BQ53" s="1209">
        <f t="shared" si="364"/>
        <v>7.9308817013735045E-2</v>
      </c>
      <c r="BR53" s="1209">
        <f t="shared" si="364"/>
        <v>0.11079943899018233</v>
      </c>
      <c r="BS53" s="33">
        <f t="shared" si="364"/>
        <v>-2.3831775700934581E-2</v>
      </c>
      <c r="BT53" s="34">
        <f t="shared" si="364"/>
        <v>-3.9234449760765552E-2</v>
      </c>
      <c r="BU53" s="1209">
        <f t="shared" si="364"/>
        <v>-0.10204081632653061</v>
      </c>
      <c r="BV53" s="1209">
        <f t="shared" si="364"/>
        <v>-8.7937384898710863E-2</v>
      </c>
      <c r="BW53" s="33">
        <f t="shared" si="364"/>
        <v>-7.1319409067753442E-2</v>
      </c>
      <c r="BX53" s="34">
        <f t="shared" si="364"/>
        <v>-8.5605234460196286E-2</v>
      </c>
      <c r="BY53" s="32">
        <f t="shared" si="364"/>
        <v>-1.1068334937439845E-2</v>
      </c>
      <c r="BZ53" s="32">
        <f t="shared" si="364"/>
        <v>6.4279551337359797E-2</v>
      </c>
      <c r="CA53" s="33">
        <f t="shared" si="364"/>
        <v>7.2810411537108682E-2</v>
      </c>
      <c r="CB53" s="34">
        <f t="shared" si="364"/>
        <v>0.13631865413161801</v>
      </c>
      <c r="CC53" s="32">
        <f t="shared" si="364"/>
        <v>0.21158996834672511</v>
      </c>
      <c r="CD53" s="32">
        <f>CD52/CD7</f>
        <v>0.21069814163736816</v>
      </c>
      <c r="CE53" s="33">
        <f>CE52/CE7</f>
        <v>0.19588360539389638</v>
      </c>
      <c r="CF53" s="34">
        <f t="shared" si="364"/>
        <v>0.23726219112180189</v>
      </c>
      <c r="CG53" s="32">
        <f t="shared" si="364"/>
        <v>0.20523283725396063</v>
      </c>
      <c r="CH53" s="32">
        <f t="shared" si="364"/>
        <v>0.16376849208409031</v>
      </c>
      <c r="CI53" s="33">
        <f t="shared" si="364"/>
        <v>0.11861111111111111</v>
      </c>
      <c r="CJ53" s="34">
        <f t="shared" ref="CJ53:CM53" si="365">CJ52/CJ7</f>
        <v>6.9253731343283581E-2</v>
      </c>
      <c r="CK53" s="32">
        <f t="shared" si="365"/>
        <v>-1.7041581458759373E-3</v>
      </c>
      <c r="CL53" s="32">
        <f t="shared" si="365"/>
        <v>-9.316770186335404E-3</v>
      </c>
      <c r="CM53" s="33">
        <f t="shared" si="365"/>
        <v>-9.9471557351569779E-3</v>
      </c>
      <c r="CN53" s="34">
        <f t="shared" ref="CN53:CQ53" si="366">CN52/CN7</f>
        <v>9.0428211586901758E-2</v>
      </c>
      <c r="CO53" s="1209">
        <f t="shared" si="366"/>
        <v>0.22461273666092943</v>
      </c>
      <c r="CP53" s="1209">
        <f t="shared" si="366"/>
        <v>0.35267696730147324</v>
      </c>
      <c r="CQ53" s="33">
        <f t="shared" si="366"/>
        <v>0.40762463343108507</v>
      </c>
      <c r="CR53" s="34">
        <f t="shared" ref="CR53:CS53" si="367">CR52/CR7</f>
        <v>0.455240335146259</v>
      </c>
      <c r="CS53" s="1209">
        <f t="shared" si="367"/>
        <v>0.48428785199292612</v>
      </c>
      <c r="CT53" s="32">
        <f t="shared" ref="CT53:CU53" si="368">CT52/CT7</f>
        <v>0.4863691639700668</v>
      </c>
      <c r="CU53" s="33">
        <f t="shared" si="368"/>
        <v>0.47406409322693693</v>
      </c>
      <c r="CV53" s="34">
        <f t="shared" ref="CV53:CY53" si="369">CV52/CV7</f>
        <v>0.42618008692623288</v>
      </c>
      <c r="CW53" s="1209">
        <f t="shared" si="369"/>
        <v>0.39313414298071753</v>
      </c>
      <c r="CX53" s="1209">
        <f t="shared" si="369"/>
        <v>0.32669308788117307</v>
      </c>
      <c r="CY53" s="33">
        <f t="shared" si="369"/>
        <v>0.28713835944014876</v>
      </c>
      <c r="CZ53" s="34">
        <f t="shared" ref="CZ53:DC53" si="370">CZ52/CZ7</f>
        <v>0.26166708034977121</v>
      </c>
      <c r="DA53" s="1209">
        <f t="shared" si="370"/>
        <v>0.23892855724205628</v>
      </c>
      <c r="DB53" s="1209">
        <f t="shared" si="370"/>
        <v>0.22730611037768533</v>
      </c>
      <c r="DC53" s="33">
        <f t="shared" si="370"/>
        <v>0.21769289204919365</v>
      </c>
      <c r="DD53" s="18"/>
      <c r="DE53" s="353">
        <f t="shared" ref="DE53:EB53" si="371">DE52/DE7</f>
        <v>0.44891116605141052</v>
      </c>
      <c r="DF53" s="353">
        <f t="shared" si="371"/>
        <v>0.25754009524330834</v>
      </c>
      <c r="DG53" s="353">
        <f t="shared" si="371"/>
        <v>0.11708149623097713</v>
      </c>
      <c r="DH53" s="353">
        <f t="shared" si="371"/>
        <v>-0.17069381548937293</v>
      </c>
      <c r="DI53" s="353">
        <f t="shared" si="371"/>
        <v>-1.2486716259298739E-2</v>
      </c>
      <c r="DJ53" s="353">
        <f t="shared" si="371"/>
        <v>0.37606877907707786</v>
      </c>
      <c r="DK53" s="353">
        <f t="shared" si="371"/>
        <v>-0.24810081556950089</v>
      </c>
      <c r="DL53" s="353">
        <f t="shared" si="371"/>
        <v>-0.39602162997296259</v>
      </c>
      <c r="DM53" s="353">
        <f t="shared" si="371"/>
        <v>-0.38381910523080892</v>
      </c>
      <c r="DN53" s="353">
        <f t="shared" si="371"/>
        <v>5.6695881204304945E-2</v>
      </c>
      <c r="DO53" s="353">
        <f t="shared" si="371"/>
        <v>4.4567845580099227E-2</v>
      </c>
      <c r="DP53" s="32">
        <f t="shared" si="371"/>
        <v>6.6439070649596865E-2</v>
      </c>
      <c r="DQ53" s="32">
        <f t="shared" si="371"/>
        <v>-4.588607594936709E-2</v>
      </c>
      <c r="DR53" s="32">
        <f t="shared" si="371"/>
        <v>-0.19157678479712378</v>
      </c>
      <c r="DS53" s="32">
        <f t="shared" si="371"/>
        <v>-0.33666458463460336</v>
      </c>
      <c r="DT53" s="1209">
        <f t="shared" si="371"/>
        <v>0.18733789200660222</v>
      </c>
      <c r="DU53" s="1209">
        <f t="shared" si="371"/>
        <v>8.5912608101957208E-2</v>
      </c>
      <c r="DV53" s="1209">
        <f t="shared" si="371"/>
        <v>-7.5054651445227105E-2</v>
      </c>
      <c r="DW53" s="1209">
        <f t="shared" si="371"/>
        <v>1.9398214482530585E-2</v>
      </c>
      <c r="DX53" s="1209">
        <f t="shared" si="371"/>
        <v>0.18871500183396503</v>
      </c>
      <c r="DY53" s="1209">
        <f>DY52/DY7</f>
        <v>0.18515316205533597</v>
      </c>
      <c r="DZ53" s="1209">
        <f t="shared" si="371"/>
        <v>1.3549479796757804E-2</v>
      </c>
      <c r="EA53" s="1209">
        <f t="shared" si="371"/>
        <v>0.28875110717449071</v>
      </c>
      <c r="EB53" s="1209">
        <f t="shared" si="371"/>
        <v>0.47544593946805824</v>
      </c>
      <c r="EC53" s="33">
        <f t="shared" ref="EC53:ED53" si="372">EC52/EC7</f>
        <v>0.36034844832731489</v>
      </c>
      <c r="ED53" s="33">
        <f t="shared" si="372"/>
        <v>0.23631834176910368</v>
      </c>
      <c r="EE53" s="1364"/>
      <c r="EF53" s="34">
        <f t="shared" ref="EF53:EY53" si="373">EF52/EF7</f>
        <v>0.44639933398085191</v>
      </c>
      <c r="EG53" s="32">
        <f t="shared" si="373"/>
        <v>0.14204812114764873</v>
      </c>
      <c r="EH53" s="32">
        <f t="shared" si="373"/>
        <v>0.10217106844339993</v>
      </c>
      <c r="EI53" s="32">
        <f t="shared" si="373"/>
        <v>-0.20666759854626787</v>
      </c>
      <c r="EJ53" s="32">
        <f t="shared" si="373"/>
        <v>0.13337660230407261</v>
      </c>
      <c r="EK53" s="32">
        <f t="shared" si="373"/>
        <v>0.35707023959455558</v>
      </c>
      <c r="EL53" s="32">
        <f t="shared" si="373"/>
        <v>-0.69894555627286381</v>
      </c>
      <c r="EM53" s="32">
        <f t="shared" si="373"/>
        <v>-0.30520665216476056</v>
      </c>
      <c r="EN53" s="32">
        <f t="shared" si="373"/>
        <v>-0.24711106051118592</v>
      </c>
      <c r="EO53" s="32">
        <f t="shared" si="373"/>
        <v>8.8407609768942297E-2</v>
      </c>
      <c r="EP53" s="353">
        <f t="shared" si="373"/>
        <v>2.1077142340968077E-2</v>
      </c>
      <c r="EQ53" s="353">
        <f t="shared" si="373"/>
        <v>7.3133971731578859E-2</v>
      </c>
      <c r="ER53" s="353">
        <f t="shared" si="373"/>
        <v>-0.10855436500966099</v>
      </c>
      <c r="ES53" s="353">
        <f t="shared" si="373"/>
        <v>-0.27049754730203224</v>
      </c>
      <c r="ET53" s="353">
        <f t="shared" si="373"/>
        <v>-0.14471892627893407</v>
      </c>
      <c r="EU53" s="353">
        <f t="shared" si="373"/>
        <v>0.19768734712030242</v>
      </c>
      <c r="EV53" s="353">
        <f t="shared" si="373"/>
        <v>3.2807790401112917E-2</v>
      </c>
      <c r="EW53" s="353">
        <f t="shared" si="373"/>
        <v>-8.6863875658059669E-2</v>
      </c>
      <c r="EX53" s="353">
        <f t="shared" si="373"/>
        <v>7.8361847353957986E-2</v>
      </c>
      <c r="EY53" s="353">
        <f t="shared" si="373"/>
        <v>0.21439990526378117</v>
      </c>
      <c r="EZ53" s="353">
        <f t="shared" ref="EZ53:FA53" si="374">EZ52/EZ7</f>
        <v>0.14329614536709198</v>
      </c>
      <c r="FA53" s="353">
        <f t="shared" si="374"/>
        <v>2.2659190414010294E-2</v>
      </c>
      <c r="FB53" s="353">
        <f t="shared" ref="FB53:FC53" si="375">FB52/FB7</f>
        <v>0.37166918592096737</v>
      </c>
      <c r="FC53" s="353">
        <f t="shared" si="375"/>
        <v>0.46781782211915196</v>
      </c>
      <c r="FD53" s="353">
        <f t="shared" ref="FD53" si="376">FD52/FD7</f>
        <v>0.3176903638103083</v>
      </c>
      <c r="FE53" s="308"/>
      <c r="FF53" s="300"/>
      <c r="FG53" s="300"/>
      <c r="FH53" s="300"/>
      <c r="FO53" s="7"/>
    </row>
    <row r="54" spans="1:171" ht="14.25" hidden="1" customHeight="1" outlineLevel="1" collapsed="1">
      <c r="A54" s="7"/>
      <c r="B54" s="543"/>
      <c r="C54" s="31"/>
      <c r="D54" s="34"/>
      <c r="E54" s="1209"/>
      <c r="F54" s="1209"/>
      <c r="G54" s="33"/>
      <c r="H54" s="34"/>
      <c r="I54" s="1209"/>
      <c r="J54" s="1209"/>
      <c r="K54" s="33"/>
      <c r="L54" s="34"/>
      <c r="M54" s="1209"/>
      <c r="N54" s="1209"/>
      <c r="O54" s="33"/>
      <c r="P54" s="34"/>
      <c r="Q54" s="1209"/>
      <c r="R54" s="1209"/>
      <c r="S54" s="33"/>
      <c r="T54" s="34"/>
      <c r="U54" s="1209"/>
      <c r="V54" s="1209"/>
      <c r="W54" s="33"/>
      <c r="X54" s="34"/>
      <c r="Y54" s="1209"/>
      <c r="Z54" s="1209"/>
      <c r="AA54" s="33"/>
      <c r="AB54" s="34"/>
      <c r="AC54" s="1209"/>
      <c r="AD54" s="1209"/>
      <c r="AE54" s="33"/>
      <c r="AF54" s="34"/>
      <c r="AG54" s="1209"/>
      <c r="AH54" s="1209"/>
      <c r="AI54" s="33"/>
      <c r="AJ54" s="34"/>
      <c r="AK54" s="1209"/>
      <c r="AL54" s="1209"/>
      <c r="AM54" s="33"/>
      <c r="AN54" s="34"/>
      <c r="AO54" s="1209"/>
      <c r="AP54" s="1209"/>
      <c r="AQ54" s="33"/>
      <c r="AR54" s="34"/>
      <c r="AS54" s="1209"/>
      <c r="AT54" s="1209"/>
      <c r="AU54" s="33"/>
      <c r="AV54" s="34"/>
      <c r="AW54" s="1209"/>
      <c r="AX54" s="1209"/>
      <c r="AY54" s="33"/>
      <c r="AZ54" s="34"/>
      <c r="BA54" s="1209"/>
      <c r="BB54" s="1209"/>
      <c r="BC54" s="33"/>
      <c r="BD54" s="34"/>
      <c r="BE54" s="1209"/>
      <c r="BF54" s="1209"/>
      <c r="BG54" s="33"/>
      <c r="BH54" s="34"/>
      <c r="BI54" s="1209"/>
      <c r="BJ54" s="1209"/>
      <c r="BK54" s="33"/>
      <c r="BL54" s="34"/>
      <c r="BM54" s="1209"/>
      <c r="BN54" s="1209"/>
      <c r="BO54" s="33"/>
      <c r="BP54" s="34"/>
      <c r="BQ54" s="1209"/>
      <c r="BR54" s="1209"/>
      <c r="BS54" s="33"/>
      <c r="BT54" s="34"/>
      <c r="BU54" s="1209"/>
      <c r="BV54" s="1209"/>
      <c r="BW54" s="33"/>
      <c r="BX54" s="34"/>
      <c r="BY54" s="32"/>
      <c r="BZ54" s="32"/>
      <c r="CA54" s="33"/>
      <c r="CB54" s="34"/>
      <c r="CC54" s="32"/>
      <c r="CD54" s="32"/>
      <c r="CE54" s="33"/>
      <c r="CF54" s="34"/>
      <c r="CG54" s="32"/>
      <c r="CH54" s="32"/>
      <c r="CI54" s="33"/>
      <c r="CJ54" s="34"/>
      <c r="CK54" s="32"/>
      <c r="CL54" s="32"/>
      <c r="CM54" s="33"/>
      <c r="CN54" s="34"/>
      <c r="CO54" s="1209"/>
      <c r="CP54" s="1209"/>
      <c r="CQ54" s="33"/>
      <c r="CR54" s="34"/>
      <c r="CS54" s="1209"/>
      <c r="CT54" s="32"/>
      <c r="CU54" s="33"/>
      <c r="CV54" s="34"/>
      <c r="CW54" s="1209"/>
      <c r="CX54" s="1209"/>
      <c r="CY54" s="33"/>
      <c r="CZ54" s="34"/>
      <c r="DA54" s="1209"/>
      <c r="DB54" s="1209"/>
      <c r="DC54" s="33"/>
      <c r="DD54" s="18"/>
      <c r="DE54" s="353"/>
      <c r="DF54" s="353"/>
      <c r="DG54" s="353"/>
      <c r="DH54" s="353"/>
      <c r="DI54" s="353"/>
      <c r="DJ54" s="353"/>
      <c r="DK54" s="353"/>
      <c r="DL54" s="353"/>
      <c r="DM54" s="353"/>
      <c r="DN54" s="353"/>
      <c r="DO54" s="353"/>
      <c r="DP54" s="32"/>
      <c r="DQ54" s="32"/>
      <c r="DR54" s="32"/>
      <c r="DS54" s="32"/>
      <c r="DT54" s="1209"/>
      <c r="DU54" s="1209"/>
      <c r="DV54" s="1209"/>
      <c r="DW54" s="1209"/>
      <c r="DX54" s="1209"/>
      <c r="DY54" s="1209"/>
      <c r="DZ54" s="1209"/>
      <c r="EA54" s="1209"/>
      <c r="EB54" s="1209"/>
      <c r="EC54" s="33"/>
      <c r="ED54" s="33"/>
      <c r="EE54" s="1364"/>
      <c r="EF54" s="34"/>
      <c r="EG54" s="32"/>
      <c r="EH54" s="32"/>
      <c r="EI54" s="32"/>
      <c r="EJ54" s="32"/>
      <c r="EK54" s="32"/>
      <c r="EL54" s="32"/>
      <c r="EM54" s="32"/>
      <c r="EN54" s="32"/>
      <c r="EO54" s="32"/>
      <c r="EP54" s="353"/>
      <c r="EQ54" s="353"/>
      <c r="ER54" s="353"/>
      <c r="ES54" s="353"/>
      <c r="ET54" s="353"/>
      <c r="EU54" s="353"/>
      <c r="EV54" s="353"/>
      <c r="EW54" s="353"/>
      <c r="EX54" s="353"/>
      <c r="EY54" s="353"/>
      <c r="EZ54" s="353"/>
      <c r="FA54" s="353"/>
      <c r="FB54" s="353"/>
      <c r="FC54" s="353"/>
      <c r="FD54" s="353"/>
      <c r="FE54" s="308"/>
      <c r="FF54" s="300"/>
      <c r="FG54" s="300"/>
      <c r="FH54" s="300"/>
      <c r="FO54" s="7"/>
    </row>
    <row r="55" spans="1:171" ht="14.25" customHeight="1" collapsed="1">
      <c r="A55" s="7"/>
      <c r="B55" s="540" t="s">
        <v>248</v>
      </c>
      <c r="C55" s="31"/>
      <c r="D55" s="807">
        <f t="shared" ref="D55:BO55" si="377">+D19-D49</f>
        <v>245.3</v>
      </c>
      <c r="E55" s="808">
        <f t="shared" si="377"/>
        <v>293.10000000000002</v>
      </c>
      <c r="F55" s="808">
        <f t="shared" si="377"/>
        <v>316.00000000000006</v>
      </c>
      <c r="G55" s="809">
        <f t="shared" si="377"/>
        <v>442.1</v>
      </c>
      <c r="H55" s="807">
        <f t="shared" si="377"/>
        <v>528.39999999999986</v>
      </c>
      <c r="I55" s="808">
        <f t="shared" si="377"/>
        <v>321</v>
      </c>
      <c r="J55" s="808">
        <f t="shared" si="377"/>
        <v>98.199999999999989</v>
      </c>
      <c r="K55" s="809">
        <f t="shared" si="377"/>
        <v>22.999999999999943</v>
      </c>
      <c r="L55" s="807">
        <f t="shared" si="377"/>
        <v>41.400000000000048</v>
      </c>
      <c r="M55" s="808">
        <f t="shared" si="377"/>
        <v>77.000000000000057</v>
      </c>
      <c r="N55" s="808">
        <f t="shared" si="377"/>
        <v>169</v>
      </c>
      <c r="O55" s="809">
        <f t="shared" si="377"/>
        <v>124.2000000000001</v>
      </c>
      <c r="P55" s="807">
        <f t="shared" si="377"/>
        <v>16.999999999999943</v>
      </c>
      <c r="Q55" s="808">
        <f t="shared" si="377"/>
        <v>-187.89999999999995</v>
      </c>
      <c r="R55" s="808">
        <f t="shared" si="377"/>
        <v>-175.39999999999998</v>
      </c>
      <c r="S55" s="809">
        <f t="shared" si="377"/>
        <v>-135.79999999999993</v>
      </c>
      <c r="T55" s="807">
        <f t="shared" si="377"/>
        <v>-54.800000000000011</v>
      </c>
      <c r="U55" s="808">
        <f t="shared" si="377"/>
        <v>69.699999999999932</v>
      </c>
      <c r="V55" s="808">
        <f t="shared" si="377"/>
        <v>-16.699999999999989</v>
      </c>
      <c r="W55" s="809">
        <f t="shared" si="377"/>
        <v>7.3000000000000114</v>
      </c>
      <c r="X55" s="807">
        <f t="shared" si="377"/>
        <v>582.70000000000005</v>
      </c>
      <c r="Y55" s="808">
        <f t="shared" si="377"/>
        <v>281.2999999999999</v>
      </c>
      <c r="Z55" s="808">
        <f t="shared" si="377"/>
        <v>448.79999999999995</v>
      </c>
      <c r="AA55" s="809">
        <f t="shared" si="377"/>
        <v>1069.8000000000002</v>
      </c>
      <c r="AB55" s="807">
        <f t="shared" si="377"/>
        <v>517.09999999999991</v>
      </c>
      <c r="AC55" s="808">
        <f t="shared" si="377"/>
        <v>-39.599999999999937</v>
      </c>
      <c r="AD55" s="808">
        <f t="shared" si="377"/>
        <v>-494.59999999999997</v>
      </c>
      <c r="AE55" s="809">
        <f t="shared" si="377"/>
        <v>-885.79999999999927</v>
      </c>
      <c r="AF55" s="807">
        <f t="shared" si="377"/>
        <v>-447</v>
      </c>
      <c r="AG55" s="808">
        <f t="shared" si="377"/>
        <v>-72.199999999999989</v>
      </c>
      <c r="AH55" s="808">
        <f t="shared" si="377"/>
        <v>-43.399999999999977</v>
      </c>
      <c r="AI55" s="809">
        <f t="shared" si="377"/>
        <v>-441.6</v>
      </c>
      <c r="AJ55" s="807">
        <f t="shared" si="377"/>
        <v>-288.19999999999993</v>
      </c>
      <c r="AK55" s="808">
        <f t="shared" si="377"/>
        <v>-482.4</v>
      </c>
      <c r="AL55" s="808">
        <f t="shared" si="377"/>
        <v>-177.89999999999998</v>
      </c>
      <c r="AM55" s="809">
        <f t="shared" si="377"/>
        <v>-78.800000000000011</v>
      </c>
      <c r="AN55" s="807">
        <f t="shared" si="377"/>
        <v>18.399999999999977</v>
      </c>
      <c r="AO55" s="808">
        <f t="shared" si="377"/>
        <v>-21.499999999999943</v>
      </c>
      <c r="AP55" s="808">
        <f t="shared" si="377"/>
        <v>112.19999999999999</v>
      </c>
      <c r="AQ55" s="809">
        <f t="shared" si="377"/>
        <v>118.70000000000005</v>
      </c>
      <c r="AR55" s="807">
        <f t="shared" si="377"/>
        <v>187.8</v>
      </c>
      <c r="AS55" s="808">
        <f t="shared" si="377"/>
        <v>117.7000000000001</v>
      </c>
      <c r="AT55" s="808">
        <f t="shared" si="377"/>
        <v>-155.39999999999998</v>
      </c>
      <c r="AU55" s="809">
        <f t="shared" si="377"/>
        <v>43.699999999999932</v>
      </c>
      <c r="AV55" s="807">
        <f t="shared" si="377"/>
        <v>50.299999999999898</v>
      </c>
      <c r="AW55" s="808">
        <f t="shared" si="377"/>
        <v>-32.000000000000057</v>
      </c>
      <c r="AX55" s="808">
        <f t="shared" si="377"/>
        <v>48.899999999999977</v>
      </c>
      <c r="AY55" s="809">
        <f t="shared" si="377"/>
        <v>18.400000000000034</v>
      </c>
      <c r="AZ55" s="807">
        <f t="shared" si="377"/>
        <v>79</v>
      </c>
      <c r="BA55" s="808">
        <f t="shared" si="377"/>
        <v>-39</v>
      </c>
      <c r="BB55" s="808">
        <f t="shared" si="377"/>
        <v>-223</v>
      </c>
      <c r="BC55" s="809">
        <f t="shared" si="377"/>
        <v>-154</v>
      </c>
      <c r="BD55" s="807">
        <f t="shared" si="377"/>
        <v>-270</v>
      </c>
      <c r="BE55" s="808">
        <f t="shared" si="377"/>
        <v>-343</v>
      </c>
      <c r="BF55" s="808">
        <f t="shared" si="377"/>
        <v>-238</v>
      </c>
      <c r="BG55" s="809">
        <f t="shared" si="377"/>
        <v>-339</v>
      </c>
      <c r="BH55" s="807">
        <f t="shared" si="377"/>
        <v>-729</v>
      </c>
      <c r="BI55" s="808">
        <f t="shared" si="377"/>
        <v>-525</v>
      </c>
      <c r="BJ55" s="808">
        <f t="shared" si="377"/>
        <v>-135</v>
      </c>
      <c r="BK55" s="809">
        <f t="shared" si="377"/>
        <v>-51</v>
      </c>
      <c r="BL55" s="807">
        <f t="shared" si="377"/>
        <v>209</v>
      </c>
      <c r="BM55" s="808">
        <f t="shared" si="377"/>
        <v>394</v>
      </c>
      <c r="BN55" s="808">
        <f t="shared" si="377"/>
        <v>516</v>
      </c>
      <c r="BO55" s="809">
        <f t="shared" si="377"/>
        <v>443</v>
      </c>
      <c r="BP55" s="807">
        <f t="shared" ref="BP55:BW55" si="378">+BP19-BP49</f>
        <v>199</v>
      </c>
      <c r="BQ55" s="808">
        <f t="shared" si="378"/>
        <v>103</v>
      </c>
      <c r="BR55" s="808">
        <f t="shared" si="378"/>
        <v>116</v>
      </c>
      <c r="BS55" s="809">
        <f t="shared" si="378"/>
        <v>-43</v>
      </c>
      <c r="BT55" s="807">
        <f t="shared" si="378"/>
        <v>-76</v>
      </c>
      <c r="BU55" s="808">
        <f t="shared" si="378"/>
        <v>-173</v>
      </c>
      <c r="BV55" s="808">
        <f t="shared" si="378"/>
        <v>-153</v>
      </c>
      <c r="BW55" s="809">
        <f t="shared" si="378"/>
        <v>-155</v>
      </c>
      <c r="BX55" s="807">
        <f>+BX19-BX49</f>
        <v>-126</v>
      </c>
      <c r="BY55" s="808">
        <f>+BY19-BY49</f>
        <v>29</v>
      </c>
      <c r="BZ55" s="808">
        <f>+BZ19-BZ49</f>
        <v>203</v>
      </c>
      <c r="CA55" s="809">
        <f t="shared" ref="CA55:CI55" si="379">+CA19-CA49</f>
        <v>248</v>
      </c>
      <c r="CB55" s="807">
        <f t="shared" si="379"/>
        <v>892</v>
      </c>
      <c r="CC55" s="808">
        <f t="shared" si="379"/>
        <v>923</v>
      </c>
      <c r="CD55" s="808">
        <f>+CD19-CD49</f>
        <v>848</v>
      </c>
      <c r="CE55" s="809">
        <f>+CE19-CE49</f>
        <v>850</v>
      </c>
      <c r="CF55" s="807">
        <f>+CF19-CF49</f>
        <v>1096</v>
      </c>
      <c r="CG55" s="808">
        <f t="shared" si="379"/>
        <v>856</v>
      </c>
      <c r="CH55" s="808">
        <f t="shared" si="379"/>
        <v>632</v>
      </c>
      <c r="CI55" s="809">
        <f t="shared" si="379"/>
        <v>427</v>
      </c>
      <c r="CJ55" s="807">
        <f>+CJ19-CJ49</f>
        <v>247</v>
      </c>
      <c r="CK55" s="808">
        <f t="shared" ref="CK55:CM55" si="380">+CK19-CK49</f>
        <v>-4</v>
      </c>
      <c r="CL55" s="808">
        <f t="shared" si="380"/>
        <v>-20</v>
      </c>
      <c r="CM55" s="809">
        <f t="shared" si="380"/>
        <v>19</v>
      </c>
      <c r="CN55" s="807">
        <f>+CN19-CN49</f>
        <v>438</v>
      </c>
      <c r="CO55" s="808">
        <f t="shared" ref="CO55:CQ55" si="381">+CO19-CO49</f>
        <v>1177</v>
      </c>
      <c r="CP55" s="808">
        <f t="shared" si="381"/>
        <v>2071</v>
      </c>
      <c r="CQ55" s="809">
        <f t="shared" si="381"/>
        <v>2546</v>
      </c>
      <c r="CR55" s="807">
        <f>+CR19-CR49</f>
        <v>3157</v>
      </c>
      <c r="CS55" s="808">
        <f t="shared" ref="CS55" si="382">+CS19-CS49</f>
        <v>3630</v>
      </c>
      <c r="CT55" s="808">
        <f t="shared" ref="CT55:CU55" si="383">+CT19-CT49</f>
        <v>3750.9683388944904</v>
      </c>
      <c r="CU55" s="809">
        <f t="shared" si="383"/>
        <v>3692.6937506253917</v>
      </c>
      <c r="CV55" s="807">
        <f t="shared" ref="CV55:CY55" si="384">+CV19-CV49</f>
        <v>3226.302741376348</v>
      </c>
      <c r="CW55" s="808">
        <f t="shared" si="384"/>
        <v>2719.4150225051444</v>
      </c>
      <c r="CX55" s="808">
        <f t="shared" si="384"/>
        <v>2227.5363415952124</v>
      </c>
      <c r="CY55" s="809">
        <f t="shared" si="384"/>
        <v>1968.5902583424554</v>
      </c>
      <c r="CZ55" s="807">
        <f t="shared" ref="CZ55:DC55" si="385">+CZ19-CZ49</f>
        <v>1770.3874494957108</v>
      </c>
      <c r="DA55" s="808">
        <f t="shared" si="385"/>
        <v>1619.0143801066833</v>
      </c>
      <c r="DB55" s="808">
        <f t="shared" si="385"/>
        <v>1549.2584885223869</v>
      </c>
      <c r="DC55" s="809">
        <f t="shared" si="385"/>
        <v>1503.9081043710312</v>
      </c>
      <c r="DD55" s="18"/>
      <c r="DE55" s="808">
        <f t="shared" ref="DE55:DU55" si="386">+DE19-DE49</f>
        <v>1296.4999999999998</v>
      </c>
      <c r="DF55" s="808">
        <f t="shared" si="386"/>
        <v>970.6</v>
      </c>
      <c r="DG55" s="808">
        <f t="shared" si="386"/>
        <v>411.60000000000014</v>
      </c>
      <c r="DH55" s="808">
        <f t="shared" si="386"/>
        <v>-482.09999999999991</v>
      </c>
      <c r="DI55" s="808">
        <f t="shared" si="386"/>
        <v>5.4999999999995453</v>
      </c>
      <c r="DJ55" s="808">
        <f t="shared" si="386"/>
        <v>2382.6000000000004</v>
      </c>
      <c r="DK55" s="808">
        <f t="shared" si="386"/>
        <v>-902.89999999999884</v>
      </c>
      <c r="DL55" s="808">
        <f t="shared" si="386"/>
        <v>-1004.2000000000003</v>
      </c>
      <c r="DM55" s="808">
        <f t="shared" si="386"/>
        <v>-1027.2999999999997</v>
      </c>
      <c r="DN55" s="808">
        <f t="shared" si="386"/>
        <v>227.79999999999973</v>
      </c>
      <c r="DO55" s="808">
        <f t="shared" si="386"/>
        <v>193.80000000000018</v>
      </c>
      <c r="DP55" s="808">
        <f t="shared" si="386"/>
        <v>85.599999999999454</v>
      </c>
      <c r="DQ55" s="808">
        <f t="shared" si="386"/>
        <v>-337</v>
      </c>
      <c r="DR55" s="808">
        <f t="shared" si="386"/>
        <v>-1190</v>
      </c>
      <c r="DS55" s="808">
        <f t="shared" si="386"/>
        <v>-1440</v>
      </c>
      <c r="DT55" s="808">
        <f t="shared" si="386"/>
        <v>1562</v>
      </c>
      <c r="DU55" s="808">
        <f t="shared" si="386"/>
        <v>375</v>
      </c>
      <c r="DV55" s="808">
        <f t="shared" ref="DV55:EB55" si="387">+DV19-DV49</f>
        <v>-557</v>
      </c>
      <c r="DW55" s="808">
        <f t="shared" si="387"/>
        <v>354</v>
      </c>
      <c r="DX55" s="808">
        <f t="shared" si="387"/>
        <v>3513</v>
      </c>
      <c r="DY55" s="808">
        <f t="shared" si="387"/>
        <v>3011</v>
      </c>
      <c r="DZ55" s="808">
        <f t="shared" si="387"/>
        <v>242</v>
      </c>
      <c r="EA55" s="808">
        <f t="shared" si="387"/>
        <v>6232</v>
      </c>
      <c r="EB55" s="808">
        <f t="shared" si="387"/>
        <v>14230.662089519879</v>
      </c>
      <c r="EC55" s="809">
        <f t="shared" ref="EC55:ED55" si="388">+EC19-EC49</f>
        <v>10141.84436381916</v>
      </c>
      <c r="ED55" s="809">
        <f t="shared" si="388"/>
        <v>6442.5684224958059</v>
      </c>
      <c r="EE55" s="1364"/>
      <c r="EF55" s="34"/>
      <c r="EG55" s="32"/>
      <c r="EH55" s="32"/>
      <c r="EI55" s="32"/>
      <c r="EJ55" s="32"/>
      <c r="EK55" s="32"/>
      <c r="EL55" s="32"/>
      <c r="EM55" s="32"/>
      <c r="EN55" s="32"/>
      <c r="EO55" s="32"/>
      <c r="EP55" s="353"/>
      <c r="EQ55" s="353"/>
      <c r="ER55" s="353"/>
      <c r="ES55" s="353"/>
      <c r="ET55" s="353"/>
      <c r="EU55" s="353"/>
      <c r="EV55" s="353"/>
      <c r="EW55" s="353"/>
      <c r="EX55" s="353"/>
      <c r="EY55" s="27">
        <f>SUM(CC55:CF55)</f>
        <v>3717</v>
      </c>
      <c r="EZ55" s="27">
        <f t="shared" ref="EZ55" si="389">SUM(CG55:CJ55)</f>
        <v>2162</v>
      </c>
      <c r="FA55" s="27">
        <f t="shared" ref="FA55" si="390">SUM(CK55:CN55)</f>
        <v>433</v>
      </c>
      <c r="FB55" s="27">
        <f t="shared" ref="FB55" si="391">SUM(CO55:CR55)</f>
        <v>8951</v>
      </c>
      <c r="FC55" s="27">
        <f>SUM(CS55:CV55)</f>
        <v>14299.964830896231</v>
      </c>
      <c r="FD55" s="27">
        <f>SUM(CW55:CZ55)</f>
        <v>8685.9290719385226</v>
      </c>
      <c r="FE55" s="308"/>
      <c r="FF55" s="300"/>
      <c r="FG55" s="300"/>
      <c r="FH55" s="300"/>
      <c r="FO55" s="7"/>
    </row>
    <row r="56" spans="1:171" ht="14.25" customHeight="1">
      <c r="A56" s="7"/>
      <c r="B56" s="548" t="s">
        <v>193</v>
      </c>
      <c r="C56" s="31"/>
      <c r="D56" s="34">
        <f t="shared" ref="D56:BO56" si="392">D55/D7</f>
        <v>0.45850467289719626</v>
      </c>
      <c r="E56" s="1209">
        <f t="shared" si="392"/>
        <v>0.46634844868735087</v>
      </c>
      <c r="F56" s="1209">
        <f t="shared" si="392"/>
        <v>0.41513399894902792</v>
      </c>
      <c r="G56" s="33">
        <f t="shared" si="392"/>
        <v>0.43005836575875489</v>
      </c>
      <c r="H56" s="34">
        <f t="shared" si="392"/>
        <v>0.44560634171023772</v>
      </c>
      <c r="I56" s="1209">
        <f t="shared" si="392"/>
        <v>0.32212744606121424</v>
      </c>
      <c r="J56" s="1209">
        <f t="shared" si="392"/>
        <v>0.12736705577172502</v>
      </c>
      <c r="K56" s="33">
        <f t="shared" si="392"/>
        <v>3.2833690221270438E-2</v>
      </c>
      <c r="L56" s="34">
        <f t="shared" si="392"/>
        <v>5.6860321384425282E-2</v>
      </c>
      <c r="M56" s="1209">
        <f t="shared" si="392"/>
        <v>8.7879479570874289E-2</v>
      </c>
      <c r="N56" s="1209">
        <f t="shared" si="392"/>
        <v>0.17512953367875647</v>
      </c>
      <c r="O56" s="33">
        <f t="shared" si="392"/>
        <v>0.13126188966391894</v>
      </c>
      <c r="P56" s="34">
        <f t="shared" si="392"/>
        <v>1.7758278491590875E-2</v>
      </c>
      <c r="Q56" s="1209">
        <f t="shared" si="392"/>
        <v>-0.24620020964360578</v>
      </c>
      <c r="R56" s="1209">
        <f t="shared" si="392"/>
        <v>-0.28627386975681407</v>
      </c>
      <c r="S56" s="33">
        <f t="shared" si="392"/>
        <v>-0.19621441988151989</v>
      </c>
      <c r="T56" s="34">
        <f t="shared" si="392"/>
        <v>-6.9052419354838718E-2</v>
      </c>
      <c r="U56" s="1209">
        <f t="shared" si="392"/>
        <v>6.7946968219925852E-2</v>
      </c>
      <c r="V56" s="1209">
        <f t="shared" si="392"/>
        <v>-1.9333178976614945E-2</v>
      </c>
      <c r="W56" s="33">
        <f t="shared" si="392"/>
        <v>6.754256106587724E-3</v>
      </c>
      <c r="X56" s="34">
        <f t="shared" si="392"/>
        <v>0.43365334524075316</v>
      </c>
      <c r="Y56" s="1209">
        <f t="shared" si="392"/>
        <v>0.24268829264084196</v>
      </c>
      <c r="Z56" s="1209">
        <f t="shared" si="392"/>
        <v>0.28884026258205686</v>
      </c>
      <c r="AA56" s="33">
        <f t="shared" si="392"/>
        <v>0.463960447567005</v>
      </c>
      <c r="AB56" s="34">
        <f t="shared" si="392"/>
        <v>0.32902774242809874</v>
      </c>
      <c r="AC56" s="1209">
        <f t="shared" si="392"/>
        <v>-3.7158675049263332E-2</v>
      </c>
      <c r="AD56" s="1209">
        <f t="shared" si="392"/>
        <v>-0.60442380545032381</v>
      </c>
      <c r="AE56" s="33">
        <f t="shared" si="392"/>
        <v>-1.8442640016656218</v>
      </c>
      <c r="AF56" s="34">
        <f t="shared" si="392"/>
        <v>-1.0544939844302903</v>
      </c>
      <c r="AG56" s="1209">
        <f t="shared" si="392"/>
        <v>-0.11178200959900912</v>
      </c>
      <c r="AH56" s="1209">
        <f t="shared" si="392"/>
        <v>-5.6275933609958473E-2</v>
      </c>
      <c r="AI56" s="33">
        <f t="shared" si="392"/>
        <v>-0.59037433155080221</v>
      </c>
      <c r="AJ56" s="34">
        <f t="shared" si="392"/>
        <v>-0.42066851554517576</v>
      </c>
      <c r="AK56" s="1209">
        <f t="shared" si="392"/>
        <v>-0.61452229299363059</v>
      </c>
      <c r="AL56" s="1209">
        <f t="shared" si="392"/>
        <v>-0.24280060051862967</v>
      </c>
      <c r="AM56" s="33">
        <f t="shared" si="392"/>
        <v>-8.8688801350590901E-2</v>
      </c>
      <c r="AN56" s="34">
        <f t="shared" si="392"/>
        <v>1.6618497109826567E-2</v>
      </c>
      <c r="AO56" s="1209">
        <f t="shared" si="392"/>
        <v>-2.1695257315842525E-2</v>
      </c>
      <c r="AP56" s="1209">
        <f t="shared" si="392"/>
        <v>0.10046561604584527</v>
      </c>
      <c r="AQ56" s="33">
        <f t="shared" si="392"/>
        <v>9.9815001681802934E-2</v>
      </c>
      <c r="AR56" s="34">
        <f t="shared" si="392"/>
        <v>0.14901213996667462</v>
      </c>
      <c r="AS56" s="1209">
        <f t="shared" si="392"/>
        <v>8.999158957106819E-2</v>
      </c>
      <c r="AT56" s="1209">
        <f t="shared" si="392"/>
        <v>-0.14741035856573703</v>
      </c>
      <c r="AU56" s="33">
        <f t="shared" si="392"/>
        <v>3.4743202416918376E-2</v>
      </c>
      <c r="AV56" s="34">
        <f t="shared" si="392"/>
        <v>3.6936407695696796E-2</v>
      </c>
      <c r="AW56" s="1209">
        <f t="shared" si="392"/>
        <v>-2.6122448979591883E-2</v>
      </c>
      <c r="AX56" s="1209">
        <f t="shared" si="392"/>
        <v>3.7262821001295417E-2</v>
      </c>
      <c r="AY56" s="33">
        <f t="shared" si="392"/>
        <v>1.339740789282076E-2</v>
      </c>
      <c r="AZ56" s="34">
        <f t="shared" si="392"/>
        <v>5.1633986928104572E-2</v>
      </c>
      <c r="BA56" s="1209">
        <f t="shared" si="392"/>
        <v>-2.7330063069376315E-2</v>
      </c>
      <c r="BB56" s="1209">
        <f t="shared" si="392"/>
        <v>-0.17233384853168471</v>
      </c>
      <c r="BC56" s="33">
        <f t="shared" si="392"/>
        <v>-0.10716771050800278</v>
      </c>
      <c r="BD56" s="34">
        <f t="shared" si="392"/>
        <v>-0.1758957654723127</v>
      </c>
      <c r="BE56" s="1209">
        <f t="shared" si="392"/>
        <v>-0.25239146431199411</v>
      </c>
      <c r="BF56" s="1209">
        <f t="shared" si="392"/>
        <v>-0.15887850467289719</v>
      </c>
      <c r="BG56" s="33">
        <f t="shared" si="392"/>
        <v>-0.23395445134575568</v>
      </c>
      <c r="BH56" s="34">
        <f t="shared" si="392"/>
        <v>-0.5199714693295292</v>
      </c>
      <c r="BI56" s="1209">
        <f t="shared" si="392"/>
        <v>-0.52870090634441091</v>
      </c>
      <c r="BJ56" s="1209">
        <f t="shared" si="392"/>
        <v>-0.12206148282097649</v>
      </c>
      <c r="BK56" s="33">
        <f t="shared" si="392"/>
        <v>-3.9170506912442393E-2</v>
      </c>
      <c r="BL56" s="34">
        <f t="shared" si="392"/>
        <v>0.12011494252873563</v>
      </c>
      <c r="BM56" s="1209">
        <f t="shared" si="392"/>
        <v>0.20091789903110657</v>
      </c>
      <c r="BN56" s="1209">
        <f t="shared" si="392"/>
        <v>0.22552447552447552</v>
      </c>
      <c r="BO56" s="33">
        <f t="shared" si="392"/>
        <v>0.17769755314881669</v>
      </c>
      <c r="BP56" s="34">
        <f t="shared" ref="BP56:CA56" si="393">BP55/BP7</f>
        <v>8.8365896980461808E-2</v>
      </c>
      <c r="BQ56" s="1209">
        <f t="shared" si="393"/>
        <v>4.563579973416039E-2</v>
      </c>
      <c r="BR56" s="1209">
        <f t="shared" si="393"/>
        <v>5.4230949041608231E-2</v>
      </c>
      <c r="BS56" s="33">
        <f t="shared" si="393"/>
        <v>-2.0093457943925235E-2</v>
      </c>
      <c r="BT56" s="34">
        <f t="shared" si="393"/>
        <v>-3.6363636363636362E-2</v>
      </c>
      <c r="BU56" s="1209">
        <f t="shared" si="393"/>
        <v>-8.6112493777999011E-2</v>
      </c>
      <c r="BV56" s="1209">
        <f t="shared" si="393"/>
        <v>-7.0441988950276244E-2</v>
      </c>
      <c r="BW56" s="33">
        <f t="shared" si="393"/>
        <v>-7.8960774325012736E-2</v>
      </c>
      <c r="BX56" s="34">
        <f t="shared" si="393"/>
        <v>-6.8702290076335881E-2</v>
      </c>
      <c r="BY56" s="32">
        <f t="shared" si="393"/>
        <v>1.395572666025024E-2</v>
      </c>
      <c r="BZ56" s="32">
        <f t="shared" si="393"/>
        <v>8.7575496117342541E-2</v>
      </c>
      <c r="CA56" s="33">
        <f t="shared" si="393"/>
        <v>8.7231797397115729E-2</v>
      </c>
      <c r="CB56" s="34">
        <f t="shared" ref="CB56:CI56" si="394">CB55/CB7</f>
        <v>0.22068283028203858</v>
      </c>
      <c r="CC56" s="32">
        <f t="shared" si="394"/>
        <v>0.22473825176527878</v>
      </c>
      <c r="CD56" s="32">
        <f>CD55/CD7</f>
        <v>0.21295831240582622</v>
      </c>
      <c r="CE56" s="32">
        <f>CE55/CE7</f>
        <v>0.20108824225218833</v>
      </c>
      <c r="CF56" s="34">
        <f t="shared" si="394"/>
        <v>0.23966761425759894</v>
      </c>
      <c r="CG56" s="32">
        <f t="shared" si="394"/>
        <v>0.20547287566010561</v>
      </c>
      <c r="CH56" s="32">
        <f t="shared" si="394"/>
        <v>0.16402803010641059</v>
      </c>
      <c r="CI56" s="32">
        <f t="shared" si="394"/>
        <v>0.11861111111111111</v>
      </c>
      <c r="CJ56" s="34">
        <f t="shared" ref="CJ56:CM56" si="395">CJ55/CJ7</f>
        <v>7.3731343283582093E-2</v>
      </c>
      <c r="CK56" s="32">
        <f t="shared" si="395"/>
        <v>-1.3633265167007499E-3</v>
      </c>
      <c r="CL56" s="32">
        <f t="shared" si="395"/>
        <v>-6.901311249137336E-3</v>
      </c>
      <c r="CM56" s="32">
        <f t="shared" si="395"/>
        <v>5.9061237177494563E-3</v>
      </c>
      <c r="CN56" s="34">
        <f t="shared" ref="CN56:CQ56" si="396">CN55/CN7</f>
        <v>0.11032745591939547</v>
      </c>
      <c r="CO56" s="1209">
        <f t="shared" si="396"/>
        <v>0.25322719449225473</v>
      </c>
      <c r="CP56" s="1209">
        <f t="shared" si="396"/>
        <v>0.37208048868127919</v>
      </c>
      <c r="CQ56" s="1209">
        <f t="shared" si="396"/>
        <v>0.41479309221244703</v>
      </c>
      <c r="CR56" s="34">
        <f t="shared" ref="CR56:CS56" si="397">CR55/CR7</f>
        <v>0.4640599735410848</v>
      </c>
      <c r="CS56" s="1209">
        <f t="shared" si="397"/>
        <v>0.49381036593660727</v>
      </c>
      <c r="CT56" s="32">
        <f t="shared" ref="CT56:CU56" si="398">CT55/CT7</f>
        <v>0.49320652893491596</v>
      </c>
      <c r="CU56" s="33">
        <f t="shared" si="398"/>
        <v>0.48083514691514295</v>
      </c>
      <c r="CV56" s="34">
        <f t="shared" ref="CV56:CY56" si="399">CV55/CV7</f>
        <v>0.43316157745367861</v>
      </c>
      <c r="CW56" s="1209">
        <f t="shared" si="399"/>
        <v>0.40079810800397736</v>
      </c>
      <c r="CX56" s="1209">
        <f t="shared" si="399"/>
        <v>0.33450175567725526</v>
      </c>
      <c r="CY56" s="33">
        <f t="shared" si="399"/>
        <v>0.29492885854442824</v>
      </c>
      <c r="CZ56" s="34">
        <f t="shared" ref="CZ56:DC56" si="400">CZ55/CZ7</f>
        <v>0.26958536919794757</v>
      </c>
      <c r="DA56" s="1209">
        <f t="shared" si="400"/>
        <v>0.24685719218907001</v>
      </c>
      <c r="DB56" s="1209">
        <f t="shared" si="400"/>
        <v>0.2352004838811573</v>
      </c>
      <c r="DC56" s="33">
        <f t="shared" si="400"/>
        <v>0.22548954966993331</v>
      </c>
      <c r="DD56" s="18"/>
      <c r="DE56" s="32">
        <f t="shared" ref="DE56:DU56" si="401">DE55/DE7</f>
        <v>0.43908964676397866</v>
      </c>
      <c r="DF56" s="32">
        <f t="shared" si="401"/>
        <v>0.26564125020526574</v>
      </c>
      <c r="DG56" s="32">
        <f t="shared" si="401"/>
        <v>0.11708149623097713</v>
      </c>
      <c r="DH56" s="32">
        <f t="shared" si="401"/>
        <v>-0.15935609691600833</v>
      </c>
      <c r="DI56" s="32">
        <f t="shared" si="401"/>
        <v>1.4612114771518452E-3</v>
      </c>
      <c r="DJ56" s="32">
        <f t="shared" si="401"/>
        <v>0.37448132780082988</v>
      </c>
      <c r="DK56" s="32">
        <f t="shared" si="401"/>
        <v>-0.2294011534845902</v>
      </c>
      <c r="DL56" s="32">
        <f t="shared" si="401"/>
        <v>-0.38787176516029365</v>
      </c>
      <c r="DM56" s="32">
        <f t="shared" si="401"/>
        <v>-0.33231973603338388</v>
      </c>
      <c r="DN56" s="32">
        <f t="shared" si="401"/>
        <v>5.1723354979337846E-2</v>
      </c>
      <c r="DO56" s="32">
        <f t="shared" si="401"/>
        <v>3.9711487234129789E-2</v>
      </c>
      <c r="DP56" s="32">
        <f t="shared" si="401"/>
        <v>1.6235182550971922E-2</v>
      </c>
      <c r="DQ56" s="32">
        <f t="shared" si="401"/>
        <v>-5.9247538677918425E-2</v>
      </c>
      <c r="DR56" s="32">
        <f t="shared" si="401"/>
        <v>-0.20373223763054271</v>
      </c>
      <c r="DS56" s="32">
        <f t="shared" si="401"/>
        <v>-0.29981261711430357</v>
      </c>
      <c r="DT56" s="1209">
        <f t="shared" si="401"/>
        <v>0.1841546804998821</v>
      </c>
      <c r="DU56" s="1209">
        <f t="shared" si="401"/>
        <v>4.2671825216203912E-2</v>
      </c>
      <c r="DV56" s="1209">
        <f>DV55/DV7</f>
        <v>-6.764634442555259E-2</v>
      </c>
      <c r="DW56" s="1209">
        <f>DW55/DW7</f>
        <v>3.901686322054447E-2</v>
      </c>
      <c r="DX56" s="1209">
        <f t="shared" ref="DX56:EB56" si="402">DX55/DX7</f>
        <v>0.21475730529404571</v>
      </c>
      <c r="DY56" s="1209">
        <f>DY55/DY7</f>
        <v>0.18595602766798419</v>
      </c>
      <c r="DZ56" s="1209">
        <f t="shared" si="402"/>
        <v>1.9517703040567786E-2</v>
      </c>
      <c r="EA56" s="1209">
        <f t="shared" ref="EA56" si="403">EA55/EA7</f>
        <v>0.30666273004625527</v>
      </c>
      <c r="EB56" s="1209">
        <f t="shared" si="402"/>
        <v>0.48339457387274448</v>
      </c>
      <c r="EC56" s="33">
        <f t="shared" ref="EC56:ED56" si="404">EC55/EC7</f>
        <v>0.36789361155989703</v>
      </c>
      <c r="ED56" s="33">
        <f t="shared" si="404"/>
        <v>0.24420248253987675</v>
      </c>
      <c r="EE56" s="1364"/>
      <c r="EF56" s="34"/>
      <c r="EG56" s="32"/>
      <c r="EH56" s="32"/>
      <c r="EI56" s="32"/>
      <c r="EJ56" s="32"/>
      <c r="EK56" s="32"/>
      <c r="EL56" s="32"/>
      <c r="EM56" s="32"/>
      <c r="EN56" s="32"/>
      <c r="EO56" s="32"/>
      <c r="EP56" s="353"/>
      <c r="EQ56" s="353"/>
      <c r="ER56" s="353"/>
      <c r="ES56" s="353"/>
      <c r="ET56" s="353"/>
      <c r="EU56" s="353"/>
      <c r="EV56" s="353"/>
      <c r="EW56" s="353"/>
      <c r="EX56" s="353"/>
      <c r="EY56" s="353"/>
      <c r="EZ56" s="353"/>
      <c r="FA56" s="353"/>
      <c r="FB56" s="353"/>
      <c r="FC56" s="353"/>
      <c r="FD56" s="353"/>
      <c r="FE56" s="308"/>
      <c r="FF56" s="300"/>
      <c r="FG56" s="300"/>
      <c r="FH56" s="300"/>
      <c r="FO56" s="7"/>
    </row>
    <row r="57" spans="1:171" ht="14.25" customHeight="1">
      <c r="A57" s="7"/>
      <c r="B57" s="543"/>
      <c r="C57" s="31"/>
      <c r="D57" s="34"/>
      <c r="E57" s="1209"/>
      <c r="F57" s="1209"/>
      <c r="G57" s="33"/>
      <c r="H57" s="34"/>
      <c r="I57" s="1209"/>
      <c r="J57" s="1209"/>
      <c r="K57" s="33"/>
      <c r="L57" s="34"/>
      <c r="M57" s="1209"/>
      <c r="N57" s="1209"/>
      <c r="O57" s="33"/>
      <c r="P57" s="34"/>
      <c r="Q57" s="1209"/>
      <c r="R57" s="1209"/>
      <c r="S57" s="33"/>
      <c r="T57" s="34"/>
      <c r="U57" s="1209"/>
      <c r="V57" s="1209"/>
      <c r="W57" s="33"/>
      <c r="X57" s="34"/>
      <c r="Y57" s="1209"/>
      <c r="Z57" s="1209"/>
      <c r="AA57" s="33"/>
      <c r="AB57" s="34"/>
      <c r="AC57" s="1209"/>
      <c r="AD57" s="1209"/>
      <c r="AE57" s="33"/>
      <c r="AF57" s="34"/>
      <c r="AG57" s="1209"/>
      <c r="AH57" s="1209"/>
      <c r="AI57" s="33"/>
      <c r="AJ57" s="34"/>
      <c r="AK57" s="1209"/>
      <c r="AL57" s="1209"/>
      <c r="AM57" s="33"/>
      <c r="AN57" s="34"/>
      <c r="AO57" s="1209"/>
      <c r="AP57" s="1209"/>
      <c r="AQ57" s="33"/>
      <c r="AR57" s="34"/>
      <c r="AS57" s="1209"/>
      <c r="AT57" s="1209"/>
      <c r="AU57" s="33"/>
      <c r="AV57" s="34"/>
      <c r="AW57" s="1209"/>
      <c r="AX57" s="1209"/>
      <c r="AY57" s="33"/>
      <c r="AZ57" s="34"/>
      <c r="BA57" s="1209"/>
      <c r="BB57" s="1209"/>
      <c r="BC57" s="33"/>
      <c r="BD57" s="34"/>
      <c r="BE57" s="1209"/>
      <c r="BF57" s="1209"/>
      <c r="BG57" s="33"/>
      <c r="BH57" s="34"/>
      <c r="BI57" s="1209"/>
      <c r="BJ57" s="1209"/>
      <c r="BK57" s="33"/>
      <c r="BL57" s="34"/>
      <c r="BM57" s="1209"/>
      <c r="BN57" s="1209"/>
      <c r="BO57" s="33"/>
      <c r="BP57" s="34"/>
      <c r="BQ57" s="1209"/>
      <c r="BR57" s="1209"/>
      <c r="BS57" s="33"/>
      <c r="BT57" s="34"/>
      <c r="BU57" s="1209"/>
      <c r="BV57" s="1209"/>
      <c r="BW57" s="33"/>
      <c r="BX57" s="34"/>
      <c r="BY57" s="32"/>
      <c r="BZ57" s="32"/>
      <c r="CA57" s="33"/>
      <c r="CB57" s="34"/>
      <c r="CC57" s="32"/>
      <c r="CD57" s="32"/>
      <c r="CE57" s="33"/>
      <c r="CF57" s="34"/>
      <c r="CG57" s="32"/>
      <c r="CH57" s="32"/>
      <c r="CI57" s="33"/>
      <c r="CJ57" s="34"/>
      <c r="CK57" s="32"/>
      <c r="CL57" s="32"/>
      <c r="CM57" s="33"/>
      <c r="CN57" s="34"/>
      <c r="CO57" s="1209"/>
      <c r="CP57" s="1209"/>
      <c r="CQ57" s="33"/>
      <c r="CR57" s="34"/>
      <c r="CS57" s="1209"/>
      <c r="CT57" s="32"/>
      <c r="CU57" s="33"/>
      <c r="CV57" s="34"/>
      <c r="CW57" s="1209"/>
      <c r="CX57" s="1209"/>
      <c r="CY57" s="33"/>
      <c r="CZ57" s="34"/>
      <c r="DA57" s="1209"/>
      <c r="DB57" s="1209"/>
      <c r="DC57" s="33"/>
      <c r="DD57" s="18"/>
      <c r="DE57" s="353"/>
      <c r="DF57" s="353"/>
      <c r="DG57" s="353"/>
      <c r="DH57" s="353"/>
      <c r="DI57" s="353"/>
      <c r="DJ57" s="353"/>
      <c r="DK57" s="353"/>
      <c r="DL57" s="353"/>
      <c r="DM57" s="353"/>
      <c r="DN57" s="353"/>
      <c r="DO57" s="353"/>
      <c r="DP57" s="32"/>
      <c r="DQ57" s="32"/>
      <c r="DR57" s="32"/>
      <c r="DS57" s="32"/>
      <c r="DT57" s="1209"/>
      <c r="DU57" s="1209"/>
      <c r="DV57" s="1209"/>
      <c r="DW57" s="1209"/>
      <c r="DX57" s="1209"/>
      <c r="DY57" s="1209"/>
      <c r="DZ57" s="1209"/>
      <c r="EA57" s="1209"/>
      <c r="EB57" s="1209"/>
      <c r="EC57" s="33"/>
      <c r="ED57" s="33"/>
      <c r="EE57" s="1364"/>
      <c r="EF57" s="34"/>
      <c r="EG57" s="32"/>
      <c r="EH57" s="32"/>
      <c r="EI57" s="32"/>
      <c r="EJ57" s="32"/>
      <c r="EK57" s="32"/>
      <c r="EL57" s="32"/>
      <c r="EM57" s="32"/>
      <c r="EN57" s="32"/>
      <c r="EO57" s="32"/>
      <c r="EP57" s="353"/>
      <c r="EQ57" s="353"/>
      <c r="ER57" s="353"/>
      <c r="ES57" s="353"/>
      <c r="ET57" s="353"/>
      <c r="EU57" s="353"/>
      <c r="EV57" s="353"/>
      <c r="EW57" s="353"/>
      <c r="EX57" s="353"/>
      <c r="EY57" s="353"/>
      <c r="EZ57" s="353"/>
      <c r="FA57" s="353"/>
      <c r="FB57" s="353"/>
      <c r="FC57" s="353"/>
      <c r="FD57" s="353"/>
      <c r="FE57" s="308"/>
      <c r="FF57" s="300"/>
      <c r="FG57" s="300"/>
      <c r="FH57" s="300"/>
      <c r="FO57" s="7"/>
    </row>
    <row r="58" spans="1:171" ht="14.25" hidden="1" customHeight="1" outlineLevel="1">
      <c r="A58" s="7"/>
      <c r="B58" s="540" t="s">
        <v>216</v>
      </c>
      <c r="C58" s="44"/>
      <c r="D58" s="807">
        <f t="shared" ref="D58:AI58" si="405">D21-D50</f>
        <v>245.3</v>
      </c>
      <c r="E58" s="808">
        <f t="shared" si="405"/>
        <v>293.10000000000002</v>
      </c>
      <c r="F58" s="808">
        <f t="shared" si="405"/>
        <v>316.00000000000006</v>
      </c>
      <c r="G58" s="809">
        <f t="shared" si="405"/>
        <v>442.1</v>
      </c>
      <c r="H58" s="807">
        <f t="shared" si="405"/>
        <v>528.39999999999986</v>
      </c>
      <c r="I58" s="808">
        <f t="shared" si="405"/>
        <v>321</v>
      </c>
      <c r="J58" s="808">
        <f t="shared" si="405"/>
        <v>98.199999999999989</v>
      </c>
      <c r="K58" s="809">
        <f t="shared" si="405"/>
        <v>22.999999999999943</v>
      </c>
      <c r="L58" s="807">
        <f t="shared" si="405"/>
        <v>41.400000000000048</v>
      </c>
      <c r="M58" s="808">
        <f t="shared" si="405"/>
        <v>77.000000000000057</v>
      </c>
      <c r="N58" s="808">
        <f t="shared" si="405"/>
        <v>169</v>
      </c>
      <c r="O58" s="809">
        <f t="shared" si="405"/>
        <v>124.2000000000001</v>
      </c>
      <c r="P58" s="807">
        <f t="shared" si="405"/>
        <v>16.999999999999943</v>
      </c>
      <c r="Q58" s="808">
        <f t="shared" si="405"/>
        <v>-187.89999999999995</v>
      </c>
      <c r="R58" s="808">
        <f t="shared" si="405"/>
        <v>-175.39999999999998</v>
      </c>
      <c r="S58" s="809">
        <f t="shared" si="405"/>
        <v>-135.79999999999993</v>
      </c>
      <c r="T58" s="807">
        <f t="shared" si="405"/>
        <v>-54.800000000000011</v>
      </c>
      <c r="U58" s="808">
        <f t="shared" si="405"/>
        <v>69.699999999999932</v>
      </c>
      <c r="V58" s="808">
        <f t="shared" si="405"/>
        <v>-16.699999999999989</v>
      </c>
      <c r="W58" s="809">
        <f t="shared" si="405"/>
        <v>7.3000000000000114</v>
      </c>
      <c r="X58" s="807">
        <f t="shared" si="405"/>
        <v>582.70000000000005</v>
      </c>
      <c r="Y58" s="808">
        <f t="shared" si="405"/>
        <v>281.2999999999999</v>
      </c>
      <c r="Z58" s="808">
        <f t="shared" si="405"/>
        <v>448.79999999999995</v>
      </c>
      <c r="AA58" s="809">
        <f t="shared" si="405"/>
        <v>1069.8000000000002</v>
      </c>
      <c r="AB58" s="807">
        <f t="shared" si="405"/>
        <v>517.09999999999991</v>
      </c>
      <c r="AC58" s="808">
        <f t="shared" si="405"/>
        <v>-39.599999999999937</v>
      </c>
      <c r="AD58" s="808">
        <f t="shared" si="405"/>
        <v>-494.59999999999997</v>
      </c>
      <c r="AE58" s="809">
        <f t="shared" si="405"/>
        <v>-885.79999999999927</v>
      </c>
      <c r="AF58" s="807">
        <f t="shared" si="405"/>
        <v>-447</v>
      </c>
      <c r="AG58" s="808">
        <f t="shared" si="405"/>
        <v>-72.199999999999989</v>
      </c>
      <c r="AH58" s="808">
        <f t="shared" si="405"/>
        <v>-43.399999999999977</v>
      </c>
      <c r="AI58" s="809">
        <f t="shared" si="405"/>
        <v>-441.6</v>
      </c>
      <c r="AJ58" s="807">
        <f t="shared" ref="AJ58:BO58" si="406">AJ21-AJ50</f>
        <v>-288.19999999999993</v>
      </c>
      <c r="AK58" s="808">
        <f t="shared" si="406"/>
        <v>-482.4</v>
      </c>
      <c r="AL58" s="808">
        <f t="shared" si="406"/>
        <v>-177.89999999999998</v>
      </c>
      <c r="AM58" s="809">
        <f t="shared" si="406"/>
        <v>-78.800000000000011</v>
      </c>
      <c r="AN58" s="807">
        <f t="shared" si="406"/>
        <v>18.399999999999977</v>
      </c>
      <c r="AO58" s="808">
        <f t="shared" si="406"/>
        <v>-21.499999999999943</v>
      </c>
      <c r="AP58" s="808">
        <f t="shared" si="406"/>
        <v>112.19999999999999</v>
      </c>
      <c r="AQ58" s="809">
        <f t="shared" si="406"/>
        <v>118.70000000000005</v>
      </c>
      <c r="AR58" s="807">
        <f t="shared" si="406"/>
        <v>187.8</v>
      </c>
      <c r="AS58" s="808">
        <f t="shared" si="406"/>
        <v>117.7000000000001</v>
      </c>
      <c r="AT58" s="808">
        <f t="shared" si="406"/>
        <v>-155.39999999999998</v>
      </c>
      <c r="AU58" s="809">
        <f t="shared" si="406"/>
        <v>43.699999999999932</v>
      </c>
      <c r="AV58" s="807">
        <f t="shared" si="406"/>
        <v>50.299999999999898</v>
      </c>
      <c r="AW58" s="808">
        <f t="shared" si="406"/>
        <v>-32.000000000000057</v>
      </c>
      <c r="AX58" s="808">
        <f t="shared" si="406"/>
        <v>48.899999999999977</v>
      </c>
      <c r="AY58" s="809">
        <f t="shared" si="406"/>
        <v>18.400000000000034</v>
      </c>
      <c r="AZ58" s="807">
        <f t="shared" si="406"/>
        <v>79</v>
      </c>
      <c r="BA58" s="808">
        <f t="shared" si="406"/>
        <v>-39</v>
      </c>
      <c r="BB58" s="808">
        <f t="shared" si="406"/>
        <v>-223</v>
      </c>
      <c r="BC58" s="809">
        <f t="shared" si="406"/>
        <v>-154</v>
      </c>
      <c r="BD58" s="807">
        <f t="shared" si="406"/>
        <v>-270</v>
      </c>
      <c r="BE58" s="808">
        <f t="shared" si="406"/>
        <v>-343</v>
      </c>
      <c r="BF58" s="808">
        <f t="shared" si="406"/>
        <v>-238</v>
      </c>
      <c r="BG58" s="809">
        <f t="shared" si="406"/>
        <v>-339</v>
      </c>
      <c r="BH58" s="807">
        <f t="shared" si="406"/>
        <v>-729</v>
      </c>
      <c r="BI58" s="808">
        <f t="shared" si="406"/>
        <v>-525</v>
      </c>
      <c r="BJ58" s="808">
        <f t="shared" si="406"/>
        <v>-135</v>
      </c>
      <c r="BK58" s="809">
        <f t="shared" si="406"/>
        <v>-51</v>
      </c>
      <c r="BL58" s="807">
        <f t="shared" si="406"/>
        <v>209</v>
      </c>
      <c r="BM58" s="808">
        <f t="shared" si="406"/>
        <v>394</v>
      </c>
      <c r="BN58" s="808">
        <f t="shared" si="406"/>
        <v>516</v>
      </c>
      <c r="BO58" s="809">
        <f t="shared" si="406"/>
        <v>443</v>
      </c>
      <c r="BP58" s="807">
        <f t="shared" ref="BP58:CI58" si="407">BP21-BP50</f>
        <v>199</v>
      </c>
      <c r="BQ58" s="808">
        <f t="shared" si="407"/>
        <v>103</v>
      </c>
      <c r="BR58" s="808">
        <f t="shared" si="407"/>
        <v>116</v>
      </c>
      <c r="BS58" s="809">
        <f t="shared" si="407"/>
        <v>-43</v>
      </c>
      <c r="BT58" s="807">
        <f t="shared" si="407"/>
        <v>-76</v>
      </c>
      <c r="BU58" s="808">
        <f t="shared" si="407"/>
        <v>-173</v>
      </c>
      <c r="BV58" s="808">
        <f t="shared" si="407"/>
        <v>-153</v>
      </c>
      <c r="BW58" s="809">
        <f t="shared" si="407"/>
        <v>-155</v>
      </c>
      <c r="BX58" s="807">
        <f t="shared" si="407"/>
        <v>-126</v>
      </c>
      <c r="BY58" s="808">
        <f t="shared" si="407"/>
        <v>29</v>
      </c>
      <c r="BZ58" s="808">
        <f t="shared" si="407"/>
        <v>203</v>
      </c>
      <c r="CA58" s="809">
        <f t="shared" si="407"/>
        <v>248</v>
      </c>
      <c r="CB58" s="807">
        <f t="shared" si="407"/>
        <v>870</v>
      </c>
      <c r="CC58" s="808">
        <f t="shared" si="407"/>
        <v>896</v>
      </c>
      <c r="CD58" s="808">
        <f>CD21-CD50</f>
        <v>816</v>
      </c>
      <c r="CE58" s="809">
        <f>CE21-CE50</f>
        <v>816</v>
      </c>
      <c r="CF58" s="807">
        <f t="shared" si="407"/>
        <v>1061</v>
      </c>
      <c r="CG58" s="808">
        <f t="shared" si="407"/>
        <v>807</v>
      </c>
      <c r="CH58" s="808">
        <f t="shared" si="407"/>
        <v>589</v>
      </c>
      <c r="CI58" s="809">
        <f t="shared" si="407"/>
        <v>386</v>
      </c>
      <c r="CJ58" s="807">
        <f t="shared" ref="CJ58:CM58" si="408">CJ21-CJ50</f>
        <v>201</v>
      </c>
      <c r="CK58" s="808">
        <f t="shared" si="408"/>
        <v>-59</v>
      </c>
      <c r="CL58" s="808">
        <f t="shared" si="408"/>
        <v>-67</v>
      </c>
      <c r="CM58" s="809">
        <f t="shared" si="408"/>
        <v>-24</v>
      </c>
      <c r="CN58" s="807">
        <f t="shared" ref="CN58:CQ58" si="409">CN21-CN50</f>
        <v>392</v>
      </c>
      <c r="CO58" s="808">
        <f t="shared" si="409"/>
        <v>1122</v>
      </c>
      <c r="CP58" s="808">
        <f t="shared" si="409"/>
        <v>2014</v>
      </c>
      <c r="CQ58" s="809">
        <f t="shared" si="409"/>
        <v>2489</v>
      </c>
      <c r="CR58" s="807">
        <f t="shared" ref="CR58:CS58" si="410">CR21-CR50</f>
        <v>3106</v>
      </c>
      <c r="CS58" s="808">
        <f t="shared" si="410"/>
        <v>3578</v>
      </c>
      <c r="CT58" s="808">
        <f t="shared" ref="CT58:CU58" si="411">CT21-CT50</f>
        <v>3698.9683388944904</v>
      </c>
      <c r="CU58" s="809">
        <f t="shared" si="411"/>
        <v>3640.6937506253917</v>
      </c>
      <c r="CV58" s="807">
        <f t="shared" ref="CV58:CY58" si="412">CV21-CV50</f>
        <v>3174.302741376348</v>
      </c>
      <c r="CW58" s="808">
        <f t="shared" si="412"/>
        <v>2667.4150225051444</v>
      </c>
      <c r="CX58" s="808">
        <f t="shared" si="412"/>
        <v>2175.5363415952124</v>
      </c>
      <c r="CY58" s="809">
        <f t="shared" si="412"/>
        <v>1916.5902583424554</v>
      </c>
      <c r="CZ58" s="807">
        <f t="shared" ref="CZ58:DC58" si="413">CZ21-CZ50</f>
        <v>1718.3874494957108</v>
      </c>
      <c r="DA58" s="808">
        <f t="shared" si="413"/>
        <v>1567.0143801066833</v>
      </c>
      <c r="DB58" s="808">
        <f t="shared" si="413"/>
        <v>1497.2584885223869</v>
      </c>
      <c r="DC58" s="809">
        <f t="shared" si="413"/>
        <v>1451.9081043710312</v>
      </c>
      <c r="DD58" s="743"/>
      <c r="DE58" s="810">
        <f t="shared" ref="DE58:EB58" si="414">DE21-DE50</f>
        <v>1296.4999999999998</v>
      </c>
      <c r="DF58" s="810">
        <f t="shared" si="414"/>
        <v>970.6</v>
      </c>
      <c r="DG58" s="810">
        <f t="shared" si="414"/>
        <v>411.60000000000014</v>
      </c>
      <c r="DH58" s="810">
        <f t="shared" si="414"/>
        <v>-482.09999999999991</v>
      </c>
      <c r="DI58" s="810">
        <f t="shared" si="414"/>
        <v>5.4999999999995453</v>
      </c>
      <c r="DJ58" s="810">
        <f t="shared" si="414"/>
        <v>2382.6000000000004</v>
      </c>
      <c r="DK58" s="810">
        <f t="shared" si="414"/>
        <v>-902.89999999999884</v>
      </c>
      <c r="DL58" s="810">
        <f t="shared" si="414"/>
        <v>-1004.2000000000003</v>
      </c>
      <c r="DM58" s="810">
        <f t="shared" si="414"/>
        <v>-1027.2999999999997</v>
      </c>
      <c r="DN58" s="810">
        <f t="shared" si="414"/>
        <v>227.79999999999973</v>
      </c>
      <c r="DO58" s="810">
        <f t="shared" si="414"/>
        <v>193.80000000000018</v>
      </c>
      <c r="DP58" s="808">
        <f t="shared" si="414"/>
        <v>85.599999999999454</v>
      </c>
      <c r="DQ58" s="808">
        <f t="shared" si="414"/>
        <v>-337</v>
      </c>
      <c r="DR58" s="808">
        <f t="shared" si="414"/>
        <v>-1190</v>
      </c>
      <c r="DS58" s="808">
        <f t="shared" si="414"/>
        <v>-1440</v>
      </c>
      <c r="DT58" s="808">
        <f t="shared" si="414"/>
        <v>1562</v>
      </c>
      <c r="DU58" s="808">
        <f t="shared" si="414"/>
        <v>375</v>
      </c>
      <c r="DV58" s="808">
        <f t="shared" si="414"/>
        <v>-557</v>
      </c>
      <c r="DW58" s="808">
        <f t="shared" si="414"/>
        <v>354</v>
      </c>
      <c r="DX58" s="808">
        <f t="shared" si="414"/>
        <v>3398</v>
      </c>
      <c r="DY58" s="808">
        <f t="shared" si="414"/>
        <v>2843</v>
      </c>
      <c r="DZ58" s="808">
        <f>DZ21-DZ50</f>
        <v>51</v>
      </c>
      <c r="EA58" s="808">
        <f>EA21-EA50</f>
        <v>6017</v>
      </c>
      <c r="EB58" s="808">
        <f t="shared" si="414"/>
        <v>14023.662089519879</v>
      </c>
      <c r="EC58" s="809">
        <f t="shared" ref="EC58:ED58" si="415">EC21-EC50</f>
        <v>9933.8443638191602</v>
      </c>
      <c r="ED58" s="809">
        <f t="shared" si="415"/>
        <v>6234.5684224958059</v>
      </c>
      <c r="EE58" s="1364"/>
      <c r="EF58" s="45">
        <f t="shared" ref="EF58:EY58" si="416">EF21-EF50</f>
        <v>1579.6</v>
      </c>
      <c r="EG58" s="46">
        <f t="shared" si="416"/>
        <v>483.60000000000014</v>
      </c>
      <c r="EH58" s="46">
        <f t="shared" si="416"/>
        <v>387.1999999999997</v>
      </c>
      <c r="EI58" s="46">
        <f t="shared" si="416"/>
        <v>-553.90000000000009</v>
      </c>
      <c r="EJ58" s="46">
        <f t="shared" si="416"/>
        <v>642.99999999999955</v>
      </c>
      <c r="EK58" s="46">
        <f t="shared" si="416"/>
        <v>2316.9999999999991</v>
      </c>
      <c r="EL58" s="46">
        <f t="shared" si="416"/>
        <v>-1866.9999999999991</v>
      </c>
      <c r="EM58" s="46">
        <f t="shared" si="416"/>
        <v>-845.40000000000055</v>
      </c>
      <c r="EN58" s="46">
        <f t="shared" si="416"/>
        <v>-720.7000000000005</v>
      </c>
      <c r="EO58" s="46">
        <f t="shared" si="416"/>
        <v>397.20000000000073</v>
      </c>
      <c r="EP58" s="357">
        <f t="shared" si="416"/>
        <v>56.300000000000637</v>
      </c>
      <c r="EQ58" s="357">
        <f t="shared" si="416"/>
        <v>114.30000000000109</v>
      </c>
      <c r="ER58" s="357">
        <f t="shared" si="416"/>
        <v>-686</v>
      </c>
      <c r="ES58" s="357">
        <f t="shared" si="416"/>
        <v>-1649</v>
      </c>
      <c r="ET58" s="357">
        <f t="shared" si="416"/>
        <v>-502</v>
      </c>
      <c r="EU58" s="357">
        <f t="shared" si="416"/>
        <v>1552</v>
      </c>
      <c r="EV58" s="357">
        <f t="shared" si="416"/>
        <v>100</v>
      </c>
      <c r="EW58" s="357">
        <f t="shared" si="416"/>
        <v>-607</v>
      </c>
      <c r="EX58" s="357">
        <f t="shared" si="416"/>
        <v>1350</v>
      </c>
      <c r="EY58" s="357">
        <f t="shared" si="416"/>
        <v>3589</v>
      </c>
      <c r="EZ58" s="357">
        <f t="shared" ref="EZ58:FA58" si="417">EZ21-EZ50</f>
        <v>1983</v>
      </c>
      <c r="FA58" s="357">
        <f t="shared" si="417"/>
        <v>242</v>
      </c>
      <c r="FB58" s="357">
        <f t="shared" ref="FB58:FC58" si="418">FB21-FB50</f>
        <v>8731</v>
      </c>
      <c r="FC58" s="357">
        <f t="shared" si="418"/>
        <v>14091.964830896228</v>
      </c>
      <c r="FD58" s="357">
        <f t="shared" ref="FD58" si="419">FD21-FD50</f>
        <v>8477.9290719385208</v>
      </c>
      <c r="FE58" s="308"/>
      <c r="FF58" s="300"/>
      <c r="FG58" s="300"/>
      <c r="FH58" s="300"/>
      <c r="FO58" s="7"/>
    </row>
    <row r="59" spans="1:171" ht="14.25" hidden="1" customHeight="1" outlineLevel="1">
      <c r="A59" s="7"/>
      <c r="B59" s="548" t="s">
        <v>193</v>
      </c>
      <c r="C59" s="31"/>
      <c r="D59" s="34">
        <f>D58/D$7</f>
        <v>0.45850467289719626</v>
      </c>
      <c r="E59" s="1209">
        <f t="shared" ref="E59:BP59" si="420">E58/E$7</f>
        <v>0.46634844868735087</v>
      </c>
      <c r="F59" s="1209">
        <f t="shared" si="420"/>
        <v>0.41513399894902792</v>
      </c>
      <c r="G59" s="33">
        <f t="shared" si="420"/>
        <v>0.43005836575875489</v>
      </c>
      <c r="H59" s="34">
        <f t="shared" si="420"/>
        <v>0.44560634171023772</v>
      </c>
      <c r="I59" s="1209">
        <f t="shared" si="420"/>
        <v>0.32212744606121424</v>
      </c>
      <c r="J59" s="1209">
        <f t="shared" si="420"/>
        <v>0.12736705577172502</v>
      </c>
      <c r="K59" s="33">
        <f t="shared" si="420"/>
        <v>3.2833690221270438E-2</v>
      </c>
      <c r="L59" s="34">
        <f t="shared" si="420"/>
        <v>5.6860321384425282E-2</v>
      </c>
      <c r="M59" s="1209">
        <f t="shared" si="420"/>
        <v>8.7879479570874289E-2</v>
      </c>
      <c r="N59" s="1209">
        <f t="shared" si="420"/>
        <v>0.17512953367875647</v>
      </c>
      <c r="O59" s="33">
        <f t="shared" si="420"/>
        <v>0.13126188966391894</v>
      </c>
      <c r="P59" s="34">
        <f t="shared" si="420"/>
        <v>1.7758278491590875E-2</v>
      </c>
      <c r="Q59" s="1209">
        <f t="shared" si="420"/>
        <v>-0.24620020964360578</v>
      </c>
      <c r="R59" s="1209">
        <f t="shared" si="420"/>
        <v>-0.28627386975681407</v>
      </c>
      <c r="S59" s="33">
        <f t="shared" si="420"/>
        <v>-0.19621441988151989</v>
      </c>
      <c r="T59" s="34">
        <f t="shared" si="420"/>
        <v>-6.9052419354838718E-2</v>
      </c>
      <c r="U59" s="1209">
        <f t="shared" si="420"/>
        <v>6.7946968219925852E-2</v>
      </c>
      <c r="V59" s="1209">
        <f t="shared" si="420"/>
        <v>-1.9333178976614945E-2</v>
      </c>
      <c r="W59" s="33">
        <f t="shared" si="420"/>
        <v>6.754256106587724E-3</v>
      </c>
      <c r="X59" s="34">
        <f t="shared" si="420"/>
        <v>0.43365334524075316</v>
      </c>
      <c r="Y59" s="1209">
        <f t="shared" si="420"/>
        <v>0.24268829264084196</v>
      </c>
      <c r="Z59" s="1209">
        <f t="shared" si="420"/>
        <v>0.28884026258205686</v>
      </c>
      <c r="AA59" s="33">
        <f t="shared" si="420"/>
        <v>0.463960447567005</v>
      </c>
      <c r="AB59" s="34">
        <f t="shared" si="420"/>
        <v>0.32902774242809874</v>
      </c>
      <c r="AC59" s="1209">
        <f t="shared" si="420"/>
        <v>-3.7158675049263332E-2</v>
      </c>
      <c r="AD59" s="1209">
        <f t="shared" si="420"/>
        <v>-0.60442380545032381</v>
      </c>
      <c r="AE59" s="33">
        <f t="shared" si="420"/>
        <v>-1.8442640016656218</v>
      </c>
      <c r="AF59" s="34">
        <f t="shared" si="420"/>
        <v>-1.0544939844302903</v>
      </c>
      <c r="AG59" s="1209">
        <f t="shared" si="420"/>
        <v>-0.11178200959900912</v>
      </c>
      <c r="AH59" s="1209">
        <f t="shared" si="420"/>
        <v>-5.6275933609958473E-2</v>
      </c>
      <c r="AI59" s="33">
        <f t="shared" si="420"/>
        <v>-0.59037433155080221</v>
      </c>
      <c r="AJ59" s="34">
        <f t="shared" si="420"/>
        <v>-0.42066851554517576</v>
      </c>
      <c r="AK59" s="1209">
        <f t="shared" si="420"/>
        <v>-0.61452229299363059</v>
      </c>
      <c r="AL59" s="1209">
        <f t="shared" si="420"/>
        <v>-0.24280060051862967</v>
      </c>
      <c r="AM59" s="33">
        <f t="shared" si="420"/>
        <v>-8.8688801350590901E-2</v>
      </c>
      <c r="AN59" s="34">
        <f t="shared" si="420"/>
        <v>1.6618497109826567E-2</v>
      </c>
      <c r="AO59" s="1209">
        <f t="shared" si="420"/>
        <v>-2.1695257315842525E-2</v>
      </c>
      <c r="AP59" s="1209">
        <f t="shared" si="420"/>
        <v>0.10046561604584527</v>
      </c>
      <c r="AQ59" s="33">
        <f t="shared" si="420"/>
        <v>9.9815001681802934E-2</v>
      </c>
      <c r="AR59" s="34">
        <f t="shared" si="420"/>
        <v>0.14901213996667462</v>
      </c>
      <c r="AS59" s="1209">
        <f t="shared" si="420"/>
        <v>8.999158957106819E-2</v>
      </c>
      <c r="AT59" s="1209">
        <f t="shared" si="420"/>
        <v>-0.14741035856573703</v>
      </c>
      <c r="AU59" s="33">
        <f t="shared" si="420"/>
        <v>3.4743202416918376E-2</v>
      </c>
      <c r="AV59" s="34">
        <f t="shared" si="420"/>
        <v>3.6936407695696796E-2</v>
      </c>
      <c r="AW59" s="1209">
        <f t="shared" si="420"/>
        <v>-2.6122448979591883E-2</v>
      </c>
      <c r="AX59" s="1209">
        <f t="shared" si="420"/>
        <v>3.7262821001295417E-2</v>
      </c>
      <c r="AY59" s="33">
        <f t="shared" si="420"/>
        <v>1.339740789282076E-2</v>
      </c>
      <c r="AZ59" s="34">
        <f t="shared" si="420"/>
        <v>5.1633986928104572E-2</v>
      </c>
      <c r="BA59" s="1209">
        <f t="shared" si="420"/>
        <v>-2.7330063069376315E-2</v>
      </c>
      <c r="BB59" s="1209">
        <f t="shared" si="420"/>
        <v>-0.17233384853168471</v>
      </c>
      <c r="BC59" s="33">
        <f t="shared" si="420"/>
        <v>-0.10716771050800278</v>
      </c>
      <c r="BD59" s="34">
        <f t="shared" si="420"/>
        <v>-0.1758957654723127</v>
      </c>
      <c r="BE59" s="1209">
        <f t="shared" si="420"/>
        <v>-0.25239146431199411</v>
      </c>
      <c r="BF59" s="1209">
        <f t="shared" si="420"/>
        <v>-0.15887850467289719</v>
      </c>
      <c r="BG59" s="33">
        <f t="shared" si="420"/>
        <v>-0.23395445134575568</v>
      </c>
      <c r="BH59" s="34">
        <f t="shared" si="420"/>
        <v>-0.5199714693295292</v>
      </c>
      <c r="BI59" s="1209">
        <f t="shared" si="420"/>
        <v>-0.52870090634441091</v>
      </c>
      <c r="BJ59" s="1209">
        <f t="shared" si="420"/>
        <v>-0.12206148282097649</v>
      </c>
      <c r="BK59" s="33">
        <f t="shared" si="420"/>
        <v>-3.9170506912442393E-2</v>
      </c>
      <c r="BL59" s="34">
        <f t="shared" si="420"/>
        <v>0.12011494252873563</v>
      </c>
      <c r="BM59" s="1209">
        <f t="shared" si="420"/>
        <v>0.20091789903110657</v>
      </c>
      <c r="BN59" s="1209">
        <f t="shared" si="420"/>
        <v>0.22552447552447552</v>
      </c>
      <c r="BO59" s="33">
        <f t="shared" si="420"/>
        <v>0.17769755314881669</v>
      </c>
      <c r="BP59" s="34">
        <f t="shared" si="420"/>
        <v>8.8365896980461808E-2</v>
      </c>
      <c r="BQ59" s="1209">
        <f t="shared" ref="BQ59:CI59" si="421">BQ58/BQ$7</f>
        <v>4.563579973416039E-2</v>
      </c>
      <c r="BR59" s="1209">
        <f t="shared" si="421"/>
        <v>5.4230949041608231E-2</v>
      </c>
      <c r="BS59" s="33">
        <f t="shared" si="421"/>
        <v>-2.0093457943925235E-2</v>
      </c>
      <c r="BT59" s="34">
        <f t="shared" si="421"/>
        <v>-3.6363636363636362E-2</v>
      </c>
      <c r="BU59" s="1209">
        <f t="shared" si="421"/>
        <v>-8.6112493777999011E-2</v>
      </c>
      <c r="BV59" s="1209">
        <f t="shared" si="421"/>
        <v>-7.0441988950276244E-2</v>
      </c>
      <c r="BW59" s="33">
        <f>BW58/BW$7</f>
        <v>-7.8960774325012736E-2</v>
      </c>
      <c r="BX59" s="34">
        <f>BX58/BX$7</f>
        <v>-6.8702290076335881E-2</v>
      </c>
      <c r="BY59" s="32">
        <f t="shared" si="421"/>
        <v>1.395572666025024E-2</v>
      </c>
      <c r="BZ59" s="32">
        <f t="shared" si="421"/>
        <v>8.7575496117342541E-2</v>
      </c>
      <c r="CA59" s="33">
        <f>CA58/CA$7</f>
        <v>8.7231797397115729E-2</v>
      </c>
      <c r="CB59" s="34">
        <f>CB58/CB$7</f>
        <v>0.2152399802078179</v>
      </c>
      <c r="CC59" s="32">
        <f>CC58/CC$7</f>
        <v>0.21816411005600195</v>
      </c>
      <c r="CD59" s="32">
        <f>CD58/CD$7</f>
        <v>0.2049221496735309</v>
      </c>
      <c r="CE59" s="33">
        <f>CE58/CE$7</f>
        <v>0.19304471256210079</v>
      </c>
      <c r="CF59" s="34">
        <f t="shared" si="421"/>
        <v>0.23201399518915372</v>
      </c>
      <c r="CG59" s="32">
        <f t="shared" si="421"/>
        <v>0.19371099375900144</v>
      </c>
      <c r="CH59" s="32">
        <f t="shared" si="421"/>
        <v>0.15286789514663898</v>
      </c>
      <c r="CI59" s="33">
        <f t="shared" si="421"/>
        <v>0.10722222222222222</v>
      </c>
      <c r="CJ59" s="34">
        <f t="shared" ref="CJ59:CM59" si="422">CJ58/CJ$7</f>
        <v>0.06</v>
      </c>
      <c r="CK59" s="32">
        <f t="shared" si="422"/>
        <v>-2.0109066121336061E-2</v>
      </c>
      <c r="CL59" s="32">
        <f t="shared" si="422"/>
        <v>-2.3119392684610076E-2</v>
      </c>
      <c r="CM59" s="33">
        <f t="shared" si="422"/>
        <v>-7.4603668013677338E-3</v>
      </c>
      <c r="CN59" s="34">
        <f t="shared" ref="CN59:CQ59" si="423">CN58/CN$7</f>
        <v>9.8740554156171279E-2</v>
      </c>
      <c r="CO59" s="1209">
        <f t="shared" si="423"/>
        <v>0.24139414802065404</v>
      </c>
      <c r="CP59" s="1209">
        <f t="shared" si="423"/>
        <v>0.36183974128638158</v>
      </c>
      <c r="CQ59" s="33">
        <f t="shared" si="423"/>
        <v>0.40550667970022808</v>
      </c>
      <c r="CR59" s="34">
        <f t="shared" ref="CR59:CS59" si="424">CR58/CR$7</f>
        <v>0.45656328090548287</v>
      </c>
      <c r="CS59" s="1209">
        <f t="shared" si="424"/>
        <v>0.48673649843558697</v>
      </c>
      <c r="CT59" s="32">
        <f t="shared" ref="CT59:CU59" si="425">CT58/CT$7</f>
        <v>0.4863691639700668</v>
      </c>
      <c r="CU59" s="33">
        <f t="shared" si="425"/>
        <v>0.47406409322693693</v>
      </c>
      <c r="CV59" s="34">
        <f t="shared" ref="CV59:CY59" si="426">CV58/CV$7</f>
        <v>0.42618008692623288</v>
      </c>
      <c r="CW59" s="1209">
        <f t="shared" si="426"/>
        <v>0.39313414298071753</v>
      </c>
      <c r="CX59" s="1209">
        <f t="shared" si="426"/>
        <v>0.32669308788117307</v>
      </c>
      <c r="CY59" s="33">
        <f t="shared" si="426"/>
        <v>0.28713835944014876</v>
      </c>
      <c r="CZ59" s="34">
        <f t="shared" ref="CZ59:DC59" si="427">CZ58/CZ$7</f>
        <v>0.26166708034977121</v>
      </c>
      <c r="DA59" s="1209">
        <f t="shared" si="427"/>
        <v>0.23892855724205628</v>
      </c>
      <c r="DB59" s="1209">
        <f t="shared" si="427"/>
        <v>0.22730611037768533</v>
      </c>
      <c r="DC59" s="33">
        <f t="shared" si="427"/>
        <v>0.21769289204919365</v>
      </c>
      <c r="DD59" s="18"/>
      <c r="DE59" s="353">
        <f t="shared" ref="DE59:EB59" si="428">DE58/DE$7</f>
        <v>0.43908964676397866</v>
      </c>
      <c r="DF59" s="353">
        <f t="shared" si="428"/>
        <v>0.26564125020526574</v>
      </c>
      <c r="DG59" s="353">
        <f t="shared" si="428"/>
        <v>0.11708149623097713</v>
      </c>
      <c r="DH59" s="353">
        <f t="shared" si="428"/>
        <v>-0.15935609691600833</v>
      </c>
      <c r="DI59" s="353">
        <f t="shared" si="428"/>
        <v>1.4612114771518452E-3</v>
      </c>
      <c r="DJ59" s="353">
        <f t="shared" si="428"/>
        <v>0.37448132780082988</v>
      </c>
      <c r="DK59" s="353">
        <f t="shared" si="428"/>
        <v>-0.2294011534845902</v>
      </c>
      <c r="DL59" s="353">
        <f t="shared" si="428"/>
        <v>-0.38787176516029365</v>
      </c>
      <c r="DM59" s="353">
        <f t="shared" si="428"/>
        <v>-0.33231973603338388</v>
      </c>
      <c r="DN59" s="353">
        <f t="shared" si="428"/>
        <v>5.1723354979337846E-2</v>
      </c>
      <c r="DO59" s="353">
        <f t="shared" si="428"/>
        <v>3.9711487234129789E-2</v>
      </c>
      <c r="DP59" s="32">
        <f t="shared" si="428"/>
        <v>1.6235182550971922E-2</v>
      </c>
      <c r="DQ59" s="32">
        <f t="shared" si="428"/>
        <v>-5.9247538677918425E-2</v>
      </c>
      <c r="DR59" s="32">
        <f t="shared" si="428"/>
        <v>-0.20373223763054271</v>
      </c>
      <c r="DS59" s="32">
        <f t="shared" si="428"/>
        <v>-0.29981261711430357</v>
      </c>
      <c r="DT59" s="1209">
        <f t="shared" si="428"/>
        <v>0.1841546804998821</v>
      </c>
      <c r="DU59" s="1209">
        <f t="shared" si="428"/>
        <v>4.2671825216203912E-2</v>
      </c>
      <c r="DV59" s="1209">
        <f t="shared" si="428"/>
        <v>-6.764634442555259E-2</v>
      </c>
      <c r="DW59" s="1209">
        <f t="shared" si="428"/>
        <v>3.901686322054447E-2</v>
      </c>
      <c r="DX59" s="1209">
        <f t="shared" si="428"/>
        <v>0.20772710600317887</v>
      </c>
      <c r="DY59" s="1209">
        <f t="shared" si="428"/>
        <v>0.17558053359683795</v>
      </c>
      <c r="DZ59" s="1209">
        <f t="shared" si="428"/>
        <v>4.1132349383014759E-3</v>
      </c>
      <c r="EA59" s="1209">
        <f t="shared" ref="EA59" si="429">EA58/EA$7</f>
        <v>0.29608306269068008</v>
      </c>
      <c r="EB59" s="1209">
        <f t="shared" si="428"/>
        <v>0.47636308959167589</v>
      </c>
      <c r="EC59" s="33">
        <f t="shared" ref="EC59:ED59" si="430">EC58/EC$7</f>
        <v>0.36034844832731489</v>
      </c>
      <c r="ED59" s="33">
        <f t="shared" si="430"/>
        <v>0.23631834176910368</v>
      </c>
      <c r="EE59" s="1364"/>
      <c r="EF59" s="34">
        <f t="shared" ref="EF59:EY59" si="431">EF58/EF$7</f>
        <v>0.43835160260857498</v>
      </c>
      <c r="EG59" s="32">
        <f t="shared" si="431"/>
        <v>0.15130940834141615</v>
      </c>
      <c r="EH59" s="32">
        <f t="shared" si="431"/>
        <v>0.10339947125270375</v>
      </c>
      <c r="EI59" s="32">
        <f t="shared" si="431"/>
        <v>-0.1935630416550182</v>
      </c>
      <c r="EJ59" s="32">
        <f t="shared" si="431"/>
        <v>0.14904615099325458</v>
      </c>
      <c r="EK59" s="32">
        <f t="shared" si="431"/>
        <v>0.35157731817974891</v>
      </c>
      <c r="EL59" s="32">
        <f t="shared" si="431"/>
        <v>-0.66960763216411967</v>
      </c>
      <c r="EM59" s="32">
        <f t="shared" si="431"/>
        <v>-0.29661076415690146</v>
      </c>
      <c r="EN59" s="32">
        <f t="shared" si="431"/>
        <v>-0.20512893493482112</v>
      </c>
      <c r="EO59" s="32">
        <f t="shared" si="431"/>
        <v>8.7156869198867906E-2</v>
      </c>
      <c r="EP59" s="353">
        <f t="shared" si="431"/>
        <v>1.1301362988538175E-2</v>
      </c>
      <c r="EQ59" s="353">
        <f t="shared" si="431"/>
        <v>2.100832613450495E-2</v>
      </c>
      <c r="ER59" s="353">
        <f t="shared" si="431"/>
        <v>-0.12049885824696996</v>
      </c>
      <c r="ES59" s="353">
        <f t="shared" si="431"/>
        <v>-0.28889278206026631</v>
      </c>
      <c r="ET59" s="353">
        <f t="shared" si="431"/>
        <v>-9.764637230110873E-2</v>
      </c>
      <c r="EU59" s="353">
        <f t="shared" si="431"/>
        <v>0.17255948410051145</v>
      </c>
      <c r="EV59" s="353">
        <f t="shared" si="431"/>
        <v>1.1592858798979828E-2</v>
      </c>
      <c r="EW59" s="353">
        <f t="shared" si="431"/>
        <v>-7.6084231637001759E-2</v>
      </c>
      <c r="EX59" s="353">
        <f t="shared" si="431"/>
        <v>0.11967024199982271</v>
      </c>
      <c r="EY59" s="353">
        <f t="shared" si="431"/>
        <v>0.21250518088696785</v>
      </c>
      <c r="EZ59" s="353">
        <f t="shared" ref="EZ59:FA59" si="432">EZ58/EZ$7</f>
        <v>0.13247377914356337</v>
      </c>
      <c r="FA59" s="353">
        <f t="shared" si="432"/>
        <v>1.8588217220984714E-2</v>
      </c>
      <c r="FB59" s="353">
        <f t="shared" ref="FB59:FC59" si="433">FB58/FB$7</f>
        <v>0.37706758799395379</v>
      </c>
      <c r="FC59" s="353">
        <f t="shared" si="433"/>
        <v>0.46841614113581304</v>
      </c>
      <c r="FD59" s="353">
        <f t="shared" ref="FD59" si="434">FD58/FD$7</f>
        <v>0.3176903638103083</v>
      </c>
      <c r="FE59" s="308"/>
      <c r="FF59" s="300"/>
      <c r="FG59" s="300"/>
      <c r="FH59" s="300"/>
      <c r="FO59" s="7"/>
    </row>
    <row r="60" spans="1:171" ht="9.75" customHeight="1" collapsed="1">
      <c r="A60" s="7"/>
      <c r="B60" s="673"/>
      <c r="C60" s="23"/>
      <c r="D60" s="40"/>
      <c r="E60" s="38"/>
      <c r="F60" s="38"/>
      <c r="G60" s="39"/>
      <c r="H60" s="40"/>
      <c r="I60" s="38"/>
      <c r="J60" s="38"/>
      <c r="K60" s="39"/>
      <c r="L60" s="40"/>
      <c r="M60" s="38"/>
      <c r="N60" s="38"/>
      <c r="O60" s="39"/>
      <c r="P60" s="40"/>
      <c r="Q60" s="38"/>
      <c r="R60" s="38"/>
      <c r="S60" s="39"/>
      <c r="T60" s="40"/>
      <c r="U60" s="38"/>
      <c r="V60" s="38"/>
      <c r="W60" s="39"/>
      <c r="X60" s="40"/>
      <c r="Y60" s="38"/>
      <c r="Z60" s="38"/>
      <c r="AA60" s="39"/>
      <c r="AB60" s="40"/>
      <c r="AC60" s="38"/>
      <c r="AD60" s="38"/>
      <c r="AE60" s="39"/>
      <c r="AF60" s="40"/>
      <c r="AG60" s="38"/>
      <c r="AH60" s="38"/>
      <c r="AI60" s="39"/>
      <c r="AJ60" s="40"/>
      <c r="AK60" s="38"/>
      <c r="AL60" s="38"/>
      <c r="AM60" s="39"/>
      <c r="AN60" s="40"/>
      <c r="AO60" s="38"/>
      <c r="AP60" s="38"/>
      <c r="AQ60" s="39"/>
      <c r="AR60" s="40"/>
      <c r="AS60" s="38"/>
      <c r="AT60" s="38"/>
      <c r="AU60" s="39"/>
      <c r="AV60" s="40"/>
      <c r="AW60" s="38"/>
      <c r="AX60" s="38"/>
      <c r="AY60" s="39"/>
      <c r="AZ60" s="40"/>
      <c r="BA60" s="38"/>
      <c r="BB60" s="38"/>
      <c r="BC60" s="39"/>
      <c r="BD60" s="40"/>
      <c r="BE60" s="38"/>
      <c r="BF60" s="38"/>
      <c r="BG60" s="39"/>
      <c r="BH60" s="40"/>
      <c r="BI60" s="38"/>
      <c r="BJ60" s="38"/>
      <c r="BK60" s="39"/>
      <c r="BL60" s="40"/>
      <c r="BM60" s="38"/>
      <c r="BN60" s="38"/>
      <c r="BO60" s="39"/>
      <c r="BP60" s="40"/>
      <c r="BQ60" s="38"/>
      <c r="BR60" s="38"/>
      <c r="BS60" s="39"/>
      <c r="BT60" s="40"/>
      <c r="BU60" s="38"/>
      <c r="BV60" s="38"/>
      <c r="BW60" s="39"/>
      <c r="BX60" s="40"/>
      <c r="BY60" s="38"/>
      <c r="BZ60" s="38"/>
      <c r="CA60" s="39"/>
      <c r="CB60" s="40"/>
      <c r="CC60" s="38"/>
      <c r="CD60" s="38"/>
      <c r="CE60" s="39"/>
      <c r="CF60" s="40"/>
      <c r="CG60" s="38"/>
      <c r="CH60" s="38"/>
      <c r="CI60" s="39"/>
      <c r="CJ60" s="40"/>
      <c r="CK60" s="38"/>
      <c r="CL60" s="38"/>
      <c r="CM60" s="39"/>
      <c r="CN60" s="40"/>
      <c r="CO60" s="38"/>
      <c r="CP60" s="38"/>
      <c r="CQ60" s="39"/>
      <c r="CR60" s="40"/>
      <c r="CS60" s="38"/>
      <c r="CT60" s="38"/>
      <c r="CU60" s="39"/>
      <c r="CV60" s="40"/>
      <c r="CW60" s="38"/>
      <c r="CX60" s="38"/>
      <c r="CY60" s="39"/>
      <c r="CZ60" s="40"/>
      <c r="DA60" s="38"/>
      <c r="DB60" s="38"/>
      <c r="DC60" s="39"/>
      <c r="DD60" s="18"/>
      <c r="DE60" s="356"/>
      <c r="DF60" s="356"/>
      <c r="DG60" s="356"/>
      <c r="DH60" s="356"/>
      <c r="DI60" s="356"/>
      <c r="DJ60" s="356"/>
      <c r="DK60" s="356"/>
      <c r="DL60" s="356"/>
      <c r="DM60" s="356"/>
      <c r="DN60" s="356"/>
      <c r="DO60" s="356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9"/>
      <c r="ED60" s="39"/>
      <c r="EE60" s="1364"/>
      <c r="EF60" s="40"/>
      <c r="EG60" s="38"/>
      <c r="EH60" s="38"/>
      <c r="EI60" s="38"/>
      <c r="EJ60" s="38"/>
      <c r="EK60" s="38"/>
      <c r="EL60" s="38"/>
      <c r="EM60" s="38"/>
      <c r="EN60" s="38"/>
      <c r="EO60" s="38"/>
      <c r="EP60" s="356"/>
      <c r="EQ60" s="356"/>
      <c r="ER60" s="356"/>
      <c r="ES60" s="356"/>
      <c r="ET60" s="356"/>
      <c r="EU60" s="356"/>
      <c r="EV60" s="356"/>
      <c r="EW60" s="356"/>
      <c r="EX60" s="356"/>
      <c r="EY60" s="356"/>
      <c r="EZ60" s="356"/>
      <c r="FA60" s="356"/>
      <c r="FB60" s="356"/>
      <c r="FC60" s="356"/>
      <c r="FD60" s="356"/>
      <c r="FE60" s="308"/>
      <c r="FF60" s="300"/>
      <c r="FG60" s="300"/>
      <c r="FH60" s="300"/>
      <c r="FO60" s="7"/>
    </row>
    <row r="61" spans="1:171" s="415" customFormat="1" ht="14.25" customHeight="1">
      <c r="A61" s="413"/>
      <c r="B61" s="675" t="s">
        <v>192</v>
      </c>
      <c r="C61" s="558"/>
      <c r="D61" s="556">
        <f t="shared" ref="D61:AI61" si="435">D62+D64+D63</f>
        <v>3.6</v>
      </c>
      <c r="E61" s="554">
        <f t="shared" si="435"/>
        <v>6.5</v>
      </c>
      <c r="F61" s="554">
        <f t="shared" si="435"/>
        <v>7.4</v>
      </c>
      <c r="G61" s="555">
        <f t="shared" si="435"/>
        <v>7.5</v>
      </c>
      <c r="H61" s="556">
        <f t="shared" si="435"/>
        <v>4.7</v>
      </c>
      <c r="I61" s="554">
        <f t="shared" si="435"/>
        <v>9.4</v>
      </c>
      <c r="J61" s="554">
        <f t="shared" si="435"/>
        <v>-1.4</v>
      </c>
      <c r="K61" s="555">
        <f t="shared" si="435"/>
        <v>-3.3</v>
      </c>
      <c r="L61" s="556">
        <f t="shared" si="435"/>
        <v>-5.2</v>
      </c>
      <c r="M61" s="554">
        <f t="shared" si="435"/>
        <v>196.89999999999998</v>
      </c>
      <c r="N61" s="554">
        <f t="shared" si="435"/>
        <v>-4.4000000000000004</v>
      </c>
      <c r="O61" s="555">
        <f t="shared" si="435"/>
        <v>0.59999999999999964</v>
      </c>
      <c r="P61" s="556">
        <f t="shared" si="435"/>
        <v>-1.4000000000000001</v>
      </c>
      <c r="Q61" s="554">
        <f t="shared" si="435"/>
        <v>150.4</v>
      </c>
      <c r="R61" s="554">
        <f t="shared" si="435"/>
        <v>-1.4000000000000001</v>
      </c>
      <c r="S61" s="555">
        <f t="shared" si="435"/>
        <v>-7.3999999999999995</v>
      </c>
      <c r="T61" s="556">
        <f t="shared" si="435"/>
        <v>-11.2</v>
      </c>
      <c r="U61" s="554">
        <f t="shared" si="435"/>
        <v>-12.799999999999999</v>
      </c>
      <c r="V61" s="554">
        <f t="shared" si="435"/>
        <v>-17</v>
      </c>
      <c r="W61" s="555">
        <f t="shared" si="435"/>
        <v>-16.899999999999999</v>
      </c>
      <c r="X61" s="556">
        <f t="shared" si="435"/>
        <v>-23.1</v>
      </c>
      <c r="Y61" s="554">
        <f t="shared" si="435"/>
        <v>-17.899999999999999</v>
      </c>
      <c r="Z61" s="554">
        <f t="shared" si="435"/>
        <v>-7.9</v>
      </c>
      <c r="AA61" s="555">
        <f t="shared" si="435"/>
        <v>-9.8000000000000007</v>
      </c>
      <c r="AB61" s="556">
        <f t="shared" si="435"/>
        <v>27.900000000000002</v>
      </c>
      <c r="AC61" s="554">
        <f t="shared" si="435"/>
        <v>-48.6</v>
      </c>
      <c r="AD61" s="554">
        <f t="shared" si="435"/>
        <v>18.299999999999997</v>
      </c>
      <c r="AE61" s="555">
        <f t="shared" si="435"/>
        <v>-92.100000000000023</v>
      </c>
      <c r="AF61" s="556">
        <f t="shared" si="435"/>
        <v>8.9</v>
      </c>
      <c r="AG61" s="554">
        <f t="shared" si="435"/>
        <v>8.3000000000000007</v>
      </c>
      <c r="AH61" s="554">
        <f t="shared" si="435"/>
        <v>5.8</v>
      </c>
      <c r="AI61" s="555">
        <f t="shared" si="435"/>
        <v>1.6999999999999997</v>
      </c>
      <c r="AJ61" s="556">
        <f t="shared" ref="AJ61:BO61" si="436">AJ62+AJ64+AJ63</f>
        <v>0.6</v>
      </c>
      <c r="AK61" s="554">
        <f t="shared" si="436"/>
        <v>-2.6</v>
      </c>
      <c r="AL61" s="554">
        <f t="shared" si="436"/>
        <v>-8.9</v>
      </c>
      <c r="AM61" s="555">
        <f t="shared" si="436"/>
        <v>-9.1</v>
      </c>
      <c r="AN61" s="556">
        <f t="shared" si="436"/>
        <v>-5.6</v>
      </c>
      <c r="AO61" s="554">
        <f t="shared" si="436"/>
        <v>-3.7</v>
      </c>
      <c r="AP61" s="554">
        <f t="shared" si="436"/>
        <v>-1.4000000000000004</v>
      </c>
      <c r="AQ61" s="555">
        <f t="shared" si="436"/>
        <v>-0.70000000000000018</v>
      </c>
      <c r="AR61" s="556">
        <f t="shared" si="436"/>
        <v>-2.4000000000000004</v>
      </c>
      <c r="AS61" s="554">
        <f t="shared" si="436"/>
        <v>-1.5</v>
      </c>
      <c r="AT61" s="554">
        <f t="shared" si="436"/>
        <v>-5.0999999999999996</v>
      </c>
      <c r="AU61" s="555">
        <f t="shared" si="436"/>
        <v>-3.1</v>
      </c>
      <c r="AV61" s="556">
        <f t="shared" si="436"/>
        <v>0.4</v>
      </c>
      <c r="AW61" s="554">
        <f t="shared" si="436"/>
        <v>13.3</v>
      </c>
      <c r="AX61" s="554">
        <f t="shared" si="436"/>
        <v>30.4</v>
      </c>
      <c r="AY61" s="555">
        <f t="shared" si="436"/>
        <v>38.800000000000004</v>
      </c>
      <c r="AZ61" s="556">
        <f t="shared" si="436"/>
        <v>43</v>
      </c>
      <c r="BA61" s="554">
        <f t="shared" si="436"/>
        <v>36</v>
      </c>
      <c r="BB61" s="554">
        <f t="shared" si="436"/>
        <v>18</v>
      </c>
      <c r="BC61" s="555">
        <f t="shared" si="436"/>
        <v>-4</v>
      </c>
      <c r="BD61" s="556">
        <f t="shared" si="436"/>
        <v>-5</v>
      </c>
      <c r="BE61" s="554">
        <f t="shared" si="436"/>
        <v>-466</v>
      </c>
      <c r="BF61" s="554">
        <f t="shared" si="436"/>
        <v>-6</v>
      </c>
      <c r="BG61" s="555">
        <f t="shared" si="436"/>
        <v>-15</v>
      </c>
      <c r="BH61" s="556">
        <f t="shared" si="436"/>
        <v>-34</v>
      </c>
      <c r="BI61" s="554">
        <f t="shared" si="436"/>
        <v>-148</v>
      </c>
      <c r="BJ61" s="554">
        <f t="shared" si="436"/>
        <v>-79</v>
      </c>
      <c r="BK61" s="555">
        <f t="shared" si="436"/>
        <v>-66</v>
      </c>
      <c r="BL61" s="556">
        <f t="shared" si="436"/>
        <v>11</v>
      </c>
      <c r="BM61" s="554">
        <f t="shared" si="436"/>
        <v>-45</v>
      </c>
      <c r="BN61" s="554">
        <f t="shared" si="436"/>
        <v>398</v>
      </c>
      <c r="BO61" s="555">
        <f t="shared" si="436"/>
        <v>-33</v>
      </c>
      <c r="BP61" s="556">
        <f t="shared" ref="BP61:BX61" si="437">BP62+BP64+BP63</f>
        <v>-144</v>
      </c>
      <c r="BQ61" s="554">
        <f t="shared" si="437"/>
        <v>-21</v>
      </c>
      <c r="BR61" s="554">
        <f t="shared" si="437"/>
        <v>-12</v>
      </c>
      <c r="BS61" s="555">
        <f t="shared" si="437"/>
        <v>-27</v>
      </c>
      <c r="BT61" s="556">
        <f t="shared" si="437"/>
        <v>-33</v>
      </c>
      <c r="BU61" s="554">
        <f t="shared" si="437"/>
        <v>5</v>
      </c>
      <c r="BV61" s="554">
        <f t="shared" si="437"/>
        <v>-52</v>
      </c>
      <c r="BW61" s="555">
        <f t="shared" si="437"/>
        <v>-56</v>
      </c>
      <c r="BX61" s="556">
        <f t="shared" si="437"/>
        <v>-53</v>
      </c>
      <c r="BY61" s="554">
        <f>BY62+BY64+BY63</f>
        <v>-212</v>
      </c>
      <c r="BZ61" s="554">
        <f>BZ62+BZ64+BZ63</f>
        <v>-97</v>
      </c>
      <c r="CA61" s="555">
        <f>SUM(CA62:CA67)</f>
        <v>1471</v>
      </c>
      <c r="CB61" s="556">
        <f t="shared" ref="CB61:CI61" si="438">SUM(CB62:CB64)</f>
        <v>-176</v>
      </c>
      <c r="CC61" s="554">
        <f t="shared" si="438"/>
        <v>-199</v>
      </c>
      <c r="CD61" s="554">
        <f>SUM(CD62:CD64)</f>
        <v>-96</v>
      </c>
      <c r="CE61" s="555">
        <f>SUM(CE62:CE64)</f>
        <v>117</v>
      </c>
      <c r="CF61" s="556">
        <f t="shared" si="438"/>
        <v>-132</v>
      </c>
      <c r="CG61" s="554">
        <f t="shared" si="438"/>
        <v>-81</v>
      </c>
      <c r="CH61" s="554">
        <f t="shared" si="438"/>
        <v>-104</v>
      </c>
      <c r="CI61" s="555">
        <f t="shared" si="438"/>
        <v>-72</v>
      </c>
      <c r="CJ61" s="556">
        <f>SUM(CJ62:CJ64)</f>
        <v>-89</v>
      </c>
      <c r="CK61" s="554">
        <f t="shared" ref="CK61:CM61" si="439">SUM(CK62:CK64)</f>
        <v>-91</v>
      </c>
      <c r="CL61" s="554">
        <f t="shared" si="439"/>
        <v>-133</v>
      </c>
      <c r="CM61" s="555">
        <f t="shared" si="439"/>
        <v>-136</v>
      </c>
      <c r="CN61" s="556">
        <f>SUM(CN62:CN64)</f>
        <v>-146</v>
      </c>
      <c r="CO61" s="554">
        <f t="shared" ref="CO61:CQ61" si="440">SUM(CO62:CO64)</f>
        <v>-119</v>
      </c>
      <c r="CP61" s="554">
        <f t="shared" si="440"/>
        <v>-226</v>
      </c>
      <c r="CQ61" s="555">
        <f t="shared" si="440"/>
        <v>-181</v>
      </c>
      <c r="CR61" s="556">
        <f>SUM(CR62:CR64)</f>
        <v>-305</v>
      </c>
      <c r="CS61" s="554">
        <f t="shared" ref="CS61" si="441">SUM(CS62:CS64)</f>
        <v>-114</v>
      </c>
      <c r="CT61" s="554">
        <f t="shared" ref="CT61:CU61" si="442">SUM(CT62:CT64)</f>
        <v>-30</v>
      </c>
      <c r="CU61" s="555">
        <f t="shared" si="442"/>
        <v>-30</v>
      </c>
      <c r="CV61" s="556">
        <f t="shared" ref="CV61:CY61" si="443">SUM(CV62:CV64)</f>
        <v>-30</v>
      </c>
      <c r="CW61" s="554">
        <f t="shared" si="443"/>
        <v>-30</v>
      </c>
      <c r="CX61" s="554">
        <f t="shared" si="443"/>
        <v>-30</v>
      </c>
      <c r="CY61" s="555">
        <f t="shared" si="443"/>
        <v>-30</v>
      </c>
      <c r="CZ61" s="556">
        <f t="shared" ref="CZ61:DC61" si="444">SUM(CZ62:CZ64)</f>
        <v>-30</v>
      </c>
      <c r="DA61" s="554">
        <f t="shared" si="444"/>
        <v>-30</v>
      </c>
      <c r="DB61" s="554">
        <f t="shared" si="444"/>
        <v>-30</v>
      </c>
      <c r="DC61" s="555">
        <f t="shared" si="444"/>
        <v>-30</v>
      </c>
      <c r="DD61" s="598"/>
      <c r="DE61" s="553">
        <f>DE62+DE64+DE63</f>
        <v>25</v>
      </c>
      <c r="DF61" s="553">
        <f t="shared" ref="DF61:DU61" si="445">DF62+DF64+DF63</f>
        <v>9.4</v>
      </c>
      <c r="DG61" s="553">
        <f t="shared" si="445"/>
        <v>187.9</v>
      </c>
      <c r="DH61" s="553">
        <f t="shared" si="445"/>
        <v>140.19999999999999</v>
      </c>
      <c r="DI61" s="553">
        <f t="shared" si="445"/>
        <v>-57.9</v>
      </c>
      <c r="DJ61" s="553">
        <f t="shared" si="445"/>
        <v>-58.699999999999996</v>
      </c>
      <c r="DK61" s="553">
        <f t="shared" si="445"/>
        <v>-94.5</v>
      </c>
      <c r="DL61" s="553">
        <f t="shared" si="445"/>
        <v>24.700000000000003</v>
      </c>
      <c r="DM61" s="553">
        <f t="shared" si="445"/>
        <v>-20</v>
      </c>
      <c r="DN61" s="553">
        <f t="shared" si="445"/>
        <v>-11.400000000000002</v>
      </c>
      <c r="DO61" s="553">
        <f t="shared" si="445"/>
        <v>-12.100000000000001</v>
      </c>
      <c r="DP61" s="554">
        <f t="shared" si="445"/>
        <v>82.9</v>
      </c>
      <c r="DQ61" s="554">
        <f t="shared" si="445"/>
        <v>93</v>
      </c>
      <c r="DR61" s="554">
        <f t="shared" si="445"/>
        <v>-492</v>
      </c>
      <c r="DS61" s="554">
        <f t="shared" si="445"/>
        <v>-327</v>
      </c>
      <c r="DT61" s="554">
        <f t="shared" si="445"/>
        <v>331</v>
      </c>
      <c r="DU61" s="554">
        <f t="shared" si="445"/>
        <v>-204</v>
      </c>
      <c r="DV61" s="554">
        <f>SUM(DV62:DV64)</f>
        <v>-136</v>
      </c>
      <c r="DW61" s="554">
        <f>SUM(DW62:DW64)</f>
        <v>-375</v>
      </c>
      <c r="DX61" s="554">
        <f>SUM(DX62:DX64)</f>
        <v>-354</v>
      </c>
      <c r="DY61" s="554">
        <f>SUM(DY62:DY64)</f>
        <v>-389</v>
      </c>
      <c r="DZ61" s="554">
        <f t="shared" ref="DZ61:DZ67" si="446">SUM(CJ61:CM61)</f>
        <v>-449</v>
      </c>
      <c r="EA61" s="554">
        <f t="shared" ref="EA61:EA68" si="447">SUM(CN61:CQ61)</f>
        <v>-672</v>
      </c>
      <c r="EB61" s="554">
        <f t="shared" ref="EB61:EB64" si="448">SUM(CR61:CU61)</f>
        <v>-479</v>
      </c>
      <c r="EC61" s="555">
        <f>SUM(CV61:CY61)</f>
        <v>-120</v>
      </c>
      <c r="ED61" s="555">
        <f>SUM(CZ61:DC61)</f>
        <v>-120</v>
      </c>
      <c r="EE61" s="1364"/>
      <c r="EF61" s="556">
        <f t="shared" ref="EF61:FB61" si="449">EF62+EF64+EF63</f>
        <v>26.099999999999998</v>
      </c>
      <c r="EG61" s="554">
        <f t="shared" si="449"/>
        <v>-0.50000000000000044</v>
      </c>
      <c r="EH61" s="554">
        <f t="shared" si="449"/>
        <v>191.7</v>
      </c>
      <c r="EI61" s="554">
        <f t="shared" si="449"/>
        <v>130.39999999999998</v>
      </c>
      <c r="EJ61" s="554">
        <f t="shared" si="449"/>
        <v>-69.8</v>
      </c>
      <c r="EK61" s="554">
        <f t="shared" si="449"/>
        <v>-7.6999999999999886</v>
      </c>
      <c r="EL61" s="554">
        <f t="shared" si="449"/>
        <v>-113.50000000000001</v>
      </c>
      <c r="EM61" s="554">
        <f t="shared" si="449"/>
        <v>16.399999999999999</v>
      </c>
      <c r="EN61" s="554">
        <f t="shared" si="449"/>
        <v>-26.2</v>
      </c>
      <c r="EO61" s="554">
        <f t="shared" si="449"/>
        <v>-8.2000000000000011</v>
      </c>
      <c r="EP61" s="553">
        <f t="shared" si="449"/>
        <v>-9.2999999999999989</v>
      </c>
      <c r="EQ61" s="553">
        <f t="shared" si="449"/>
        <v>125.5</v>
      </c>
      <c r="ER61" s="553">
        <f t="shared" si="449"/>
        <v>45</v>
      </c>
      <c r="ES61" s="553">
        <f t="shared" si="449"/>
        <v>-521</v>
      </c>
      <c r="ET61" s="553">
        <f t="shared" si="449"/>
        <v>-282</v>
      </c>
      <c r="EU61" s="553">
        <f t="shared" si="449"/>
        <v>176</v>
      </c>
      <c r="EV61" s="553">
        <f t="shared" si="449"/>
        <v>-93</v>
      </c>
      <c r="EW61" s="553">
        <f t="shared" si="449"/>
        <v>-156</v>
      </c>
      <c r="EX61" s="553">
        <f t="shared" si="449"/>
        <v>-498</v>
      </c>
      <c r="EY61" s="553">
        <f t="shared" si="449"/>
        <v>-310</v>
      </c>
      <c r="EZ61" s="553">
        <f t="shared" si="449"/>
        <v>-346</v>
      </c>
      <c r="FA61" s="553">
        <f t="shared" si="449"/>
        <v>-506</v>
      </c>
      <c r="FB61" s="553">
        <f t="shared" si="449"/>
        <v>-831</v>
      </c>
      <c r="FC61" s="553">
        <f t="shared" ref="FC61:FD61" si="450">FC62+FC64+FC63</f>
        <v>-204</v>
      </c>
      <c r="FD61" s="553">
        <f t="shared" si="450"/>
        <v>-120</v>
      </c>
      <c r="FE61" s="557"/>
      <c r="FF61" s="669"/>
      <c r="FG61" s="669"/>
      <c r="FH61" s="669"/>
      <c r="FI61"/>
      <c r="FJ61"/>
      <c r="FK61"/>
      <c r="FL61"/>
      <c r="FM61"/>
      <c r="FN61"/>
      <c r="FO61" s="413"/>
    </row>
    <row r="62" spans="1:171" ht="14.25" hidden="1" customHeight="1" outlineLevel="1">
      <c r="A62" s="7"/>
      <c r="B62" s="673" t="s">
        <v>181</v>
      </c>
      <c r="C62" s="25"/>
      <c r="D62" s="369">
        <v>3.6</v>
      </c>
      <c r="E62" s="26">
        <v>6.5</v>
      </c>
      <c r="F62" s="26">
        <v>7.4</v>
      </c>
      <c r="G62" s="368">
        <v>7.5</v>
      </c>
      <c r="H62" s="369">
        <v>8.4</v>
      </c>
      <c r="I62" s="26">
        <v>4.4000000000000004</v>
      </c>
      <c r="J62" s="26">
        <v>2.1</v>
      </c>
      <c r="K62" s="368">
        <v>-0.7</v>
      </c>
      <c r="L62" s="369">
        <v>-2.1</v>
      </c>
      <c r="M62" s="26">
        <v>-1.8</v>
      </c>
      <c r="N62" s="26">
        <v>1.5</v>
      </c>
      <c r="O62" s="368">
        <v>3.3</v>
      </c>
      <c r="P62" s="369">
        <v>-1.3</v>
      </c>
      <c r="Q62" s="26">
        <v>1.8</v>
      </c>
      <c r="R62" s="26">
        <v>0.5</v>
      </c>
      <c r="S62" s="368">
        <v>-1.8</v>
      </c>
      <c r="T62" s="369">
        <v>-7.9</v>
      </c>
      <c r="U62" s="26">
        <v>-11.7</v>
      </c>
      <c r="V62" s="26">
        <v>-14.4</v>
      </c>
      <c r="W62" s="368">
        <v>-12.5</v>
      </c>
      <c r="X62" s="369">
        <v>-7.8</v>
      </c>
      <c r="Y62" s="26">
        <v>-2.7</v>
      </c>
      <c r="Z62" s="26">
        <v>10.9</v>
      </c>
      <c r="AA62" s="368">
        <v>14.5</v>
      </c>
      <c r="AB62" s="369">
        <v>36.200000000000003</v>
      </c>
      <c r="AC62" s="26">
        <v>39.6</v>
      </c>
      <c r="AD62" s="26">
        <v>26.9</v>
      </c>
      <c r="AE62" s="368">
        <v>16.399999999999999</v>
      </c>
      <c r="AF62" s="369">
        <v>14.8</v>
      </c>
      <c r="AG62" s="26">
        <v>10.6</v>
      </c>
      <c r="AH62" s="26">
        <v>5</v>
      </c>
      <c r="AI62" s="368">
        <v>4.0999999999999996</v>
      </c>
      <c r="AJ62" s="369">
        <v>1.5</v>
      </c>
      <c r="AK62" s="26">
        <v>-3.1</v>
      </c>
      <c r="AL62" s="26">
        <v>-8.3000000000000007</v>
      </c>
      <c r="AM62" s="368">
        <v>-8.5</v>
      </c>
      <c r="AN62" s="369">
        <v>-5.5</v>
      </c>
      <c r="AO62" s="26">
        <v>-4.9000000000000004</v>
      </c>
      <c r="AP62" s="26">
        <v>-5.4</v>
      </c>
      <c r="AQ62" s="368">
        <v>-5</v>
      </c>
      <c r="AR62" s="369">
        <v>-4.5</v>
      </c>
      <c r="AS62" s="26">
        <v>-5</v>
      </c>
      <c r="AT62" s="26">
        <v>-3.8</v>
      </c>
      <c r="AU62" s="368">
        <v>-2.1</v>
      </c>
      <c r="AV62" s="369">
        <v>0.3</v>
      </c>
      <c r="AW62" s="26">
        <v>12.3</v>
      </c>
      <c r="AX62" s="26">
        <v>27</v>
      </c>
      <c r="AY62" s="368">
        <v>36.200000000000003</v>
      </c>
      <c r="AZ62" s="369">
        <v>40</v>
      </c>
      <c r="BA62" s="26">
        <v>31</v>
      </c>
      <c r="BB62" s="26">
        <v>17</v>
      </c>
      <c r="BC62" s="368">
        <v>15</v>
      </c>
      <c r="BD62" s="369">
        <v>9</v>
      </c>
      <c r="BE62" s="26">
        <v>3</v>
      </c>
      <c r="BF62" s="26">
        <v>-6</v>
      </c>
      <c r="BG62" s="368">
        <v>-9</v>
      </c>
      <c r="BH62" s="369">
        <v>-20</v>
      </c>
      <c r="BI62" s="26">
        <v>-31</v>
      </c>
      <c r="BJ62" s="26">
        <v>-31</v>
      </c>
      <c r="BK62" s="368">
        <v>-31</v>
      </c>
      <c r="BL62" s="369">
        <v>2</v>
      </c>
      <c r="BM62" s="26">
        <v>2</v>
      </c>
      <c r="BN62" s="26">
        <v>4</v>
      </c>
      <c r="BO62" s="368">
        <f>18-BN62-BM62-BL62</f>
        <v>10</v>
      </c>
      <c r="BP62" s="369">
        <v>8</v>
      </c>
      <c r="BQ62" s="26">
        <v>7</v>
      </c>
      <c r="BR62" s="26">
        <v>6</v>
      </c>
      <c r="BS62" s="368">
        <f>23-BR62-BQ62-BP62</f>
        <v>2</v>
      </c>
      <c r="BT62" s="369">
        <v>0</v>
      </c>
      <c r="BU62" s="26">
        <v>2</v>
      </c>
      <c r="BV62" s="26">
        <v>3</v>
      </c>
      <c r="BW62" s="368">
        <v>0</v>
      </c>
      <c r="BX62" s="369">
        <v>0</v>
      </c>
      <c r="BY62" s="26">
        <v>0</v>
      </c>
      <c r="BZ62" s="26">
        <v>2</v>
      </c>
      <c r="CA62" s="368">
        <v>0</v>
      </c>
      <c r="CB62" s="369">
        <v>5</v>
      </c>
      <c r="CC62" s="26">
        <v>6</v>
      </c>
      <c r="CD62" s="26">
        <v>5</v>
      </c>
      <c r="CE62" s="368">
        <v>7</v>
      </c>
      <c r="CF62" s="369">
        <v>7</v>
      </c>
      <c r="CG62" s="26">
        <v>8</v>
      </c>
      <c r="CH62" s="26">
        <v>9</v>
      </c>
      <c r="CI62" s="368">
        <v>11</v>
      </c>
      <c r="CJ62" s="369">
        <v>11</v>
      </c>
      <c r="CK62" s="26">
        <v>0</v>
      </c>
      <c r="CL62" s="26">
        <v>0</v>
      </c>
      <c r="CM62" s="368">
        <v>0</v>
      </c>
      <c r="CN62" s="369">
        <v>0</v>
      </c>
      <c r="CO62" s="26">
        <v>0</v>
      </c>
      <c r="CP62" s="26">
        <v>0</v>
      </c>
      <c r="CQ62" s="368">
        <v>0</v>
      </c>
      <c r="CR62" s="369">
        <v>0</v>
      </c>
      <c r="CS62" s="26">
        <v>0</v>
      </c>
      <c r="CT62" s="26">
        <v>0</v>
      </c>
      <c r="CU62" s="368">
        <v>0</v>
      </c>
      <c r="CV62" s="369">
        <v>0</v>
      </c>
      <c r="CW62" s="26">
        <v>0</v>
      </c>
      <c r="CX62" s="26">
        <v>0</v>
      </c>
      <c r="CY62" s="368">
        <v>0</v>
      </c>
      <c r="CZ62" s="369">
        <v>0</v>
      </c>
      <c r="DA62" s="26">
        <v>0</v>
      </c>
      <c r="DB62" s="26">
        <v>0</v>
      </c>
      <c r="DC62" s="368">
        <v>0</v>
      </c>
      <c r="DD62" s="18"/>
      <c r="DE62" s="352">
        <f>SUM(D62:G62)</f>
        <v>25</v>
      </c>
      <c r="DF62" s="352">
        <f>SUM(H62:K62)</f>
        <v>14.200000000000001</v>
      </c>
      <c r="DG62" s="352">
        <f>SUM(L62:O62)</f>
        <v>0.89999999999999947</v>
      </c>
      <c r="DH62" s="352">
        <f>SUM(P62:S62)</f>
        <v>-0.8</v>
      </c>
      <c r="DI62" s="352">
        <f>SUM(T62:W62)</f>
        <v>-46.5</v>
      </c>
      <c r="DJ62" s="352">
        <f>SUM(X62:AA62)</f>
        <v>14.9</v>
      </c>
      <c r="DK62" s="352">
        <f>SUM(AB62:AE62)</f>
        <v>119.10000000000002</v>
      </c>
      <c r="DL62" s="352">
        <f>SUM(AF62:AI62)</f>
        <v>34.5</v>
      </c>
      <c r="DM62" s="352">
        <f>SUM(AJ62:AM62)</f>
        <v>-18.399999999999999</v>
      </c>
      <c r="DN62" s="352">
        <f>SUM(AN62:AQ62)</f>
        <v>-20.8</v>
      </c>
      <c r="DO62" s="352">
        <f>SUM(AR62:AU62)</f>
        <v>-15.4</v>
      </c>
      <c r="DP62" s="27">
        <f>SUM(AV62:AY62)</f>
        <v>75.800000000000011</v>
      </c>
      <c r="DQ62" s="27">
        <f>SUM(AZ62:BC62)</f>
        <v>103</v>
      </c>
      <c r="DR62" s="27">
        <f>SUM(BD62:BG62)</f>
        <v>-3</v>
      </c>
      <c r="DS62" s="27">
        <f>SUM(BH62:BK62)</f>
        <v>-113</v>
      </c>
      <c r="DT62" s="27">
        <f>SUM(BL62:BO62)</f>
        <v>18</v>
      </c>
      <c r="DU62" s="27">
        <f>SUM(BP62:BS62)</f>
        <v>23</v>
      </c>
      <c r="DV62" s="27">
        <f>SUM(BT62:BW62)</f>
        <v>5</v>
      </c>
      <c r="DW62" s="27">
        <f>SUM(BX62:CA62)</f>
        <v>2</v>
      </c>
      <c r="DX62" s="27">
        <f>SUM(CB62:CE62)</f>
        <v>23</v>
      </c>
      <c r="DY62" s="27">
        <f>SUM(CF62:CI62)</f>
        <v>35</v>
      </c>
      <c r="DZ62" s="27">
        <f t="shared" si="446"/>
        <v>11</v>
      </c>
      <c r="EA62" s="27">
        <f t="shared" si="447"/>
        <v>0</v>
      </c>
      <c r="EB62" s="27">
        <f t="shared" si="448"/>
        <v>0</v>
      </c>
      <c r="EC62" s="28">
        <f>SUM(CV62:CY62)</f>
        <v>0</v>
      </c>
      <c r="ED62" s="28">
        <f>SUM(CZ62:DC62)</f>
        <v>0</v>
      </c>
      <c r="EE62" s="1364"/>
      <c r="EF62" s="29">
        <f>SUM(E62:H62)</f>
        <v>29.799999999999997</v>
      </c>
      <c r="EG62" s="27">
        <f>SUM(I62:L62)</f>
        <v>3.6999999999999997</v>
      </c>
      <c r="EH62" s="27">
        <f>SUM(M62:P62)</f>
        <v>1.7</v>
      </c>
      <c r="EI62" s="27">
        <f>SUM(Q62:T62)</f>
        <v>-7.4</v>
      </c>
      <c r="EJ62" s="27">
        <f>SUM(U62:X62)</f>
        <v>-46.4</v>
      </c>
      <c r="EK62" s="27">
        <f>SUM(Y62:AB62)</f>
        <v>58.900000000000006</v>
      </c>
      <c r="EL62" s="27">
        <f>SUM(AC62:AF62)</f>
        <v>97.7</v>
      </c>
      <c r="EM62" s="27">
        <f>SUM(AG62:AJ62)</f>
        <v>21.2</v>
      </c>
      <c r="EN62" s="27">
        <f>SUM(AK62:AN62)</f>
        <v>-25.4</v>
      </c>
      <c r="EO62" s="27">
        <f>SUM(AO62:AR62)</f>
        <v>-19.8</v>
      </c>
      <c r="EP62" s="352">
        <f>SUM(AS62:AV62)</f>
        <v>-10.6</v>
      </c>
      <c r="EQ62" s="352">
        <f>SUM(AW62:AZ62)</f>
        <v>115.5</v>
      </c>
      <c r="ER62" s="352">
        <f>SUM(BA62:BD62)</f>
        <v>72</v>
      </c>
      <c r="ES62" s="352">
        <f>SUM(BE62:BH62)</f>
        <v>-32</v>
      </c>
      <c r="ET62" s="352">
        <f>SUM(BI62:BL62)</f>
        <v>-91</v>
      </c>
      <c r="EU62" s="352">
        <f>SUM(BM62:BP62)</f>
        <v>24</v>
      </c>
      <c r="EV62" s="352">
        <f>SUM(BQ62:BT62)</f>
        <v>15</v>
      </c>
      <c r="EW62" s="352">
        <f>SUM(BU62:BX62)</f>
        <v>5</v>
      </c>
      <c r="EX62" s="352">
        <f>SUM(BY62:CB62)</f>
        <v>7</v>
      </c>
      <c r="EY62" s="352">
        <f>SUM(CC62:CF62)</f>
        <v>25</v>
      </c>
      <c r="EZ62" s="352">
        <f t="shared" ref="EZ62:EZ64" si="451">SUM(CG62:CJ62)</f>
        <v>39</v>
      </c>
      <c r="FA62" s="352">
        <f t="shared" ref="FA62:FA64" si="452">SUM(CK62:CN62)</f>
        <v>0</v>
      </c>
      <c r="FB62" s="352">
        <f t="shared" ref="FB62:FB64" si="453">SUM(CO62:CR62)</f>
        <v>0</v>
      </c>
      <c r="FC62" s="352">
        <f>SUM(CS62:CV62)</f>
        <v>0</v>
      </c>
      <c r="FD62" s="352">
        <f>SUM(CW62:CZ62)</f>
        <v>0</v>
      </c>
      <c r="FE62" s="308"/>
      <c r="FF62" s="300"/>
      <c r="FG62" s="300"/>
      <c r="FH62" s="300"/>
      <c r="FO62" s="7"/>
    </row>
    <row r="63" spans="1:171" ht="14.25" hidden="1" customHeight="1" outlineLevel="1">
      <c r="A63" s="7"/>
      <c r="B63" s="673" t="s">
        <v>182</v>
      </c>
      <c r="C63" s="25"/>
      <c r="D63" s="369">
        <v>0</v>
      </c>
      <c r="E63" s="26">
        <v>0</v>
      </c>
      <c r="F63" s="26">
        <v>0</v>
      </c>
      <c r="G63" s="368">
        <v>0</v>
      </c>
      <c r="H63" s="369">
        <v>0</v>
      </c>
      <c r="I63" s="26">
        <v>0</v>
      </c>
      <c r="J63" s="26">
        <v>0</v>
      </c>
      <c r="K63" s="368">
        <v>0</v>
      </c>
      <c r="L63" s="369">
        <v>0</v>
      </c>
      <c r="M63" s="26">
        <v>0</v>
      </c>
      <c r="N63" s="26">
        <v>0</v>
      </c>
      <c r="O63" s="368">
        <v>0</v>
      </c>
      <c r="P63" s="369">
        <v>0</v>
      </c>
      <c r="Q63" s="26">
        <v>0</v>
      </c>
      <c r="R63" s="26">
        <v>0</v>
      </c>
      <c r="S63" s="368">
        <v>0</v>
      </c>
      <c r="T63" s="369">
        <v>0</v>
      </c>
      <c r="U63" s="26">
        <v>0</v>
      </c>
      <c r="V63" s="26">
        <v>0</v>
      </c>
      <c r="W63" s="368">
        <v>0</v>
      </c>
      <c r="X63" s="369">
        <v>0</v>
      </c>
      <c r="Y63" s="26">
        <v>0</v>
      </c>
      <c r="Z63" s="26">
        <v>0</v>
      </c>
      <c r="AA63" s="368">
        <v>0</v>
      </c>
      <c r="AB63" s="369">
        <v>0</v>
      </c>
      <c r="AC63" s="26">
        <v>0</v>
      </c>
      <c r="AD63" s="26">
        <v>0</v>
      </c>
      <c r="AE63" s="368">
        <v>0</v>
      </c>
      <c r="AF63" s="369">
        <v>0</v>
      </c>
      <c r="AG63" s="26">
        <v>0</v>
      </c>
      <c r="AH63" s="26">
        <v>0</v>
      </c>
      <c r="AI63" s="368">
        <v>0</v>
      </c>
      <c r="AJ63" s="369">
        <v>0</v>
      </c>
      <c r="AK63" s="26">
        <v>0</v>
      </c>
      <c r="AL63" s="26">
        <v>0</v>
      </c>
      <c r="AM63" s="368">
        <v>0</v>
      </c>
      <c r="AN63" s="369">
        <v>0</v>
      </c>
      <c r="AO63" s="26">
        <v>0</v>
      </c>
      <c r="AP63" s="26">
        <v>0</v>
      </c>
      <c r="AQ63" s="368">
        <v>0</v>
      </c>
      <c r="AR63" s="369">
        <v>0</v>
      </c>
      <c r="AS63" s="26">
        <v>0</v>
      </c>
      <c r="AT63" s="26">
        <v>0</v>
      </c>
      <c r="AU63" s="368">
        <v>0</v>
      </c>
      <c r="AV63" s="369">
        <v>0</v>
      </c>
      <c r="AW63" s="26">
        <v>0</v>
      </c>
      <c r="AX63" s="26">
        <v>0</v>
      </c>
      <c r="AY63" s="368">
        <v>0</v>
      </c>
      <c r="AZ63" s="369">
        <v>0</v>
      </c>
      <c r="BA63" s="26">
        <v>0</v>
      </c>
      <c r="BB63" s="26">
        <v>0</v>
      </c>
      <c r="BC63" s="368">
        <v>0</v>
      </c>
      <c r="BD63" s="369">
        <v>0</v>
      </c>
      <c r="BE63" s="26">
        <v>0</v>
      </c>
      <c r="BF63" s="26">
        <v>0</v>
      </c>
      <c r="BG63" s="368">
        <v>0</v>
      </c>
      <c r="BH63" s="369">
        <v>0</v>
      </c>
      <c r="BI63" s="26">
        <v>0</v>
      </c>
      <c r="BJ63" s="26">
        <v>0</v>
      </c>
      <c r="BK63" s="368">
        <v>0</v>
      </c>
      <c r="BL63" s="369">
        <v>-47</v>
      </c>
      <c r="BM63" s="26">
        <v>-46</v>
      </c>
      <c r="BN63" s="26">
        <v>-44</v>
      </c>
      <c r="BO63" s="368">
        <f>-178-BN63-BM63-BL63</f>
        <v>-41</v>
      </c>
      <c r="BP63" s="369">
        <v>-38</v>
      </c>
      <c r="BQ63" s="26">
        <v>-28</v>
      </c>
      <c r="BR63" s="26">
        <v>-28</v>
      </c>
      <c r="BS63" s="368">
        <f>-124-BR63-BQ63-BP63</f>
        <v>-30</v>
      </c>
      <c r="BT63" s="369">
        <v>-33</v>
      </c>
      <c r="BU63" s="26">
        <v>-35</v>
      </c>
      <c r="BV63" s="26">
        <v>-56</v>
      </c>
      <c r="BW63" s="368">
        <v>-52</v>
      </c>
      <c r="BX63" s="369">
        <v>-54</v>
      </c>
      <c r="BY63" s="26">
        <v>-53</v>
      </c>
      <c r="BZ63" s="26">
        <v>-54</v>
      </c>
      <c r="CA63" s="368">
        <v>-58</v>
      </c>
      <c r="CB63" s="369">
        <v>-101</v>
      </c>
      <c r="CC63" s="26">
        <v>-83</v>
      </c>
      <c r="CD63" s="26">
        <v>-80</v>
      </c>
      <c r="CE63" s="368">
        <v>-88</v>
      </c>
      <c r="CF63" s="369">
        <v>-90</v>
      </c>
      <c r="CG63" s="26">
        <v>-83</v>
      </c>
      <c r="CH63" s="26">
        <v>-97</v>
      </c>
      <c r="CI63" s="368">
        <v>-101</v>
      </c>
      <c r="CJ63" s="369">
        <v>-96</v>
      </c>
      <c r="CK63" s="26">
        <v>-85</v>
      </c>
      <c r="CL63" s="26">
        <v>-99</v>
      </c>
      <c r="CM63" s="368">
        <v>-126</v>
      </c>
      <c r="CN63" s="369">
        <v>-132</v>
      </c>
      <c r="CO63" s="26">
        <v>-153</v>
      </c>
      <c r="CP63" s="26">
        <v>-143</v>
      </c>
      <c r="CQ63" s="368">
        <v>-132</v>
      </c>
      <c r="CR63" s="369">
        <v>-101</v>
      </c>
      <c r="CS63" s="26">
        <v>-61</v>
      </c>
      <c r="CT63" s="590">
        <v>-30</v>
      </c>
      <c r="CU63" s="591">
        <f t="shared" ref="CU63" si="454">CT63</f>
        <v>-30</v>
      </c>
      <c r="CV63" s="590">
        <v>-30</v>
      </c>
      <c r="CW63" s="590">
        <f t="shared" ref="CW63" si="455">CV63</f>
        <v>-30</v>
      </c>
      <c r="CX63" s="590">
        <f t="shared" ref="CX63" si="456">CW63</f>
        <v>-30</v>
      </c>
      <c r="CY63" s="591">
        <f t="shared" ref="CY63" si="457">CX63</f>
        <v>-30</v>
      </c>
      <c r="CZ63" s="590">
        <f t="shared" ref="CZ63" si="458">CY63</f>
        <v>-30</v>
      </c>
      <c r="DA63" s="590">
        <f t="shared" ref="DA63" si="459">CZ63</f>
        <v>-30</v>
      </c>
      <c r="DB63" s="590">
        <f t="shared" ref="DB63" si="460">DA63</f>
        <v>-30</v>
      </c>
      <c r="DC63" s="591">
        <f t="shared" ref="DC63" si="461">DB63</f>
        <v>-30</v>
      </c>
      <c r="DD63" s="18"/>
      <c r="DE63" s="352">
        <f>SUM(D63:G63)</f>
        <v>0</v>
      </c>
      <c r="DF63" s="352">
        <f>SUM(H63:K63)</f>
        <v>0</v>
      </c>
      <c r="DG63" s="352">
        <f>SUM(L63:O63)</f>
        <v>0</v>
      </c>
      <c r="DH63" s="352">
        <f>SUM(P63:S63)</f>
        <v>0</v>
      </c>
      <c r="DI63" s="352">
        <f>SUM(T63:W63)</f>
        <v>0</v>
      </c>
      <c r="DJ63" s="352">
        <f>SUM(X63:AA63)</f>
        <v>0</v>
      </c>
      <c r="DK63" s="352">
        <f>SUM(AB63:AE63)</f>
        <v>0</v>
      </c>
      <c r="DL63" s="352">
        <f>SUM(AF63:AI63)</f>
        <v>0</v>
      </c>
      <c r="DM63" s="352">
        <f>SUM(AJ63:AM63)</f>
        <v>0</v>
      </c>
      <c r="DN63" s="352">
        <f>SUM(AN63:AQ63)</f>
        <v>0</v>
      </c>
      <c r="DO63" s="352">
        <f>SUM(AR63:AU63)</f>
        <v>0</v>
      </c>
      <c r="DP63" s="27">
        <f>SUM(AV63:AY63)</f>
        <v>0</v>
      </c>
      <c r="DQ63" s="27">
        <f>SUM(AZ63:BC63)</f>
        <v>0</v>
      </c>
      <c r="DR63" s="27">
        <f>SUM(BD63:BG63)</f>
        <v>0</v>
      </c>
      <c r="DS63" s="27">
        <f>SUM(BH63:BK63)</f>
        <v>0</v>
      </c>
      <c r="DT63" s="27">
        <f>SUM(BL63:BO63)</f>
        <v>-178</v>
      </c>
      <c r="DU63" s="27">
        <f>SUM(BP63:BS63)</f>
        <v>-124</v>
      </c>
      <c r="DV63" s="27">
        <f>SUM(BT63:BW63)</f>
        <v>-176</v>
      </c>
      <c r="DW63" s="27">
        <f>SUM(BX63:CA63)</f>
        <v>-219</v>
      </c>
      <c r="DX63" s="27">
        <f>SUM(CB63:CE63)</f>
        <v>-352</v>
      </c>
      <c r="DY63" s="27">
        <f>SUM(CF63:CI63)</f>
        <v>-371</v>
      </c>
      <c r="DZ63" s="27">
        <f t="shared" si="446"/>
        <v>-406</v>
      </c>
      <c r="EA63" s="27">
        <f t="shared" si="447"/>
        <v>-560</v>
      </c>
      <c r="EB63" s="27">
        <f t="shared" si="448"/>
        <v>-222</v>
      </c>
      <c r="EC63" s="28">
        <f>SUM(CV63:CY63)</f>
        <v>-120</v>
      </c>
      <c r="ED63" s="28">
        <f>SUM(CZ63:DC63)</f>
        <v>-120</v>
      </c>
      <c r="EE63" s="1364"/>
      <c r="EF63" s="29">
        <f>SUM(E63:H63)</f>
        <v>0</v>
      </c>
      <c r="EG63" s="27">
        <f>SUM(I63:L63)</f>
        <v>0</v>
      </c>
      <c r="EH63" s="27">
        <f>SUM(M63:P63)</f>
        <v>0</v>
      </c>
      <c r="EI63" s="27">
        <f>SUM(Q63:T63)</f>
        <v>0</v>
      </c>
      <c r="EJ63" s="27">
        <f>SUM(U63:X63)</f>
        <v>0</v>
      </c>
      <c r="EK63" s="27">
        <f>SUM(Y63:AB63)</f>
        <v>0</v>
      </c>
      <c r="EL63" s="27">
        <f>SUM(AC63:AF63)</f>
        <v>0</v>
      </c>
      <c r="EM63" s="27">
        <f>SUM(AG63:AJ63)</f>
        <v>0</v>
      </c>
      <c r="EN63" s="27">
        <f>SUM(AK63:AN63)</f>
        <v>0</v>
      </c>
      <c r="EO63" s="27">
        <f>SUM(AO63:AR63)</f>
        <v>0</v>
      </c>
      <c r="EP63" s="352">
        <f>SUM(AS63:AV63)</f>
        <v>0</v>
      </c>
      <c r="EQ63" s="352">
        <f>SUM(AW63:AZ63)</f>
        <v>0</v>
      </c>
      <c r="ER63" s="352">
        <f>SUM(BA63:BD63)</f>
        <v>0</v>
      </c>
      <c r="ES63" s="352">
        <f>SUM(BE63:BH63)</f>
        <v>0</v>
      </c>
      <c r="ET63" s="352">
        <f>SUM(BI63:BL63)</f>
        <v>-47</v>
      </c>
      <c r="EU63" s="352">
        <f>SUM(BM63:BP63)</f>
        <v>-169</v>
      </c>
      <c r="EV63" s="352">
        <f>SUM(BQ63:BT63)</f>
        <v>-119</v>
      </c>
      <c r="EW63" s="352">
        <f>SUM(BU63:BX63)</f>
        <v>-197</v>
      </c>
      <c r="EX63" s="352">
        <f>SUM(BY63:CB63)</f>
        <v>-266</v>
      </c>
      <c r="EY63" s="352">
        <f>SUM(CC63:CF63)</f>
        <v>-341</v>
      </c>
      <c r="EZ63" s="352">
        <f t="shared" si="451"/>
        <v>-377</v>
      </c>
      <c r="FA63" s="352">
        <f t="shared" si="452"/>
        <v>-442</v>
      </c>
      <c r="FB63" s="352">
        <f t="shared" si="453"/>
        <v>-529</v>
      </c>
      <c r="FC63" s="352">
        <f>SUM(CS63:CV63)</f>
        <v>-151</v>
      </c>
      <c r="FD63" s="352">
        <f>SUM(CW63:CZ63)</f>
        <v>-120</v>
      </c>
      <c r="FE63" s="308"/>
      <c r="FF63" s="300"/>
      <c r="FG63" s="300"/>
      <c r="FH63" s="300"/>
      <c r="FO63" s="7"/>
    </row>
    <row r="64" spans="1:171" ht="14.25" hidden="1" customHeight="1" outlineLevel="1">
      <c r="A64" s="7"/>
      <c r="B64" s="673" t="s">
        <v>134</v>
      </c>
      <c r="C64" s="25"/>
      <c r="D64" s="369">
        <v>0</v>
      </c>
      <c r="E64" s="26">
        <v>0</v>
      </c>
      <c r="F64" s="26">
        <v>0</v>
      </c>
      <c r="G64" s="368">
        <v>0</v>
      </c>
      <c r="H64" s="369">
        <v>-3.7</v>
      </c>
      <c r="I64" s="26">
        <f>3+2</f>
        <v>5</v>
      </c>
      <c r="J64" s="26">
        <f>-1.5-2</f>
        <v>-3.5</v>
      </c>
      <c r="K64" s="368">
        <f>2.1-4.7</f>
        <v>-2.6</v>
      </c>
      <c r="L64" s="369">
        <v>-3.1</v>
      </c>
      <c r="M64" s="26">
        <v>198.7</v>
      </c>
      <c r="N64" s="26">
        <v>-5.9</v>
      </c>
      <c r="O64" s="368">
        <f>1.5-4.2</f>
        <v>-2.7</v>
      </c>
      <c r="P64" s="369">
        <f>0.1-0.2</f>
        <v>-0.1</v>
      </c>
      <c r="Q64" s="26">
        <f>0.5+148.1</f>
        <v>148.6</v>
      </c>
      <c r="R64" s="26">
        <f>0.2-2.1</f>
        <v>-1.9000000000000001</v>
      </c>
      <c r="S64" s="368">
        <f>0.4-6</f>
        <v>-5.6</v>
      </c>
      <c r="T64" s="369">
        <f>1-4.3</f>
        <v>-3.3</v>
      </c>
      <c r="U64" s="26">
        <f>0.4-1.5</f>
        <v>-1.1000000000000001</v>
      </c>
      <c r="V64" s="26">
        <v>-2.6</v>
      </c>
      <c r="W64" s="368">
        <f>0.6-5</f>
        <v>-4.4000000000000004</v>
      </c>
      <c r="X64" s="369">
        <f>9.5-24.8</f>
        <v>-15.3</v>
      </c>
      <c r="Y64" s="26">
        <f>-0.2-15</f>
        <v>-15.2</v>
      </c>
      <c r="Z64" s="26">
        <f>5.5-24.3</f>
        <v>-18.8</v>
      </c>
      <c r="AA64" s="368">
        <f>0.399999999999999-24.7</f>
        <v>-24.3</v>
      </c>
      <c r="AB64" s="369">
        <f>5.1-6.1-7.3</f>
        <v>-8.3000000000000007</v>
      </c>
      <c r="AC64" s="26">
        <f>0.1-4.1-84.2</f>
        <v>-88.2</v>
      </c>
      <c r="AD64" s="26">
        <f>0.6+3.1-12.3</f>
        <v>-8.6000000000000014</v>
      </c>
      <c r="AE64" s="368">
        <f>-107.9-0.600000000000001-1.15463194561016E-14</f>
        <v>-108.50000000000001</v>
      </c>
      <c r="AF64" s="369">
        <v>-5.9</v>
      </c>
      <c r="AG64" s="26">
        <v>-2.2999999999999998</v>
      </c>
      <c r="AH64" s="26">
        <f>1.4-0.6</f>
        <v>0.79999999999999993</v>
      </c>
      <c r="AI64" s="368">
        <f>-0.9-1.5</f>
        <v>-2.4</v>
      </c>
      <c r="AJ64" s="369">
        <f>0.6-1.5</f>
        <v>-0.9</v>
      </c>
      <c r="AK64" s="26">
        <f>2.1-1.6</f>
        <v>0.5</v>
      </c>
      <c r="AL64" s="26">
        <f>1-1.6</f>
        <v>-0.60000000000000009</v>
      </c>
      <c r="AM64" s="368">
        <f>1-1.6</f>
        <v>-0.60000000000000009</v>
      </c>
      <c r="AN64" s="369">
        <f>0.4-0.5</f>
        <v>-9.9999999999999978E-2</v>
      </c>
      <c r="AO64" s="26">
        <v>1.2</v>
      </c>
      <c r="AP64" s="26">
        <f>0.6+3.4</f>
        <v>4</v>
      </c>
      <c r="AQ64" s="368">
        <f>0.9+3.4</f>
        <v>4.3</v>
      </c>
      <c r="AR64" s="369">
        <f>-1.3+3.4</f>
        <v>2.0999999999999996</v>
      </c>
      <c r="AS64" s="26">
        <f>0.1+3.4</f>
        <v>3.5</v>
      </c>
      <c r="AT64" s="26">
        <v>-1.3</v>
      </c>
      <c r="AU64" s="368">
        <v>-1</v>
      </c>
      <c r="AV64" s="369">
        <v>0.1</v>
      </c>
      <c r="AW64" s="26">
        <v>1</v>
      </c>
      <c r="AX64" s="26">
        <v>3.4</v>
      </c>
      <c r="AY64" s="368">
        <v>2.6</v>
      </c>
      <c r="AZ64" s="369">
        <v>3</v>
      </c>
      <c r="BA64" s="26">
        <v>5</v>
      </c>
      <c r="BB64" s="26">
        <v>1</v>
      </c>
      <c r="BC64" s="368">
        <v>-19</v>
      </c>
      <c r="BD64" s="369">
        <f>-1-13</f>
        <v>-14</v>
      </c>
      <c r="BE64" s="26">
        <f>-6-463</f>
        <v>-469</v>
      </c>
      <c r="BF64" s="26">
        <v>0</v>
      </c>
      <c r="BG64" s="368">
        <v>-6</v>
      </c>
      <c r="BH64" s="369">
        <v>-14</v>
      </c>
      <c r="BI64" s="26">
        <v>-117</v>
      </c>
      <c r="BJ64" s="26">
        <f>-3-45</f>
        <v>-48</v>
      </c>
      <c r="BK64" s="368">
        <f>-1-34</f>
        <v>-35</v>
      </c>
      <c r="BL64" s="369">
        <v>56</v>
      </c>
      <c r="BM64" s="26">
        <v>-1</v>
      </c>
      <c r="BN64" s="26">
        <f>437+1</f>
        <v>438</v>
      </c>
      <c r="BO64" s="368">
        <f>437+54-BN64-BM64-BL64</f>
        <v>-2</v>
      </c>
      <c r="BP64" s="369">
        <v>-114</v>
      </c>
      <c r="BQ64" s="26">
        <v>0</v>
      </c>
      <c r="BR64" s="26">
        <v>10</v>
      </c>
      <c r="BS64" s="368">
        <f>-103-BR64-BQ64-BP64</f>
        <v>1</v>
      </c>
      <c r="BT64" s="369">
        <v>0</v>
      </c>
      <c r="BU64" s="26">
        <v>38</v>
      </c>
      <c r="BV64" s="26">
        <v>1</v>
      </c>
      <c r="BW64" s="368">
        <v>-4</v>
      </c>
      <c r="BX64" s="369">
        <v>1</v>
      </c>
      <c r="BY64" s="26">
        <v>-159</v>
      </c>
      <c r="BZ64" s="26">
        <v>-45</v>
      </c>
      <c r="CA64" s="368">
        <f>45</f>
        <v>45</v>
      </c>
      <c r="CB64" s="369">
        <v>-80</v>
      </c>
      <c r="CC64" s="26">
        <v>-122</v>
      </c>
      <c r="CD64" s="26">
        <v>-21</v>
      </c>
      <c r="CE64" s="368">
        <v>198</v>
      </c>
      <c r="CF64" s="369">
        <v>-49</v>
      </c>
      <c r="CG64" s="26">
        <v>-6</v>
      </c>
      <c r="CH64" s="26">
        <v>-16</v>
      </c>
      <c r="CI64" s="368">
        <v>18</v>
      </c>
      <c r="CJ64" s="369">
        <v>-4</v>
      </c>
      <c r="CK64" s="26">
        <v>-6</v>
      </c>
      <c r="CL64" s="26">
        <v>-34</v>
      </c>
      <c r="CM64" s="368">
        <v>-10</v>
      </c>
      <c r="CN64" s="369">
        <v>-14</v>
      </c>
      <c r="CO64" s="26">
        <v>34</v>
      </c>
      <c r="CP64" s="26">
        <v>-83</v>
      </c>
      <c r="CQ64" s="368">
        <v>-49</v>
      </c>
      <c r="CR64" s="369">
        <v>-204</v>
      </c>
      <c r="CS64" s="26">
        <v>-53</v>
      </c>
      <c r="CT64" s="26">
        <v>0</v>
      </c>
      <c r="CU64" s="368">
        <v>0</v>
      </c>
      <c r="CV64" s="369">
        <v>0</v>
      </c>
      <c r="CW64" s="26">
        <v>0</v>
      </c>
      <c r="CX64" s="26">
        <v>0</v>
      </c>
      <c r="CY64" s="368">
        <v>0</v>
      </c>
      <c r="CZ64" s="369">
        <v>0</v>
      </c>
      <c r="DA64" s="26">
        <v>0</v>
      </c>
      <c r="DB64" s="26">
        <v>0</v>
      </c>
      <c r="DC64" s="368">
        <v>0</v>
      </c>
      <c r="DD64" s="18"/>
      <c r="DE64" s="352">
        <f>SUM(D64:G64)</f>
        <v>0</v>
      </c>
      <c r="DF64" s="352">
        <f>SUM(H64:K64)</f>
        <v>-4.8000000000000007</v>
      </c>
      <c r="DG64" s="352">
        <f>SUM(L64:O64)</f>
        <v>187</v>
      </c>
      <c r="DH64" s="352">
        <f>SUM(P64:S64)</f>
        <v>141</v>
      </c>
      <c r="DI64" s="352">
        <f>SUM(T64:W64)</f>
        <v>-11.4</v>
      </c>
      <c r="DJ64" s="352">
        <f>SUM(X64:AA64)</f>
        <v>-73.599999999999994</v>
      </c>
      <c r="DK64" s="352">
        <f>SUM(AB64:AE64)</f>
        <v>-213.60000000000002</v>
      </c>
      <c r="DL64" s="352">
        <f>SUM(AF64:AI64)</f>
        <v>-9.7999999999999989</v>
      </c>
      <c r="DM64" s="352">
        <f>SUM(AJ64:AM64)</f>
        <v>-1.6</v>
      </c>
      <c r="DN64" s="352">
        <f>SUM(AN64:AQ64)</f>
        <v>9.3999999999999986</v>
      </c>
      <c r="DO64" s="352">
        <f>SUM(AR64:AU64)</f>
        <v>3.3</v>
      </c>
      <c r="DP64" s="27">
        <f>SUM(AV64:AY64)</f>
        <v>7.1</v>
      </c>
      <c r="DQ64" s="27">
        <f>SUM(AZ64:BC64)</f>
        <v>-10</v>
      </c>
      <c r="DR64" s="27">
        <f>SUM(BD64:BG64)</f>
        <v>-489</v>
      </c>
      <c r="DS64" s="27">
        <f>SUM(BH64:BK64)</f>
        <v>-214</v>
      </c>
      <c r="DT64" s="27">
        <f>SUM(BL64:BO64)</f>
        <v>491</v>
      </c>
      <c r="DU64" s="27">
        <f>SUM(BP64:BS64)</f>
        <v>-103</v>
      </c>
      <c r="DV64" s="27">
        <f>SUM(BT64:BW64)</f>
        <v>35</v>
      </c>
      <c r="DW64" s="27">
        <f>SUM(BX64:CA64)</f>
        <v>-158</v>
      </c>
      <c r="DX64" s="27">
        <f>SUM(CB64:CE64)</f>
        <v>-25</v>
      </c>
      <c r="DY64" s="27">
        <f>SUM(CF64:CI64)</f>
        <v>-53</v>
      </c>
      <c r="DZ64" s="27">
        <f t="shared" si="446"/>
        <v>-54</v>
      </c>
      <c r="EA64" s="27">
        <f t="shared" si="447"/>
        <v>-112</v>
      </c>
      <c r="EB64" s="27">
        <f t="shared" si="448"/>
        <v>-257</v>
      </c>
      <c r="EC64" s="28">
        <f>SUM(CV64:CY64)</f>
        <v>0</v>
      </c>
      <c r="ED64" s="28">
        <f>SUM(CZ64:DC64)</f>
        <v>0</v>
      </c>
      <c r="EE64" s="1364"/>
      <c r="EF64" s="29">
        <f>SUM(E64:H64)</f>
        <v>-3.7</v>
      </c>
      <c r="EG64" s="27">
        <f>SUM(I64:L64)</f>
        <v>-4.2</v>
      </c>
      <c r="EH64" s="27">
        <f>SUM(M64:P64)</f>
        <v>190</v>
      </c>
      <c r="EI64" s="27">
        <f>SUM(Q64:T64)</f>
        <v>137.79999999999998</v>
      </c>
      <c r="EJ64" s="27">
        <f>SUM(U64:X64)</f>
        <v>-23.400000000000002</v>
      </c>
      <c r="EK64" s="27">
        <f>SUM(Y64:AB64)</f>
        <v>-66.599999999999994</v>
      </c>
      <c r="EL64" s="27">
        <f>SUM(AC64:AF64)</f>
        <v>-211.20000000000002</v>
      </c>
      <c r="EM64" s="27">
        <f>SUM(AG64:AJ64)</f>
        <v>-4.8</v>
      </c>
      <c r="EN64" s="27">
        <f>SUM(AK64:AN64)</f>
        <v>-0.80000000000000016</v>
      </c>
      <c r="EO64" s="27">
        <f>SUM(AO64:AR64)</f>
        <v>11.6</v>
      </c>
      <c r="EP64" s="352">
        <f>SUM(AS64:AV64)</f>
        <v>1.3000000000000003</v>
      </c>
      <c r="EQ64" s="352">
        <f>SUM(AW64:AZ64)</f>
        <v>10</v>
      </c>
      <c r="ER64" s="352">
        <f>SUM(BA64:BD64)</f>
        <v>-27</v>
      </c>
      <c r="ES64" s="352">
        <f>SUM(BE64:BH64)</f>
        <v>-489</v>
      </c>
      <c r="ET64" s="352">
        <f>SUM(BI64:BL64)</f>
        <v>-144</v>
      </c>
      <c r="EU64" s="352">
        <f>SUM(BM64:BP64)</f>
        <v>321</v>
      </c>
      <c r="EV64" s="352">
        <f>SUM(BQ64:BT64)</f>
        <v>11</v>
      </c>
      <c r="EW64" s="352">
        <f>SUM(BU64:BX64)</f>
        <v>36</v>
      </c>
      <c r="EX64" s="352">
        <f>SUM(BY64:CB64)</f>
        <v>-239</v>
      </c>
      <c r="EY64" s="352">
        <f>SUM(CC64:CF64)</f>
        <v>6</v>
      </c>
      <c r="EZ64" s="352">
        <f t="shared" si="451"/>
        <v>-8</v>
      </c>
      <c r="FA64" s="352">
        <f t="shared" si="452"/>
        <v>-64</v>
      </c>
      <c r="FB64" s="352">
        <f t="shared" si="453"/>
        <v>-302</v>
      </c>
      <c r="FC64" s="352">
        <f>SUM(CS64:CV64)</f>
        <v>-53</v>
      </c>
      <c r="FD64" s="352">
        <f>SUM(CW64:CZ64)</f>
        <v>0</v>
      </c>
      <c r="FE64" s="308"/>
      <c r="FF64" s="300"/>
      <c r="FG64" s="300"/>
      <c r="FH64" s="300"/>
      <c r="FO64" s="7"/>
    </row>
    <row r="65" spans="1:171" ht="14.25" hidden="1" customHeight="1" outlineLevel="1">
      <c r="A65" s="7"/>
      <c r="B65" s="673"/>
      <c r="C65" s="25"/>
      <c r="D65" s="369"/>
      <c r="E65" s="26"/>
      <c r="F65" s="26"/>
      <c r="G65" s="368"/>
      <c r="H65" s="369"/>
      <c r="I65" s="26"/>
      <c r="J65" s="26"/>
      <c r="K65" s="368"/>
      <c r="L65" s="369"/>
      <c r="M65" s="26"/>
      <c r="N65" s="26"/>
      <c r="O65" s="368"/>
      <c r="P65" s="369"/>
      <c r="Q65" s="26"/>
      <c r="R65" s="26"/>
      <c r="S65" s="368"/>
      <c r="T65" s="369"/>
      <c r="U65" s="26"/>
      <c r="V65" s="26"/>
      <c r="W65" s="368"/>
      <c r="X65" s="369"/>
      <c r="Y65" s="26"/>
      <c r="Z65" s="26"/>
      <c r="AA65" s="368"/>
      <c r="AB65" s="369"/>
      <c r="AC65" s="26"/>
      <c r="AD65" s="26"/>
      <c r="AE65" s="368"/>
      <c r="AF65" s="369"/>
      <c r="AG65" s="26"/>
      <c r="AH65" s="26"/>
      <c r="AI65" s="368"/>
      <c r="AJ65" s="369"/>
      <c r="AK65" s="26"/>
      <c r="AL65" s="26"/>
      <c r="AM65" s="368"/>
      <c r="AN65" s="369"/>
      <c r="AO65" s="26"/>
      <c r="AP65" s="26"/>
      <c r="AQ65" s="368"/>
      <c r="AR65" s="369"/>
      <c r="AS65" s="26"/>
      <c r="AT65" s="26"/>
      <c r="AU65" s="368"/>
      <c r="AV65" s="369"/>
      <c r="AW65" s="26"/>
      <c r="AX65" s="26"/>
      <c r="AY65" s="368"/>
      <c r="AZ65" s="369"/>
      <c r="BA65" s="26"/>
      <c r="BB65" s="26"/>
      <c r="BC65" s="368"/>
      <c r="BD65" s="369"/>
      <c r="BE65" s="26"/>
      <c r="BF65" s="26"/>
      <c r="BG65" s="368"/>
      <c r="BH65" s="369"/>
      <c r="BI65" s="26"/>
      <c r="BJ65" s="26"/>
      <c r="BK65" s="368"/>
      <c r="BL65" s="369"/>
      <c r="BM65" s="26"/>
      <c r="BN65" s="26"/>
      <c r="BO65" s="368"/>
      <c r="BP65" s="369"/>
      <c r="BQ65" s="26"/>
      <c r="BR65" s="26"/>
      <c r="BS65" s="368"/>
      <c r="BT65" s="369"/>
      <c r="BU65" s="26"/>
      <c r="BV65" s="26"/>
      <c r="BW65" s="368"/>
      <c r="BX65" s="369"/>
      <c r="BY65" s="26"/>
      <c r="BZ65" s="26"/>
      <c r="CA65" s="368"/>
      <c r="CB65" s="369"/>
      <c r="CC65" s="26"/>
      <c r="CD65" s="26"/>
      <c r="CE65" s="368"/>
      <c r="CF65" s="889"/>
      <c r="CG65" s="26"/>
      <c r="CH65" s="26"/>
      <c r="CI65" s="368"/>
      <c r="CJ65" s="1438">
        <f>(CJ63*-1)/(BS!CI86+BS!CI87)</f>
        <v>1.2990527740189444E-2</v>
      </c>
      <c r="CK65" s="1439">
        <f>(CK63*-1)/(BS!CJ86+BS!CJ87)</f>
        <v>1.1522299037549139E-2</v>
      </c>
      <c r="CL65" s="1439">
        <f>(CL63*-1)/(BS!CK86+BS!CK87)</f>
        <v>1.2993831211445072E-2</v>
      </c>
      <c r="CM65" s="1439">
        <f>(CM63*-1)/(BS!CL86+BS!CL87)</f>
        <v>1.3082753608140381E-2</v>
      </c>
      <c r="CN65" s="1438">
        <f>(CN63*-1)/(BS!CM86+BS!CM87)</f>
        <v>1.3319878910191726E-2</v>
      </c>
      <c r="CO65" s="1439">
        <f>(CO63*-1)/(BS!CN86+BS!CN87)</f>
        <v>1.5863141524105753E-2</v>
      </c>
      <c r="CP65" s="1439">
        <f>(CP63*-1)/(BS!CO86+BS!CO87)</f>
        <v>1.1509054325955734E-2</v>
      </c>
      <c r="CQ65" s="1439">
        <f>(CQ63*-1)/(BS!CP86+BS!CP87)</f>
        <v>1.1334363730036065E-2</v>
      </c>
      <c r="CR65" s="1438">
        <f>(CR63*-1)/(BS!CQ86+BS!CQ87)</f>
        <v>9.0713130950242499E-3</v>
      </c>
      <c r="CS65" s="1439">
        <f>(CS63*-1)/(BS!CR86+BS!CR87)</f>
        <v>6.7440574903261472E-3</v>
      </c>
      <c r="CT65" s="26"/>
      <c r="CU65" s="368"/>
      <c r="CV65" s="889"/>
      <c r="CW65" s="26"/>
      <c r="CX65" s="26"/>
      <c r="CY65" s="368"/>
      <c r="CZ65" s="889"/>
      <c r="DA65" s="26"/>
      <c r="DB65" s="26"/>
      <c r="DC65" s="368"/>
      <c r="DD65" s="18"/>
      <c r="DE65" s="352"/>
      <c r="DF65" s="352"/>
      <c r="DG65" s="352"/>
      <c r="DH65" s="352"/>
      <c r="DI65" s="352"/>
      <c r="DJ65" s="352"/>
      <c r="DK65" s="352"/>
      <c r="DL65" s="352"/>
      <c r="DM65" s="352"/>
      <c r="DN65" s="352"/>
      <c r="DO65" s="352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8"/>
      <c r="ED65" s="28"/>
      <c r="EE65" s="1364"/>
      <c r="EF65" s="29"/>
      <c r="EG65" s="27"/>
      <c r="EH65" s="27"/>
      <c r="EI65" s="27"/>
      <c r="EJ65" s="27"/>
      <c r="EK65" s="27"/>
      <c r="EL65" s="27"/>
      <c r="EM65" s="27"/>
      <c r="EN65" s="27"/>
      <c r="EO65" s="27"/>
      <c r="EP65" s="352"/>
      <c r="EQ65" s="352"/>
      <c r="ER65" s="352"/>
      <c r="ES65" s="352"/>
      <c r="ET65" s="352"/>
      <c r="EU65" s="352"/>
      <c r="EV65" s="352"/>
      <c r="EW65" s="352"/>
      <c r="EX65" s="352"/>
      <c r="EY65" s="352"/>
      <c r="EZ65" s="352"/>
      <c r="FA65" s="352"/>
      <c r="FB65" s="352"/>
      <c r="FC65" s="352"/>
      <c r="FD65" s="352"/>
      <c r="FE65" s="308"/>
      <c r="FF65" s="300"/>
      <c r="FG65" s="300"/>
      <c r="FH65" s="300"/>
      <c r="FO65" s="7"/>
    </row>
    <row r="66" spans="1:171" ht="14.25" hidden="1" customHeight="1" outlineLevel="1">
      <c r="A66" s="7"/>
      <c r="B66" s="673" t="s">
        <v>142</v>
      </c>
      <c r="C66" s="25"/>
      <c r="D66" s="369"/>
      <c r="E66" s="26"/>
      <c r="F66" s="26"/>
      <c r="G66" s="368"/>
      <c r="H66" s="369"/>
      <c r="I66" s="26"/>
      <c r="J66" s="26"/>
      <c r="K66" s="368"/>
      <c r="L66" s="369"/>
      <c r="M66" s="26"/>
      <c r="N66" s="26"/>
      <c r="O66" s="368"/>
      <c r="P66" s="369"/>
      <c r="Q66" s="26"/>
      <c r="R66" s="26"/>
      <c r="S66" s="368"/>
      <c r="T66" s="369"/>
      <c r="U66" s="26"/>
      <c r="V66" s="26"/>
      <c r="W66" s="368"/>
      <c r="X66" s="369"/>
      <c r="Y66" s="26"/>
      <c r="Z66" s="26"/>
      <c r="AA66" s="368"/>
      <c r="AB66" s="369"/>
      <c r="AC66" s="26"/>
      <c r="AD66" s="26"/>
      <c r="AE66" s="368"/>
      <c r="AF66" s="369"/>
      <c r="AG66" s="26"/>
      <c r="AH66" s="26"/>
      <c r="AI66" s="368"/>
      <c r="AJ66" s="369"/>
      <c r="AK66" s="26"/>
      <c r="AL66" s="26"/>
      <c r="AM66" s="368"/>
      <c r="AN66" s="369"/>
      <c r="AO66" s="26"/>
      <c r="AP66" s="26"/>
      <c r="AQ66" s="368"/>
      <c r="AR66" s="369"/>
      <c r="AS66" s="26"/>
      <c r="AT66" s="26"/>
      <c r="AU66" s="368"/>
      <c r="AV66" s="369"/>
      <c r="AW66" s="26"/>
      <c r="AX66" s="26"/>
      <c r="AY66" s="368"/>
      <c r="AZ66" s="369"/>
      <c r="BA66" s="26"/>
      <c r="BB66" s="26"/>
      <c r="BC66" s="368"/>
      <c r="BD66" s="369"/>
      <c r="BE66" s="26"/>
      <c r="BF66" s="26"/>
      <c r="BG66" s="368"/>
      <c r="BH66" s="369"/>
      <c r="BI66" s="26"/>
      <c r="BJ66" s="26"/>
      <c r="BK66" s="368"/>
      <c r="BL66" s="369"/>
      <c r="BM66" s="26"/>
      <c r="BN66" s="26"/>
      <c r="BO66" s="368"/>
      <c r="BP66" s="369"/>
      <c r="BQ66" s="26"/>
      <c r="BR66" s="26"/>
      <c r="BS66" s="368"/>
      <c r="BT66" s="369"/>
      <c r="BU66" s="26"/>
      <c r="BV66" s="26"/>
      <c r="BW66" s="368"/>
      <c r="BX66" s="369"/>
      <c r="BY66" s="26"/>
      <c r="BZ66" s="26"/>
      <c r="CA66" s="368"/>
      <c r="CB66" s="369">
        <f>-CB148</f>
        <v>-50</v>
      </c>
      <c r="CC66" s="26">
        <f t="shared" ref="CC66:CI66" si="462">-CC148</f>
        <v>-44</v>
      </c>
      <c r="CD66" s="26">
        <f>-CD148</f>
        <v>-36</v>
      </c>
      <c r="CE66" s="368">
        <f>-CE148</f>
        <v>-37</v>
      </c>
      <c r="CF66" s="369">
        <f t="shared" si="462"/>
        <v>-38</v>
      </c>
      <c r="CG66" s="26">
        <f t="shared" si="462"/>
        <v>-33</v>
      </c>
      <c r="CH66" s="26">
        <f t="shared" si="462"/>
        <v>-34</v>
      </c>
      <c r="CI66" s="368">
        <f t="shared" si="462"/>
        <v>-33</v>
      </c>
      <c r="CJ66" s="369">
        <f>-CJ148</f>
        <v>-33</v>
      </c>
      <c r="CK66" s="26">
        <f t="shared" ref="CK66" si="463">-CK148</f>
        <v>-31</v>
      </c>
      <c r="CL66" s="26">
        <f>-CL148</f>
        <v>-30</v>
      </c>
      <c r="CM66" s="368">
        <f t="shared" ref="CM66" si="464">-CM148</f>
        <v>-32</v>
      </c>
      <c r="CN66" s="369">
        <f>-CN148</f>
        <v>-32</v>
      </c>
      <c r="CO66" s="26">
        <v>-31</v>
      </c>
      <c r="CP66" s="26">
        <f>-CP148</f>
        <v>-30</v>
      </c>
      <c r="CQ66" s="368">
        <f t="shared" ref="CQ66" si="465">-CQ148</f>
        <v>-32</v>
      </c>
      <c r="CR66" s="369">
        <v>-29</v>
      </c>
      <c r="CS66" s="26">
        <v>0</v>
      </c>
      <c r="CT66" s="26">
        <v>0</v>
      </c>
      <c r="CU66" s="368">
        <v>0</v>
      </c>
      <c r="CV66" s="369">
        <v>0</v>
      </c>
      <c r="CW66" s="26">
        <v>0</v>
      </c>
      <c r="CX66" s="26">
        <v>0</v>
      </c>
      <c r="CY66" s="368">
        <v>0</v>
      </c>
      <c r="CZ66" s="369">
        <v>0</v>
      </c>
      <c r="DA66" s="26">
        <v>0</v>
      </c>
      <c r="DB66" s="26">
        <v>0</v>
      </c>
      <c r="DC66" s="368">
        <v>0</v>
      </c>
      <c r="DD66" s="18"/>
      <c r="DE66" s="352"/>
      <c r="DF66" s="352"/>
      <c r="DG66" s="352"/>
      <c r="DH66" s="352"/>
      <c r="DI66" s="352"/>
      <c r="DJ66" s="352"/>
      <c r="DK66" s="352"/>
      <c r="DL66" s="352"/>
      <c r="DM66" s="352"/>
      <c r="DN66" s="352"/>
      <c r="DO66" s="352"/>
      <c r="DP66" s="27"/>
      <c r="DQ66" s="27"/>
      <c r="DR66" s="27"/>
      <c r="DS66" s="27"/>
      <c r="DT66" s="27"/>
      <c r="DU66" s="27"/>
      <c r="DV66" s="27">
        <f>SUM(BT66:BW66)</f>
        <v>0</v>
      </c>
      <c r="DW66" s="27">
        <f>SUM(BX66:CA66)</f>
        <v>0</v>
      </c>
      <c r="DX66" s="27">
        <f>SUM(CB66:CE66)</f>
        <v>-167</v>
      </c>
      <c r="DY66" s="27">
        <f>SUM(CF66:CI66)</f>
        <v>-138</v>
      </c>
      <c r="DZ66" s="27">
        <f t="shared" si="446"/>
        <v>-126</v>
      </c>
      <c r="EA66" s="27">
        <f t="shared" si="447"/>
        <v>-125</v>
      </c>
      <c r="EB66" s="27">
        <f t="shared" ref="EB66:EB68" si="466">SUM(CR66:CU66)</f>
        <v>-29</v>
      </c>
      <c r="EC66" s="28">
        <f>SUM(CV66:CY66)</f>
        <v>0</v>
      </c>
      <c r="ED66" s="28">
        <f>SUM(CZ66:DC66)</f>
        <v>0</v>
      </c>
      <c r="EE66" s="1364"/>
      <c r="EF66" s="29">
        <f>SUM(E66:H66)</f>
        <v>0</v>
      </c>
      <c r="EG66" s="27">
        <f>SUM(I66:L66)</f>
        <v>0</v>
      </c>
      <c r="EH66" s="27">
        <f>SUM(M66:P66)</f>
        <v>0</v>
      </c>
      <c r="EI66" s="27">
        <f>SUM(Q66:T66)</f>
        <v>0</v>
      </c>
      <c r="EJ66" s="27">
        <f>SUM(U66:X66)</f>
        <v>0</v>
      </c>
      <c r="EK66" s="27">
        <f>SUM(Y66:AB66)</f>
        <v>0</v>
      </c>
      <c r="EL66" s="27">
        <f>SUM(AC66:AF66)</f>
        <v>0</v>
      </c>
      <c r="EM66" s="27">
        <f>SUM(AG66:AJ66)</f>
        <v>0</v>
      </c>
      <c r="EN66" s="27">
        <f>SUM(AK66:AN66)</f>
        <v>0</v>
      </c>
      <c r="EO66" s="27">
        <f>SUM(AO66:AR66)</f>
        <v>0</v>
      </c>
      <c r="EP66" s="352">
        <f>SUM(AS66:AV66)</f>
        <v>0</v>
      </c>
      <c r="EQ66" s="352">
        <f>SUM(AW66:AZ66)</f>
        <v>0</v>
      </c>
      <c r="ER66" s="352">
        <f>SUM(BA66:BD66)</f>
        <v>0</v>
      </c>
      <c r="ES66" s="352">
        <f>SUM(BE66:BH66)</f>
        <v>0</v>
      </c>
      <c r="ET66" s="352">
        <f>SUM(BI66:BL66)</f>
        <v>0</v>
      </c>
      <c r="EU66" s="352">
        <f>SUM(BM66:BP66)</f>
        <v>0</v>
      </c>
      <c r="EV66" s="352">
        <f>SUM(BQ66:BT66)</f>
        <v>0</v>
      </c>
      <c r="EW66" s="352">
        <f>SUM(BU66:BX66)</f>
        <v>0</v>
      </c>
      <c r="EX66" s="352">
        <f>SUM(BY66:CB66)</f>
        <v>-50</v>
      </c>
      <c r="EY66" s="352">
        <f>SUM(CC66:CF66)</f>
        <v>-155</v>
      </c>
      <c r="EZ66" s="352">
        <f t="shared" ref="EZ66" si="467">SUM(CG66:CJ66)</f>
        <v>-133</v>
      </c>
      <c r="FA66" s="352">
        <f t="shared" ref="FA66" si="468">SUM(CK66:CN66)</f>
        <v>-125</v>
      </c>
      <c r="FB66" s="352">
        <f t="shared" ref="FB66" si="469">SUM(CO66:CR66)</f>
        <v>-122</v>
      </c>
      <c r="FC66" s="352">
        <f>SUM(CS66:CV66)</f>
        <v>0</v>
      </c>
      <c r="FD66" s="352">
        <f>SUM(CW66:CZ66)</f>
        <v>0</v>
      </c>
      <c r="FE66" s="308"/>
      <c r="FF66" s="300"/>
      <c r="FG66" s="300"/>
      <c r="FH66" s="300"/>
      <c r="FO66" s="7"/>
    </row>
    <row r="67" spans="1:171" ht="14.25" hidden="1" customHeight="1" outlineLevel="1">
      <c r="A67" s="7"/>
      <c r="B67" s="673" t="s">
        <v>183</v>
      </c>
      <c r="C67" s="25"/>
      <c r="D67" s="369">
        <v>0</v>
      </c>
      <c r="E67" s="26">
        <v>0</v>
      </c>
      <c r="F67" s="26">
        <v>0</v>
      </c>
      <c r="G67" s="368">
        <v>0</v>
      </c>
      <c r="H67" s="369">
        <v>-3.7</v>
      </c>
      <c r="I67" s="26">
        <v>2</v>
      </c>
      <c r="J67" s="26">
        <v>-2</v>
      </c>
      <c r="K67" s="368">
        <v>-4.7</v>
      </c>
      <c r="L67" s="369">
        <v>-3.1</v>
      </c>
      <c r="M67" s="26">
        <v>198.7</v>
      </c>
      <c r="N67" s="26">
        <v>-5.9</v>
      </c>
      <c r="O67" s="368">
        <v>-4.2</v>
      </c>
      <c r="P67" s="369">
        <v>-0.2</v>
      </c>
      <c r="Q67" s="26">
        <v>148.1</v>
      </c>
      <c r="R67" s="26">
        <v>-2.1</v>
      </c>
      <c r="S67" s="368">
        <v>-6</v>
      </c>
      <c r="T67" s="369">
        <v>-4.3</v>
      </c>
      <c r="U67" s="26">
        <v>-1.5</v>
      </c>
      <c r="V67" s="26">
        <v>-2.6</v>
      </c>
      <c r="W67" s="368">
        <v>-5</v>
      </c>
      <c r="X67" s="369">
        <v>-24.8</v>
      </c>
      <c r="Y67" s="26">
        <v>-15</v>
      </c>
      <c r="Z67" s="26">
        <v>-24.3</v>
      </c>
      <c r="AA67" s="368">
        <v>-24.7</v>
      </c>
      <c r="AB67" s="369">
        <f>-6.1-7.3</f>
        <v>-13.399999999999999</v>
      </c>
      <c r="AC67" s="26">
        <f>-4.1-84.2</f>
        <v>-88.3</v>
      </c>
      <c r="AD67" s="26">
        <f>3.1-12.3</f>
        <v>-9.2000000000000011</v>
      </c>
      <c r="AE67" s="368">
        <f>-0.600000000000001-1.15463194561016E-14</f>
        <v>-0.60000000000001252</v>
      </c>
      <c r="AF67" s="369">
        <v>0</v>
      </c>
      <c r="AG67" s="26">
        <v>0</v>
      </c>
      <c r="AH67" s="26">
        <v>-0.6</v>
      </c>
      <c r="AI67" s="368">
        <v>-1.5</v>
      </c>
      <c r="AJ67" s="369">
        <v>-1.5</v>
      </c>
      <c r="AK67" s="26">
        <v>-1.6</v>
      </c>
      <c r="AL67" s="26">
        <v>-1.6</v>
      </c>
      <c r="AM67" s="368">
        <v>-1.6</v>
      </c>
      <c r="AN67" s="369">
        <v>-0.5</v>
      </c>
      <c r="AO67" s="26">
        <v>0</v>
      </c>
      <c r="AP67" s="26">
        <v>3.4</v>
      </c>
      <c r="AQ67" s="368">
        <v>3.4</v>
      </c>
      <c r="AR67" s="369">
        <v>3.4</v>
      </c>
      <c r="AS67" s="26">
        <v>3.4</v>
      </c>
      <c r="AT67" s="26">
        <v>0</v>
      </c>
      <c r="AU67" s="368">
        <v>0</v>
      </c>
      <c r="AV67" s="369">
        <v>0</v>
      </c>
      <c r="AW67" s="26">
        <v>0</v>
      </c>
      <c r="AX67" s="26">
        <v>0</v>
      </c>
      <c r="AY67" s="368">
        <v>0</v>
      </c>
      <c r="AZ67" s="369">
        <v>0</v>
      </c>
      <c r="BA67" s="26">
        <v>0</v>
      </c>
      <c r="BB67" s="26">
        <v>0</v>
      </c>
      <c r="BC67" s="368">
        <v>-19</v>
      </c>
      <c r="BD67" s="369">
        <v>-13</v>
      </c>
      <c r="BE67" s="26">
        <v>-463</v>
      </c>
      <c r="BF67" s="26">
        <v>0</v>
      </c>
      <c r="BG67" s="368">
        <v>0</v>
      </c>
      <c r="BH67" s="369">
        <v>-5</v>
      </c>
      <c r="BI67" s="26">
        <v>-114</v>
      </c>
      <c r="BJ67" s="26">
        <v>-45</v>
      </c>
      <c r="BK67" s="368">
        <v>-34</v>
      </c>
      <c r="BL67" s="369">
        <v>0</v>
      </c>
      <c r="BM67" s="26">
        <v>0</v>
      </c>
      <c r="BN67" s="26">
        <v>0</v>
      </c>
      <c r="BO67" s="368">
        <v>0</v>
      </c>
      <c r="BP67" s="369">
        <v>0</v>
      </c>
      <c r="BQ67" s="26">
        <v>0</v>
      </c>
      <c r="BR67" s="26">
        <v>0</v>
      </c>
      <c r="BS67" s="368">
        <v>0</v>
      </c>
      <c r="BT67" s="369">
        <v>0</v>
      </c>
      <c r="BU67" s="26">
        <v>0</v>
      </c>
      <c r="BV67" s="26">
        <v>0</v>
      </c>
      <c r="BW67" s="368">
        <v>0</v>
      </c>
      <c r="BX67" s="369">
        <v>0</v>
      </c>
      <c r="BY67" s="26">
        <v>0</v>
      </c>
      <c r="BZ67" s="26">
        <v>0</v>
      </c>
      <c r="CA67" s="368">
        <v>1484</v>
      </c>
      <c r="CB67" s="369">
        <f t="shared" ref="CB67:CI67" si="470">-CB138</f>
        <v>-98</v>
      </c>
      <c r="CC67" s="26">
        <f t="shared" si="470"/>
        <v>-127</v>
      </c>
      <c r="CD67" s="26">
        <f>-CD138</f>
        <v>-21</v>
      </c>
      <c r="CE67" s="368">
        <f>-CE138</f>
        <v>126</v>
      </c>
      <c r="CF67" s="369">
        <f>-CF138</f>
        <v>-50</v>
      </c>
      <c r="CG67" s="26">
        <f t="shared" si="470"/>
        <v>-6</v>
      </c>
      <c r="CH67" s="26">
        <f t="shared" si="470"/>
        <v>-18</v>
      </c>
      <c r="CI67" s="368">
        <f t="shared" si="470"/>
        <v>19</v>
      </c>
      <c r="CJ67" s="369">
        <f>-CJ138</f>
        <v>-4</v>
      </c>
      <c r="CK67" s="26">
        <f>-CK138</f>
        <v>-5</v>
      </c>
      <c r="CL67" s="26">
        <f>-CL138</f>
        <v>-28</v>
      </c>
      <c r="CM67" s="368">
        <f t="shared" ref="CM67" si="471">-CM138</f>
        <v>-12</v>
      </c>
      <c r="CN67" s="369">
        <f>-CN138</f>
        <v>-14</v>
      </c>
      <c r="CO67" s="26">
        <f>-CO138</f>
        <v>34</v>
      </c>
      <c r="CP67" s="26">
        <f>-CP138</f>
        <v>-83</v>
      </c>
      <c r="CQ67" s="368">
        <f t="shared" ref="CQ67" si="472">-CQ138</f>
        <v>-49</v>
      </c>
      <c r="CR67" s="369">
        <v>-204</v>
      </c>
      <c r="CS67" s="26">
        <f>-53-26</f>
        <v>-79</v>
      </c>
      <c r="CT67" s="590">
        <f t="shared" ref="CT67:CU67" si="473">-CT138</f>
        <v>0</v>
      </c>
      <c r="CU67" s="591">
        <f t="shared" si="473"/>
        <v>0</v>
      </c>
      <c r="CV67" s="890">
        <f t="shared" ref="CV67:CY67" si="474">-CV138</f>
        <v>0</v>
      </c>
      <c r="CW67" s="590">
        <f t="shared" si="474"/>
        <v>0</v>
      </c>
      <c r="CX67" s="590">
        <f t="shared" si="474"/>
        <v>0</v>
      </c>
      <c r="CY67" s="591">
        <f t="shared" si="474"/>
        <v>0</v>
      </c>
      <c r="CZ67" s="890">
        <f t="shared" ref="CZ67:DC67" si="475">-CZ138</f>
        <v>0</v>
      </c>
      <c r="DA67" s="590">
        <f t="shared" si="475"/>
        <v>0</v>
      </c>
      <c r="DB67" s="590">
        <f t="shared" si="475"/>
        <v>0</v>
      </c>
      <c r="DC67" s="591">
        <f t="shared" si="475"/>
        <v>0</v>
      </c>
      <c r="DD67" s="18"/>
      <c r="DE67" s="352">
        <f>SUM(D67:G67)</f>
        <v>0</v>
      </c>
      <c r="DF67" s="352">
        <f>SUM(H67:K67)</f>
        <v>-8.4</v>
      </c>
      <c r="DG67" s="352">
        <f>SUM(L67:O67)</f>
        <v>185.5</v>
      </c>
      <c r="DH67" s="352">
        <f>SUM(P67:S67)</f>
        <v>139.80000000000001</v>
      </c>
      <c r="DI67" s="352">
        <f>SUM(T67:W67)</f>
        <v>-13.4</v>
      </c>
      <c r="DJ67" s="352">
        <f>SUM(X67:AA67)</f>
        <v>-88.8</v>
      </c>
      <c r="DK67" s="352">
        <f>SUM(AB67:AE67)</f>
        <v>-111.5</v>
      </c>
      <c r="DL67" s="352">
        <f>SUM(AF67:AI67)</f>
        <v>-2.1</v>
      </c>
      <c r="DM67" s="352">
        <f>SUM(AJ67:AM67)</f>
        <v>-6.3000000000000007</v>
      </c>
      <c r="DN67" s="352">
        <f>SUM(AN67:AQ67)</f>
        <v>6.3</v>
      </c>
      <c r="DO67" s="352">
        <f>SUM(AR67:AU67)</f>
        <v>6.8</v>
      </c>
      <c r="DP67" s="27">
        <f>SUM(AV67:AY67)</f>
        <v>0</v>
      </c>
      <c r="DQ67" s="27">
        <f>SUM(AZ67:BC67)</f>
        <v>-19</v>
      </c>
      <c r="DR67" s="27">
        <f>SUM(BD67:BG67)</f>
        <v>-476</v>
      </c>
      <c r="DS67" s="27">
        <f>SUM(BH67:BK67)</f>
        <v>-198</v>
      </c>
      <c r="DT67" s="27">
        <f>SUM(BL67:BO67)</f>
        <v>0</v>
      </c>
      <c r="DU67" s="27">
        <f>SUM(BP67:BS67)</f>
        <v>0</v>
      </c>
      <c r="DV67" s="27">
        <f>SUM(BT67:BW67)</f>
        <v>0</v>
      </c>
      <c r="DW67" s="27">
        <f>SUM(BX67:CA67)</f>
        <v>1484</v>
      </c>
      <c r="DX67" s="27">
        <f>SUM(CB67:CE67)</f>
        <v>-120</v>
      </c>
      <c r="DY67" s="27">
        <f>SUM(CF67:CI67)</f>
        <v>-55</v>
      </c>
      <c r="DZ67" s="27">
        <f t="shared" si="446"/>
        <v>-49</v>
      </c>
      <c r="EA67" s="27">
        <f t="shared" si="447"/>
        <v>-112</v>
      </c>
      <c r="EB67" s="27">
        <f t="shared" si="466"/>
        <v>-283</v>
      </c>
      <c r="EC67" s="28">
        <f>SUM(CV67:CY67)</f>
        <v>0</v>
      </c>
      <c r="ED67" s="28">
        <f>SUM(CZ67:DC67)</f>
        <v>0</v>
      </c>
      <c r="EE67" s="1364"/>
      <c r="EF67" s="29">
        <f>SUM(E67:H67)</f>
        <v>-3.7</v>
      </c>
      <c r="EG67" s="27">
        <f>SUM(I67:L67)</f>
        <v>-7.8000000000000007</v>
      </c>
      <c r="EH67" s="27">
        <f>SUM(M67:P67)</f>
        <v>188.4</v>
      </c>
      <c r="EI67" s="27">
        <f>SUM(Q67:T67)</f>
        <v>135.69999999999999</v>
      </c>
      <c r="EJ67" s="27">
        <f>SUM(U67:X67)</f>
        <v>-33.9</v>
      </c>
      <c r="EK67" s="27">
        <f>SUM(Y67:AB67)</f>
        <v>-77.400000000000006</v>
      </c>
      <c r="EL67" s="27">
        <f>SUM(AC67:AF67)</f>
        <v>-98.100000000000009</v>
      </c>
      <c r="EM67" s="27">
        <f>SUM(AG67:AJ67)</f>
        <v>-3.6</v>
      </c>
      <c r="EN67" s="27">
        <f>SUM(AK67:AN67)</f>
        <v>-5.3000000000000007</v>
      </c>
      <c r="EO67" s="27">
        <f>SUM(AO67:AR67)</f>
        <v>10.199999999999999</v>
      </c>
      <c r="EP67" s="352">
        <f>SUM(AS67:AV67)</f>
        <v>3.4</v>
      </c>
      <c r="EQ67" s="352">
        <f>SUM(AW67:AZ67)</f>
        <v>0</v>
      </c>
      <c r="ER67" s="352">
        <f>SUM(BA67:BD67)</f>
        <v>-32</v>
      </c>
      <c r="ES67" s="352">
        <f>SUM(BE67:BH67)</f>
        <v>-468</v>
      </c>
      <c r="ET67" s="352">
        <f>SUM(BI67:BL67)</f>
        <v>-193</v>
      </c>
      <c r="EU67" s="352">
        <f>SUM(BM67:BP67)</f>
        <v>0</v>
      </c>
      <c r="EV67" s="352">
        <f>SUM(BQ67:BT67)</f>
        <v>0</v>
      </c>
      <c r="EW67" s="352">
        <f>SUM(BU67:BX67)</f>
        <v>0</v>
      </c>
      <c r="EX67" s="352">
        <f>SUM(BY67:CB67)</f>
        <v>1386</v>
      </c>
      <c r="EY67" s="352">
        <f>SUM(CC67:CF67)</f>
        <v>-72</v>
      </c>
      <c r="EZ67" s="352">
        <f t="shared" ref="EZ67" si="476">SUM(CG67:CJ67)</f>
        <v>-9</v>
      </c>
      <c r="FA67" s="352">
        <f t="shared" ref="FA67" si="477">SUM(CK67:CN67)</f>
        <v>-59</v>
      </c>
      <c r="FB67" s="352">
        <f t="shared" ref="FB67" si="478">SUM(CO67:CR67)</f>
        <v>-302</v>
      </c>
      <c r="FC67" s="352">
        <f>SUM(CS67:CV67)</f>
        <v>-79</v>
      </c>
      <c r="FD67" s="352">
        <f>SUM(CW67:CZ67)</f>
        <v>0</v>
      </c>
      <c r="FE67" s="308"/>
      <c r="FF67" s="300"/>
      <c r="FG67" s="300"/>
      <c r="FH67" s="300"/>
      <c r="FO67" s="7"/>
    </row>
    <row r="68" spans="1:171" ht="14.25" customHeight="1" collapsed="1">
      <c r="A68" s="7"/>
      <c r="B68" s="673" t="s">
        <v>270</v>
      </c>
      <c r="C68" s="23"/>
      <c r="D68" s="29">
        <f t="shared" ref="D68:AI68" si="479">D61-D67</f>
        <v>3.6</v>
      </c>
      <c r="E68" s="27">
        <f t="shared" si="479"/>
        <v>6.5</v>
      </c>
      <c r="F68" s="27">
        <f t="shared" si="479"/>
        <v>7.4</v>
      </c>
      <c r="G68" s="28">
        <f t="shared" si="479"/>
        <v>7.5</v>
      </c>
      <c r="H68" s="29">
        <f t="shared" si="479"/>
        <v>8.4</v>
      </c>
      <c r="I68" s="27">
        <f t="shared" si="479"/>
        <v>7.4</v>
      </c>
      <c r="J68" s="27">
        <f t="shared" si="479"/>
        <v>0.60000000000000009</v>
      </c>
      <c r="K68" s="28">
        <f t="shared" si="479"/>
        <v>1.4000000000000004</v>
      </c>
      <c r="L68" s="29">
        <f t="shared" si="479"/>
        <v>-2.1</v>
      </c>
      <c r="M68" s="27">
        <f t="shared" si="479"/>
        <v>-1.8000000000000114</v>
      </c>
      <c r="N68" s="27">
        <f t="shared" si="479"/>
        <v>1.5</v>
      </c>
      <c r="O68" s="28">
        <f t="shared" si="479"/>
        <v>4.8</v>
      </c>
      <c r="P68" s="29">
        <f t="shared" si="479"/>
        <v>-1.2000000000000002</v>
      </c>
      <c r="Q68" s="27">
        <f t="shared" si="479"/>
        <v>2.3000000000000114</v>
      </c>
      <c r="R68" s="27">
        <f t="shared" si="479"/>
        <v>0.7</v>
      </c>
      <c r="S68" s="28">
        <f t="shared" si="479"/>
        <v>-1.3999999999999995</v>
      </c>
      <c r="T68" s="29">
        <f t="shared" si="479"/>
        <v>-6.8999999999999995</v>
      </c>
      <c r="U68" s="27">
        <f t="shared" si="479"/>
        <v>-11.299999999999999</v>
      </c>
      <c r="V68" s="27">
        <f t="shared" si="479"/>
        <v>-14.4</v>
      </c>
      <c r="W68" s="28">
        <f t="shared" si="479"/>
        <v>-11.899999999999999</v>
      </c>
      <c r="X68" s="29">
        <f t="shared" si="479"/>
        <v>1.6999999999999993</v>
      </c>
      <c r="Y68" s="27">
        <f t="shared" si="479"/>
        <v>-2.8999999999999986</v>
      </c>
      <c r="Z68" s="27">
        <f t="shared" si="479"/>
        <v>16.399999999999999</v>
      </c>
      <c r="AA68" s="28">
        <f t="shared" si="479"/>
        <v>14.899999999999999</v>
      </c>
      <c r="AB68" s="29">
        <f t="shared" si="479"/>
        <v>41.3</v>
      </c>
      <c r="AC68" s="27">
        <f t="shared" si="479"/>
        <v>39.699999999999996</v>
      </c>
      <c r="AD68" s="27">
        <f t="shared" si="479"/>
        <v>27.5</v>
      </c>
      <c r="AE68" s="28">
        <f t="shared" si="479"/>
        <v>-91.500000000000014</v>
      </c>
      <c r="AF68" s="29">
        <f t="shared" si="479"/>
        <v>8.9</v>
      </c>
      <c r="AG68" s="27">
        <f t="shared" si="479"/>
        <v>8.3000000000000007</v>
      </c>
      <c r="AH68" s="27">
        <f t="shared" si="479"/>
        <v>6.3999999999999995</v>
      </c>
      <c r="AI68" s="28">
        <f t="shared" si="479"/>
        <v>3.1999999999999997</v>
      </c>
      <c r="AJ68" s="29">
        <f t="shared" ref="AJ68:BO68" si="480">AJ61-AJ67</f>
        <v>2.1</v>
      </c>
      <c r="AK68" s="27">
        <f t="shared" si="480"/>
        <v>-1</v>
      </c>
      <c r="AL68" s="27">
        <f t="shared" si="480"/>
        <v>-7.3000000000000007</v>
      </c>
      <c r="AM68" s="28">
        <f t="shared" si="480"/>
        <v>-7.5</v>
      </c>
      <c r="AN68" s="29">
        <f t="shared" si="480"/>
        <v>-5.0999999999999996</v>
      </c>
      <c r="AO68" s="27">
        <f t="shared" si="480"/>
        <v>-3.7</v>
      </c>
      <c r="AP68" s="27">
        <f t="shared" si="480"/>
        <v>-4.8000000000000007</v>
      </c>
      <c r="AQ68" s="28">
        <f t="shared" si="480"/>
        <v>-4.0999999999999996</v>
      </c>
      <c r="AR68" s="29">
        <f t="shared" si="480"/>
        <v>-5.8000000000000007</v>
      </c>
      <c r="AS68" s="27">
        <f t="shared" si="480"/>
        <v>-4.9000000000000004</v>
      </c>
      <c r="AT68" s="27">
        <f t="shared" si="480"/>
        <v>-5.0999999999999996</v>
      </c>
      <c r="AU68" s="28">
        <f t="shared" si="480"/>
        <v>-3.1</v>
      </c>
      <c r="AV68" s="29">
        <f t="shared" si="480"/>
        <v>0.4</v>
      </c>
      <c r="AW68" s="27">
        <f t="shared" si="480"/>
        <v>13.3</v>
      </c>
      <c r="AX68" s="27">
        <f t="shared" si="480"/>
        <v>30.4</v>
      </c>
      <c r="AY68" s="28">
        <f t="shared" si="480"/>
        <v>38.800000000000004</v>
      </c>
      <c r="AZ68" s="29">
        <f t="shared" si="480"/>
        <v>43</v>
      </c>
      <c r="BA68" s="27">
        <f t="shared" si="480"/>
        <v>36</v>
      </c>
      <c r="BB68" s="27">
        <f t="shared" si="480"/>
        <v>18</v>
      </c>
      <c r="BC68" s="28">
        <f t="shared" si="480"/>
        <v>15</v>
      </c>
      <c r="BD68" s="29">
        <f t="shared" si="480"/>
        <v>8</v>
      </c>
      <c r="BE68" s="27">
        <f t="shared" si="480"/>
        <v>-3</v>
      </c>
      <c r="BF68" s="27">
        <f t="shared" si="480"/>
        <v>-6</v>
      </c>
      <c r="BG68" s="28">
        <f t="shared" si="480"/>
        <v>-15</v>
      </c>
      <c r="BH68" s="29">
        <f t="shared" si="480"/>
        <v>-29</v>
      </c>
      <c r="BI68" s="27">
        <f t="shared" si="480"/>
        <v>-34</v>
      </c>
      <c r="BJ68" s="27">
        <f t="shared" si="480"/>
        <v>-34</v>
      </c>
      <c r="BK68" s="28">
        <f t="shared" si="480"/>
        <v>-32</v>
      </c>
      <c r="BL68" s="29">
        <f t="shared" si="480"/>
        <v>11</v>
      </c>
      <c r="BM68" s="27">
        <f t="shared" si="480"/>
        <v>-45</v>
      </c>
      <c r="BN68" s="27">
        <f t="shared" si="480"/>
        <v>398</v>
      </c>
      <c r="BO68" s="28">
        <f t="shared" si="480"/>
        <v>-33</v>
      </c>
      <c r="BP68" s="29">
        <f t="shared" ref="BP68:CA68" si="481">BP61-BP67</f>
        <v>-144</v>
      </c>
      <c r="BQ68" s="27">
        <f t="shared" si="481"/>
        <v>-21</v>
      </c>
      <c r="BR68" s="27">
        <f t="shared" si="481"/>
        <v>-12</v>
      </c>
      <c r="BS68" s="28">
        <f t="shared" si="481"/>
        <v>-27</v>
      </c>
      <c r="BT68" s="29">
        <f t="shared" si="481"/>
        <v>-33</v>
      </c>
      <c r="BU68" s="27">
        <f t="shared" si="481"/>
        <v>5</v>
      </c>
      <c r="BV68" s="27">
        <f t="shared" si="481"/>
        <v>-52</v>
      </c>
      <c r="BW68" s="28">
        <f t="shared" si="481"/>
        <v>-56</v>
      </c>
      <c r="BX68" s="29">
        <f t="shared" si="481"/>
        <v>-53</v>
      </c>
      <c r="BY68" s="27">
        <f t="shared" si="481"/>
        <v>-212</v>
      </c>
      <c r="BZ68" s="27">
        <f t="shared" si="481"/>
        <v>-97</v>
      </c>
      <c r="CA68" s="28">
        <f t="shared" si="481"/>
        <v>-13</v>
      </c>
      <c r="CB68" s="29">
        <f t="shared" ref="CB68:CI68" si="482">+CB62+CB63+CB64-CB66-CB67</f>
        <v>-28</v>
      </c>
      <c r="CC68" s="27">
        <f t="shared" si="482"/>
        <v>-28</v>
      </c>
      <c r="CD68" s="27">
        <f>+CD62+CD63+CD64-CD66-CD67</f>
        <v>-39</v>
      </c>
      <c r="CE68" s="28">
        <f>+CE62+CE63+CE64-CE66-CE67</f>
        <v>28</v>
      </c>
      <c r="CF68" s="891">
        <f t="shared" si="482"/>
        <v>-44</v>
      </c>
      <c r="CG68" s="27">
        <f t="shared" si="482"/>
        <v>-42</v>
      </c>
      <c r="CH68" s="27">
        <f t="shared" si="482"/>
        <v>-52</v>
      </c>
      <c r="CI68" s="28">
        <f t="shared" si="482"/>
        <v>-58</v>
      </c>
      <c r="CJ68" s="891">
        <f>+CJ62+CJ63+CJ64-CJ66-CJ67</f>
        <v>-52</v>
      </c>
      <c r="CK68" s="27">
        <f t="shared" ref="CK68:CM68" si="483">+CK62+CK63+CK64-CK66-CK67</f>
        <v>-55</v>
      </c>
      <c r="CL68" s="27">
        <f t="shared" si="483"/>
        <v>-75</v>
      </c>
      <c r="CM68" s="28">
        <f t="shared" si="483"/>
        <v>-92</v>
      </c>
      <c r="CN68" s="891">
        <f>+CN62+CN63+CN64-CN66-CN67</f>
        <v>-100</v>
      </c>
      <c r="CO68" s="27">
        <f t="shared" ref="CO68:CQ68" si="484">+CO62+CO63+CO64-CO66-CO67</f>
        <v>-122</v>
      </c>
      <c r="CP68" s="27">
        <f t="shared" si="484"/>
        <v>-113</v>
      </c>
      <c r="CQ68" s="28">
        <f t="shared" si="484"/>
        <v>-100</v>
      </c>
      <c r="CR68" s="29">
        <f>+CR62+CR63+CR64-CR66-CR67</f>
        <v>-72</v>
      </c>
      <c r="CS68" s="27">
        <f t="shared" ref="CS68" si="485">+CS62+CS63+CS64-CS66-CS67</f>
        <v>-35</v>
      </c>
      <c r="CT68" s="27">
        <f t="shared" ref="CT68:CU68" si="486">+CT62+CT63+CT64-CT66-CT67</f>
        <v>-30</v>
      </c>
      <c r="CU68" s="28">
        <f t="shared" si="486"/>
        <v>-30</v>
      </c>
      <c r="CV68" s="891">
        <f t="shared" ref="CV68:CY68" si="487">+CV62+CV63+CV64-CV66-CV67</f>
        <v>-30</v>
      </c>
      <c r="CW68" s="27">
        <f t="shared" si="487"/>
        <v>-30</v>
      </c>
      <c r="CX68" s="27">
        <f t="shared" si="487"/>
        <v>-30</v>
      </c>
      <c r="CY68" s="28">
        <f t="shared" si="487"/>
        <v>-30</v>
      </c>
      <c r="CZ68" s="891">
        <f t="shared" ref="CZ68:DC68" si="488">+CZ62+CZ63+CZ64-CZ66-CZ67</f>
        <v>-30</v>
      </c>
      <c r="DA68" s="27">
        <f t="shared" si="488"/>
        <v>-30</v>
      </c>
      <c r="DB68" s="27">
        <f t="shared" si="488"/>
        <v>-30</v>
      </c>
      <c r="DC68" s="28">
        <f t="shared" si="488"/>
        <v>-30</v>
      </c>
      <c r="DD68" s="18"/>
      <c r="DE68" s="352">
        <f t="shared" ref="DE68:DU68" si="489">DE61-DE67</f>
        <v>25</v>
      </c>
      <c r="DF68" s="352">
        <f t="shared" si="489"/>
        <v>17.8</v>
      </c>
      <c r="DG68" s="352">
        <f t="shared" si="489"/>
        <v>2.4000000000000057</v>
      </c>
      <c r="DH68" s="352">
        <f t="shared" si="489"/>
        <v>0.39999999999997726</v>
      </c>
      <c r="DI68" s="352">
        <f t="shared" si="489"/>
        <v>-44.5</v>
      </c>
      <c r="DJ68" s="352">
        <f t="shared" si="489"/>
        <v>30.1</v>
      </c>
      <c r="DK68" s="352">
        <f t="shared" si="489"/>
        <v>17</v>
      </c>
      <c r="DL68" s="352">
        <f t="shared" si="489"/>
        <v>26.800000000000004</v>
      </c>
      <c r="DM68" s="352">
        <f t="shared" si="489"/>
        <v>-13.7</v>
      </c>
      <c r="DN68" s="352">
        <f t="shared" si="489"/>
        <v>-17.700000000000003</v>
      </c>
      <c r="DO68" s="352">
        <f t="shared" si="489"/>
        <v>-18.900000000000002</v>
      </c>
      <c r="DP68" s="27">
        <f t="shared" si="489"/>
        <v>82.9</v>
      </c>
      <c r="DQ68" s="27">
        <f t="shared" si="489"/>
        <v>112</v>
      </c>
      <c r="DR68" s="27">
        <f t="shared" si="489"/>
        <v>-16</v>
      </c>
      <c r="DS68" s="27">
        <f t="shared" si="489"/>
        <v>-129</v>
      </c>
      <c r="DT68" s="27">
        <f t="shared" si="489"/>
        <v>331</v>
      </c>
      <c r="DU68" s="27">
        <f t="shared" si="489"/>
        <v>-204</v>
      </c>
      <c r="DV68" s="27">
        <f t="shared" ref="DV68:DZ68" si="490">+DV62+DV63+DV64-DV66-DV67</f>
        <v>-136</v>
      </c>
      <c r="DW68" s="27">
        <f>+DW62+DW63+DW64-DW66-DW67</f>
        <v>-1859</v>
      </c>
      <c r="DX68" s="27">
        <f t="shared" si="490"/>
        <v>-67</v>
      </c>
      <c r="DY68" s="27">
        <f t="shared" si="490"/>
        <v>-196</v>
      </c>
      <c r="DZ68" s="27">
        <f t="shared" si="490"/>
        <v>-274</v>
      </c>
      <c r="EA68" s="27">
        <f t="shared" si="447"/>
        <v>-435</v>
      </c>
      <c r="EB68" s="27">
        <f t="shared" si="466"/>
        <v>-167</v>
      </c>
      <c r="EC68" s="28">
        <f>SUM(CV68:CY68)</f>
        <v>-120</v>
      </c>
      <c r="ED68" s="28">
        <f>SUM(CZ68:DC68)</f>
        <v>-120</v>
      </c>
      <c r="EE68" s="1364"/>
      <c r="EF68" s="29">
        <f t="shared" ref="EF68:EY68" si="491">EF61-EF67</f>
        <v>29.799999999999997</v>
      </c>
      <c r="EG68" s="27">
        <f t="shared" si="491"/>
        <v>7.3000000000000007</v>
      </c>
      <c r="EH68" s="27">
        <f t="shared" si="491"/>
        <v>3.2999999999999829</v>
      </c>
      <c r="EI68" s="27">
        <f t="shared" si="491"/>
        <v>-5.3000000000000114</v>
      </c>
      <c r="EJ68" s="27">
        <f t="shared" si="491"/>
        <v>-35.9</v>
      </c>
      <c r="EK68" s="27">
        <f t="shared" si="491"/>
        <v>69.700000000000017</v>
      </c>
      <c r="EL68" s="27">
        <f t="shared" si="491"/>
        <v>-15.400000000000006</v>
      </c>
      <c r="EM68" s="27">
        <f t="shared" si="491"/>
        <v>20</v>
      </c>
      <c r="EN68" s="27">
        <f t="shared" si="491"/>
        <v>-20.9</v>
      </c>
      <c r="EO68" s="27">
        <f t="shared" si="491"/>
        <v>-18.399999999999999</v>
      </c>
      <c r="EP68" s="352">
        <f t="shared" si="491"/>
        <v>-12.7</v>
      </c>
      <c r="EQ68" s="352">
        <f t="shared" si="491"/>
        <v>125.5</v>
      </c>
      <c r="ER68" s="352">
        <f t="shared" si="491"/>
        <v>77</v>
      </c>
      <c r="ES68" s="352">
        <f t="shared" si="491"/>
        <v>-53</v>
      </c>
      <c r="ET68" s="352">
        <f t="shared" si="491"/>
        <v>-89</v>
      </c>
      <c r="EU68" s="352">
        <f t="shared" si="491"/>
        <v>176</v>
      </c>
      <c r="EV68" s="352">
        <f t="shared" si="491"/>
        <v>-93</v>
      </c>
      <c r="EW68" s="352">
        <f t="shared" si="491"/>
        <v>-156</v>
      </c>
      <c r="EX68" s="352">
        <f t="shared" si="491"/>
        <v>-1884</v>
      </c>
      <c r="EY68" s="352">
        <f t="shared" si="491"/>
        <v>-238</v>
      </c>
      <c r="EZ68" s="352">
        <f t="shared" ref="EZ68:FB68" si="492">EZ61-EZ67</f>
        <v>-337</v>
      </c>
      <c r="FA68" s="352">
        <f t="shared" si="492"/>
        <v>-447</v>
      </c>
      <c r="FB68" s="352">
        <f t="shared" si="492"/>
        <v>-529</v>
      </c>
      <c r="FC68" s="352">
        <f t="shared" ref="FC68:FD68" si="493">FC61-FC67</f>
        <v>-125</v>
      </c>
      <c r="FD68" s="352">
        <f t="shared" si="493"/>
        <v>-120</v>
      </c>
      <c r="FE68" s="308"/>
      <c r="FF68" s="300"/>
      <c r="FG68" s="300"/>
      <c r="FH68" s="300"/>
      <c r="FO68" s="7"/>
    </row>
    <row r="69" spans="1:171" ht="9.75" customHeight="1">
      <c r="A69" s="7"/>
      <c r="B69" s="543"/>
      <c r="C69" s="31"/>
      <c r="D69" s="34"/>
      <c r="E69" s="1209"/>
      <c r="F69" s="1209"/>
      <c r="G69" s="33"/>
      <c r="H69" s="34"/>
      <c r="I69" s="1209"/>
      <c r="J69" s="1209"/>
      <c r="K69" s="33"/>
      <c r="L69" s="34"/>
      <c r="M69" s="1209"/>
      <c r="N69" s="1209"/>
      <c r="O69" s="33"/>
      <c r="P69" s="34"/>
      <c r="Q69" s="1209"/>
      <c r="R69" s="1209"/>
      <c r="S69" s="33"/>
      <c r="T69" s="34"/>
      <c r="U69" s="1209"/>
      <c r="V69" s="1209"/>
      <c r="W69" s="33"/>
      <c r="X69" s="34"/>
      <c r="Y69" s="1209"/>
      <c r="Z69" s="1209"/>
      <c r="AA69" s="33"/>
      <c r="AB69" s="34"/>
      <c r="AC69" s="1209"/>
      <c r="AD69" s="1209"/>
      <c r="AE69" s="33"/>
      <c r="AF69" s="34"/>
      <c r="AG69" s="1209"/>
      <c r="AH69" s="1209"/>
      <c r="AI69" s="33"/>
      <c r="AJ69" s="34"/>
      <c r="AK69" s="1209"/>
      <c r="AL69" s="1209"/>
      <c r="AM69" s="33"/>
      <c r="AN69" s="34"/>
      <c r="AO69" s="1209"/>
      <c r="AP69" s="1209"/>
      <c r="AQ69" s="33"/>
      <c r="AR69" s="34"/>
      <c r="AS69" s="1209"/>
      <c r="AT69" s="1209"/>
      <c r="AU69" s="33"/>
      <c r="AV69" s="34"/>
      <c r="AW69" s="1209"/>
      <c r="AX69" s="1209"/>
      <c r="AY69" s="33"/>
      <c r="AZ69" s="34"/>
      <c r="BA69" s="1209"/>
      <c r="BB69" s="1209"/>
      <c r="BC69" s="33"/>
      <c r="BD69" s="34"/>
      <c r="BE69" s="1209"/>
      <c r="BF69" s="1209"/>
      <c r="BG69" s="33"/>
      <c r="BH69" s="34"/>
      <c r="BI69" s="1209"/>
      <c r="BJ69" s="1209"/>
      <c r="BK69" s="33"/>
      <c r="BL69" s="34"/>
      <c r="BM69" s="1209"/>
      <c r="BN69" s="1209"/>
      <c r="BO69" s="33"/>
      <c r="BP69" s="34"/>
      <c r="BQ69" s="1209"/>
      <c r="BR69" s="1209"/>
      <c r="BS69" s="33"/>
      <c r="BT69" s="34"/>
      <c r="BU69" s="1209"/>
      <c r="BV69" s="1209"/>
      <c r="BW69" s="33"/>
      <c r="BX69" s="34"/>
      <c r="BY69" s="32"/>
      <c r="BZ69" s="32"/>
      <c r="CA69" s="33"/>
      <c r="CB69" s="34"/>
      <c r="CC69" s="32"/>
      <c r="CD69" s="32"/>
      <c r="CE69" s="33"/>
      <c r="CF69" s="34"/>
      <c r="CG69" s="32"/>
      <c r="CH69" s="32"/>
      <c r="CI69" s="33"/>
      <c r="CJ69" s="34"/>
      <c r="CK69" s="32"/>
      <c r="CL69" s="32"/>
      <c r="CM69" s="33"/>
      <c r="CN69" s="34"/>
      <c r="CO69" s="1209"/>
      <c r="CP69" s="1209"/>
      <c r="CQ69" s="33"/>
      <c r="CR69" s="34"/>
      <c r="CS69" s="1209"/>
      <c r="CT69" s="32"/>
      <c r="CU69" s="33"/>
      <c r="CV69" s="34"/>
      <c r="CW69" s="1209"/>
      <c r="CX69" s="1209"/>
      <c r="CY69" s="33"/>
      <c r="CZ69" s="34"/>
      <c r="DA69" s="1209"/>
      <c r="DB69" s="1209"/>
      <c r="DC69" s="33"/>
      <c r="DD69" s="18"/>
      <c r="DE69" s="353"/>
      <c r="DF69" s="353"/>
      <c r="DG69" s="353"/>
      <c r="DH69" s="353"/>
      <c r="DI69" s="353"/>
      <c r="DJ69" s="353"/>
      <c r="DK69" s="353"/>
      <c r="DL69" s="353"/>
      <c r="DM69" s="353"/>
      <c r="DN69" s="353"/>
      <c r="DO69" s="353"/>
      <c r="DP69" s="32"/>
      <c r="DQ69" s="32"/>
      <c r="DR69" s="32"/>
      <c r="DS69" s="32"/>
      <c r="DT69" s="1209"/>
      <c r="DU69" s="1209"/>
      <c r="DV69" s="1209"/>
      <c r="DW69" s="1209"/>
      <c r="DX69" s="1209"/>
      <c r="DY69" s="1209"/>
      <c r="DZ69" s="1209"/>
      <c r="EA69" s="1209"/>
      <c r="EB69" s="1209"/>
      <c r="EC69" s="33"/>
      <c r="ED69" s="33"/>
      <c r="EE69" s="1364"/>
      <c r="EF69" s="34"/>
      <c r="EG69" s="32"/>
      <c r="EH69" s="32"/>
      <c r="EI69" s="32"/>
      <c r="EJ69" s="32"/>
      <c r="EK69" s="32"/>
      <c r="EL69" s="32"/>
      <c r="EM69" s="32"/>
      <c r="EN69" s="32"/>
      <c r="EO69" s="32"/>
      <c r="EP69" s="353"/>
      <c r="EQ69" s="353"/>
      <c r="ER69" s="353"/>
      <c r="ES69" s="353"/>
      <c r="ET69" s="353"/>
      <c r="EU69" s="353"/>
      <c r="EV69" s="353"/>
      <c r="EW69" s="353"/>
      <c r="EX69" s="353"/>
      <c r="EY69" s="353"/>
      <c r="EZ69" s="353"/>
      <c r="FA69" s="353"/>
      <c r="FB69" s="353"/>
      <c r="FC69" s="353"/>
      <c r="FD69" s="353"/>
      <c r="FE69" s="308"/>
      <c r="FF69" s="300"/>
      <c r="FG69" s="300"/>
      <c r="FH69" s="300"/>
      <c r="FO69" s="7"/>
    </row>
    <row r="70" spans="1:171" ht="14.25" customHeight="1">
      <c r="A70" s="7"/>
      <c r="B70" s="540" t="s">
        <v>130</v>
      </c>
      <c r="C70" s="44"/>
      <c r="D70" s="807">
        <f t="shared" ref="D70:AI70" si="494">D52+D61</f>
        <v>248.9</v>
      </c>
      <c r="E70" s="808">
        <f t="shared" si="494"/>
        <v>299.60000000000002</v>
      </c>
      <c r="F70" s="808">
        <f t="shared" si="494"/>
        <v>352.40000000000003</v>
      </c>
      <c r="G70" s="809">
        <f t="shared" si="494"/>
        <v>449.6</v>
      </c>
      <c r="H70" s="807">
        <f t="shared" si="494"/>
        <v>533.09999999999991</v>
      </c>
      <c r="I70" s="808">
        <f t="shared" si="494"/>
        <v>300.49999999999994</v>
      </c>
      <c r="J70" s="808">
        <f t="shared" si="494"/>
        <v>96.799999999999983</v>
      </c>
      <c r="K70" s="809">
        <f t="shared" si="494"/>
        <v>19.99999999999994</v>
      </c>
      <c r="L70" s="807">
        <f t="shared" si="494"/>
        <v>36.200000000000045</v>
      </c>
      <c r="M70" s="808">
        <f t="shared" si="494"/>
        <v>273.90000000000003</v>
      </c>
      <c r="N70" s="808">
        <f t="shared" si="494"/>
        <v>164.6</v>
      </c>
      <c r="O70" s="809">
        <f t="shared" si="494"/>
        <v>124.8000000000001</v>
      </c>
      <c r="P70" s="807">
        <f t="shared" si="494"/>
        <v>10.999999999999948</v>
      </c>
      <c r="Q70" s="808">
        <f t="shared" si="494"/>
        <v>-61.699999999999932</v>
      </c>
      <c r="R70" s="808">
        <f t="shared" si="494"/>
        <v>-180.2</v>
      </c>
      <c r="S70" s="809">
        <f t="shared" si="494"/>
        <v>-145.29999999999993</v>
      </c>
      <c r="T70" s="807">
        <f t="shared" si="494"/>
        <v>-73.800000000000026</v>
      </c>
      <c r="U70" s="808">
        <f t="shared" si="494"/>
        <v>38.499999999999929</v>
      </c>
      <c r="V70" s="808">
        <f t="shared" si="494"/>
        <v>-44.799999999999983</v>
      </c>
      <c r="W70" s="809">
        <f t="shared" si="494"/>
        <v>-24.799999999999976</v>
      </c>
      <c r="X70" s="807">
        <f t="shared" si="494"/>
        <v>536.70000000000005</v>
      </c>
      <c r="Y70" s="808">
        <f t="shared" si="494"/>
        <v>254.1999999999999</v>
      </c>
      <c r="Z70" s="808">
        <f t="shared" si="494"/>
        <v>435.19999999999993</v>
      </c>
      <c r="AA70" s="809">
        <f t="shared" si="494"/>
        <v>1107.9000000000003</v>
      </c>
      <c r="AB70" s="807">
        <f t="shared" si="494"/>
        <v>548.19999999999982</v>
      </c>
      <c r="AC70" s="808">
        <f t="shared" si="494"/>
        <v>-89.599999999999937</v>
      </c>
      <c r="AD70" s="808">
        <f t="shared" si="494"/>
        <v>-508.89999999999992</v>
      </c>
      <c r="AE70" s="809">
        <f t="shared" si="494"/>
        <v>-1020.6999999999992</v>
      </c>
      <c r="AF70" s="807">
        <f t="shared" si="494"/>
        <v>-443.1</v>
      </c>
      <c r="AG70" s="808">
        <f t="shared" si="494"/>
        <v>-50.7</v>
      </c>
      <c r="AH70" s="808">
        <f t="shared" si="494"/>
        <v>-40.899999999999991</v>
      </c>
      <c r="AI70" s="809">
        <f t="shared" si="494"/>
        <v>-465.90000000000003</v>
      </c>
      <c r="AJ70" s="807">
        <f t="shared" ref="AJ70:BO70" si="495">AJ52+AJ61</f>
        <v>-295.99999999999994</v>
      </c>
      <c r="AK70" s="808">
        <f t="shared" si="495"/>
        <v>-603.19999999999993</v>
      </c>
      <c r="AL70" s="808">
        <f t="shared" si="495"/>
        <v>-192.6</v>
      </c>
      <c r="AM70" s="809">
        <f t="shared" si="495"/>
        <v>-114.70000000000002</v>
      </c>
      <c r="AN70" s="807">
        <f t="shared" si="495"/>
        <v>16.099999999999987</v>
      </c>
      <c r="AO70" s="808">
        <f t="shared" si="495"/>
        <v>-10.799999999999937</v>
      </c>
      <c r="AP70" s="808">
        <f t="shared" si="495"/>
        <v>108.29999999999998</v>
      </c>
      <c r="AQ70" s="809">
        <f t="shared" si="495"/>
        <v>124.70000000000003</v>
      </c>
      <c r="AR70" s="807">
        <f t="shared" si="495"/>
        <v>172.5</v>
      </c>
      <c r="AS70" s="808">
        <f t="shared" si="495"/>
        <v>124.90000000000009</v>
      </c>
      <c r="AT70" s="808">
        <f t="shared" si="495"/>
        <v>-135.19999999999996</v>
      </c>
      <c r="AU70" s="809">
        <f t="shared" si="495"/>
        <v>43.199999999999925</v>
      </c>
      <c r="AV70" s="807">
        <f t="shared" si="495"/>
        <v>62.799999999999891</v>
      </c>
      <c r="AW70" s="808">
        <f t="shared" si="495"/>
        <v>200.49999999999994</v>
      </c>
      <c r="AX70" s="808">
        <f t="shared" si="495"/>
        <v>77.799999999999983</v>
      </c>
      <c r="AY70" s="809">
        <f t="shared" si="495"/>
        <v>92.100000000000023</v>
      </c>
      <c r="AZ70" s="807">
        <f t="shared" si="495"/>
        <v>153</v>
      </c>
      <c r="BA70" s="808">
        <f t="shared" si="495"/>
        <v>2</v>
      </c>
      <c r="BB70" s="808">
        <f t="shared" si="495"/>
        <v>-177</v>
      </c>
      <c r="BC70" s="809">
        <f t="shared" si="495"/>
        <v>-146</v>
      </c>
      <c r="BD70" s="807">
        <f t="shared" si="495"/>
        <v>-252</v>
      </c>
      <c r="BE70" s="808">
        <f t="shared" si="495"/>
        <v>-775</v>
      </c>
      <c r="BF70" s="808">
        <f t="shared" si="495"/>
        <v>-231</v>
      </c>
      <c r="BG70" s="809">
        <f t="shared" si="495"/>
        <v>-353</v>
      </c>
      <c r="BH70" s="807">
        <f t="shared" si="495"/>
        <v>-706</v>
      </c>
      <c r="BI70" s="808">
        <f t="shared" si="495"/>
        <v>-798</v>
      </c>
      <c r="BJ70" s="808">
        <f t="shared" si="495"/>
        <v>-325</v>
      </c>
      <c r="BK70" s="809">
        <f t="shared" si="495"/>
        <v>-115</v>
      </c>
      <c r="BL70" s="807">
        <f t="shared" si="495"/>
        <v>212</v>
      </c>
      <c r="BM70" s="808">
        <f t="shared" si="495"/>
        <v>370</v>
      </c>
      <c r="BN70" s="808">
        <f t="shared" si="495"/>
        <v>938</v>
      </c>
      <c r="BO70" s="809">
        <f t="shared" si="495"/>
        <v>400</v>
      </c>
      <c r="BP70" s="807">
        <f t="shared" ref="BP70:CI70" si="496">BP52+BP61</f>
        <v>246</v>
      </c>
      <c r="BQ70" s="808">
        <f t="shared" si="496"/>
        <v>158</v>
      </c>
      <c r="BR70" s="808">
        <f t="shared" si="496"/>
        <v>225</v>
      </c>
      <c r="BS70" s="809">
        <f t="shared" si="496"/>
        <v>-78</v>
      </c>
      <c r="BT70" s="807">
        <f t="shared" si="496"/>
        <v>-115</v>
      </c>
      <c r="BU70" s="808">
        <f t="shared" si="496"/>
        <v>-200</v>
      </c>
      <c r="BV70" s="808">
        <f t="shared" si="496"/>
        <v>-243</v>
      </c>
      <c r="BW70" s="809">
        <f t="shared" si="496"/>
        <v>-196</v>
      </c>
      <c r="BX70" s="807">
        <f t="shared" si="496"/>
        <v>-210</v>
      </c>
      <c r="BY70" s="808">
        <f t="shared" si="496"/>
        <v>-235</v>
      </c>
      <c r="BZ70" s="808">
        <f t="shared" si="496"/>
        <v>52</v>
      </c>
      <c r="CA70" s="809">
        <f t="shared" si="496"/>
        <v>1678</v>
      </c>
      <c r="CB70" s="807">
        <f t="shared" si="496"/>
        <v>375</v>
      </c>
      <c r="CC70" s="808">
        <f t="shared" si="496"/>
        <v>670</v>
      </c>
      <c r="CD70" s="808">
        <f>CD52+CD61</f>
        <v>743</v>
      </c>
      <c r="CE70" s="809">
        <f>CE52+CE61</f>
        <v>945</v>
      </c>
      <c r="CF70" s="807">
        <f t="shared" si="496"/>
        <v>953</v>
      </c>
      <c r="CG70" s="808">
        <f t="shared" si="496"/>
        <v>774</v>
      </c>
      <c r="CH70" s="808">
        <f t="shared" si="496"/>
        <v>527</v>
      </c>
      <c r="CI70" s="809">
        <f t="shared" si="496"/>
        <v>355</v>
      </c>
      <c r="CJ70" s="807">
        <f>CJ52+CJ61</f>
        <v>143</v>
      </c>
      <c r="CK70" s="808">
        <f t="shared" ref="CK70:CM70" si="497">CK52+CK61</f>
        <v>-96</v>
      </c>
      <c r="CL70" s="808">
        <f t="shared" si="497"/>
        <v>-160</v>
      </c>
      <c r="CM70" s="809">
        <f t="shared" si="497"/>
        <v>-168</v>
      </c>
      <c r="CN70" s="807">
        <f>CN52+CN61</f>
        <v>213</v>
      </c>
      <c r="CO70" s="808">
        <f t="shared" ref="CO70:CQ70" si="498">CO52+CO61</f>
        <v>925</v>
      </c>
      <c r="CP70" s="808">
        <f t="shared" si="498"/>
        <v>1737</v>
      </c>
      <c r="CQ70" s="809">
        <f t="shared" si="498"/>
        <v>2321</v>
      </c>
      <c r="CR70" s="807">
        <f>CR52+CR61</f>
        <v>2792</v>
      </c>
      <c r="CS70" s="808">
        <f t="shared" ref="CS70" si="499">CS52+CS61</f>
        <v>3446</v>
      </c>
      <c r="CT70" s="808">
        <f t="shared" ref="CT70:CU70" si="500">CT52+CT61</f>
        <v>3668.9683388944904</v>
      </c>
      <c r="CU70" s="809">
        <f t="shared" si="500"/>
        <v>3610.6937506253917</v>
      </c>
      <c r="CV70" s="807">
        <f t="shared" ref="CV70:CY70" si="501">CV52+CV61</f>
        <v>3144.302741376348</v>
      </c>
      <c r="CW70" s="808">
        <f t="shared" si="501"/>
        <v>2637.4150225051444</v>
      </c>
      <c r="CX70" s="808">
        <f t="shared" si="501"/>
        <v>2145.5363415952124</v>
      </c>
      <c r="CY70" s="809">
        <f t="shared" si="501"/>
        <v>1886.5902583424554</v>
      </c>
      <c r="CZ70" s="807">
        <f t="shared" ref="CZ70:DC70" si="502">CZ52+CZ61</f>
        <v>1688.3874494957108</v>
      </c>
      <c r="DA70" s="808">
        <f t="shared" si="502"/>
        <v>1537.0143801066833</v>
      </c>
      <c r="DB70" s="808">
        <f t="shared" si="502"/>
        <v>1467.2584885223869</v>
      </c>
      <c r="DC70" s="809">
        <f t="shared" si="502"/>
        <v>1421.9081043710312</v>
      </c>
      <c r="DD70" s="743"/>
      <c r="DE70" s="810">
        <f t="shared" ref="DE70:EB70" si="503">DE52+DE61</f>
        <v>1350.4999999999998</v>
      </c>
      <c r="DF70" s="810">
        <f t="shared" si="503"/>
        <v>950.4</v>
      </c>
      <c r="DG70" s="810">
        <f t="shared" si="503"/>
        <v>599.50000000000011</v>
      </c>
      <c r="DH70" s="810">
        <f t="shared" si="503"/>
        <v>-376.19999999999987</v>
      </c>
      <c r="DI70" s="810">
        <f t="shared" si="503"/>
        <v>-104.90000000000046</v>
      </c>
      <c r="DJ70" s="810">
        <f t="shared" si="503"/>
        <v>2334.0000000000005</v>
      </c>
      <c r="DK70" s="810">
        <f t="shared" si="503"/>
        <v>-1070.9999999999989</v>
      </c>
      <c r="DL70" s="810">
        <f t="shared" si="503"/>
        <v>-1000.6000000000001</v>
      </c>
      <c r="DM70" s="810">
        <f t="shared" si="503"/>
        <v>-1206.4999999999998</v>
      </c>
      <c r="DN70" s="810">
        <f t="shared" si="503"/>
        <v>238.29999999999981</v>
      </c>
      <c r="DO70" s="810">
        <f t="shared" si="503"/>
        <v>205.40000000000023</v>
      </c>
      <c r="DP70" s="808">
        <f t="shared" si="503"/>
        <v>433.19999999999948</v>
      </c>
      <c r="DQ70" s="808">
        <f t="shared" si="503"/>
        <v>-168</v>
      </c>
      <c r="DR70" s="808">
        <f t="shared" si="503"/>
        <v>-1611</v>
      </c>
      <c r="DS70" s="808">
        <f t="shared" si="503"/>
        <v>-1944</v>
      </c>
      <c r="DT70" s="808">
        <f t="shared" si="503"/>
        <v>1920</v>
      </c>
      <c r="DU70" s="808">
        <f t="shared" si="503"/>
        <v>551</v>
      </c>
      <c r="DV70" s="808">
        <f t="shared" si="503"/>
        <v>-754</v>
      </c>
      <c r="DW70" s="808">
        <f t="shared" si="503"/>
        <v>-199</v>
      </c>
      <c r="DX70" s="808">
        <f t="shared" si="503"/>
        <v>2733</v>
      </c>
      <c r="DY70" s="808">
        <f t="shared" si="503"/>
        <v>2609</v>
      </c>
      <c r="DZ70" s="808">
        <f t="shared" si="503"/>
        <v>-281</v>
      </c>
      <c r="EA70" s="808">
        <f t="shared" ref="EA70" si="504">EA52+EA61</f>
        <v>5196</v>
      </c>
      <c r="EB70" s="808">
        <f t="shared" si="503"/>
        <v>13517.662089519879</v>
      </c>
      <c r="EC70" s="809">
        <f t="shared" ref="EC70:ED70" si="505">EC52+EC61</f>
        <v>9813.8443638191602</v>
      </c>
      <c r="ED70" s="809">
        <f t="shared" si="505"/>
        <v>6114.5684224958059</v>
      </c>
      <c r="EE70" s="1364"/>
      <c r="EF70" s="45">
        <f t="shared" ref="EF70:EY70" si="506">EF52+EF61</f>
        <v>1634.6999999999998</v>
      </c>
      <c r="EG70" s="46">
        <f t="shared" si="506"/>
        <v>453.50000000000011</v>
      </c>
      <c r="EH70" s="46">
        <f t="shared" si="506"/>
        <v>574.29999999999973</v>
      </c>
      <c r="EI70" s="46">
        <f t="shared" si="506"/>
        <v>-461.00000000000011</v>
      </c>
      <c r="EJ70" s="46">
        <f t="shared" si="506"/>
        <v>505.59999999999951</v>
      </c>
      <c r="EK70" s="46">
        <f t="shared" si="506"/>
        <v>2345.4999999999995</v>
      </c>
      <c r="EL70" s="46">
        <f t="shared" si="506"/>
        <v>-2062.2999999999993</v>
      </c>
      <c r="EM70" s="46">
        <f t="shared" si="506"/>
        <v>-853.50000000000057</v>
      </c>
      <c r="EN70" s="46">
        <f t="shared" si="506"/>
        <v>-894.40000000000055</v>
      </c>
      <c r="EO70" s="46">
        <f t="shared" si="506"/>
        <v>394.70000000000078</v>
      </c>
      <c r="EP70" s="357">
        <f t="shared" si="506"/>
        <v>95.700000000000685</v>
      </c>
      <c r="EQ70" s="357">
        <f t="shared" si="506"/>
        <v>523.40000000000111</v>
      </c>
      <c r="ER70" s="357">
        <f t="shared" si="506"/>
        <v>-573</v>
      </c>
      <c r="ES70" s="357">
        <f t="shared" si="506"/>
        <v>-2065</v>
      </c>
      <c r="ET70" s="357">
        <f t="shared" si="506"/>
        <v>-1026</v>
      </c>
      <c r="EU70" s="357">
        <f t="shared" si="506"/>
        <v>1954</v>
      </c>
      <c r="EV70" s="357">
        <f t="shared" si="506"/>
        <v>190</v>
      </c>
      <c r="EW70" s="357">
        <f t="shared" si="506"/>
        <v>-849</v>
      </c>
      <c r="EX70" s="357">
        <f t="shared" si="506"/>
        <v>386</v>
      </c>
      <c r="EY70" s="357">
        <f t="shared" si="506"/>
        <v>3311</v>
      </c>
      <c r="EZ70" s="357">
        <f t="shared" ref="EZ70:FA70" si="507">EZ52+EZ61</f>
        <v>1799</v>
      </c>
      <c r="FA70" s="357">
        <f t="shared" si="507"/>
        <v>-211</v>
      </c>
      <c r="FB70" s="357">
        <f t="shared" ref="FB70:FC70" si="508">FB52+FB61</f>
        <v>7775</v>
      </c>
      <c r="FC70" s="357">
        <f t="shared" si="508"/>
        <v>13869.964830896228</v>
      </c>
      <c r="FD70" s="357">
        <f t="shared" ref="FD70" si="509">FD52+FD61</f>
        <v>8357.9290719385208</v>
      </c>
      <c r="FE70" s="308"/>
      <c r="FF70" s="300"/>
      <c r="FG70" s="300"/>
      <c r="FH70" s="300"/>
      <c r="FO70" s="7"/>
    </row>
    <row r="71" spans="1:171" ht="14.25" customHeight="1">
      <c r="A71" s="7"/>
      <c r="B71" s="540" t="s">
        <v>249</v>
      </c>
      <c r="C71" s="44"/>
      <c r="D71" s="807">
        <f t="shared" ref="D71:BO71" si="510">+D55+D68</f>
        <v>248.9</v>
      </c>
      <c r="E71" s="808">
        <f t="shared" si="510"/>
        <v>299.60000000000002</v>
      </c>
      <c r="F71" s="808">
        <f t="shared" si="510"/>
        <v>323.40000000000003</v>
      </c>
      <c r="G71" s="809">
        <f t="shared" si="510"/>
        <v>449.6</v>
      </c>
      <c r="H71" s="807">
        <f t="shared" si="510"/>
        <v>536.79999999999984</v>
      </c>
      <c r="I71" s="808">
        <f t="shared" si="510"/>
        <v>328.4</v>
      </c>
      <c r="J71" s="808">
        <f t="shared" si="510"/>
        <v>98.799999999999983</v>
      </c>
      <c r="K71" s="809">
        <f t="shared" si="510"/>
        <v>24.399999999999942</v>
      </c>
      <c r="L71" s="807">
        <f t="shared" si="510"/>
        <v>39.300000000000047</v>
      </c>
      <c r="M71" s="808">
        <f t="shared" si="510"/>
        <v>75.200000000000045</v>
      </c>
      <c r="N71" s="808">
        <f t="shared" si="510"/>
        <v>170.5</v>
      </c>
      <c r="O71" s="809">
        <f t="shared" si="510"/>
        <v>129.00000000000011</v>
      </c>
      <c r="P71" s="807">
        <f t="shared" si="510"/>
        <v>15.799999999999944</v>
      </c>
      <c r="Q71" s="808">
        <f t="shared" si="510"/>
        <v>-185.59999999999994</v>
      </c>
      <c r="R71" s="808">
        <f t="shared" si="510"/>
        <v>-174.7</v>
      </c>
      <c r="S71" s="809">
        <f t="shared" si="510"/>
        <v>-137.19999999999993</v>
      </c>
      <c r="T71" s="807">
        <f t="shared" si="510"/>
        <v>-61.70000000000001</v>
      </c>
      <c r="U71" s="808">
        <f t="shared" si="510"/>
        <v>58.399999999999935</v>
      </c>
      <c r="V71" s="808">
        <f t="shared" si="510"/>
        <v>-31.099999999999987</v>
      </c>
      <c r="W71" s="809">
        <f t="shared" si="510"/>
        <v>-4.5999999999999872</v>
      </c>
      <c r="X71" s="807">
        <f t="shared" si="510"/>
        <v>584.40000000000009</v>
      </c>
      <c r="Y71" s="808">
        <f t="shared" si="510"/>
        <v>278.39999999999992</v>
      </c>
      <c r="Z71" s="808">
        <f t="shared" si="510"/>
        <v>465.19999999999993</v>
      </c>
      <c r="AA71" s="809">
        <f t="shared" si="510"/>
        <v>1084.7000000000003</v>
      </c>
      <c r="AB71" s="807">
        <f t="shared" si="510"/>
        <v>558.39999999999986</v>
      </c>
      <c r="AC71" s="808">
        <f t="shared" si="510"/>
        <v>0.10000000000005826</v>
      </c>
      <c r="AD71" s="808">
        <f t="shared" si="510"/>
        <v>-467.09999999999997</v>
      </c>
      <c r="AE71" s="809">
        <f t="shared" si="510"/>
        <v>-977.29999999999927</v>
      </c>
      <c r="AF71" s="807">
        <f t="shared" si="510"/>
        <v>-438.1</v>
      </c>
      <c r="AG71" s="808">
        <f t="shared" si="510"/>
        <v>-63.899999999999991</v>
      </c>
      <c r="AH71" s="808">
        <f t="shared" si="510"/>
        <v>-36.999999999999979</v>
      </c>
      <c r="AI71" s="809">
        <f t="shared" si="510"/>
        <v>-438.40000000000003</v>
      </c>
      <c r="AJ71" s="807">
        <f t="shared" si="510"/>
        <v>-286.09999999999991</v>
      </c>
      <c r="AK71" s="808">
        <f t="shared" si="510"/>
        <v>-483.4</v>
      </c>
      <c r="AL71" s="808">
        <f t="shared" si="510"/>
        <v>-185.2</v>
      </c>
      <c r="AM71" s="809">
        <f t="shared" si="510"/>
        <v>-86.300000000000011</v>
      </c>
      <c r="AN71" s="807">
        <f t="shared" si="510"/>
        <v>13.299999999999978</v>
      </c>
      <c r="AO71" s="808">
        <f t="shared" si="510"/>
        <v>-25.199999999999942</v>
      </c>
      <c r="AP71" s="808">
        <f t="shared" si="510"/>
        <v>107.39999999999999</v>
      </c>
      <c r="AQ71" s="809">
        <f t="shared" si="510"/>
        <v>114.60000000000005</v>
      </c>
      <c r="AR71" s="807">
        <f t="shared" si="510"/>
        <v>182</v>
      </c>
      <c r="AS71" s="808">
        <f t="shared" si="510"/>
        <v>112.8000000000001</v>
      </c>
      <c r="AT71" s="808">
        <f t="shared" si="510"/>
        <v>-160.49999999999997</v>
      </c>
      <c r="AU71" s="809">
        <f t="shared" si="510"/>
        <v>40.59999999999993</v>
      </c>
      <c r="AV71" s="807">
        <f t="shared" si="510"/>
        <v>50.699999999999896</v>
      </c>
      <c r="AW71" s="808">
        <f t="shared" si="510"/>
        <v>-18.700000000000056</v>
      </c>
      <c r="AX71" s="808">
        <f t="shared" si="510"/>
        <v>79.299999999999983</v>
      </c>
      <c r="AY71" s="809">
        <f t="shared" si="510"/>
        <v>57.200000000000038</v>
      </c>
      <c r="AZ71" s="807">
        <f t="shared" si="510"/>
        <v>122</v>
      </c>
      <c r="BA71" s="808">
        <f t="shared" si="510"/>
        <v>-3</v>
      </c>
      <c r="BB71" s="808">
        <f t="shared" si="510"/>
        <v>-205</v>
      </c>
      <c r="BC71" s="809">
        <f t="shared" si="510"/>
        <v>-139</v>
      </c>
      <c r="BD71" s="807">
        <f t="shared" si="510"/>
        <v>-262</v>
      </c>
      <c r="BE71" s="808">
        <f t="shared" si="510"/>
        <v>-346</v>
      </c>
      <c r="BF71" s="808">
        <f t="shared" si="510"/>
        <v>-244</v>
      </c>
      <c r="BG71" s="809">
        <f t="shared" si="510"/>
        <v>-354</v>
      </c>
      <c r="BH71" s="807">
        <f t="shared" si="510"/>
        <v>-758</v>
      </c>
      <c r="BI71" s="808">
        <f t="shared" si="510"/>
        <v>-559</v>
      </c>
      <c r="BJ71" s="808">
        <f t="shared" si="510"/>
        <v>-169</v>
      </c>
      <c r="BK71" s="809">
        <f t="shared" si="510"/>
        <v>-83</v>
      </c>
      <c r="BL71" s="807">
        <f t="shared" si="510"/>
        <v>220</v>
      </c>
      <c r="BM71" s="808">
        <f t="shared" si="510"/>
        <v>349</v>
      </c>
      <c r="BN71" s="808">
        <f t="shared" si="510"/>
        <v>914</v>
      </c>
      <c r="BO71" s="809">
        <f t="shared" si="510"/>
        <v>410</v>
      </c>
      <c r="BP71" s="807">
        <f t="shared" ref="BP71:BW71" si="511">+BP55+BP68</f>
        <v>55</v>
      </c>
      <c r="BQ71" s="808">
        <f t="shared" si="511"/>
        <v>82</v>
      </c>
      <c r="BR71" s="808">
        <f t="shared" si="511"/>
        <v>104</v>
      </c>
      <c r="BS71" s="809">
        <f t="shared" si="511"/>
        <v>-70</v>
      </c>
      <c r="BT71" s="807">
        <f t="shared" si="511"/>
        <v>-109</v>
      </c>
      <c r="BU71" s="808">
        <f t="shared" si="511"/>
        <v>-168</v>
      </c>
      <c r="BV71" s="808">
        <f t="shared" si="511"/>
        <v>-205</v>
      </c>
      <c r="BW71" s="809">
        <f t="shared" si="511"/>
        <v>-211</v>
      </c>
      <c r="BX71" s="807">
        <f>+BX55+BX68</f>
        <v>-179</v>
      </c>
      <c r="BY71" s="808">
        <f>+BY55+BY68</f>
        <v>-183</v>
      </c>
      <c r="BZ71" s="808">
        <f>+BZ55+BZ68</f>
        <v>106</v>
      </c>
      <c r="CA71" s="809">
        <f t="shared" ref="CA71:CI71" si="512">+CA55+CA68</f>
        <v>235</v>
      </c>
      <c r="CB71" s="807">
        <f t="shared" si="512"/>
        <v>864</v>
      </c>
      <c r="CC71" s="808">
        <f t="shared" si="512"/>
        <v>895</v>
      </c>
      <c r="CD71" s="808">
        <f>+CD55+CD68</f>
        <v>809</v>
      </c>
      <c r="CE71" s="809">
        <f>+CE55+CE68</f>
        <v>878</v>
      </c>
      <c r="CF71" s="807">
        <f t="shared" si="512"/>
        <v>1052</v>
      </c>
      <c r="CG71" s="808">
        <f t="shared" si="512"/>
        <v>814</v>
      </c>
      <c r="CH71" s="808">
        <f t="shared" si="512"/>
        <v>580</v>
      </c>
      <c r="CI71" s="809">
        <f t="shared" si="512"/>
        <v>369</v>
      </c>
      <c r="CJ71" s="807">
        <f t="shared" ref="CJ71:CM71" si="513">+CJ55+CJ68</f>
        <v>195</v>
      </c>
      <c r="CK71" s="808">
        <f t="shared" si="513"/>
        <v>-59</v>
      </c>
      <c r="CL71" s="808">
        <f t="shared" si="513"/>
        <v>-95</v>
      </c>
      <c r="CM71" s="809">
        <f t="shared" si="513"/>
        <v>-73</v>
      </c>
      <c r="CN71" s="807">
        <f>+CN55+CN68</f>
        <v>338</v>
      </c>
      <c r="CO71" s="808">
        <f t="shared" ref="CO71:CQ71" si="514">+CO55+CO68</f>
        <v>1055</v>
      </c>
      <c r="CP71" s="808">
        <f t="shared" si="514"/>
        <v>1958</v>
      </c>
      <c r="CQ71" s="809">
        <f t="shared" si="514"/>
        <v>2446</v>
      </c>
      <c r="CR71" s="807">
        <f>+CR55+CR68</f>
        <v>3085</v>
      </c>
      <c r="CS71" s="808">
        <f t="shared" ref="CS71" si="515">+CS55+CS68</f>
        <v>3595</v>
      </c>
      <c r="CT71" s="808">
        <f t="shared" ref="CT71:CU71" si="516">+CT55+CT68</f>
        <v>3720.9683388944904</v>
      </c>
      <c r="CU71" s="809">
        <f t="shared" si="516"/>
        <v>3662.6937506253917</v>
      </c>
      <c r="CV71" s="807">
        <f t="shared" ref="CV71:CY71" si="517">+CV55+CV68</f>
        <v>3196.302741376348</v>
      </c>
      <c r="CW71" s="808">
        <f t="shared" si="517"/>
        <v>2689.4150225051444</v>
      </c>
      <c r="CX71" s="808">
        <f t="shared" si="517"/>
        <v>2197.5363415952124</v>
      </c>
      <c r="CY71" s="809">
        <f t="shared" si="517"/>
        <v>1938.5902583424554</v>
      </c>
      <c r="CZ71" s="807">
        <f t="shared" ref="CZ71:DC71" si="518">+CZ55+CZ68</f>
        <v>1740.3874494957108</v>
      </c>
      <c r="DA71" s="808">
        <f t="shared" si="518"/>
        <v>1589.0143801066833</v>
      </c>
      <c r="DB71" s="808">
        <f t="shared" si="518"/>
        <v>1519.2584885223869</v>
      </c>
      <c r="DC71" s="809">
        <f t="shared" si="518"/>
        <v>1473.9081043710312</v>
      </c>
      <c r="DD71" s="743"/>
      <c r="DE71" s="810">
        <f t="shared" ref="DE71:DV71" si="519">+DE55+DE68</f>
        <v>1321.4999999999998</v>
      </c>
      <c r="DF71" s="810">
        <f t="shared" si="519"/>
        <v>988.4</v>
      </c>
      <c r="DG71" s="810">
        <f t="shared" si="519"/>
        <v>414.00000000000011</v>
      </c>
      <c r="DH71" s="810">
        <f t="shared" si="519"/>
        <v>-481.69999999999993</v>
      </c>
      <c r="DI71" s="810">
        <f t="shared" si="519"/>
        <v>-39.000000000000455</v>
      </c>
      <c r="DJ71" s="810">
        <f t="shared" si="519"/>
        <v>2412.7000000000003</v>
      </c>
      <c r="DK71" s="810">
        <f t="shared" si="519"/>
        <v>-885.89999999999884</v>
      </c>
      <c r="DL71" s="810">
        <f t="shared" si="519"/>
        <v>-977.40000000000032</v>
      </c>
      <c r="DM71" s="810">
        <f t="shared" si="519"/>
        <v>-1040.9999999999998</v>
      </c>
      <c r="DN71" s="810">
        <f t="shared" si="519"/>
        <v>210.09999999999974</v>
      </c>
      <c r="DO71" s="810">
        <f t="shared" si="519"/>
        <v>174.90000000000018</v>
      </c>
      <c r="DP71" s="808">
        <f t="shared" si="519"/>
        <v>168.49999999999946</v>
      </c>
      <c r="DQ71" s="808">
        <f t="shared" si="519"/>
        <v>-225</v>
      </c>
      <c r="DR71" s="808">
        <f t="shared" si="519"/>
        <v>-1206</v>
      </c>
      <c r="DS71" s="808">
        <f t="shared" si="519"/>
        <v>-1569</v>
      </c>
      <c r="DT71" s="808">
        <f t="shared" si="519"/>
        <v>1893</v>
      </c>
      <c r="DU71" s="808">
        <f t="shared" si="519"/>
        <v>171</v>
      </c>
      <c r="DV71" s="808">
        <f t="shared" si="519"/>
        <v>-693</v>
      </c>
      <c r="DW71" s="808">
        <f>+DW55+DW68</f>
        <v>-1505</v>
      </c>
      <c r="DX71" s="808">
        <f t="shared" ref="DX71:EB71" si="520">+DX55+DX68</f>
        <v>3446</v>
      </c>
      <c r="DY71" s="808">
        <f t="shared" si="520"/>
        <v>2815</v>
      </c>
      <c r="DZ71" s="808">
        <f t="shared" si="520"/>
        <v>-32</v>
      </c>
      <c r="EA71" s="808">
        <f t="shared" ref="EA71" si="521">+EA55+EA68</f>
        <v>5797</v>
      </c>
      <c r="EB71" s="808">
        <f t="shared" si="520"/>
        <v>14063.662089519879</v>
      </c>
      <c r="EC71" s="809">
        <f t="shared" ref="EC71:ED71" si="522">+EC55+EC68</f>
        <v>10021.84436381916</v>
      </c>
      <c r="ED71" s="809">
        <f t="shared" si="522"/>
        <v>6322.5684224958059</v>
      </c>
      <c r="EE71" s="1364"/>
      <c r="EF71" s="45"/>
      <c r="EG71" s="46"/>
      <c r="EH71" s="46"/>
      <c r="EI71" s="46"/>
      <c r="EJ71" s="46"/>
      <c r="EK71" s="46"/>
      <c r="EL71" s="46"/>
      <c r="EM71" s="46"/>
      <c r="EN71" s="46"/>
      <c r="EO71" s="46"/>
      <c r="EP71" s="357"/>
      <c r="EQ71" s="357"/>
      <c r="ER71" s="357"/>
      <c r="ES71" s="357"/>
      <c r="ET71" s="357"/>
      <c r="EU71" s="357"/>
      <c r="EV71" s="357"/>
      <c r="EW71" s="357"/>
      <c r="EX71" s="357"/>
      <c r="EY71" s="27">
        <f>SUM(CC71:CF71)</f>
        <v>3634</v>
      </c>
      <c r="EZ71" s="27">
        <f t="shared" ref="EZ71" si="523">SUM(CG71:CJ71)</f>
        <v>1958</v>
      </c>
      <c r="FA71" s="27">
        <f t="shared" ref="FA71" si="524">SUM(CK71:CN71)</f>
        <v>111</v>
      </c>
      <c r="FB71" s="27">
        <f t="shared" ref="FB71" si="525">SUM(CO71:CR71)</f>
        <v>8544</v>
      </c>
      <c r="FC71" s="27">
        <f>SUM(CS71:CV71)</f>
        <v>14174.964830896231</v>
      </c>
      <c r="FD71" s="27">
        <f>SUM(CW71:CZ71)</f>
        <v>8565.9290719385226</v>
      </c>
      <c r="FE71" s="308"/>
      <c r="FF71" s="300"/>
      <c r="FG71" s="300"/>
      <c r="FH71" s="300"/>
      <c r="FO71" s="7"/>
    </row>
    <row r="72" spans="1:171" ht="14.25" customHeight="1">
      <c r="A72" s="7"/>
      <c r="B72" s="540" t="s">
        <v>271</v>
      </c>
      <c r="C72" s="44"/>
      <c r="D72" s="807">
        <f t="shared" ref="D72:AI72" si="526">D58+D68</f>
        <v>248.9</v>
      </c>
      <c r="E72" s="808">
        <f t="shared" si="526"/>
        <v>299.60000000000002</v>
      </c>
      <c r="F72" s="808">
        <f t="shared" si="526"/>
        <v>323.40000000000003</v>
      </c>
      <c r="G72" s="809">
        <f t="shared" si="526"/>
        <v>449.6</v>
      </c>
      <c r="H72" s="807">
        <f t="shared" si="526"/>
        <v>536.79999999999984</v>
      </c>
      <c r="I72" s="808">
        <f t="shared" si="526"/>
        <v>328.4</v>
      </c>
      <c r="J72" s="808">
        <f t="shared" si="526"/>
        <v>98.799999999999983</v>
      </c>
      <c r="K72" s="809">
        <f t="shared" si="526"/>
        <v>24.399999999999942</v>
      </c>
      <c r="L72" s="807">
        <f t="shared" si="526"/>
        <v>39.300000000000047</v>
      </c>
      <c r="M72" s="808">
        <f t="shared" si="526"/>
        <v>75.200000000000045</v>
      </c>
      <c r="N72" s="808">
        <f t="shared" si="526"/>
        <v>170.5</v>
      </c>
      <c r="O72" s="809">
        <f t="shared" si="526"/>
        <v>129.00000000000011</v>
      </c>
      <c r="P72" s="807">
        <f t="shared" si="526"/>
        <v>15.799999999999944</v>
      </c>
      <c r="Q72" s="808">
        <f t="shared" si="526"/>
        <v>-185.59999999999994</v>
      </c>
      <c r="R72" s="808">
        <f t="shared" si="526"/>
        <v>-174.7</v>
      </c>
      <c r="S72" s="809">
        <f t="shared" si="526"/>
        <v>-137.19999999999993</v>
      </c>
      <c r="T72" s="807">
        <f t="shared" si="526"/>
        <v>-61.70000000000001</v>
      </c>
      <c r="U72" s="808">
        <f t="shared" si="526"/>
        <v>58.399999999999935</v>
      </c>
      <c r="V72" s="808">
        <f t="shared" si="526"/>
        <v>-31.099999999999987</v>
      </c>
      <c r="W72" s="809">
        <f t="shared" si="526"/>
        <v>-4.5999999999999872</v>
      </c>
      <c r="X72" s="807">
        <f t="shared" si="526"/>
        <v>584.40000000000009</v>
      </c>
      <c r="Y72" s="808">
        <f t="shared" si="526"/>
        <v>278.39999999999992</v>
      </c>
      <c r="Z72" s="808">
        <f t="shared" si="526"/>
        <v>465.19999999999993</v>
      </c>
      <c r="AA72" s="809">
        <f t="shared" si="526"/>
        <v>1084.7000000000003</v>
      </c>
      <c r="AB72" s="807">
        <f t="shared" si="526"/>
        <v>558.39999999999986</v>
      </c>
      <c r="AC72" s="808">
        <f t="shared" si="526"/>
        <v>0.10000000000005826</v>
      </c>
      <c r="AD72" s="808">
        <f t="shared" si="526"/>
        <v>-467.09999999999997</v>
      </c>
      <c r="AE72" s="809">
        <f t="shared" si="526"/>
        <v>-977.29999999999927</v>
      </c>
      <c r="AF72" s="807">
        <f t="shared" si="526"/>
        <v>-438.1</v>
      </c>
      <c r="AG72" s="808">
        <f t="shared" si="526"/>
        <v>-63.899999999999991</v>
      </c>
      <c r="AH72" s="808">
        <f t="shared" si="526"/>
        <v>-36.999999999999979</v>
      </c>
      <c r="AI72" s="809">
        <f t="shared" si="526"/>
        <v>-438.40000000000003</v>
      </c>
      <c r="AJ72" s="807">
        <f t="shared" ref="AJ72:BO72" si="527">AJ58+AJ68</f>
        <v>-286.09999999999991</v>
      </c>
      <c r="AK72" s="808">
        <f t="shared" si="527"/>
        <v>-483.4</v>
      </c>
      <c r="AL72" s="808">
        <f t="shared" si="527"/>
        <v>-185.2</v>
      </c>
      <c r="AM72" s="809">
        <f t="shared" si="527"/>
        <v>-86.300000000000011</v>
      </c>
      <c r="AN72" s="807">
        <f t="shared" si="527"/>
        <v>13.299999999999978</v>
      </c>
      <c r="AO72" s="808">
        <f t="shared" si="527"/>
        <v>-25.199999999999942</v>
      </c>
      <c r="AP72" s="808">
        <f t="shared" si="527"/>
        <v>107.39999999999999</v>
      </c>
      <c r="AQ72" s="809">
        <f t="shared" si="527"/>
        <v>114.60000000000005</v>
      </c>
      <c r="AR72" s="807">
        <f t="shared" si="527"/>
        <v>182</v>
      </c>
      <c r="AS72" s="808">
        <f t="shared" si="527"/>
        <v>112.8000000000001</v>
      </c>
      <c r="AT72" s="808">
        <f t="shared" si="527"/>
        <v>-160.49999999999997</v>
      </c>
      <c r="AU72" s="809">
        <f t="shared" si="527"/>
        <v>40.59999999999993</v>
      </c>
      <c r="AV72" s="807">
        <f t="shared" si="527"/>
        <v>50.699999999999896</v>
      </c>
      <c r="AW72" s="808">
        <f t="shared" si="527"/>
        <v>-18.700000000000056</v>
      </c>
      <c r="AX72" s="808">
        <f t="shared" si="527"/>
        <v>79.299999999999983</v>
      </c>
      <c r="AY72" s="809">
        <f t="shared" si="527"/>
        <v>57.200000000000038</v>
      </c>
      <c r="AZ72" s="807">
        <f t="shared" si="527"/>
        <v>122</v>
      </c>
      <c r="BA72" s="808">
        <f t="shared" si="527"/>
        <v>-3</v>
      </c>
      <c r="BB72" s="808">
        <f t="shared" si="527"/>
        <v>-205</v>
      </c>
      <c r="BC72" s="809">
        <f t="shared" si="527"/>
        <v>-139</v>
      </c>
      <c r="BD72" s="807">
        <f t="shared" si="527"/>
        <v>-262</v>
      </c>
      <c r="BE72" s="808">
        <f t="shared" si="527"/>
        <v>-346</v>
      </c>
      <c r="BF72" s="808">
        <f t="shared" si="527"/>
        <v>-244</v>
      </c>
      <c r="BG72" s="809">
        <f t="shared" si="527"/>
        <v>-354</v>
      </c>
      <c r="BH72" s="807">
        <f t="shared" si="527"/>
        <v>-758</v>
      </c>
      <c r="BI72" s="808">
        <f t="shared" si="527"/>
        <v>-559</v>
      </c>
      <c r="BJ72" s="808">
        <f t="shared" si="527"/>
        <v>-169</v>
      </c>
      <c r="BK72" s="809">
        <f t="shared" si="527"/>
        <v>-83</v>
      </c>
      <c r="BL72" s="807">
        <f t="shared" si="527"/>
        <v>220</v>
      </c>
      <c r="BM72" s="808">
        <f t="shared" si="527"/>
        <v>349</v>
      </c>
      <c r="BN72" s="808">
        <f t="shared" si="527"/>
        <v>914</v>
      </c>
      <c r="BO72" s="809">
        <f t="shared" si="527"/>
        <v>410</v>
      </c>
      <c r="BP72" s="807">
        <f t="shared" ref="BP72:CI72" si="528">BP58+BP68</f>
        <v>55</v>
      </c>
      <c r="BQ72" s="808">
        <f t="shared" si="528"/>
        <v>82</v>
      </c>
      <c r="BR72" s="808">
        <f t="shared" si="528"/>
        <v>104</v>
      </c>
      <c r="BS72" s="809">
        <f t="shared" si="528"/>
        <v>-70</v>
      </c>
      <c r="BT72" s="807">
        <f t="shared" si="528"/>
        <v>-109</v>
      </c>
      <c r="BU72" s="808">
        <f t="shared" si="528"/>
        <v>-168</v>
      </c>
      <c r="BV72" s="808">
        <f t="shared" si="528"/>
        <v>-205</v>
      </c>
      <c r="BW72" s="809">
        <f t="shared" si="528"/>
        <v>-211</v>
      </c>
      <c r="BX72" s="807">
        <f t="shared" si="528"/>
        <v>-179</v>
      </c>
      <c r="BY72" s="808">
        <f t="shared" si="528"/>
        <v>-183</v>
      </c>
      <c r="BZ72" s="808">
        <f t="shared" si="528"/>
        <v>106</v>
      </c>
      <c r="CA72" s="809">
        <f t="shared" si="528"/>
        <v>235</v>
      </c>
      <c r="CB72" s="807">
        <f t="shared" si="528"/>
        <v>842</v>
      </c>
      <c r="CC72" s="808">
        <f t="shared" si="528"/>
        <v>868</v>
      </c>
      <c r="CD72" s="808">
        <f>CD58+CD68</f>
        <v>777</v>
      </c>
      <c r="CE72" s="809">
        <f>CE58+CE68</f>
        <v>844</v>
      </c>
      <c r="CF72" s="807">
        <f t="shared" si="528"/>
        <v>1017</v>
      </c>
      <c r="CG72" s="808">
        <f t="shared" si="528"/>
        <v>765</v>
      </c>
      <c r="CH72" s="808">
        <f t="shared" si="528"/>
        <v>537</v>
      </c>
      <c r="CI72" s="809">
        <f t="shared" si="528"/>
        <v>328</v>
      </c>
      <c r="CJ72" s="807">
        <f t="shared" ref="CJ72:CM72" si="529">CJ58+CJ68</f>
        <v>149</v>
      </c>
      <c r="CK72" s="808">
        <f t="shared" si="529"/>
        <v>-114</v>
      </c>
      <c r="CL72" s="808">
        <f t="shared" si="529"/>
        <v>-142</v>
      </c>
      <c r="CM72" s="809">
        <f t="shared" si="529"/>
        <v>-116</v>
      </c>
      <c r="CN72" s="807">
        <f t="shared" ref="CN72:CQ72" si="530">CN58+CN68</f>
        <v>292</v>
      </c>
      <c r="CO72" s="808">
        <f t="shared" si="530"/>
        <v>1000</v>
      </c>
      <c r="CP72" s="808">
        <f t="shared" si="530"/>
        <v>1901</v>
      </c>
      <c r="CQ72" s="809">
        <f t="shared" si="530"/>
        <v>2389</v>
      </c>
      <c r="CR72" s="807">
        <f t="shared" ref="CR72:CS72" si="531">CR58+CR68</f>
        <v>3034</v>
      </c>
      <c r="CS72" s="808">
        <f t="shared" si="531"/>
        <v>3543</v>
      </c>
      <c r="CT72" s="808">
        <f t="shared" ref="CT72:CU72" si="532">CT58+CT68</f>
        <v>3668.9683388944904</v>
      </c>
      <c r="CU72" s="809">
        <f t="shared" si="532"/>
        <v>3610.6937506253917</v>
      </c>
      <c r="CV72" s="807">
        <f t="shared" ref="CV72:CY72" si="533">CV58+CV68</f>
        <v>3144.302741376348</v>
      </c>
      <c r="CW72" s="808">
        <f t="shared" si="533"/>
        <v>2637.4150225051444</v>
      </c>
      <c r="CX72" s="808">
        <f t="shared" si="533"/>
        <v>2145.5363415952124</v>
      </c>
      <c r="CY72" s="809">
        <f t="shared" si="533"/>
        <v>1886.5902583424554</v>
      </c>
      <c r="CZ72" s="807">
        <f t="shared" ref="CZ72:DC72" si="534">CZ58+CZ68</f>
        <v>1688.3874494957108</v>
      </c>
      <c r="DA72" s="808">
        <f t="shared" si="534"/>
        <v>1537.0143801066833</v>
      </c>
      <c r="DB72" s="808">
        <f t="shared" si="534"/>
        <v>1467.2584885223869</v>
      </c>
      <c r="DC72" s="809">
        <f t="shared" si="534"/>
        <v>1421.9081043710312</v>
      </c>
      <c r="DD72" s="743"/>
      <c r="DE72" s="810">
        <f t="shared" ref="DE72:EB72" si="535">DE58+DE68</f>
        <v>1321.4999999999998</v>
      </c>
      <c r="DF72" s="810">
        <f t="shared" si="535"/>
        <v>988.4</v>
      </c>
      <c r="DG72" s="810">
        <f t="shared" si="535"/>
        <v>414.00000000000011</v>
      </c>
      <c r="DH72" s="810">
        <f t="shared" si="535"/>
        <v>-481.69999999999993</v>
      </c>
      <c r="DI72" s="810">
        <f t="shared" si="535"/>
        <v>-39.000000000000455</v>
      </c>
      <c r="DJ72" s="810">
        <f t="shared" si="535"/>
        <v>2412.7000000000003</v>
      </c>
      <c r="DK72" s="810">
        <f t="shared" si="535"/>
        <v>-885.89999999999884</v>
      </c>
      <c r="DL72" s="810">
        <f t="shared" si="535"/>
        <v>-977.40000000000032</v>
      </c>
      <c r="DM72" s="810">
        <f t="shared" si="535"/>
        <v>-1040.9999999999998</v>
      </c>
      <c r="DN72" s="810">
        <f t="shared" si="535"/>
        <v>210.09999999999974</v>
      </c>
      <c r="DO72" s="810">
        <f t="shared" si="535"/>
        <v>174.90000000000018</v>
      </c>
      <c r="DP72" s="808">
        <f t="shared" si="535"/>
        <v>168.49999999999946</v>
      </c>
      <c r="DQ72" s="808">
        <f t="shared" si="535"/>
        <v>-225</v>
      </c>
      <c r="DR72" s="808">
        <f t="shared" si="535"/>
        <v>-1206</v>
      </c>
      <c r="DS72" s="808">
        <f t="shared" si="535"/>
        <v>-1569</v>
      </c>
      <c r="DT72" s="808">
        <f t="shared" si="535"/>
        <v>1893</v>
      </c>
      <c r="DU72" s="808">
        <f t="shared" si="535"/>
        <v>171</v>
      </c>
      <c r="DV72" s="808">
        <f t="shared" si="535"/>
        <v>-693</v>
      </c>
      <c r="DW72" s="808">
        <f t="shared" si="535"/>
        <v>-1505</v>
      </c>
      <c r="DX72" s="808">
        <f t="shared" si="535"/>
        <v>3331</v>
      </c>
      <c r="DY72" s="808">
        <f t="shared" si="535"/>
        <v>2647</v>
      </c>
      <c r="DZ72" s="808">
        <f t="shared" si="535"/>
        <v>-223</v>
      </c>
      <c r="EA72" s="808">
        <f t="shared" ref="EA72" si="536">EA58+EA68</f>
        <v>5582</v>
      </c>
      <c r="EB72" s="808">
        <f t="shared" si="535"/>
        <v>13856.662089519879</v>
      </c>
      <c r="EC72" s="809">
        <f t="shared" ref="EC72:ED72" si="537">EC58+EC68</f>
        <v>9813.8443638191602</v>
      </c>
      <c r="ED72" s="809">
        <f t="shared" si="537"/>
        <v>6114.5684224958059</v>
      </c>
      <c r="EE72" s="1364"/>
      <c r="EF72" s="45">
        <f t="shared" ref="EF72:EY72" si="538">EF58+EF68</f>
        <v>1609.3999999999999</v>
      </c>
      <c r="EG72" s="46">
        <f t="shared" si="538"/>
        <v>490.90000000000015</v>
      </c>
      <c r="EH72" s="46">
        <f t="shared" si="538"/>
        <v>390.49999999999966</v>
      </c>
      <c r="EI72" s="46">
        <f t="shared" si="538"/>
        <v>-559.20000000000005</v>
      </c>
      <c r="EJ72" s="46">
        <f t="shared" si="538"/>
        <v>607.09999999999957</v>
      </c>
      <c r="EK72" s="46">
        <f t="shared" si="538"/>
        <v>2386.6999999999989</v>
      </c>
      <c r="EL72" s="46">
        <f t="shared" si="538"/>
        <v>-1882.3999999999992</v>
      </c>
      <c r="EM72" s="46">
        <f t="shared" si="538"/>
        <v>-825.40000000000055</v>
      </c>
      <c r="EN72" s="46">
        <f t="shared" si="538"/>
        <v>-741.60000000000048</v>
      </c>
      <c r="EO72" s="46">
        <f t="shared" si="538"/>
        <v>378.80000000000075</v>
      </c>
      <c r="EP72" s="357">
        <f t="shared" si="538"/>
        <v>43.600000000000634</v>
      </c>
      <c r="EQ72" s="357">
        <f t="shared" si="538"/>
        <v>239.80000000000109</v>
      </c>
      <c r="ER72" s="357">
        <f t="shared" si="538"/>
        <v>-609</v>
      </c>
      <c r="ES72" s="357">
        <f t="shared" si="538"/>
        <v>-1702</v>
      </c>
      <c r="ET72" s="357">
        <f t="shared" si="538"/>
        <v>-591</v>
      </c>
      <c r="EU72" s="357">
        <f t="shared" si="538"/>
        <v>1728</v>
      </c>
      <c r="EV72" s="357">
        <f t="shared" si="538"/>
        <v>7</v>
      </c>
      <c r="EW72" s="357">
        <f t="shared" si="538"/>
        <v>-763</v>
      </c>
      <c r="EX72" s="357">
        <f t="shared" si="538"/>
        <v>-534</v>
      </c>
      <c r="EY72" s="357">
        <f t="shared" si="538"/>
        <v>3351</v>
      </c>
      <c r="EZ72" s="357">
        <f t="shared" ref="EZ72:FA72" si="539">EZ58+EZ68</f>
        <v>1646</v>
      </c>
      <c r="FA72" s="357">
        <f t="shared" si="539"/>
        <v>-205</v>
      </c>
      <c r="FB72" s="357">
        <f t="shared" ref="FB72:FC72" si="540">FB58+FB68</f>
        <v>8202</v>
      </c>
      <c r="FC72" s="357">
        <f t="shared" si="540"/>
        <v>13966.964830896228</v>
      </c>
      <c r="FD72" s="357">
        <f t="shared" ref="FD72" si="541">FD58+FD68</f>
        <v>8357.9290719385208</v>
      </c>
      <c r="FE72" s="308"/>
      <c r="FF72" s="300"/>
      <c r="FG72" s="300"/>
      <c r="FH72" s="300"/>
      <c r="FO72" s="7"/>
    </row>
    <row r="73" spans="1:171" s="1171" customFormat="1" ht="9.75" customHeight="1" collapsed="1">
      <c r="A73" s="7"/>
      <c r="B73" s="548"/>
      <c r="C73" s="31"/>
      <c r="D73" s="34"/>
      <c r="E73" s="1209"/>
      <c r="F73" s="1209"/>
      <c r="G73" s="33"/>
      <c r="H73" s="34"/>
      <c r="I73" s="1209"/>
      <c r="J73" s="1209"/>
      <c r="K73" s="33"/>
      <c r="L73" s="34"/>
      <c r="M73" s="1209"/>
      <c r="N73" s="1209"/>
      <c r="O73" s="33"/>
      <c r="P73" s="34"/>
      <c r="Q73" s="1209"/>
      <c r="R73" s="1209"/>
      <c r="S73" s="33"/>
      <c r="T73" s="34"/>
      <c r="U73" s="1209"/>
      <c r="V73" s="1209"/>
      <c r="W73" s="33"/>
      <c r="X73" s="34"/>
      <c r="Y73" s="1209"/>
      <c r="Z73" s="1209"/>
      <c r="AA73" s="33"/>
      <c r="AB73" s="34"/>
      <c r="AC73" s="1209"/>
      <c r="AD73" s="1209"/>
      <c r="AE73" s="33"/>
      <c r="AF73" s="34"/>
      <c r="AG73" s="1209"/>
      <c r="AH73" s="1209"/>
      <c r="AI73" s="33"/>
      <c r="AJ73" s="34"/>
      <c r="AK73" s="1209"/>
      <c r="AL73" s="1209"/>
      <c r="AM73" s="33"/>
      <c r="AN73" s="34"/>
      <c r="AO73" s="1209"/>
      <c r="AP73" s="1209"/>
      <c r="AQ73" s="33"/>
      <c r="AR73" s="34"/>
      <c r="AS73" s="1209"/>
      <c r="AT73" s="1209"/>
      <c r="AU73" s="33"/>
      <c r="AV73" s="34"/>
      <c r="AW73" s="1209"/>
      <c r="AX73" s="1209"/>
      <c r="AY73" s="33"/>
      <c r="AZ73" s="34"/>
      <c r="BA73" s="1209"/>
      <c r="BB73" s="1209"/>
      <c r="BC73" s="33"/>
      <c r="BD73" s="34"/>
      <c r="BE73" s="1209"/>
      <c r="BF73" s="1209"/>
      <c r="BG73" s="33"/>
      <c r="BH73" s="34"/>
      <c r="BI73" s="1209"/>
      <c r="BJ73" s="1209"/>
      <c r="BK73" s="33"/>
      <c r="BL73" s="34"/>
      <c r="BM73" s="1209"/>
      <c r="BN73" s="1209"/>
      <c r="BO73" s="33"/>
      <c r="BP73" s="34"/>
      <c r="BQ73" s="1209"/>
      <c r="BR73" s="1209"/>
      <c r="BS73" s="33"/>
      <c r="BT73" s="34"/>
      <c r="BU73" s="1209"/>
      <c r="BV73" s="1209"/>
      <c r="BW73" s="33"/>
      <c r="BX73" s="34"/>
      <c r="BY73" s="32"/>
      <c r="BZ73" s="32"/>
      <c r="CA73" s="33"/>
      <c r="CB73" s="34"/>
      <c r="CC73" s="32"/>
      <c r="CD73" s="32"/>
      <c r="CE73" s="33"/>
      <c r="CF73" s="34"/>
      <c r="CG73" s="32"/>
      <c r="CH73" s="32"/>
      <c r="CI73" s="33"/>
      <c r="CJ73" s="34"/>
      <c r="CK73" s="32"/>
      <c r="CL73" s="32"/>
      <c r="CM73" s="33"/>
      <c r="CN73" s="34"/>
      <c r="CO73" s="1209"/>
      <c r="CP73" s="1209"/>
      <c r="CQ73" s="33"/>
      <c r="CR73" s="34"/>
      <c r="CS73" s="1209"/>
      <c r="CT73" s="32"/>
      <c r="CU73" s="33"/>
      <c r="CV73" s="34"/>
      <c r="CW73" s="1209"/>
      <c r="CX73" s="1209"/>
      <c r="CY73" s="33"/>
      <c r="CZ73" s="34"/>
      <c r="DA73" s="1209"/>
      <c r="DB73" s="1209"/>
      <c r="DC73" s="33"/>
      <c r="DD73" s="18"/>
      <c r="DE73" s="353"/>
      <c r="DF73" s="353"/>
      <c r="DG73" s="353"/>
      <c r="DH73" s="353"/>
      <c r="DI73" s="353"/>
      <c r="DJ73" s="353"/>
      <c r="DK73" s="353"/>
      <c r="DL73" s="353"/>
      <c r="DM73" s="353"/>
      <c r="DN73" s="353"/>
      <c r="DO73" s="353"/>
      <c r="DP73" s="32"/>
      <c r="DQ73" s="32"/>
      <c r="DR73" s="32"/>
      <c r="DS73" s="32"/>
      <c r="DT73" s="1209"/>
      <c r="DU73" s="1209"/>
      <c r="DV73" s="1209"/>
      <c r="DW73" s="1209"/>
      <c r="DX73" s="1209"/>
      <c r="DY73" s="1209"/>
      <c r="DZ73" s="1209"/>
      <c r="EA73" s="1209"/>
      <c r="EB73" s="1209"/>
      <c r="EC73" s="33"/>
      <c r="ED73" s="33"/>
      <c r="EE73" s="1364"/>
      <c r="EF73" s="34"/>
      <c r="EG73" s="32"/>
      <c r="EH73" s="32"/>
      <c r="EI73" s="32"/>
      <c r="EJ73" s="32"/>
      <c r="EK73" s="32"/>
      <c r="EL73" s="32"/>
      <c r="EM73" s="32"/>
      <c r="EN73" s="32"/>
      <c r="EO73" s="32"/>
      <c r="EP73" s="353"/>
      <c r="EQ73" s="353"/>
      <c r="ER73" s="353"/>
      <c r="ES73" s="353"/>
      <c r="ET73" s="353"/>
      <c r="EU73" s="353"/>
      <c r="EV73" s="353"/>
      <c r="EW73" s="353"/>
      <c r="EX73" s="353"/>
      <c r="EY73" s="353"/>
      <c r="EZ73" s="353"/>
      <c r="FA73" s="353"/>
      <c r="FB73" s="353"/>
      <c r="FC73" s="353"/>
      <c r="FD73" s="353"/>
      <c r="FE73" s="308"/>
      <c r="FF73" s="300"/>
      <c r="FG73" s="300"/>
      <c r="FH73" s="300"/>
      <c r="FI73"/>
      <c r="FJ73"/>
      <c r="FK73"/>
      <c r="FL73"/>
      <c r="FM73"/>
      <c r="FN73"/>
      <c r="FO73" s="7"/>
    </row>
    <row r="74" spans="1:171" ht="14.25" customHeight="1">
      <c r="A74" s="7"/>
      <c r="B74" s="673" t="s">
        <v>131</v>
      </c>
      <c r="C74" s="23"/>
      <c r="D74" s="369">
        <v>89.6</v>
      </c>
      <c r="E74" s="26">
        <v>116.1</v>
      </c>
      <c r="F74" s="26">
        <v>132.19999999999999</v>
      </c>
      <c r="G74" s="368">
        <v>168.5</v>
      </c>
      <c r="H74" s="369">
        <v>204.6</v>
      </c>
      <c r="I74" s="26">
        <v>112.3</v>
      </c>
      <c r="J74" s="26">
        <v>38.6</v>
      </c>
      <c r="K74" s="368">
        <v>1.4</v>
      </c>
      <c r="L74" s="369">
        <v>15.6</v>
      </c>
      <c r="M74" s="26">
        <v>131.19999999999999</v>
      </c>
      <c r="N74" s="26">
        <v>67.8</v>
      </c>
      <c r="O74" s="368">
        <v>52.7</v>
      </c>
      <c r="P74" s="369">
        <v>4.5</v>
      </c>
      <c r="Q74" s="26">
        <v>-10.8</v>
      </c>
      <c r="R74" s="26">
        <v>-70.8</v>
      </c>
      <c r="S74" s="368">
        <v>-52</v>
      </c>
      <c r="T74" s="369">
        <v>-27.6</v>
      </c>
      <c r="U74" s="26">
        <v>16.100000000000001</v>
      </c>
      <c r="V74" s="26">
        <v>-17.100000000000001</v>
      </c>
      <c r="W74" s="368">
        <v>-7.4</v>
      </c>
      <c r="X74" s="369">
        <v>195.4</v>
      </c>
      <c r="Y74" s="26">
        <v>92.9</v>
      </c>
      <c r="Z74" s="26">
        <v>160.30000000000001</v>
      </c>
      <c r="AA74" s="368">
        <v>381.2</v>
      </c>
      <c r="AB74" s="369">
        <v>196</v>
      </c>
      <c r="AC74" s="26">
        <v>-1.3</v>
      </c>
      <c r="AD74" s="26">
        <v>-195.5</v>
      </c>
      <c r="AE74" s="368">
        <v>-445.2</v>
      </c>
      <c r="AF74" s="369">
        <v>-177.2</v>
      </c>
      <c r="AG74" s="26">
        <v>-20.3</v>
      </c>
      <c r="AH74" s="26">
        <v>-16.100000000000001</v>
      </c>
      <c r="AI74" s="368">
        <v>122.1</v>
      </c>
      <c r="AJ74" s="369">
        <v>21.4</v>
      </c>
      <c r="AK74" s="26">
        <v>17.600000000000001</v>
      </c>
      <c r="AL74" s="26">
        <v>23.9</v>
      </c>
      <c r="AM74" s="368">
        <v>10.1</v>
      </c>
      <c r="AN74" s="369">
        <v>15.5</v>
      </c>
      <c r="AO74" s="26">
        <v>17.5</v>
      </c>
      <c r="AP74" s="26">
        <v>14</v>
      </c>
      <c r="AQ74" s="368">
        <v>27.8</v>
      </c>
      <c r="AR74" s="369">
        <v>14.2</v>
      </c>
      <c r="AS74" s="26">
        <v>3.6</v>
      </c>
      <c r="AT74" s="26">
        <v>-7.3</v>
      </c>
      <c r="AU74" s="368">
        <v>0.1</v>
      </c>
      <c r="AV74" s="369">
        <v>0.2</v>
      </c>
      <c r="AW74" s="26">
        <v>7.3</v>
      </c>
      <c r="AX74" s="26">
        <v>6.5</v>
      </c>
      <c r="AY74" s="368">
        <v>4.7</v>
      </c>
      <c r="AZ74" s="369">
        <v>9</v>
      </c>
      <c r="BA74" s="26">
        <v>6</v>
      </c>
      <c r="BB74" s="26">
        <v>9</v>
      </c>
      <c r="BC74" s="368">
        <v>6</v>
      </c>
      <c r="BD74" s="369">
        <v>7</v>
      </c>
      <c r="BE74" s="26">
        <v>-4</v>
      </c>
      <c r="BF74" s="26">
        <v>13</v>
      </c>
      <c r="BG74" s="368">
        <v>2</v>
      </c>
      <c r="BH74" s="369">
        <v>13</v>
      </c>
      <c r="BI74" s="26">
        <v>4</v>
      </c>
      <c r="BJ74" s="26">
        <v>-2</v>
      </c>
      <c r="BK74" s="368">
        <v>-13</v>
      </c>
      <c r="BL74" s="369">
        <v>-7</v>
      </c>
      <c r="BM74" s="26">
        <v>4</v>
      </c>
      <c r="BN74" s="26">
        <v>-41</v>
      </c>
      <c r="BO74" s="368">
        <f>-19-BN74-BM74-BL74</f>
        <v>25</v>
      </c>
      <c r="BP74" s="369">
        <f>48</f>
        <v>48</v>
      </c>
      <c r="BQ74" s="26">
        <f>35</f>
        <v>35</v>
      </c>
      <c r="BR74" s="26">
        <v>104</v>
      </c>
      <c r="BS74" s="368">
        <f>203-BR74-BQ74-BP74</f>
        <v>16</v>
      </c>
      <c r="BT74" s="369">
        <v>-2</v>
      </c>
      <c r="BU74" s="26">
        <v>9</v>
      </c>
      <c r="BV74" s="26">
        <v>-38</v>
      </c>
      <c r="BW74" s="368">
        <v>14</v>
      </c>
      <c r="BX74" s="369">
        <v>13</v>
      </c>
      <c r="BY74" s="26">
        <v>-9</v>
      </c>
      <c r="BZ74" s="26">
        <v>-1</v>
      </c>
      <c r="CA74" s="368">
        <v>5</v>
      </c>
      <c r="CB74" s="369">
        <v>80</v>
      </c>
      <c r="CC74" s="26">
        <v>63</v>
      </c>
      <c r="CD74" s="26">
        <v>72</v>
      </c>
      <c r="CE74" s="368">
        <v>-87</v>
      </c>
      <c r="CF74" s="369">
        <v>75</v>
      </c>
      <c r="CG74" s="26">
        <v>47</v>
      </c>
      <c r="CH74" s="26">
        <v>104</v>
      </c>
      <c r="CI74" s="368">
        <v>-69</v>
      </c>
      <c r="CJ74" s="369">
        <v>-4</v>
      </c>
      <c r="CK74" s="26">
        <v>5</v>
      </c>
      <c r="CL74" s="26">
        <v>15</v>
      </c>
      <c r="CM74" s="368">
        <v>3</v>
      </c>
      <c r="CN74" s="369">
        <v>31</v>
      </c>
      <c r="CO74" s="26">
        <v>38</v>
      </c>
      <c r="CP74" s="26">
        <v>92</v>
      </c>
      <c r="CQ74" s="368">
        <v>-47</v>
      </c>
      <c r="CR74" s="369">
        <v>114</v>
      </c>
      <c r="CS74" s="26">
        <v>143</v>
      </c>
      <c r="CT74" s="27">
        <f t="shared" ref="CT74:CU74" si="542">CT72*CT75+CT76</f>
        <v>146.75873355577963</v>
      </c>
      <c r="CU74" s="28">
        <f t="shared" si="542"/>
        <v>144.42775002501568</v>
      </c>
      <c r="CV74" s="29">
        <f t="shared" ref="CV74:CY74" si="543">CV72*CV75+CV76</f>
        <v>377.31632896516174</v>
      </c>
      <c r="CW74" s="27">
        <f t="shared" si="543"/>
        <v>316.4898027006173</v>
      </c>
      <c r="CX74" s="27">
        <f t="shared" si="543"/>
        <v>257.46436099142551</v>
      </c>
      <c r="CY74" s="28">
        <f t="shared" si="543"/>
        <v>226.39083100109465</v>
      </c>
      <c r="CZ74" s="29">
        <f t="shared" ref="CZ74:DC74" si="544">CZ72*CZ75+CZ76</f>
        <v>202.60649393948529</v>
      </c>
      <c r="DA74" s="27">
        <f t="shared" si="544"/>
        <v>184.441725612802</v>
      </c>
      <c r="DB74" s="27">
        <f t="shared" si="544"/>
        <v>176.07101862268641</v>
      </c>
      <c r="DC74" s="28">
        <f t="shared" si="544"/>
        <v>170.62897252452373</v>
      </c>
      <c r="DD74" s="18"/>
      <c r="DE74" s="352">
        <f>SUM(D74:G74)</f>
        <v>506.4</v>
      </c>
      <c r="DF74" s="352">
        <f>SUM(H74:K74)</f>
        <v>356.9</v>
      </c>
      <c r="DG74" s="352">
        <f>SUM(L74:O74)</f>
        <v>267.29999999999995</v>
      </c>
      <c r="DH74" s="352">
        <f>SUM(P74:S74)</f>
        <v>-129.1</v>
      </c>
      <c r="DI74" s="352">
        <f>SUM(T74:W74)</f>
        <v>-36</v>
      </c>
      <c r="DJ74" s="352">
        <f>SUM(X74:AA74)</f>
        <v>829.8</v>
      </c>
      <c r="DK74" s="352">
        <f>SUM(AB74:AE74)</f>
        <v>-446</v>
      </c>
      <c r="DL74" s="352">
        <f>SUM(AF74:AI74)</f>
        <v>-91.5</v>
      </c>
      <c r="DM74" s="352">
        <f>SUM(AJ74:AM74)</f>
        <v>73</v>
      </c>
      <c r="DN74" s="352">
        <f>SUM(AN74:AQ74)</f>
        <v>74.8</v>
      </c>
      <c r="DO74" s="352">
        <f>SUM(AR74:AU74)</f>
        <v>10.6</v>
      </c>
      <c r="DP74" s="27">
        <f>SUM(AV74:AY74)</f>
        <v>18.7</v>
      </c>
      <c r="DQ74" s="27">
        <f>SUM(AZ74:BC74)</f>
        <v>30</v>
      </c>
      <c r="DR74" s="27">
        <f>SUM(BD74:BG74)</f>
        <v>18</v>
      </c>
      <c r="DS74" s="27">
        <f>SUM(BH74:BK74)</f>
        <v>2</v>
      </c>
      <c r="DT74" s="27">
        <f>SUM(BL74:BO74)</f>
        <v>-19</v>
      </c>
      <c r="DU74" s="27">
        <f>SUM(BP74:BS74)</f>
        <v>203</v>
      </c>
      <c r="DV74" s="27">
        <f>SUM(BT74:BW74)</f>
        <v>-17</v>
      </c>
      <c r="DW74" s="27">
        <f>SUM(BX74:CA74)</f>
        <v>8</v>
      </c>
      <c r="DX74" s="27">
        <f>SUM(CB74:CE74)</f>
        <v>128</v>
      </c>
      <c r="DY74" s="27">
        <f>SUM(CF74:CI74)</f>
        <v>157</v>
      </c>
      <c r="DZ74" s="27">
        <f t="shared" ref="DZ74:DZ81" si="545">SUM(CJ74:CM74)</f>
        <v>19</v>
      </c>
      <c r="EA74" s="27">
        <f t="shared" ref="EA74:EA81" si="546">SUM(CN74:CQ74)</f>
        <v>114</v>
      </c>
      <c r="EB74" s="27">
        <f t="shared" ref="EB74:EB81" si="547">SUM(CR74:CU74)</f>
        <v>548.18648358079531</v>
      </c>
      <c r="EC74" s="28">
        <f>SUM(CV74:CY74)</f>
        <v>1177.6613236582994</v>
      </c>
      <c r="ED74" s="28">
        <f>SUM(CZ74:DC74)</f>
        <v>733.74821069949746</v>
      </c>
      <c r="EE74" s="1364"/>
      <c r="EF74" s="29">
        <f>SUM(E74:H74)</f>
        <v>621.4</v>
      </c>
      <c r="EG74" s="27">
        <f>SUM(I74:L74)</f>
        <v>167.9</v>
      </c>
      <c r="EH74" s="27">
        <f>SUM(M74:P74)</f>
        <v>256.2</v>
      </c>
      <c r="EI74" s="27">
        <f>SUM(Q74:T74)</f>
        <v>-161.19999999999999</v>
      </c>
      <c r="EJ74" s="27">
        <f>SUM(U74:X74)</f>
        <v>187</v>
      </c>
      <c r="EK74" s="27">
        <f>SUM(Y74:AB74)</f>
        <v>830.4</v>
      </c>
      <c r="EL74" s="27">
        <f>SUM(AC74:AF74)</f>
        <v>-819.2</v>
      </c>
      <c r="EM74" s="27">
        <f>SUM(AG74:AJ74)</f>
        <v>107.1</v>
      </c>
      <c r="EN74" s="27">
        <f>SUM(AK74:AN74)</f>
        <v>67.099999999999994</v>
      </c>
      <c r="EO74" s="27">
        <f>SUM(AO74:AR74)</f>
        <v>73.5</v>
      </c>
      <c r="EP74" s="352">
        <f>SUM(AS74:AV74)</f>
        <v>-3.3999999999999995</v>
      </c>
      <c r="EQ74" s="352">
        <f>SUM(AW74:AZ74)</f>
        <v>27.5</v>
      </c>
      <c r="ER74" s="352">
        <f>SUM(BA74:BD74)</f>
        <v>28</v>
      </c>
      <c r="ES74" s="352">
        <f>SUM(BE74:BH74)</f>
        <v>24</v>
      </c>
      <c r="ET74" s="352">
        <f>SUM(BI74:BL74)</f>
        <v>-18</v>
      </c>
      <c r="EU74" s="352">
        <f>SUM(BM74:BP74)</f>
        <v>36</v>
      </c>
      <c r="EV74" s="352">
        <f>SUM(BQ74:BT74)</f>
        <v>153</v>
      </c>
      <c r="EW74" s="352">
        <f>SUM(BU74:BX74)</f>
        <v>-2</v>
      </c>
      <c r="EX74" s="352">
        <f>SUM(BY74:CB74)</f>
        <v>75</v>
      </c>
      <c r="EY74" s="352">
        <f>SUM(CC74:CF74)</f>
        <v>123</v>
      </c>
      <c r="EZ74" s="352">
        <f t="shared" ref="EZ74" si="548">SUM(CG74:CJ74)</f>
        <v>78</v>
      </c>
      <c r="FA74" s="352">
        <f t="shared" ref="FA74" si="549">SUM(CK74:CN74)</f>
        <v>54</v>
      </c>
      <c r="FB74" s="352">
        <f t="shared" ref="FB74" si="550">SUM(CO74:CR74)</f>
        <v>197</v>
      </c>
      <c r="FC74" s="352">
        <f>SUM(CS74:CV74)</f>
        <v>811.50281254595711</v>
      </c>
      <c r="FD74" s="352">
        <f>SUM(CW74:CZ74)</f>
        <v>1002.9514886326227</v>
      </c>
      <c r="FE74" s="308"/>
      <c r="FF74" s="300"/>
      <c r="FG74" s="300"/>
      <c r="FH74" s="300"/>
      <c r="FO74" s="7"/>
    </row>
    <row r="75" spans="1:171" ht="14.25" hidden="1" customHeight="1" outlineLevel="1">
      <c r="A75" s="7"/>
      <c r="B75" s="548" t="s">
        <v>194</v>
      </c>
      <c r="C75" s="31"/>
      <c r="D75" s="34">
        <f t="shared" ref="D75:AI75" si="551">D74/D70</f>
        <v>0.35998392928887102</v>
      </c>
      <c r="E75" s="1209">
        <f t="shared" si="551"/>
        <v>0.38751668891855801</v>
      </c>
      <c r="F75" s="1209">
        <f t="shared" si="551"/>
        <v>0.37514188422247441</v>
      </c>
      <c r="G75" s="33">
        <f t="shared" si="551"/>
        <v>0.37477758007117434</v>
      </c>
      <c r="H75" s="34">
        <f t="shared" si="551"/>
        <v>0.38379290939786159</v>
      </c>
      <c r="I75" s="1209">
        <f t="shared" si="551"/>
        <v>0.3737104825291182</v>
      </c>
      <c r="J75" s="1209">
        <f t="shared" si="551"/>
        <v>0.39876033057851246</v>
      </c>
      <c r="K75" s="33">
        <f t="shared" si="551"/>
        <v>7.0000000000000201E-2</v>
      </c>
      <c r="L75" s="34">
        <f t="shared" si="551"/>
        <v>0.43093922651933647</v>
      </c>
      <c r="M75" s="1209">
        <f t="shared" si="551"/>
        <v>0.47900693683826207</v>
      </c>
      <c r="N75" s="1209">
        <f t="shared" si="551"/>
        <v>0.41190765492102066</v>
      </c>
      <c r="O75" s="33">
        <f t="shared" si="551"/>
        <v>0.42227564102564075</v>
      </c>
      <c r="P75" s="34">
        <f t="shared" si="551"/>
        <v>0.409090909090911</v>
      </c>
      <c r="Q75" s="1209">
        <f t="shared" si="551"/>
        <v>0.17504051863857395</v>
      </c>
      <c r="R75" s="1209">
        <f t="shared" si="551"/>
        <v>0.39289678135405104</v>
      </c>
      <c r="S75" s="33">
        <f t="shared" si="551"/>
        <v>0.35788024776324862</v>
      </c>
      <c r="T75" s="34">
        <f t="shared" si="551"/>
        <v>0.37398373983739824</v>
      </c>
      <c r="U75" s="1209">
        <f t="shared" si="551"/>
        <v>0.41818181818181899</v>
      </c>
      <c r="V75" s="1209">
        <f t="shared" si="551"/>
        <v>0.38169642857142877</v>
      </c>
      <c r="W75" s="33">
        <f t="shared" si="551"/>
        <v>0.29838709677419384</v>
      </c>
      <c r="X75" s="34">
        <f t="shared" si="551"/>
        <v>0.36407676541829698</v>
      </c>
      <c r="Y75" s="1209">
        <f t="shared" si="551"/>
        <v>0.36546026750590105</v>
      </c>
      <c r="Z75" s="1209">
        <f t="shared" si="551"/>
        <v>0.36833639705882359</v>
      </c>
      <c r="AA75" s="33">
        <f t="shared" si="551"/>
        <v>0.34407437494358684</v>
      </c>
      <c r="AB75" s="34">
        <f t="shared" si="551"/>
        <v>0.35753374680773453</v>
      </c>
      <c r="AC75" s="1209">
        <f t="shared" si="551"/>
        <v>1.4508928571428582E-2</v>
      </c>
      <c r="AD75" s="1209">
        <f t="shared" si="551"/>
        <v>0.38416191786205545</v>
      </c>
      <c r="AE75" s="33">
        <f t="shared" si="551"/>
        <v>0.4361712550210643</v>
      </c>
      <c r="AF75" s="34">
        <f t="shared" si="551"/>
        <v>0.39990972692394489</v>
      </c>
      <c r="AG75" s="1209">
        <f t="shared" si="551"/>
        <v>0.40039447731755423</v>
      </c>
      <c r="AH75" s="1209">
        <f t="shared" si="551"/>
        <v>0.39364303178484117</v>
      </c>
      <c r="AI75" s="33">
        <f t="shared" si="551"/>
        <v>-0.26207340631036702</v>
      </c>
      <c r="AJ75" s="34">
        <f t="shared" ref="AJ75:BO75" si="552">AJ74/AJ70</f>
        <v>-7.2297297297297308E-2</v>
      </c>
      <c r="AK75" s="1209">
        <f t="shared" si="552"/>
        <v>-2.9177718832891251E-2</v>
      </c>
      <c r="AL75" s="1209">
        <f t="shared" si="552"/>
        <v>-0.12409138110072689</v>
      </c>
      <c r="AM75" s="33">
        <f t="shared" si="552"/>
        <v>-8.8055797733217075E-2</v>
      </c>
      <c r="AN75" s="34">
        <f t="shared" si="552"/>
        <v>0.9627329192546592</v>
      </c>
      <c r="AO75" s="1209">
        <f t="shared" si="552"/>
        <v>-1.6203703703703798</v>
      </c>
      <c r="AP75" s="1209">
        <f t="shared" si="552"/>
        <v>0.12927054478301017</v>
      </c>
      <c r="AQ75" s="33">
        <f t="shared" si="552"/>
        <v>0.22293504410585399</v>
      </c>
      <c r="AR75" s="34">
        <f t="shared" si="552"/>
        <v>8.2318840579710145E-2</v>
      </c>
      <c r="AS75" s="1209">
        <f t="shared" si="552"/>
        <v>2.8823058446757387E-2</v>
      </c>
      <c r="AT75" s="1209">
        <f t="shared" si="552"/>
        <v>5.3994082840236698E-2</v>
      </c>
      <c r="AU75" s="33">
        <f t="shared" si="552"/>
        <v>2.314814814814819E-3</v>
      </c>
      <c r="AV75" s="34">
        <f t="shared" si="552"/>
        <v>3.1847133757961841E-3</v>
      </c>
      <c r="AW75" s="1209">
        <f t="shared" si="552"/>
        <v>3.6408977556109737E-2</v>
      </c>
      <c r="AX75" s="1209">
        <f t="shared" si="552"/>
        <v>8.3547557840616987E-2</v>
      </c>
      <c r="AY75" s="33">
        <f t="shared" si="552"/>
        <v>5.1031487513572192E-2</v>
      </c>
      <c r="AZ75" s="34">
        <f t="shared" si="552"/>
        <v>5.8823529411764705E-2</v>
      </c>
      <c r="BA75" s="1209">
        <f t="shared" si="552"/>
        <v>3</v>
      </c>
      <c r="BB75" s="1209">
        <f t="shared" si="552"/>
        <v>-5.0847457627118647E-2</v>
      </c>
      <c r="BC75" s="33">
        <f t="shared" si="552"/>
        <v>-4.1095890410958902E-2</v>
      </c>
      <c r="BD75" s="34">
        <f t="shared" si="552"/>
        <v>-2.7777777777777776E-2</v>
      </c>
      <c r="BE75" s="1209">
        <f t="shared" si="552"/>
        <v>5.1612903225806452E-3</v>
      </c>
      <c r="BF75" s="1209">
        <f t="shared" si="552"/>
        <v>-5.627705627705628E-2</v>
      </c>
      <c r="BG75" s="33">
        <f t="shared" si="552"/>
        <v>-5.6657223796033997E-3</v>
      </c>
      <c r="BH75" s="34">
        <f t="shared" si="552"/>
        <v>-1.8413597733711047E-2</v>
      </c>
      <c r="BI75" s="1209">
        <f t="shared" si="552"/>
        <v>-5.0125313283208017E-3</v>
      </c>
      <c r="BJ75" s="1209">
        <f t="shared" si="552"/>
        <v>6.1538461538461538E-3</v>
      </c>
      <c r="BK75" s="33">
        <f t="shared" si="552"/>
        <v>0.11304347826086956</v>
      </c>
      <c r="BL75" s="34">
        <f t="shared" si="552"/>
        <v>-3.3018867924528301E-2</v>
      </c>
      <c r="BM75" s="1209">
        <f t="shared" si="552"/>
        <v>1.0810810810810811E-2</v>
      </c>
      <c r="BN75" s="1209">
        <f t="shared" si="552"/>
        <v>-4.3710021321961619E-2</v>
      </c>
      <c r="BO75" s="33">
        <f t="shared" si="552"/>
        <v>6.25E-2</v>
      </c>
      <c r="BP75" s="34">
        <f t="shared" ref="BP75:CB75" si="553">BP74/BP70</f>
        <v>0.1951219512195122</v>
      </c>
      <c r="BQ75" s="1209">
        <f t="shared" si="553"/>
        <v>0.22151898734177214</v>
      </c>
      <c r="BR75" s="1209">
        <f t="shared" si="553"/>
        <v>0.4622222222222222</v>
      </c>
      <c r="BS75" s="33">
        <f t="shared" si="553"/>
        <v>-0.20512820512820512</v>
      </c>
      <c r="BT75" s="34">
        <f t="shared" si="553"/>
        <v>1.7391304347826087E-2</v>
      </c>
      <c r="BU75" s="1209">
        <f t="shared" si="553"/>
        <v>-4.4999999999999998E-2</v>
      </c>
      <c r="BV75" s="1209">
        <f t="shared" si="553"/>
        <v>0.15637860082304528</v>
      </c>
      <c r="BW75" s="33">
        <f t="shared" si="553"/>
        <v>-7.1428571428571425E-2</v>
      </c>
      <c r="BX75" s="34">
        <f t="shared" si="553"/>
        <v>-6.1904761904761907E-2</v>
      </c>
      <c r="BY75" s="32">
        <f t="shared" si="553"/>
        <v>3.8297872340425532E-2</v>
      </c>
      <c r="BZ75" s="32">
        <f t="shared" si="553"/>
        <v>-1.9230769230769232E-2</v>
      </c>
      <c r="CA75" s="33">
        <f t="shared" si="553"/>
        <v>2.9797377830750892E-3</v>
      </c>
      <c r="CB75" s="34">
        <f t="shared" si="553"/>
        <v>0.21333333333333335</v>
      </c>
      <c r="CC75" s="32">
        <f>CC74/CC70</f>
        <v>9.4029850746268656E-2</v>
      </c>
      <c r="CD75" s="32">
        <f>CD74/CD70</f>
        <v>9.6904441453566623E-2</v>
      </c>
      <c r="CE75" s="33">
        <f>CE74/CE70</f>
        <v>-9.2063492063492069E-2</v>
      </c>
      <c r="CF75" s="892">
        <f t="shared" ref="CF75:CK75" si="554">CF74/CF72</f>
        <v>7.3746312684365781E-2</v>
      </c>
      <c r="CG75" s="32">
        <f t="shared" si="554"/>
        <v>6.1437908496732023E-2</v>
      </c>
      <c r="CH75" s="32">
        <f t="shared" si="554"/>
        <v>0.19366852886405958</v>
      </c>
      <c r="CI75" s="33">
        <f t="shared" si="554"/>
        <v>-0.21036585365853658</v>
      </c>
      <c r="CJ75" s="892">
        <f t="shared" si="554"/>
        <v>-2.6845637583892617E-2</v>
      </c>
      <c r="CK75" s="32">
        <f t="shared" si="554"/>
        <v>-4.3859649122807015E-2</v>
      </c>
      <c r="CL75" s="32">
        <f>CL74/CL72</f>
        <v>-0.10563380281690141</v>
      </c>
      <c r="CM75" s="33">
        <f t="shared" ref="CM75:CO75" si="555">CM74/CM72</f>
        <v>-2.5862068965517241E-2</v>
      </c>
      <c r="CN75" s="892">
        <f t="shared" si="555"/>
        <v>0.10616438356164383</v>
      </c>
      <c r="CO75" s="1209">
        <f t="shared" si="555"/>
        <v>3.7999999999999999E-2</v>
      </c>
      <c r="CP75" s="1209">
        <f>CP74/CP72</f>
        <v>4.8395581273014202E-2</v>
      </c>
      <c r="CQ75" s="33">
        <f t="shared" ref="CQ75:CS75" si="556">CQ74/CQ72</f>
        <v>-1.9673503557974047E-2</v>
      </c>
      <c r="CR75" s="34">
        <f t="shared" si="556"/>
        <v>3.7574159525379035E-2</v>
      </c>
      <c r="CS75" s="1209">
        <f t="shared" si="556"/>
        <v>4.0361275755009876E-2</v>
      </c>
      <c r="CT75" s="1169">
        <v>0.04</v>
      </c>
      <c r="CU75" s="1170">
        <v>0.04</v>
      </c>
      <c r="CV75" s="1168">
        <v>0.12</v>
      </c>
      <c r="CW75" s="1169">
        <f>CV75</f>
        <v>0.12</v>
      </c>
      <c r="CX75" s="1169">
        <f t="shared" ref="CX75:DC75" si="557">CW75</f>
        <v>0.12</v>
      </c>
      <c r="CY75" s="1170">
        <f t="shared" si="557"/>
        <v>0.12</v>
      </c>
      <c r="CZ75" s="1168">
        <f t="shared" si="557"/>
        <v>0.12</v>
      </c>
      <c r="DA75" s="1169">
        <f t="shared" si="557"/>
        <v>0.12</v>
      </c>
      <c r="DB75" s="1169">
        <f t="shared" si="557"/>
        <v>0.12</v>
      </c>
      <c r="DC75" s="1170">
        <f t="shared" si="557"/>
        <v>0.12</v>
      </c>
      <c r="DD75" s="18"/>
      <c r="DE75" s="353">
        <f t="shared" ref="DE75:DY75" si="558">DE74/DE70</f>
        <v>0.37497223250647915</v>
      </c>
      <c r="DF75" s="353">
        <f t="shared" si="558"/>
        <v>0.37552609427609424</v>
      </c>
      <c r="DG75" s="353">
        <f t="shared" si="558"/>
        <v>0.44587155963302738</v>
      </c>
      <c r="DH75" s="353">
        <f t="shared" si="558"/>
        <v>0.34316852737905379</v>
      </c>
      <c r="DI75" s="353">
        <f t="shared" si="558"/>
        <v>0.34318398474737694</v>
      </c>
      <c r="DJ75" s="353">
        <f t="shared" si="558"/>
        <v>0.35552699228791768</v>
      </c>
      <c r="DK75" s="353">
        <f t="shared" si="558"/>
        <v>0.41643323996265219</v>
      </c>
      <c r="DL75" s="353">
        <f t="shared" si="558"/>
        <v>9.1445132920247835E-2</v>
      </c>
      <c r="DM75" s="353">
        <f t="shared" si="558"/>
        <v>-6.0505594695399928E-2</v>
      </c>
      <c r="DN75" s="353">
        <f t="shared" si="558"/>
        <v>0.31389005455308461</v>
      </c>
      <c r="DO75" s="353">
        <f t="shared" si="558"/>
        <v>5.160662122687433E-2</v>
      </c>
      <c r="DP75" s="32">
        <f t="shared" si="558"/>
        <v>4.3167128347183802E-2</v>
      </c>
      <c r="DQ75" s="32">
        <f t="shared" si="558"/>
        <v>-0.17857142857142858</v>
      </c>
      <c r="DR75" s="32">
        <f t="shared" si="558"/>
        <v>-1.11731843575419E-2</v>
      </c>
      <c r="DS75" s="32">
        <f t="shared" si="558"/>
        <v>-1.02880658436214E-3</v>
      </c>
      <c r="DT75" s="1209">
        <f t="shared" si="558"/>
        <v>-9.8958333333333329E-3</v>
      </c>
      <c r="DU75" s="1209">
        <f t="shared" si="558"/>
        <v>0.36842105263157893</v>
      </c>
      <c r="DV75" s="1209">
        <f t="shared" si="558"/>
        <v>2.2546419098143235E-2</v>
      </c>
      <c r="DW75" s="1209">
        <f t="shared" si="558"/>
        <v>-4.0201005025125629E-2</v>
      </c>
      <c r="DX75" s="1209">
        <f t="shared" si="558"/>
        <v>4.6834979875594582E-2</v>
      </c>
      <c r="DY75" s="1209">
        <f t="shared" si="558"/>
        <v>6.0176312763510924E-2</v>
      </c>
      <c r="DZ75" s="1209">
        <f>DZ74/DZ72</f>
        <v>-8.520179372197309E-2</v>
      </c>
      <c r="EA75" s="1209">
        <f>EA74/EA72</f>
        <v>2.042278753135077E-2</v>
      </c>
      <c r="EB75" s="1209">
        <f>EB74/EB72</f>
        <v>3.9561221890183906E-2</v>
      </c>
      <c r="EC75" s="33">
        <f>EC74/EC72</f>
        <v>0.12000000000000001</v>
      </c>
      <c r="ED75" s="33">
        <f>ED74/ED72</f>
        <v>0.12000000000000012</v>
      </c>
      <c r="EE75" s="1364"/>
      <c r="EF75" s="34">
        <f t="shared" ref="EF75:FB75" si="559">EF74/EF70</f>
        <v>0.38013091087049616</v>
      </c>
      <c r="EG75" s="32">
        <f t="shared" si="559"/>
        <v>0.37023153252480695</v>
      </c>
      <c r="EH75" s="32">
        <f t="shared" si="559"/>
        <v>0.44610830576353844</v>
      </c>
      <c r="EI75" s="32">
        <f t="shared" si="559"/>
        <v>0.34967462039045544</v>
      </c>
      <c r="EJ75" s="32">
        <f t="shared" si="559"/>
        <v>0.36985759493670922</v>
      </c>
      <c r="EK75" s="32">
        <f t="shared" si="559"/>
        <v>0.35403965039437224</v>
      </c>
      <c r="EL75" s="32">
        <f t="shared" si="559"/>
        <v>0.39722639771129337</v>
      </c>
      <c r="EM75" s="32">
        <f t="shared" si="559"/>
        <v>-0.12548330404217917</v>
      </c>
      <c r="EN75" s="32">
        <f t="shared" si="559"/>
        <v>-7.5022361359570605E-2</v>
      </c>
      <c r="EO75" s="32">
        <f t="shared" si="559"/>
        <v>0.18621738028882659</v>
      </c>
      <c r="EP75" s="353">
        <f t="shared" si="559"/>
        <v>-3.5527690700104232E-2</v>
      </c>
      <c r="EQ75" s="353">
        <f t="shared" si="559"/>
        <v>5.2541077569736229E-2</v>
      </c>
      <c r="ER75" s="353">
        <f t="shared" si="559"/>
        <v>-4.8865619546247817E-2</v>
      </c>
      <c r="ES75" s="353">
        <f t="shared" si="559"/>
        <v>-1.1622276029055689E-2</v>
      </c>
      <c r="ET75" s="353">
        <f t="shared" si="559"/>
        <v>1.7543859649122806E-2</v>
      </c>
      <c r="EU75" s="353">
        <f t="shared" si="559"/>
        <v>1.8423746161719549E-2</v>
      </c>
      <c r="EV75" s="353">
        <f t="shared" si="559"/>
        <v>0.80526315789473679</v>
      </c>
      <c r="EW75" s="353">
        <f t="shared" si="559"/>
        <v>2.3557126030624262E-3</v>
      </c>
      <c r="EX75" s="353">
        <f t="shared" si="559"/>
        <v>0.19430051813471502</v>
      </c>
      <c r="EY75" s="353">
        <f t="shared" si="559"/>
        <v>3.7148897614013895E-2</v>
      </c>
      <c r="EZ75" s="353">
        <f t="shared" si="559"/>
        <v>4.3357420789327403E-2</v>
      </c>
      <c r="FA75" s="353">
        <f t="shared" si="559"/>
        <v>-0.25592417061611372</v>
      </c>
      <c r="FB75" s="353">
        <f t="shared" si="559"/>
        <v>2.5337620578778135E-2</v>
      </c>
      <c r="FC75" s="353">
        <f t="shared" ref="FC75:FD75" si="560">FC74/FC70</f>
        <v>5.8507921428775582E-2</v>
      </c>
      <c r="FD75" s="353">
        <f t="shared" si="560"/>
        <v>0.12000000000000002</v>
      </c>
      <c r="FE75" s="308"/>
      <c r="FF75" s="300"/>
      <c r="FG75" s="300"/>
      <c r="FH75" s="300"/>
      <c r="FO75" s="7"/>
    </row>
    <row r="76" spans="1:171" ht="14.25" hidden="1" customHeight="1" outlineLevel="1">
      <c r="A76" s="7"/>
      <c r="B76" s="673" t="s">
        <v>136</v>
      </c>
      <c r="C76" s="31"/>
      <c r="D76" s="34"/>
      <c r="E76" s="1209"/>
      <c r="F76" s="1209"/>
      <c r="G76" s="33"/>
      <c r="H76" s="34"/>
      <c r="I76" s="1209"/>
      <c r="J76" s="1209"/>
      <c r="K76" s="33"/>
      <c r="L76" s="34"/>
      <c r="M76" s="1209"/>
      <c r="N76" s="1209"/>
      <c r="O76" s="33"/>
      <c r="P76" s="34"/>
      <c r="Q76" s="1209"/>
      <c r="R76" s="1209"/>
      <c r="S76" s="33"/>
      <c r="T76" s="34"/>
      <c r="U76" s="1209"/>
      <c r="V76" s="1209"/>
      <c r="W76" s="33"/>
      <c r="X76" s="34"/>
      <c r="Y76" s="1209"/>
      <c r="Z76" s="1209"/>
      <c r="AA76" s="33"/>
      <c r="AB76" s="34"/>
      <c r="AC76" s="1209"/>
      <c r="AD76" s="1209"/>
      <c r="AE76" s="33"/>
      <c r="AF76" s="34"/>
      <c r="AG76" s="1209"/>
      <c r="AH76" s="1209"/>
      <c r="AI76" s="33"/>
      <c r="AJ76" s="34"/>
      <c r="AK76" s="1209"/>
      <c r="AL76" s="1209"/>
      <c r="AM76" s="33"/>
      <c r="AN76" s="34"/>
      <c r="AO76" s="1209"/>
      <c r="AP76" s="1209"/>
      <c r="AQ76" s="33"/>
      <c r="AR76" s="34"/>
      <c r="AS76" s="1209"/>
      <c r="AT76" s="1209"/>
      <c r="AU76" s="33"/>
      <c r="AV76" s="34"/>
      <c r="AW76" s="1209"/>
      <c r="AX76" s="1209"/>
      <c r="AY76" s="33"/>
      <c r="AZ76" s="34"/>
      <c r="BA76" s="1209"/>
      <c r="BB76" s="1209"/>
      <c r="BC76" s="33"/>
      <c r="BD76" s="34"/>
      <c r="BE76" s="1209"/>
      <c r="BF76" s="1209"/>
      <c r="BG76" s="33"/>
      <c r="BH76" s="34"/>
      <c r="BI76" s="1209"/>
      <c r="BJ76" s="1209"/>
      <c r="BK76" s="33"/>
      <c r="BL76" s="34"/>
      <c r="BM76" s="1209"/>
      <c r="BN76" s="1209"/>
      <c r="BO76" s="33"/>
      <c r="BP76" s="34"/>
      <c r="BQ76" s="1209"/>
      <c r="BR76" s="1209"/>
      <c r="BS76" s="33"/>
      <c r="BT76" s="34"/>
      <c r="BU76" s="1209"/>
      <c r="BV76" s="1209"/>
      <c r="BW76" s="33"/>
      <c r="BX76" s="34"/>
      <c r="BY76" s="32"/>
      <c r="BZ76" s="32"/>
      <c r="CA76" s="33"/>
      <c r="CB76" s="369">
        <f t="shared" ref="CB76:CL77" si="561">+CB151</f>
        <v>73</v>
      </c>
      <c r="CC76" s="26">
        <f t="shared" si="561"/>
        <v>55</v>
      </c>
      <c r="CD76" s="26">
        <f t="shared" si="561"/>
        <v>49</v>
      </c>
      <c r="CE76" s="368">
        <f t="shared" si="561"/>
        <v>-118</v>
      </c>
      <c r="CF76" s="369">
        <f t="shared" si="561"/>
        <v>38</v>
      </c>
      <c r="CG76" s="26">
        <f t="shared" si="561"/>
        <v>33</v>
      </c>
      <c r="CH76" s="26">
        <f t="shared" si="561"/>
        <v>67</v>
      </c>
      <c r="CI76" s="368">
        <f t="shared" si="561"/>
        <v>-58</v>
      </c>
      <c r="CJ76" s="369">
        <f t="shared" si="561"/>
        <v>-41</v>
      </c>
      <c r="CK76" s="26">
        <f t="shared" si="561"/>
        <v>0</v>
      </c>
      <c r="CL76" s="26">
        <f>+CL151</f>
        <v>0</v>
      </c>
      <c r="CM76" s="368">
        <f t="shared" ref="CM76:CO76" si="562">+CM151</f>
        <v>20</v>
      </c>
      <c r="CN76" s="369">
        <f t="shared" si="562"/>
        <v>0</v>
      </c>
      <c r="CO76" s="26">
        <f t="shared" si="562"/>
        <v>0</v>
      </c>
      <c r="CP76" s="26">
        <f>+CP151</f>
        <v>0</v>
      </c>
      <c r="CQ76" s="368">
        <f t="shared" ref="CQ76:CS76" si="563">+CQ151</f>
        <v>0</v>
      </c>
      <c r="CR76" s="369">
        <f t="shared" si="563"/>
        <v>0</v>
      </c>
      <c r="CS76" s="26">
        <f t="shared" si="563"/>
        <v>0</v>
      </c>
      <c r="CT76" s="590">
        <f t="shared" ref="CT76:CU76" si="564">+CT151</f>
        <v>0</v>
      </c>
      <c r="CU76" s="591">
        <f t="shared" si="564"/>
        <v>0</v>
      </c>
      <c r="CV76" s="890">
        <f t="shared" ref="CV76:CY76" si="565">+CV151</f>
        <v>0</v>
      </c>
      <c r="CW76" s="590">
        <f t="shared" si="565"/>
        <v>0</v>
      </c>
      <c r="CX76" s="590">
        <f t="shared" si="565"/>
        <v>0</v>
      </c>
      <c r="CY76" s="591">
        <f t="shared" si="565"/>
        <v>0</v>
      </c>
      <c r="CZ76" s="890">
        <f t="shared" ref="CZ76:DC76" si="566">+CZ151</f>
        <v>0</v>
      </c>
      <c r="DA76" s="590">
        <f t="shared" si="566"/>
        <v>0</v>
      </c>
      <c r="DB76" s="590">
        <f t="shared" si="566"/>
        <v>0</v>
      </c>
      <c r="DC76" s="591">
        <f t="shared" si="566"/>
        <v>0</v>
      </c>
      <c r="DD76" s="18"/>
      <c r="DE76" s="353"/>
      <c r="DF76" s="353"/>
      <c r="DG76" s="353"/>
      <c r="DH76" s="353"/>
      <c r="DI76" s="353"/>
      <c r="DJ76" s="353"/>
      <c r="DK76" s="353"/>
      <c r="DL76" s="353"/>
      <c r="DM76" s="353"/>
      <c r="DN76" s="353"/>
      <c r="DO76" s="353"/>
      <c r="DP76" s="32"/>
      <c r="DQ76" s="32"/>
      <c r="DR76" s="32"/>
      <c r="DS76" s="32"/>
      <c r="DT76" s="1209"/>
      <c r="DU76" s="1209"/>
      <c r="DV76" s="1209">
        <f>SUM(BT76:BW76)</f>
        <v>0</v>
      </c>
      <c r="DW76" s="1209">
        <f t="shared" ref="DW76:DW81" si="567">SUM(BX76:CA76)</f>
        <v>0</v>
      </c>
      <c r="DX76" s="1209">
        <f t="shared" ref="DX76:DX81" si="568">SUM(CB76:CE76)</f>
        <v>59</v>
      </c>
      <c r="DY76" s="1209">
        <f t="shared" ref="DY76:DY81" si="569">SUM(CF76:CI76)</f>
        <v>80</v>
      </c>
      <c r="DZ76" s="1209">
        <f t="shared" si="545"/>
        <v>-21</v>
      </c>
      <c r="EA76" s="27">
        <f t="shared" si="546"/>
        <v>0</v>
      </c>
      <c r="EB76" s="27">
        <f t="shared" si="547"/>
        <v>0</v>
      </c>
      <c r="EC76" s="28">
        <f t="shared" ref="EC76:EC81" si="570">SUM(CV76:CY76)</f>
        <v>0</v>
      </c>
      <c r="ED76" s="28">
        <f t="shared" ref="ED76:ED81" si="571">SUM(CZ76:DC76)</f>
        <v>0</v>
      </c>
      <c r="EE76" s="1364"/>
      <c r="EF76" s="34"/>
      <c r="EG76" s="32"/>
      <c r="EH76" s="32"/>
      <c r="EI76" s="32"/>
      <c r="EJ76" s="32"/>
      <c r="EK76" s="32"/>
      <c r="EL76" s="32"/>
      <c r="EM76" s="32"/>
      <c r="EN76" s="32"/>
      <c r="EO76" s="32"/>
      <c r="EP76" s="353"/>
      <c r="EQ76" s="353"/>
      <c r="ER76" s="353"/>
      <c r="ES76" s="353"/>
      <c r="ET76" s="353"/>
      <c r="EU76" s="353"/>
      <c r="EV76" s="353"/>
      <c r="EW76" s="353"/>
      <c r="EX76" s="353"/>
      <c r="EY76" s="353"/>
      <c r="EZ76" s="353"/>
      <c r="FA76" s="353"/>
      <c r="FB76" s="353"/>
      <c r="FC76" s="353"/>
      <c r="FD76" s="353"/>
      <c r="FE76" s="308"/>
      <c r="FF76" s="300"/>
      <c r="FG76" s="300"/>
      <c r="FH76" s="300"/>
      <c r="FO76" s="7"/>
    </row>
    <row r="77" spans="1:171" ht="14.25" hidden="1" customHeight="1" outlineLevel="1">
      <c r="A77" s="7"/>
      <c r="B77" s="673" t="s">
        <v>481</v>
      </c>
      <c r="C77" s="31"/>
      <c r="D77" s="34"/>
      <c r="E77" s="1209"/>
      <c r="F77" s="1209"/>
      <c r="G77" s="33"/>
      <c r="H77" s="34"/>
      <c r="I77" s="1209"/>
      <c r="J77" s="1209"/>
      <c r="K77" s="33"/>
      <c r="L77" s="34"/>
      <c r="M77" s="1209"/>
      <c r="N77" s="1209"/>
      <c r="O77" s="33"/>
      <c r="P77" s="34"/>
      <c r="Q77" s="1209"/>
      <c r="R77" s="1209"/>
      <c r="S77" s="33"/>
      <c r="T77" s="34"/>
      <c r="U77" s="1209"/>
      <c r="V77" s="1209"/>
      <c r="W77" s="33"/>
      <c r="X77" s="34"/>
      <c r="Y77" s="1209"/>
      <c r="Z77" s="1209"/>
      <c r="AA77" s="33"/>
      <c r="AB77" s="34"/>
      <c r="AC77" s="1209"/>
      <c r="AD77" s="1209"/>
      <c r="AE77" s="33"/>
      <c r="AF77" s="34"/>
      <c r="AG77" s="1209"/>
      <c r="AH77" s="1209"/>
      <c r="AI77" s="33"/>
      <c r="AJ77" s="34"/>
      <c r="AK77" s="1209"/>
      <c r="AL77" s="1209"/>
      <c r="AM77" s="33"/>
      <c r="AN77" s="34"/>
      <c r="AO77" s="1209"/>
      <c r="AP77" s="1209"/>
      <c r="AQ77" s="33"/>
      <c r="AR77" s="34"/>
      <c r="AS77" s="1209"/>
      <c r="AT77" s="1209"/>
      <c r="AU77" s="33"/>
      <c r="AV77" s="34"/>
      <c r="AW77" s="1209"/>
      <c r="AX77" s="1209"/>
      <c r="AY77" s="33"/>
      <c r="AZ77" s="34"/>
      <c r="BA77" s="1209"/>
      <c r="BB77" s="1209"/>
      <c r="BC77" s="33"/>
      <c r="BD77" s="34"/>
      <c r="BE77" s="1209"/>
      <c r="BF77" s="1209"/>
      <c r="BG77" s="33"/>
      <c r="BH77" s="34"/>
      <c r="BI77" s="1209"/>
      <c r="BJ77" s="1209"/>
      <c r="BK77" s="33"/>
      <c r="BL77" s="34"/>
      <c r="BM77" s="1209"/>
      <c r="BN77" s="1209"/>
      <c r="BO77" s="33"/>
      <c r="BP77" s="34"/>
      <c r="BQ77" s="1209"/>
      <c r="BR77" s="1209"/>
      <c r="BS77" s="33"/>
      <c r="BT77" s="34"/>
      <c r="BU77" s="1209"/>
      <c r="BV77" s="1209"/>
      <c r="BW77" s="33"/>
      <c r="BX77" s="34"/>
      <c r="BY77" s="32"/>
      <c r="BZ77" s="32"/>
      <c r="CA77" s="33"/>
      <c r="CB77" s="369"/>
      <c r="CC77" s="26"/>
      <c r="CD77" s="26"/>
      <c r="CE77" s="368"/>
      <c r="CF77" s="369"/>
      <c r="CG77" s="26">
        <f>+CG152</f>
        <v>-65</v>
      </c>
      <c r="CH77" s="26">
        <f>+CH152</f>
        <v>10</v>
      </c>
      <c r="CI77" s="368">
        <f>+CI152</f>
        <v>-15</v>
      </c>
      <c r="CJ77" s="369">
        <f>+CJ152</f>
        <v>30</v>
      </c>
      <c r="CK77" s="26">
        <f t="shared" si="561"/>
        <v>13</v>
      </c>
      <c r="CL77" s="26">
        <f t="shared" si="561"/>
        <v>71</v>
      </c>
      <c r="CM77" s="368">
        <f>+CM152</f>
        <v>0</v>
      </c>
      <c r="CN77" s="369">
        <f>+CN152</f>
        <v>15</v>
      </c>
      <c r="CO77" s="26">
        <v>0</v>
      </c>
      <c r="CP77" s="26">
        <f t="shared" ref="CP77" si="572">+CP152</f>
        <v>0</v>
      </c>
      <c r="CQ77" s="368">
        <f>+CQ152</f>
        <v>0</v>
      </c>
      <c r="CR77" s="369">
        <f>+CR152</f>
        <v>0</v>
      </c>
      <c r="CS77" s="26">
        <v>0</v>
      </c>
      <c r="CT77" s="590"/>
      <c r="CU77" s="591"/>
      <c r="CV77" s="890"/>
      <c r="CW77" s="590"/>
      <c r="CX77" s="590"/>
      <c r="CY77" s="591"/>
      <c r="CZ77" s="890"/>
      <c r="DA77" s="590"/>
      <c r="DB77" s="590"/>
      <c r="DC77" s="591"/>
      <c r="DD77" s="18"/>
      <c r="DE77" s="353"/>
      <c r="DF77" s="353"/>
      <c r="DG77" s="353"/>
      <c r="DH77" s="353"/>
      <c r="DI77" s="353"/>
      <c r="DJ77" s="353"/>
      <c r="DK77" s="353"/>
      <c r="DL77" s="353"/>
      <c r="DM77" s="353"/>
      <c r="DN77" s="353"/>
      <c r="DO77" s="353"/>
      <c r="DP77" s="32"/>
      <c r="DQ77" s="32"/>
      <c r="DR77" s="32"/>
      <c r="DS77" s="32"/>
      <c r="DT77" s="1209"/>
      <c r="DU77" s="1209"/>
      <c r="DV77" s="1209"/>
      <c r="DW77" s="1209">
        <f t="shared" si="567"/>
        <v>0</v>
      </c>
      <c r="DX77" s="1209">
        <f t="shared" si="568"/>
        <v>0</v>
      </c>
      <c r="DY77" s="1209">
        <f t="shared" si="569"/>
        <v>-70</v>
      </c>
      <c r="DZ77" s="1209">
        <f>SUM(CJ77:CM77)</f>
        <v>114</v>
      </c>
      <c r="EA77" s="27">
        <f t="shared" si="546"/>
        <v>15</v>
      </c>
      <c r="EB77" s="27">
        <f t="shared" si="547"/>
        <v>0</v>
      </c>
      <c r="EC77" s="28">
        <f t="shared" si="570"/>
        <v>0</v>
      </c>
      <c r="ED77" s="28">
        <f t="shared" si="571"/>
        <v>0</v>
      </c>
      <c r="EE77" s="1364"/>
      <c r="EF77" s="34"/>
      <c r="EG77" s="32"/>
      <c r="EH77" s="32"/>
      <c r="EI77" s="32"/>
      <c r="EJ77" s="32"/>
      <c r="EK77" s="32"/>
      <c r="EL77" s="32"/>
      <c r="EM77" s="32"/>
      <c r="EN77" s="32"/>
      <c r="EO77" s="32"/>
      <c r="EP77" s="353"/>
      <c r="EQ77" s="353"/>
      <c r="ER77" s="353"/>
      <c r="ES77" s="353"/>
      <c r="ET77" s="353"/>
      <c r="EU77" s="353"/>
      <c r="EV77" s="353"/>
      <c r="EW77" s="353"/>
      <c r="EX77" s="353"/>
      <c r="EY77" s="353"/>
      <c r="EZ77" s="353"/>
      <c r="FA77" s="353"/>
      <c r="FB77" s="353"/>
      <c r="FC77" s="353"/>
      <c r="FD77" s="353"/>
      <c r="FE77" s="308"/>
      <c r="FF77" s="300"/>
      <c r="FG77" s="300"/>
      <c r="FH77" s="300"/>
      <c r="FO77" s="7"/>
    </row>
    <row r="78" spans="1:171" ht="14.25" hidden="1" customHeight="1" outlineLevel="1">
      <c r="A78" s="7"/>
      <c r="B78" s="673" t="s">
        <v>135</v>
      </c>
      <c r="C78" s="31"/>
      <c r="D78" s="34"/>
      <c r="E78" s="1209"/>
      <c r="F78" s="1209"/>
      <c r="G78" s="33"/>
      <c r="H78" s="34"/>
      <c r="I78" s="1209"/>
      <c r="J78" s="1209"/>
      <c r="K78" s="33"/>
      <c r="L78" s="34"/>
      <c r="M78" s="1209"/>
      <c r="N78" s="1209"/>
      <c r="O78" s="33"/>
      <c r="P78" s="34"/>
      <c r="Q78" s="1209"/>
      <c r="R78" s="1209"/>
      <c r="S78" s="33"/>
      <c r="T78" s="34"/>
      <c r="U78" s="1209"/>
      <c r="V78" s="1209"/>
      <c r="W78" s="33"/>
      <c r="X78" s="34"/>
      <c r="Y78" s="1209"/>
      <c r="Z78" s="1209"/>
      <c r="AA78" s="33"/>
      <c r="AB78" s="34"/>
      <c r="AC78" s="1209"/>
      <c r="AD78" s="1209"/>
      <c r="AE78" s="33"/>
      <c r="AF78" s="34"/>
      <c r="AG78" s="1209"/>
      <c r="AH78" s="1209"/>
      <c r="AI78" s="33"/>
      <c r="AJ78" s="34"/>
      <c r="AK78" s="1209"/>
      <c r="AL78" s="1209"/>
      <c r="AM78" s="33"/>
      <c r="AN78" s="34"/>
      <c r="AO78" s="1209"/>
      <c r="AP78" s="1209"/>
      <c r="AQ78" s="33"/>
      <c r="AR78" s="34"/>
      <c r="AS78" s="1209"/>
      <c r="AT78" s="1209"/>
      <c r="AU78" s="33"/>
      <c r="AV78" s="34"/>
      <c r="AW78" s="1209"/>
      <c r="AX78" s="1209"/>
      <c r="AY78" s="33"/>
      <c r="AZ78" s="34"/>
      <c r="BA78" s="1209"/>
      <c r="BB78" s="1209"/>
      <c r="BC78" s="33"/>
      <c r="BD78" s="34"/>
      <c r="BE78" s="1209"/>
      <c r="BF78" s="1209"/>
      <c r="BG78" s="33"/>
      <c r="BH78" s="34"/>
      <c r="BI78" s="1209"/>
      <c r="BJ78" s="1209"/>
      <c r="BK78" s="33"/>
      <c r="BL78" s="34"/>
      <c r="BM78" s="1209"/>
      <c r="BN78" s="1209"/>
      <c r="BO78" s="33"/>
      <c r="BP78" s="34"/>
      <c r="BQ78" s="1209"/>
      <c r="BR78" s="1209"/>
      <c r="BS78" s="33"/>
      <c r="BT78" s="34"/>
      <c r="BU78" s="1209"/>
      <c r="BV78" s="1209"/>
      <c r="BW78" s="33"/>
      <c r="BX78" s="34"/>
      <c r="BY78" s="32"/>
      <c r="BZ78" s="32"/>
      <c r="CA78" s="33"/>
      <c r="CB78" s="369">
        <f t="shared" ref="CB78:CI78" si="573">+CB150</f>
        <v>-39</v>
      </c>
      <c r="CC78" s="26">
        <f t="shared" si="573"/>
        <v>-22</v>
      </c>
      <c r="CD78" s="26">
        <f t="shared" si="573"/>
        <v>-8</v>
      </c>
      <c r="CE78" s="368">
        <f t="shared" si="573"/>
        <v>-4</v>
      </c>
      <c r="CF78" s="369">
        <f t="shared" si="573"/>
        <v>-2</v>
      </c>
      <c r="CG78" s="26">
        <f t="shared" si="573"/>
        <v>-1</v>
      </c>
      <c r="CH78" s="26">
        <f t="shared" si="573"/>
        <v>-1</v>
      </c>
      <c r="CI78" s="368">
        <f t="shared" si="573"/>
        <v>-13</v>
      </c>
      <c r="CJ78" s="369">
        <f>+CJ150</f>
        <v>2</v>
      </c>
      <c r="CK78" s="26">
        <f>+CK150</f>
        <v>-1</v>
      </c>
      <c r="CL78" s="26">
        <v>0</v>
      </c>
      <c r="CM78" s="368">
        <f t="shared" ref="CM78" si="574">+CM150</f>
        <v>-1</v>
      </c>
      <c r="CN78" s="369">
        <f>+CN150</f>
        <v>-2</v>
      </c>
      <c r="CO78" s="26">
        <v>7</v>
      </c>
      <c r="CP78" s="26">
        <v>28</v>
      </c>
      <c r="CQ78" s="368">
        <f t="shared" ref="CQ78" si="575">+CQ150</f>
        <v>-107</v>
      </c>
      <c r="CR78" s="369">
        <v>23</v>
      </c>
      <c r="CS78" s="26">
        <v>44</v>
      </c>
      <c r="CT78" s="845">
        <f>0.15*CT66</f>
        <v>0</v>
      </c>
      <c r="CU78" s="846">
        <f t="shared" ref="CU78" si="576">0.2*CU66</f>
        <v>0</v>
      </c>
      <c r="CV78" s="847">
        <f t="shared" ref="CV78:CY78" si="577">0.2*CV66</f>
        <v>0</v>
      </c>
      <c r="CW78" s="845">
        <f t="shared" si="577"/>
        <v>0</v>
      </c>
      <c r="CX78" s="845">
        <f t="shared" si="577"/>
        <v>0</v>
      </c>
      <c r="CY78" s="846">
        <f t="shared" si="577"/>
        <v>0</v>
      </c>
      <c r="CZ78" s="847">
        <f t="shared" ref="CZ78:DC78" si="578">0.2*CZ66</f>
        <v>0</v>
      </c>
      <c r="DA78" s="845">
        <f t="shared" si="578"/>
        <v>0</v>
      </c>
      <c r="DB78" s="845">
        <f t="shared" si="578"/>
        <v>0</v>
      </c>
      <c r="DC78" s="846">
        <f t="shared" si="578"/>
        <v>0</v>
      </c>
      <c r="DD78" s="18"/>
      <c r="DE78" s="353"/>
      <c r="DF78" s="353"/>
      <c r="DG78" s="353"/>
      <c r="DH78" s="353"/>
      <c r="DI78" s="353"/>
      <c r="DJ78" s="353"/>
      <c r="DK78" s="353"/>
      <c r="DL78" s="353"/>
      <c r="DM78" s="353"/>
      <c r="DN78" s="353"/>
      <c r="DO78" s="353"/>
      <c r="DP78" s="32"/>
      <c r="DQ78" s="32"/>
      <c r="DR78" s="32"/>
      <c r="DS78" s="32"/>
      <c r="DT78" s="1209"/>
      <c r="DU78" s="1209"/>
      <c r="DV78" s="1209">
        <f>SUM(BT78:BW78)</f>
        <v>0</v>
      </c>
      <c r="DW78" s="1209">
        <f t="shared" si="567"/>
        <v>0</v>
      </c>
      <c r="DX78" s="1209">
        <f t="shared" si="568"/>
        <v>-73</v>
      </c>
      <c r="DY78" s="1209">
        <f t="shared" si="569"/>
        <v>-17</v>
      </c>
      <c r="DZ78" s="1209">
        <f t="shared" si="545"/>
        <v>0</v>
      </c>
      <c r="EA78" s="27">
        <f t="shared" si="546"/>
        <v>-74</v>
      </c>
      <c r="EB78" s="27">
        <f t="shared" si="547"/>
        <v>67</v>
      </c>
      <c r="EC78" s="28">
        <f t="shared" si="570"/>
        <v>0</v>
      </c>
      <c r="ED78" s="28">
        <f t="shared" si="571"/>
        <v>0</v>
      </c>
      <c r="EE78" s="1364"/>
      <c r="EF78" s="29">
        <f>SUM(E78:H78)</f>
        <v>0</v>
      </c>
      <c r="EG78" s="27">
        <f>SUM(I78:L78)</f>
        <v>0</v>
      </c>
      <c r="EH78" s="27">
        <f>SUM(M78:P78)</f>
        <v>0</v>
      </c>
      <c r="EI78" s="27">
        <f>SUM(Q78:T78)</f>
        <v>0</v>
      </c>
      <c r="EJ78" s="27">
        <f>SUM(U78:X78)</f>
        <v>0</v>
      </c>
      <c r="EK78" s="27">
        <f>SUM(Y78:AB78)</f>
        <v>0</v>
      </c>
      <c r="EL78" s="27">
        <f>SUM(AC78:AF78)</f>
        <v>0</v>
      </c>
      <c r="EM78" s="27">
        <f>SUM(AG78:AJ78)</f>
        <v>0</v>
      </c>
      <c r="EN78" s="27">
        <f>SUM(AK78:AN78)</f>
        <v>0</v>
      </c>
      <c r="EO78" s="27">
        <f>SUM(AO78:AR78)</f>
        <v>0</v>
      </c>
      <c r="EP78" s="352">
        <f>SUM(AS78:AV78)</f>
        <v>0</v>
      </c>
      <c r="EQ78" s="352">
        <f>SUM(AW78:AZ78)</f>
        <v>0</v>
      </c>
      <c r="ER78" s="352">
        <f>SUM(BA78:BD78)</f>
        <v>0</v>
      </c>
      <c r="ES78" s="352">
        <f>SUM(BE78:BH78)</f>
        <v>0</v>
      </c>
      <c r="ET78" s="352">
        <f>SUM(BI78:BL78)</f>
        <v>0</v>
      </c>
      <c r="EU78" s="352">
        <f>SUM(BM78:BP78)</f>
        <v>0</v>
      </c>
      <c r="EV78" s="352">
        <f>SUM(BQ78:BT78)</f>
        <v>0</v>
      </c>
      <c r="EW78" s="352">
        <f>SUM(BU78:BX78)</f>
        <v>0</v>
      </c>
      <c r="EX78" s="352">
        <f>SUM(BY78:CB78)</f>
        <v>-39</v>
      </c>
      <c r="EY78" s="352">
        <f>SUM(CC78:CF78)</f>
        <v>-36</v>
      </c>
      <c r="EZ78" s="352">
        <f t="shared" ref="EZ78" si="579">SUM(CG78:CJ78)</f>
        <v>-13</v>
      </c>
      <c r="FA78" s="352">
        <f t="shared" ref="FA78" si="580">SUM(CK78:CN78)</f>
        <v>-4</v>
      </c>
      <c r="FB78" s="352">
        <f t="shared" ref="FB78" si="581">SUM(CO78:CR78)</f>
        <v>-49</v>
      </c>
      <c r="FC78" s="352">
        <f>SUM(CS78:CV78)</f>
        <v>44</v>
      </c>
      <c r="FD78" s="352">
        <f>SUM(CW78:CZ78)</f>
        <v>0</v>
      </c>
      <c r="FE78" s="308"/>
      <c r="FF78" s="300"/>
      <c r="FG78" s="300"/>
      <c r="FH78" s="300"/>
      <c r="FO78" s="7"/>
    </row>
    <row r="79" spans="1:171" ht="14.25" hidden="1" customHeight="1" outlineLevel="1">
      <c r="A79" s="7"/>
      <c r="B79" s="673" t="s">
        <v>272</v>
      </c>
      <c r="C79" s="25"/>
      <c r="D79" s="369">
        <v>0</v>
      </c>
      <c r="E79" s="26">
        <v>0</v>
      </c>
      <c r="F79" s="26">
        <v>0</v>
      </c>
      <c r="G79" s="368">
        <v>0</v>
      </c>
      <c r="H79" s="369">
        <v>0</v>
      </c>
      <c r="I79" s="26">
        <v>0</v>
      </c>
      <c r="J79" s="26">
        <v>0</v>
      </c>
      <c r="K79" s="368">
        <v>0</v>
      </c>
      <c r="L79" s="369">
        <v>0</v>
      </c>
      <c r="M79" s="26">
        <v>0</v>
      </c>
      <c r="N79" s="26">
        <v>0</v>
      </c>
      <c r="O79" s="368">
        <v>0</v>
      </c>
      <c r="P79" s="369">
        <v>0</v>
      </c>
      <c r="Q79" s="26">
        <v>0</v>
      </c>
      <c r="R79" s="26">
        <v>0</v>
      </c>
      <c r="S79" s="368">
        <v>0</v>
      </c>
      <c r="T79" s="369">
        <v>0</v>
      </c>
      <c r="U79" s="26">
        <v>0</v>
      </c>
      <c r="V79" s="26">
        <v>0</v>
      </c>
      <c r="W79" s="368">
        <v>0</v>
      </c>
      <c r="X79" s="369">
        <v>0</v>
      </c>
      <c r="Y79" s="26">
        <v>0</v>
      </c>
      <c r="Z79" s="26">
        <v>0</v>
      </c>
      <c r="AA79" s="368">
        <v>0</v>
      </c>
      <c r="AB79" s="369">
        <v>0</v>
      </c>
      <c r="AC79" s="26">
        <v>0</v>
      </c>
      <c r="AD79" s="26">
        <v>0</v>
      </c>
      <c r="AE79" s="368">
        <v>0</v>
      </c>
      <c r="AF79" s="369">
        <v>0</v>
      </c>
      <c r="AG79" s="26">
        <v>0</v>
      </c>
      <c r="AH79" s="26">
        <v>0</v>
      </c>
      <c r="AI79" s="368">
        <v>0</v>
      </c>
      <c r="AJ79" s="369">
        <v>0</v>
      </c>
      <c r="AK79" s="26">
        <v>0</v>
      </c>
      <c r="AL79" s="26">
        <v>0</v>
      </c>
      <c r="AM79" s="368">
        <v>0</v>
      </c>
      <c r="AN79" s="369">
        <v>0</v>
      </c>
      <c r="AO79" s="26">
        <v>0</v>
      </c>
      <c r="AP79" s="26">
        <v>0</v>
      </c>
      <c r="AQ79" s="368">
        <v>0</v>
      </c>
      <c r="AR79" s="369">
        <v>0</v>
      </c>
      <c r="AS79" s="26">
        <v>0</v>
      </c>
      <c r="AT79" s="26">
        <v>0</v>
      </c>
      <c r="AU79" s="368">
        <v>0</v>
      </c>
      <c r="AV79" s="369">
        <v>0</v>
      </c>
      <c r="AW79" s="26">
        <v>0</v>
      </c>
      <c r="AX79" s="26">
        <v>0</v>
      </c>
      <c r="AY79" s="368">
        <v>0</v>
      </c>
      <c r="AZ79" s="369">
        <v>0</v>
      </c>
      <c r="BA79" s="26">
        <v>0</v>
      </c>
      <c r="BB79" s="26">
        <v>0</v>
      </c>
      <c r="BC79" s="368">
        <v>0</v>
      </c>
      <c r="BD79" s="369">
        <v>0</v>
      </c>
      <c r="BE79" s="26">
        <v>0</v>
      </c>
      <c r="BF79" s="26">
        <v>0</v>
      </c>
      <c r="BG79" s="368">
        <v>0</v>
      </c>
      <c r="BH79" s="369">
        <v>0</v>
      </c>
      <c r="BI79" s="26">
        <v>0</v>
      </c>
      <c r="BJ79" s="26">
        <v>0</v>
      </c>
      <c r="BK79" s="368">
        <v>0</v>
      </c>
      <c r="BL79" s="369">
        <v>0</v>
      </c>
      <c r="BM79" s="26">
        <v>0</v>
      </c>
      <c r="BN79" s="26">
        <v>0</v>
      </c>
      <c r="BO79" s="368">
        <v>0</v>
      </c>
      <c r="BP79" s="369">
        <v>0</v>
      </c>
      <c r="BQ79" s="26">
        <v>0</v>
      </c>
      <c r="BR79" s="26">
        <v>0</v>
      </c>
      <c r="BS79" s="368">
        <v>0</v>
      </c>
      <c r="BT79" s="369">
        <v>0</v>
      </c>
      <c r="BU79" s="26">
        <v>0</v>
      </c>
      <c r="BV79" s="26">
        <v>0</v>
      </c>
      <c r="BW79" s="368">
        <v>0</v>
      </c>
      <c r="BX79" s="369">
        <v>0</v>
      </c>
      <c r="BY79" s="26">
        <v>0</v>
      </c>
      <c r="BZ79" s="26">
        <v>0</v>
      </c>
      <c r="CA79" s="368">
        <v>0</v>
      </c>
      <c r="CB79" s="369">
        <v>0</v>
      </c>
      <c r="CC79" s="26">
        <v>0</v>
      </c>
      <c r="CD79" s="26">
        <v>0</v>
      </c>
      <c r="CE79" s="368">
        <v>0</v>
      </c>
      <c r="CF79" s="369">
        <v>0</v>
      </c>
      <c r="CG79" s="26">
        <v>0</v>
      </c>
      <c r="CH79" s="26">
        <v>0</v>
      </c>
      <c r="CI79" s="368">
        <v>0</v>
      </c>
      <c r="CJ79" s="369">
        <v>0</v>
      </c>
      <c r="CK79" s="26">
        <v>0</v>
      </c>
      <c r="CL79" s="26">
        <v>0</v>
      </c>
      <c r="CM79" s="368">
        <v>0</v>
      </c>
      <c r="CN79" s="369">
        <v>0</v>
      </c>
      <c r="CO79" s="26">
        <v>0</v>
      </c>
      <c r="CP79" s="26">
        <v>0</v>
      </c>
      <c r="CQ79" s="368">
        <v>0</v>
      </c>
      <c r="CR79" s="369">
        <v>0</v>
      </c>
      <c r="CS79" s="26">
        <v>0</v>
      </c>
      <c r="CT79" s="845">
        <v>0</v>
      </c>
      <c r="CU79" s="846">
        <v>0</v>
      </c>
      <c r="CV79" s="847">
        <v>0</v>
      </c>
      <c r="CW79" s="845">
        <v>0</v>
      </c>
      <c r="CX79" s="845">
        <v>0</v>
      </c>
      <c r="CY79" s="846">
        <v>0</v>
      </c>
      <c r="CZ79" s="847">
        <v>0</v>
      </c>
      <c r="DA79" s="845">
        <v>0</v>
      </c>
      <c r="DB79" s="845">
        <v>0</v>
      </c>
      <c r="DC79" s="846">
        <v>0</v>
      </c>
      <c r="DD79" s="18"/>
      <c r="DE79" s="352">
        <f>SUM(D79:G79)</f>
        <v>0</v>
      </c>
      <c r="DF79" s="352">
        <f>SUM(H79:K79)</f>
        <v>0</v>
      </c>
      <c r="DG79" s="352">
        <f>SUM(L79:O79)</f>
        <v>0</v>
      </c>
      <c r="DH79" s="352">
        <f>SUM(P79:S79)</f>
        <v>0</v>
      </c>
      <c r="DI79" s="352">
        <f>SUM(T79:W79)</f>
        <v>0</v>
      </c>
      <c r="DJ79" s="352">
        <f>SUM(X79:AA79)</f>
        <v>0</v>
      </c>
      <c r="DK79" s="352">
        <f>SUM(AB79:AE79)</f>
        <v>0</v>
      </c>
      <c r="DL79" s="352">
        <f>SUM(AF79:AI79)</f>
        <v>0</v>
      </c>
      <c r="DM79" s="352">
        <f>SUM(AJ79:AM79)</f>
        <v>0</v>
      </c>
      <c r="DN79" s="352">
        <f>SUM(AN79:AQ79)</f>
        <v>0</v>
      </c>
      <c r="DO79" s="352">
        <f>SUM(AR79:AU79)</f>
        <v>0</v>
      </c>
      <c r="DP79" s="27">
        <f>SUM(AV79:AY79)</f>
        <v>0</v>
      </c>
      <c r="DQ79" s="27">
        <f>SUM(AZ79:BC79)</f>
        <v>0</v>
      </c>
      <c r="DR79" s="27">
        <f>SUM(BD79:BG79)</f>
        <v>0</v>
      </c>
      <c r="DS79" s="27">
        <f>SUM(BH79:BK79)</f>
        <v>0</v>
      </c>
      <c r="DT79" s="27">
        <f>SUM(BL79:BO79)</f>
        <v>0</v>
      </c>
      <c r="DU79" s="27">
        <f>SUM(BP79:BS79)</f>
        <v>0</v>
      </c>
      <c r="DV79" s="27">
        <f>SUM(BT79:BW79)</f>
        <v>0</v>
      </c>
      <c r="DW79" s="27">
        <f t="shared" si="567"/>
        <v>0</v>
      </c>
      <c r="DX79" s="27">
        <f t="shared" si="568"/>
        <v>0</v>
      </c>
      <c r="DY79" s="27">
        <f t="shared" si="569"/>
        <v>0</v>
      </c>
      <c r="DZ79" s="27">
        <f t="shared" si="545"/>
        <v>0</v>
      </c>
      <c r="EA79" s="27">
        <f t="shared" si="546"/>
        <v>0</v>
      </c>
      <c r="EB79" s="27">
        <f t="shared" si="547"/>
        <v>0</v>
      </c>
      <c r="EC79" s="28">
        <f t="shared" si="570"/>
        <v>0</v>
      </c>
      <c r="ED79" s="28">
        <f t="shared" si="571"/>
        <v>0</v>
      </c>
      <c r="EE79" s="1364"/>
      <c r="EF79" s="29">
        <f>SUM(E79:H79)</f>
        <v>0</v>
      </c>
      <c r="EG79" s="27">
        <f>SUM(I79:L79)</f>
        <v>0</v>
      </c>
      <c r="EH79" s="27">
        <f>SUM(M79:P79)</f>
        <v>0</v>
      </c>
      <c r="EI79" s="27">
        <f>SUM(Q79:T79)</f>
        <v>0</v>
      </c>
      <c r="EJ79" s="27">
        <f>SUM(U79:X79)</f>
        <v>0</v>
      </c>
      <c r="EK79" s="27">
        <f>SUM(Y79:AB79)</f>
        <v>0</v>
      </c>
      <c r="EL79" s="27">
        <f>SUM(AC79:AF79)</f>
        <v>0</v>
      </c>
      <c r="EM79" s="27">
        <f>SUM(AG79:AJ79)</f>
        <v>0</v>
      </c>
      <c r="EN79" s="27">
        <f>SUM(AK79:AN79)</f>
        <v>0</v>
      </c>
      <c r="EO79" s="27">
        <f>SUM(AO79:AR79)</f>
        <v>0</v>
      </c>
      <c r="EP79" s="352">
        <f>SUM(AS79:AV79)</f>
        <v>0</v>
      </c>
      <c r="EQ79" s="352">
        <f>SUM(AW79:AZ79)</f>
        <v>0</v>
      </c>
      <c r="ER79" s="352">
        <f>SUM(BA79:BD79)</f>
        <v>0</v>
      </c>
      <c r="ES79" s="352">
        <f>SUM(BE79:BH79)</f>
        <v>0</v>
      </c>
      <c r="ET79" s="352">
        <f>SUM(BI79:BL79)</f>
        <v>0</v>
      </c>
      <c r="EU79" s="352">
        <f>SUM(BM79:BP79)</f>
        <v>0</v>
      </c>
      <c r="EV79" s="352">
        <f>SUM(BQ79:BT79)</f>
        <v>0</v>
      </c>
      <c r="EW79" s="352">
        <f>SUM(BU79:BX79)</f>
        <v>0</v>
      </c>
      <c r="EX79" s="352">
        <f>SUM(BY79:CB79)</f>
        <v>0</v>
      </c>
      <c r="EY79" s="352">
        <f>SUM(CC79:CF79)</f>
        <v>0</v>
      </c>
      <c r="EZ79" s="352">
        <f t="shared" ref="EZ79:EZ81" si="582">SUM(CG79:CJ79)</f>
        <v>0</v>
      </c>
      <c r="FA79" s="352">
        <f t="shared" ref="FA79:FA81" si="583">SUM(CK79:CN79)</f>
        <v>0</v>
      </c>
      <c r="FB79" s="352">
        <f t="shared" ref="FB79" si="584">SUM(CO79:CR79)</f>
        <v>0</v>
      </c>
      <c r="FC79" s="352">
        <f>SUM(CS79:CV79)</f>
        <v>0</v>
      </c>
      <c r="FD79" s="352">
        <f>SUM(CW79:CZ79)</f>
        <v>0</v>
      </c>
      <c r="FE79" s="308"/>
      <c r="FF79" s="300"/>
      <c r="FG79" s="300"/>
      <c r="FH79" s="300"/>
      <c r="FO79" s="7"/>
    </row>
    <row r="80" spans="1:171" ht="14.25" customHeight="1" collapsed="1">
      <c r="A80" s="7"/>
      <c r="B80" s="673" t="s">
        <v>429</v>
      </c>
      <c r="C80" s="23"/>
      <c r="D80" s="29">
        <f t="shared" ref="D80:BO80" si="585">+D74-D78-D76</f>
        <v>89.6</v>
      </c>
      <c r="E80" s="27">
        <f t="shared" si="585"/>
        <v>116.1</v>
      </c>
      <c r="F80" s="27">
        <f t="shared" si="585"/>
        <v>132.19999999999999</v>
      </c>
      <c r="G80" s="28">
        <f t="shared" si="585"/>
        <v>168.5</v>
      </c>
      <c r="H80" s="29">
        <f t="shared" si="585"/>
        <v>204.6</v>
      </c>
      <c r="I80" s="27">
        <f t="shared" si="585"/>
        <v>112.3</v>
      </c>
      <c r="J80" s="27">
        <f t="shared" si="585"/>
        <v>38.6</v>
      </c>
      <c r="K80" s="28">
        <f t="shared" si="585"/>
        <v>1.4</v>
      </c>
      <c r="L80" s="29">
        <f t="shared" si="585"/>
        <v>15.6</v>
      </c>
      <c r="M80" s="27">
        <f t="shared" si="585"/>
        <v>131.19999999999999</v>
      </c>
      <c r="N80" s="27">
        <f t="shared" si="585"/>
        <v>67.8</v>
      </c>
      <c r="O80" s="28">
        <f t="shared" si="585"/>
        <v>52.7</v>
      </c>
      <c r="P80" s="29">
        <f t="shared" si="585"/>
        <v>4.5</v>
      </c>
      <c r="Q80" s="27">
        <f t="shared" si="585"/>
        <v>-10.8</v>
      </c>
      <c r="R80" s="27">
        <f t="shared" si="585"/>
        <v>-70.8</v>
      </c>
      <c r="S80" s="28">
        <f t="shared" si="585"/>
        <v>-52</v>
      </c>
      <c r="T80" s="29">
        <f t="shared" si="585"/>
        <v>-27.6</v>
      </c>
      <c r="U80" s="27">
        <f t="shared" si="585"/>
        <v>16.100000000000001</v>
      </c>
      <c r="V80" s="27">
        <f t="shared" si="585"/>
        <v>-17.100000000000001</v>
      </c>
      <c r="W80" s="28">
        <f t="shared" si="585"/>
        <v>-7.4</v>
      </c>
      <c r="X80" s="29">
        <f t="shared" si="585"/>
        <v>195.4</v>
      </c>
      <c r="Y80" s="27">
        <f t="shared" si="585"/>
        <v>92.9</v>
      </c>
      <c r="Z80" s="27">
        <f t="shared" si="585"/>
        <v>160.30000000000001</v>
      </c>
      <c r="AA80" s="28">
        <f t="shared" si="585"/>
        <v>381.2</v>
      </c>
      <c r="AB80" s="29">
        <f t="shared" si="585"/>
        <v>196</v>
      </c>
      <c r="AC80" s="27">
        <f t="shared" si="585"/>
        <v>-1.3</v>
      </c>
      <c r="AD80" s="27">
        <f t="shared" si="585"/>
        <v>-195.5</v>
      </c>
      <c r="AE80" s="28">
        <f t="shared" si="585"/>
        <v>-445.2</v>
      </c>
      <c r="AF80" s="29">
        <f t="shared" si="585"/>
        <v>-177.2</v>
      </c>
      <c r="AG80" s="27">
        <f t="shared" si="585"/>
        <v>-20.3</v>
      </c>
      <c r="AH80" s="27">
        <f t="shared" si="585"/>
        <v>-16.100000000000001</v>
      </c>
      <c r="AI80" s="28">
        <f t="shared" si="585"/>
        <v>122.1</v>
      </c>
      <c r="AJ80" s="29">
        <f t="shared" si="585"/>
        <v>21.4</v>
      </c>
      <c r="AK80" s="27">
        <f t="shared" si="585"/>
        <v>17.600000000000001</v>
      </c>
      <c r="AL80" s="27">
        <f t="shared" si="585"/>
        <v>23.9</v>
      </c>
      <c r="AM80" s="28">
        <f t="shared" si="585"/>
        <v>10.1</v>
      </c>
      <c r="AN80" s="29">
        <f t="shared" si="585"/>
        <v>15.5</v>
      </c>
      <c r="AO80" s="27">
        <f t="shared" si="585"/>
        <v>17.5</v>
      </c>
      <c r="AP80" s="27">
        <f t="shared" si="585"/>
        <v>14</v>
      </c>
      <c r="AQ80" s="28">
        <f t="shared" si="585"/>
        <v>27.8</v>
      </c>
      <c r="AR80" s="29">
        <f t="shared" si="585"/>
        <v>14.2</v>
      </c>
      <c r="AS80" s="27">
        <f t="shared" si="585"/>
        <v>3.6</v>
      </c>
      <c r="AT80" s="27">
        <f t="shared" si="585"/>
        <v>-7.3</v>
      </c>
      <c r="AU80" s="28">
        <f t="shared" si="585"/>
        <v>0.1</v>
      </c>
      <c r="AV80" s="29">
        <f t="shared" si="585"/>
        <v>0.2</v>
      </c>
      <c r="AW80" s="27">
        <f t="shared" si="585"/>
        <v>7.3</v>
      </c>
      <c r="AX80" s="27">
        <f t="shared" si="585"/>
        <v>6.5</v>
      </c>
      <c r="AY80" s="28">
        <f t="shared" si="585"/>
        <v>4.7</v>
      </c>
      <c r="AZ80" s="29">
        <f t="shared" si="585"/>
        <v>9</v>
      </c>
      <c r="BA80" s="27">
        <f t="shared" si="585"/>
        <v>6</v>
      </c>
      <c r="BB80" s="27">
        <f t="shared" si="585"/>
        <v>9</v>
      </c>
      <c r="BC80" s="28">
        <f t="shared" si="585"/>
        <v>6</v>
      </c>
      <c r="BD80" s="29">
        <f t="shared" si="585"/>
        <v>7</v>
      </c>
      <c r="BE80" s="27">
        <f t="shared" si="585"/>
        <v>-4</v>
      </c>
      <c r="BF80" s="27">
        <f t="shared" si="585"/>
        <v>13</v>
      </c>
      <c r="BG80" s="28">
        <f t="shared" si="585"/>
        <v>2</v>
      </c>
      <c r="BH80" s="29">
        <f t="shared" si="585"/>
        <v>13</v>
      </c>
      <c r="BI80" s="27">
        <f t="shared" si="585"/>
        <v>4</v>
      </c>
      <c r="BJ80" s="27">
        <f t="shared" si="585"/>
        <v>-2</v>
      </c>
      <c r="BK80" s="28">
        <f t="shared" si="585"/>
        <v>-13</v>
      </c>
      <c r="BL80" s="29">
        <f t="shared" si="585"/>
        <v>-7</v>
      </c>
      <c r="BM80" s="27">
        <f t="shared" si="585"/>
        <v>4</v>
      </c>
      <c r="BN80" s="27">
        <f t="shared" si="585"/>
        <v>-41</v>
      </c>
      <c r="BO80" s="28">
        <f t="shared" si="585"/>
        <v>25</v>
      </c>
      <c r="BP80" s="29">
        <f t="shared" ref="BP80:CA80" si="586">+BP74-BP78-BP76</f>
        <v>48</v>
      </c>
      <c r="BQ80" s="27">
        <f t="shared" si="586"/>
        <v>35</v>
      </c>
      <c r="BR80" s="27">
        <f t="shared" si="586"/>
        <v>104</v>
      </c>
      <c r="BS80" s="28">
        <f t="shared" si="586"/>
        <v>16</v>
      </c>
      <c r="BT80" s="29">
        <f t="shared" si="586"/>
        <v>-2</v>
      </c>
      <c r="BU80" s="27">
        <f t="shared" si="586"/>
        <v>9</v>
      </c>
      <c r="BV80" s="27">
        <f t="shared" si="586"/>
        <v>-38</v>
      </c>
      <c r="BW80" s="28">
        <f t="shared" si="586"/>
        <v>14</v>
      </c>
      <c r="BX80" s="29">
        <f t="shared" si="586"/>
        <v>13</v>
      </c>
      <c r="BY80" s="27">
        <f t="shared" si="586"/>
        <v>-9</v>
      </c>
      <c r="BZ80" s="27">
        <f t="shared" si="586"/>
        <v>-1</v>
      </c>
      <c r="CA80" s="28">
        <f t="shared" si="586"/>
        <v>5</v>
      </c>
      <c r="CB80" s="29">
        <f>+CB74-CB78-CB76</f>
        <v>46</v>
      </c>
      <c r="CC80" s="27">
        <f>+CC74-CC78-CC76</f>
        <v>30</v>
      </c>
      <c r="CD80" s="27">
        <f>+CD74-CD78-CD76</f>
        <v>31</v>
      </c>
      <c r="CE80" s="28">
        <f>+CE74-CE78-CE76</f>
        <v>35</v>
      </c>
      <c r="CF80" s="29">
        <f>+CF74-CF78-CF76-CF77</f>
        <v>39</v>
      </c>
      <c r="CG80" s="27">
        <f>+CG74-CG78-CG76-CG77</f>
        <v>80</v>
      </c>
      <c r="CH80" s="27">
        <f t="shared" ref="CH80:CL80" si="587">+CH74-CH78-CH76-CH77</f>
        <v>28</v>
      </c>
      <c r="CI80" s="28">
        <f>+CI74-CI78-CI76-CI77</f>
        <v>17</v>
      </c>
      <c r="CJ80" s="29">
        <f>+CJ74-CJ78-CJ76-CJ77</f>
        <v>5</v>
      </c>
      <c r="CK80" s="27">
        <f t="shared" si="587"/>
        <v>-7</v>
      </c>
      <c r="CL80" s="27">
        <f t="shared" si="587"/>
        <v>-56</v>
      </c>
      <c r="CM80" s="28">
        <f>+CM74-CM78-CM76-CM77</f>
        <v>-16</v>
      </c>
      <c r="CN80" s="29">
        <f>+CN74-CN78-CN76-CN77</f>
        <v>18</v>
      </c>
      <c r="CO80" s="27">
        <f t="shared" ref="CO80:CP80" si="588">+CO74-CO78-CO76-CO77</f>
        <v>31</v>
      </c>
      <c r="CP80" s="27">
        <f t="shared" si="588"/>
        <v>64</v>
      </c>
      <c r="CQ80" s="28">
        <f>+CQ74-CQ78-CQ76-CQ77</f>
        <v>60</v>
      </c>
      <c r="CR80" s="29">
        <f>+CR74-CR78-CR76-CR77</f>
        <v>91</v>
      </c>
      <c r="CS80" s="27">
        <f t="shared" ref="CS80" si="589">+CS74-CS78-CS76-CS77</f>
        <v>99</v>
      </c>
      <c r="CT80" s="27">
        <f t="shared" ref="CT80:CU80" si="590">+CT74-CT78-CT76-CT77</f>
        <v>146.75873355577963</v>
      </c>
      <c r="CU80" s="28">
        <f t="shared" si="590"/>
        <v>144.42775002501568</v>
      </c>
      <c r="CV80" s="29">
        <f t="shared" ref="CV80:CY80" si="591">+CV74-CV78-CV76-CV77</f>
        <v>377.31632896516174</v>
      </c>
      <c r="CW80" s="27">
        <f t="shared" si="591"/>
        <v>316.4898027006173</v>
      </c>
      <c r="CX80" s="27">
        <f t="shared" si="591"/>
        <v>257.46436099142551</v>
      </c>
      <c r="CY80" s="28">
        <f t="shared" si="591"/>
        <v>226.39083100109465</v>
      </c>
      <c r="CZ80" s="29">
        <f t="shared" ref="CZ80:DC80" si="592">+CZ74-CZ78-CZ76-CZ77</f>
        <v>202.60649393948529</v>
      </c>
      <c r="DA80" s="27">
        <f t="shared" si="592"/>
        <v>184.441725612802</v>
      </c>
      <c r="DB80" s="27">
        <f t="shared" si="592"/>
        <v>176.07101862268641</v>
      </c>
      <c r="DC80" s="28">
        <f t="shared" si="592"/>
        <v>170.62897252452373</v>
      </c>
      <c r="DD80" s="18"/>
      <c r="DE80" s="352">
        <f>SUM(D80:G80)</f>
        <v>506.4</v>
      </c>
      <c r="DF80" s="352">
        <f>SUM(H80:K80)</f>
        <v>356.9</v>
      </c>
      <c r="DG80" s="352">
        <f>SUM(L80:O80)</f>
        <v>267.29999999999995</v>
      </c>
      <c r="DH80" s="352">
        <f>SUM(P80:S80)</f>
        <v>-129.1</v>
      </c>
      <c r="DI80" s="352">
        <f>SUM(T80:W80)</f>
        <v>-36</v>
      </c>
      <c r="DJ80" s="352">
        <f>SUM(X80:AA80)</f>
        <v>829.8</v>
      </c>
      <c r="DK80" s="352">
        <f>SUM(AB80:AE80)</f>
        <v>-446</v>
      </c>
      <c r="DL80" s="352">
        <f>SUM(AF80:AI80)</f>
        <v>-91.5</v>
      </c>
      <c r="DM80" s="352">
        <f>SUM(AJ80:AM80)</f>
        <v>73</v>
      </c>
      <c r="DN80" s="352">
        <f>SUM(AN80:AQ80)</f>
        <v>74.8</v>
      </c>
      <c r="DO80" s="352">
        <f>SUM(AR80:AU80)</f>
        <v>10.6</v>
      </c>
      <c r="DP80" s="27">
        <f>SUM(AV80:AY80)</f>
        <v>18.7</v>
      </c>
      <c r="DQ80" s="27">
        <f>SUM(AZ80:BC80)</f>
        <v>30</v>
      </c>
      <c r="DR80" s="27">
        <f>SUM(BD80:BG80)</f>
        <v>18</v>
      </c>
      <c r="DS80" s="27">
        <f>SUM(BH80:BK80)</f>
        <v>2</v>
      </c>
      <c r="DT80" s="27">
        <f>SUM(BL80:BO80)</f>
        <v>-19</v>
      </c>
      <c r="DU80" s="27">
        <f>SUM(BP80:BS80)</f>
        <v>203</v>
      </c>
      <c r="DV80" s="27">
        <f>SUM(BT80:BW80)</f>
        <v>-17</v>
      </c>
      <c r="DW80" s="27">
        <f t="shared" si="567"/>
        <v>8</v>
      </c>
      <c r="DX80" s="27">
        <f t="shared" si="568"/>
        <v>142</v>
      </c>
      <c r="DY80" s="27">
        <f t="shared" si="569"/>
        <v>164</v>
      </c>
      <c r="DZ80" s="27">
        <f t="shared" si="545"/>
        <v>-74</v>
      </c>
      <c r="EA80" s="27">
        <f t="shared" si="546"/>
        <v>173</v>
      </c>
      <c r="EB80" s="27">
        <f t="shared" si="547"/>
        <v>481.18648358079531</v>
      </c>
      <c r="EC80" s="28">
        <f t="shared" si="570"/>
        <v>1177.6613236582994</v>
      </c>
      <c r="ED80" s="28">
        <f t="shared" si="571"/>
        <v>733.74821069949746</v>
      </c>
      <c r="EE80" s="1364"/>
      <c r="EF80" s="29">
        <f>SUM(E80:H80)</f>
        <v>621.4</v>
      </c>
      <c r="EG80" s="27">
        <f>SUM(I80:L80)</f>
        <v>167.9</v>
      </c>
      <c r="EH80" s="27">
        <f>SUM(M80:P80)</f>
        <v>256.2</v>
      </c>
      <c r="EI80" s="27">
        <f>SUM(Q80:T80)</f>
        <v>-161.19999999999999</v>
      </c>
      <c r="EJ80" s="27">
        <f>SUM(U80:X80)</f>
        <v>187</v>
      </c>
      <c r="EK80" s="27">
        <f>SUM(Y80:AB80)</f>
        <v>830.4</v>
      </c>
      <c r="EL80" s="27">
        <f>SUM(AC80:AF80)</f>
        <v>-819.2</v>
      </c>
      <c r="EM80" s="27">
        <f>SUM(AG80:AJ80)</f>
        <v>107.1</v>
      </c>
      <c r="EN80" s="27">
        <f>SUM(AK80:AN80)</f>
        <v>67.099999999999994</v>
      </c>
      <c r="EO80" s="27">
        <f>SUM(AO80:AR80)</f>
        <v>73.5</v>
      </c>
      <c r="EP80" s="352">
        <f>SUM(AS80:AV80)</f>
        <v>-3.3999999999999995</v>
      </c>
      <c r="EQ80" s="352">
        <f>SUM(AW80:AZ80)</f>
        <v>27.5</v>
      </c>
      <c r="ER80" s="352">
        <f>SUM(BA80:BD80)</f>
        <v>28</v>
      </c>
      <c r="ES80" s="352">
        <f>SUM(BE80:BH80)</f>
        <v>24</v>
      </c>
      <c r="ET80" s="352">
        <f>SUM(BI80:BL80)</f>
        <v>-18</v>
      </c>
      <c r="EU80" s="352">
        <f>SUM(BM80:BP80)</f>
        <v>36</v>
      </c>
      <c r="EV80" s="352">
        <f>SUM(BQ80:BT80)</f>
        <v>153</v>
      </c>
      <c r="EW80" s="352">
        <f>SUM(BU80:BX80)</f>
        <v>-2</v>
      </c>
      <c r="EX80" s="352">
        <f>SUM(BY80:CB80)</f>
        <v>41</v>
      </c>
      <c r="EY80" s="352">
        <f>SUM(CC80:CF80)</f>
        <v>135</v>
      </c>
      <c r="EZ80" s="352">
        <f t="shared" si="582"/>
        <v>130</v>
      </c>
      <c r="FA80" s="352">
        <f t="shared" si="583"/>
        <v>-61</v>
      </c>
      <c r="FB80" s="352">
        <f t="shared" ref="FB80:FB81" si="593">SUM(CO80:CR80)</f>
        <v>246</v>
      </c>
      <c r="FC80" s="352">
        <f>SUM(CS80:CV80)</f>
        <v>767.50281254595711</v>
      </c>
      <c r="FD80" s="352">
        <f>SUM(CW80:CZ80)</f>
        <v>1002.9514886326227</v>
      </c>
      <c r="FE80" s="308"/>
      <c r="FF80" s="300"/>
      <c r="FG80" s="300"/>
      <c r="FH80" s="300"/>
      <c r="FO80" s="7"/>
    </row>
    <row r="81" spans="1:171" ht="14.25" customHeight="1">
      <c r="A81" s="7"/>
      <c r="B81" s="673" t="s">
        <v>273</v>
      </c>
      <c r="C81" s="23"/>
      <c r="D81" s="29">
        <f t="shared" ref="D81:BO81" si="594">+D74-D78-D76</f>
        <v>89.6</v>
      </c>
      <c r="E81" s="27">
        <f t="shared" si="594"/>
        <v>116.1</v>
      </c>
      <c r="F81" s="27">
        <f t="shared" si="594"/>
        <v>132.19999999999999</v>
      </c>
      <c r="G81" s="28">
        <f t="shared" si="594"/>
        <v>168.5</v>
      </c>
      <c r="H81" s="29">
        <f t="shared" si="594"/>
        <v>204.6</v>
      </c>
      <c r="I81" s="27">
        <f t="shared" si="594"/>
        <v>112.3</v>
      </c>
      <c r="J81" s="27">
        <f t="shared" si="594"/>
        <v>38.6</v>
      </c>
      <c r="K81" s="28">
        <f t="shared" si="594"/>
        <v>1.4</v>
      </c>
      <c r="L81" s="29">
        <f t="shared" si="594"/>
        <v>15.6</v>
      </c>
      <c r="M81" s="27">
        <f t="shared" si="594"/>
        <v>131.19999999999999</v>
      </c>
      <c r="N81" s="27">
        <f t="shared" si="594"/>
        <v>67.8</v>
      </c>
      <c r="O81" s="28">
        <f t="shared" si="594"/>
        <v>52.7</v>
      </c>
      <c r="P81" s="29">
        <f t="shared" si="594"/>
        <v>4.5</v>
      </c>
      <c r="Q81" s="27">
        <f t="shared" si="594"/>
        <v>-10.8</v>
      </c>
      <c r="R81" s="27">
        <f t="shared" si="594"/>
        <v>-70.8</v>
      </c>
      <c r="S81" s="28">
        <f t="shared" si="594"/>
        <v>-52</v>
      </c>
      <c r="T81" s="29">
        <f t="shared" si="594"/>
        <v>-27.6</v>
      </c>
      <c r="U81" s="27">
        <f t="shared" si="594"/>
        <v>16.100000000000001</v>
      </c>
      <c r="V81" s="27">
        <f t="shared" si="594"/>
        <v>-17.100000000000001</v>
      </c>
      <c r="W81" s="28">
        <f t="shared" si="594"/>
        <v>-7.4</v>
      </c>
      <c r="X81" s="29">
        <f t="shared" si="594"/>
        <v>195.4</v>
      </c>
      <c r="Y81" s="27">
        <f t="shared" si="594"/>
        <v>92.9</v>
      </c>
      <c r="Z81" s="27">
        <f t="shared" si="594"/>
        <v>160.30000000000001</v>
      </c>
      <c r="AA81" s="28">
        <f t="shared" si="594"/>
        <v>381.2</v>
      </c>
      <c r="AB81" s="29">
        <f t="shared" si="594"/>
        <v>196</v>
      </c>
      <c r="AC81" s="27">
        <f t="shared" si="594"/>
        <v>-1.3</v>
      </c>
      <c r="AD81" s="27">
        <f t="shared" si="594"/>
        <v>-195.5</v>
      </c>
      <c r="AE81" s="28">
        <f t="shared" si="594"/>
        <v>-445.2</v>
      </c>
      <c r="AF81" s="29">
        <f t="shared" si="594"/>
        <v>-177.2</v>
      </c>
      <c r="AG81" s="27">
        <f t="shared" si="594"/>
        <v>-20.3</v>
      </c>
      <c r="AH81" s="27">
        <f t="shared" si="594"/>
        <v>-16.100000000000001</v>
      </c>
      <c r="AI81" s="28">
        <f t="shared" si="594"/>
        <v>122.1</v>
      </c>
      <c r="AJ81" s="29">
        <f t="shared" si="594"/>
        <v>21.4</v>
      </c>
      <c r="AK81" s="27">
        <f t="shared" si="594"/>
        <v>17.600000000000001</v>
      </c>
      <c r="AL81" s="27">
        <f t="shared" si="594"/>
        <v>23.9</v>
      </c>
      <c r="AM81" s="28">
        <f t="shared" si="594"/>
        <v>10.1</v>
      </c>
      <c r="AN81" s="29">
        <f t="shared" si="594"/>
        <v>15.5</v>
      </c>
      <c r="AO81" s="27">
        <f t="shared" si="594"/>
        <v>17.5</v>
      </c>
      <c r="AP81" s="27">
        <f t="shared" si="594"/>
        <v>14</v>
      </c>
      <c r="AQ81" s="28">
        <f t="shared" si="594"/>
        <v>27.8</v>
      </c>
      <c r="AR81" s="29">
        <f t="shared" si="594"/>
        <v>14.2</v>
      </c>
      <c r="AS81" s="27">
        <f t="shared" si="594"/>
        <v>3.6</v>
      </c>
      <c r="AT81" s="27">
        <f t="shared" si="594"/>
        <v>-7.3</v>
      </c>
      <c r="AU81" s="28">
        <f t="shared" si="594"/>
        <v>0.1</v>
      </c>
      <c r="AV81" s="29">
        <f t="shared" si="594"/>
        <v>0.2</v>
      </c>
      <c r="AW81" s="27">
        <f t="shared" si="594"/>
        <v>7.3</v>
      </c>
      <c r="AX81" s="27">
        <f t="shared" si="594"/>
        <v>6.5</v>
      </c>
      <c r="AY81" s="28">
        <f t="shared" si="594"/>
        <v>4.7</v>
      </c>
      <c r="AZ81" s="29">
        <f t="shared" si="594"/>
        <v>9</v>
      </c>
      <c r="BA81" s="27">
        <f t="shared" si="594"/>
        <v>6</v>
      </c>
      <c r="BB81" s="27">
        <f t="shared" si="594"/>
        <v>9</v>
      </c>
      <c r="BC81" s="28">
        <f t="shared" si="594"/>
        <v>6</v>
      </c>
      <c r="BD81" s="29">
        <f t="shared" si="594"/>
        <v>7</v>
      </c>
      <c r="BE81" s="27">
        <f t="shared" si="594"/>
        <v>-4</v>
      </c>
      <c r="BF81" s="27">
        <f t="shared" si="594"/>
        <v>13</v>
      </c>
      <c r="BG81" s="28">
        <f t="shared" si="594"/>
        <v>2</v>
      </c>
      <c r="BH81" s="29">
        <f t="shared" si="594"/>
        <v>13</v>
      </c>
      <c r="BI81" s="27">
        <f t="shared" si="594"/>
        <v>4</v>
      </c>
      <c r="BJ81" s="27">
        <f t="shared" si="594"/>
        <v>-2</v>
      </c>
      <c r="BK81" s="28">
        <f t="shared" si="594"/>
        <v>-13</v>
      </c>
      <c r="BL81" s="29">
        <f t="shared" si="594"/>
        <v>-7</v>
      </c>
      <c r="BM81" s="27">
        <f t="shared" si="594"/>
        <v>4</v>
      </c>
      <c r="BN81" s="27">
        <f t="shared" si="594"/>
        <v>-41</v>
      </c>
      <c r="BO81" s="28">
        <f t="shared" si="594"/>
        <v>25</v>
      </c>
      <c r="BP81" s="29">
        <f t="shared" ref="BP81:CA81" si="595">+BP74-BP78-BP76</f>
        <v>48</v>
      </c>
      <c r="BQ81" s="27">
        <f t="shared" si="595"/>
        <v>35</v>
      </c>
      <c r="BR81" s="27">
        <f t="shared" si="595"/>
        <v>104</v>
      </c>
      <c r="BS81" s="28">
        <f t="shared" si="595"/>
        <v>16</v>
      </c>
      <c r="BT81" s="29">
        <f t="shared" si="595"/>
        <v>-2</v>
      </c>
      <c r="BU81" s="27">
        <f t="shared" si="595"/>
        <v>9</v>
      </c>
      <c r="BV81" s="27">
        <f t="shared" si="595"/>
        <v>-38</v>
      </c>
      <c r="BW81" s="28">
        <f t="shared" si="595"/>
        <v>14</v>
      </c>
      <c r="BX81" s="29">
        <f t="shared" si="595"/>
        <v>13</v>
      </c>
      <c r="BY81" s="27">
        <f t="shared" si="595"/>
        <v>-9</v>
      </c>
      <c r="BZ81" s="27">
        <f t="shared" si="595"/>
        <v>-1</v>
      </c>
      <c r="CA81" s="28">
        <f t="shared" si="595"/>
        <v>5</v>
      </c>
      <c r="CB81" s="29">
        <f t="shared" ref="CB81:CL81" si="596">CB80</f>
        <v>46</v>
      </c>
      <c r="CC81" s="27">
        <f t="shared" si="596"/>
        <v>30</v>
      </c>
      <c r="CD81" s="27">
        <f t="shared" si="596"/>
        <v>31</v>
      </c>
      <c r="CE81" s="28">
        <f t="shared" si="596"/>
        <v>35</v>
      </c>
      <c r="CF81" s="29">
        <f t="shared" si="596"/>
        <v>39</v>
      </c>
      <c r="CG81" s="27">
        <f t="shared" si="596"/>
        <v>80</v>
      </c>
      <c r="CH81" s="27">
        <f t="shared" si="596"/>
        <v>28</v>
      </c>
      <c r="CI81" s="28">
        <f t="shared" si="596"/>
        <v>17</v>
      </c>
      <c r="CJ81" s="29">
        <f t="shared" si="596"/>
        <v>5</v>
      </c>
      <c r="CK81" s="27">
        <f t="shared" si="596"/>
        <v>-7</v>
      </c>
      <c r="CL81" s="27">
        <f t="shared" si="596"/>
        <v>-56</v>
      </c>
      <c r="CM81" s="28">
        <f>CM80</f>
        <v>-16</v>
      </c>
      <c r="CN81" s="29">
        <f t="shared" ref="CN81:CP81" si="597">CN80</f>
        <v>18</v>
      </c>
      <c r="CO81" s="27">
        <f t="shared" si="597"/>
        <v>31</v>
      </c>
      <c r="CP81" s="27">
        <f t="shared" si="597"/>
        <v>64</v>
      </c>
      <c r="CQ81" s="28">
        <f>CQ80</f>
        <v>60</v>
      </c>
      <c r="CR81" s="29">
        <f t="shared" ref="CR81:CS81" si="598">CR80</f>
        <v>91</v>
      </c>
      <c r="CS81" s="27">
        <f t="shared" si="598"/>
        <v>99</v>
      </c>
      <c r="CT81" s="27">
        <f t="shared" ref="CT81:CU81" si="599">CT80</f>
        <v>146.75873355577963</v>
      </c>
      <c r="CU81" s="28">
        <f t="shared" si="599"/>
        <v>144.42775002501568</v>
      </c>
      <c r="CV81" s="29">
        <f t="shared" ref="CV81:CY81" si="600">CV80</f>
        <v>377.31632896516174</v>
      </c>
      <c r="CW81" s="27">
        <f t="shared" si="600"/>
        <v>316.4898027006173</v>
      </c>
      <c r="CX81" s="27">
        <f t="shared" si="600"/>
        <v>257.46436099142551</v>
      </c>
      <c r="CY81" s="28">
        <f t="shared" si="600"/>
        <v>226.39083100109465</v>
      </c>
      <c r="CZ81" s="29">
        <f t="shared" ref="CZ81:DC81" si="601">CZ80</f>
        <v>202.60649393948529</v>
      </c>
      <c r="DA81" s="27">
        <f t="shared" si="601"/>
        <v>184.441725612802</v>
      </c>
      <c r="DB81" s="27">
        <f t="shared" si="601"/>
        <v>176.07101862268641</v>
      </c>
      <c r="DC81" s="28">
        <f t="shared" si="601"/>
        <v>170.62897252452373</v>
      </c>
      <c r="DD81" s="18"/>
      <c r="DE81" s="352">
        <f>SUM(D81:G81)</f>
        <v>506.4</v>
      </c>
      <c r="DF81" s="352">
        <f>SUM(H81:K81)</f>
        <v>356.9</v>
      </c>
      <c r="DG81" s="352">
        <f>SUM(L81:O81)</f>
        <v>267.29999999999995</v>
      </c>
      <c r="DH81" s="352">
        <f>SUM(P81:S81)</f>
        <v>-129.1</v>
      </c>
      <c r="DI81" s="352">
        <f>SUM(T81:W81)</f>
        <v>-36</v>
      </c>
      <c r="DJ81" s="352">
        <f>SUM(X81:AA81)</f>
        <v>829.8</v>
      </c>
      <c r="DK81" s="352">
        <f>SUM(AB81:AE81)</f>
        <v>-446</v>
      </c>
      <c r="DL81" s="352">
        <f>SUM(AF81:AI81)</f>
        <v>-91.5</v>
      </c>
      <c r="DM81" s="352">
        <f>SUM(AJ81:AM81)</f>
        <v>73</v>
      </c>
      <c r="DN81" s="352">
        <f>SUM(AN81:AQ81)</f>
        <v>74.8</v>
      </c>
      <c r="DO81" s="352">
        <f>SUM(AR81:AU81)</f>
        <v>10.6</v>
      </c>
      <c r="DP81" s="27">
        <f>SUM(AV81:AY81)</f>
        <v>18.7</v>
      </c>
      <c r="DQ81" s="27">
        <f>SUM(AZ81:BC81)</f>
        <v>30</v>
      </c>
      <c r="DR81" s="27">
        <f>SUM(BD81:BG81)</f>
        <v>18</v>
      </c>
      <c r="DS81" s="27">
        <f>SUM(BH81:BK81)</f>
        <v>2</v>
      </c>
      <c r="DT81" s="27">
        <f>SUM(BL81:BO81)</f>
        <v>-19</v>
      </c>
      <c r="DU81" s="27">
        <f>SUM(BP81:BS81)</f>
        <v>203</v>
      </c>
      <c r="DV81" s="27">
        <f>SUM(BT81:BW81)</f>
        <v>-17</v>
      </c>
      <c r="DW81" s="27">
        <f t="shared" si="567"/>
        <v>8</v>
      </c>
      <c r="DX81" s="27">
        <f t="shared" si="568"/>
        <v>142</v>
      </c>
      <c r="DY81" s="27">
        <f t="shared" si="569"/>
        <v>164</v>
      </c>
      <c r="DZ81" s="27">
        <f t="shared" si="545"/>
        <v>-74</v>
      </c>
      <c r="EA81" s="27">
        <f t="shared" si="546"/>
        <v>173</v>
      </c>
      <c r="EB81" s="27">
        <f t="shared" si="547"/>
        <v>481.18648358079531</v>
      </c>
      <c r="EC81" s="28">
        <f t="shared" si="570"/>
        <v>1177.6613236582994</v>
      </c>
      <c r="ED81" s="28">
        <f t="shared" si="571"/>
        <v>733.74821069949746</v>
      </c>
      <c r="EE81" s="1364"/>
      <c r="EF81" s="29">
        <f>SUM(E81:H81)</f>
        <v>621.4</v>
      </c>
      <c r="EG81" s="27">
        <f>SUM(I81:L81)</f>
        <v>167.9</v>
      </c>
      <c r="EH81" s="27">
        <f>SUM(M81:P81)</f>
        <v>256.2</v>
      </c>
      <c r="EI81" s="27">
        <f>SUM(Q81:T81)</f>
        <v>-161.19999999999999</v>
      </c>
      <c r="EJ81" s="27">
        <f>SUM(U81:X81)</f>
        <v>187</v>
      </c>
      <c r="EK81" s="27">
        <f>SUM(Y81:AB81)</f>
        <v>830.4</v>
      </c>
      <c r="EL81" s="27">
        <f>SUM(AC81:AF81)</f>
        <v>-819.2</v>
      </c>
      <c r="EM81" s="27">
        <f>SUM(AG81:AJ81)</f>
        <v>107.1</v>
      </c>
      <c r="EN81" s="27">
        <f>SUM(AK81:AN81)</f>
        <v>67.099999999999994</v>
      </c>
      <c r="EO81" s="27">
        <f>SUM(AO81:AR81)</f>
        <v>73.5</v>
      </c>
      <c r="EP81" s="352">
        <f>SUM(AS81:AV81)</f>
        <v>-3.3999999999999995</v>
      </c>
      <c r="EQ81" s="352">
        <f>SUM(AW81:AZ81)</f>
        <v>27.5</v>
      </c>
      <c r="ER81" s="352">
        <f>SUM(BA81:BD81)</f>
        <v>28</v>
      </c>
      <c r="ES81" s="352">
        <f>SUM(BE81:BH81)</f>
        <v>24</v>
      </c>
      <c r="ET81" s="352">
        <f>SUM(BI81:BL81)</f>
        <v>-18</v>
      </c>
      <c r="EU81" s="352">
        <f>SUM(BM81:BP81)</f>
        <v>36</v>
      </c>
      <c r="EV81" s="352">
        <f>SUM(BQ81:BT81)</f>
        <v>153</v>
      </c>
      <c r="EW81" s="352">
        <f>SUM(BU81:BX81)</f>
        <v>-2</v>
      </c>
      <c r="EX81" s="352">
        <f>SUM(BY81:CB81)</f>
        <v>41</v>
      </c>
      <c r="EY81" s="352">
        <f>SUM(CC81:CF81)</f>
        <v>135</v>
      </c>
      <c r="EZ81" s="352">
        <f t="shared" si="582"/>
        <v>130</v>
      </c>
      <c r="FA81" s="352">
        <f t="shared" si="583"/>
        <v>-61</v>
      </c>
      <c r="FB81" s="352">
        <f t="shared" si="593"/>
        <v>246</v>
      </c>
      <c r="FC81" s="352">
        <f>SUM(CS81:CV81)</f>
        <v>767.50281254595711</v>
      </c>
      <c r="FD81" s="352">
        <f>SUM(CW81:CZ81)</f>
        <v>1002.9514886326227</v>
      </c>
      <c r="FE81" s="308"/>
      <c r="FF81" s="300"/>
      <c r="FG81" s="300"/>
      <c r="FH81" s="300"/>
      <c r="FO81" s="7"/>
    </row>
    <row r="82" spans="1:171" ht="14.25" hidden="1" customHeight="1" outlineLevel="1">
      <c r="A82" s="7"/>
      <c r="B82" s="548" t="s">
        <v>274</v>
      </c>
      <c r="C82" s="31"/>
      <c r="D82" s="34">
        <f t="shared" ref="D82:AI82" si="602">+D75</f>
        <v>0.35998392928887102</v>
      </c>
      <c r="E82" s="1209">
        <f t="shared" si="602"/>
        <v>0.38751668891855801</v>
      </c>
      <c r="F82" s="1209">
        <f t="shared" si="602"/>
        <v>0.37514188422247441</v>
      </c>
      <c r="G82" s="33">
        <f t="shared" si="602"/>
        <v>0.37477758007117434</v>
      </c>
      <c r="H82" s="34">
        <f t="shared" si="602"/>
        <v>0.38379290939786159</v>
      </c>
      <c r="I82" s="1209">
        <f t="shared" si="602"/>
        <v>0.3737104825291182</v>
      </c>
      <c r="J82" s="1209">
        <f t="shared" si="602"/>
        <v>0.39876033057851246</v>
      </c>
      <c r="K82" s="33">
        <f t="shared" si="602"/>
        <v>7.0000000000000201E-2</v>
      </c>
      <c r="L82" s="34">
        <f t="shared" si="602"/>
        <v>0.43093922651933647</v>
      </c>
      <c r="M82" s="1209">
        <f t="shared" si="602"/>
        <v>0.47900693683826207</v>
      </c>
      <c r="N82" s="1209">
        <f t="shared" si="602"/>
        <v>0.41190765492102066</v>
      </c>
      <c r="O82" s="33">
        <f t="shared" si="602"/>
        <v>0.42227564102564075</v>
      </c>
      <c r="P82" s="34">
        <f t="shared" si="602"/>
        <v>0.409090909090911</v>
      </c>
      <c r="Q82" s="1209">
        <f t="shared" si="602"/>
        <v>0.17504051863857395</v>
      </c>
      <c r="R82" s="1209">
        <f t="shared" si="602"/>
        <v>0.39289678135405104</v>
      </c>
      <c r="S82" s="33">
        <f t="shared" si="602"/>
        <v>0.35788024776324862</v>
      </c>
      <c r="T82" s="34">
        <f t="shared" si="602"/>
        <v>0.37398373983739824</v>
      </c>
      <c r="U82" s="1209">
        <f t="shared" si="602"/>
        <v>0.41818181818181899</v>
      </c>
      <c r="V82" s="1209">
        <f t="shared" si="602"/>
        <v>0.38169642857142877</v>
      </c>
      <c r="W82" s="33">
        <f t="shared" si="602"/>
        <v>0.29838709677419384</v>
      </c>
      <c r="X82" s="34">
        <f t="shared" si="602"/>
        <v>0.36407676541829698</v>
      </c>
      <c r="Y82" s="1209">
        <f t="shared" si="602"/>
        <v>0.36546026750590105</v>
      </c>
      <c r="Z82" s="1209">
        <f t="shared" si="602"/>
        <v>0.36833639705882359</v>
      </c>
      <c r="AA82" s="33">
        <f t="shared" si="602"/>
        <v>0.34407437494358684</v>
      </c>
      <c r="AB82" s="34">
        <f t="shared" si="602"/>
        <v>0.35753374680773453</v>
      </c>
      <c r="AC82" s="1209">
        <f t="shared" si="602"/>
        <v>1.4508928571428582E-2</v>
      </c>
      <c r="AD82" s="1209">
        <f t="shared" si="602"/>
        <v>0.38416191786205545</v>
      </c>
      <c r="AE82" s="33">
        <f t="shared" si="602"/>
        <v>0.4361712550210643</v>
      </c>
      <c r="AF82" s="34">
        <f t="shared" si="602"/>
        <v>0.39990972692394489</v>
      </c>
      <c r="AG82" s="1209">
        <f t="shared" si="602"/>
        <v>0.40039447731755423</v>
      </c>
      <c r="AH82" s="1209">
        <f t="shared" si="602"/>
        <v>0.39364303178484117</v>
      </c>
      <c r="AI82" s="33">
        <f t="shared" si="602"/>
        <v>-0.26207340631036702</v>
      </c>
      <c r="AJ82" s="34">
        <f t="shared" ref="AJ82:BO82" si="603">+AJ75</f>
        <v>-7.2297297297297308E-2</v>
      </c>
      <c r="AK82" s="1209">
        <f t="shared" si="603"/>
        <v>-2.9177718832891251E-2</v>
      </c>
      <c r="AL82" s="1209">
        <f t="shared" si="603"/>
        <v>-0.12409138110072689</v>
      </c>
      <c r="AM82" s="33">
        <f t="shared" si="603"/>
        <v>-8.8055797733217075E-2</v>
      </c>
      <c r="AN82" s="34">
        <f t="shared" si="603"/>
        <v>0.9627329192546592</v>
      </c>
      <c r="AO82" s="1209">
        <f t="shared" si="603"/>
        <v>-1.6203703703703798</v>
      </c>
      <c r="AP82" s="1209">
        <f t="shared" si="603"/>
        <v>0.12927054478301017</v>
      </c>
      <c r="AQ82" s="33">
        <f t="shared" si="603"/>
        <v>0.22293504410585399</v>
      </c>
      <c r="AR82" s="34">
        <f t="shared" si="603"/>
        <v>8.2318840579710145E-2</v>
      </c>
      <c r="AS82" s="1209">
        <f t="shared" si="603"/>
        <v>2.8823058446757387E-2</v>
      </c>
      <c r="AT82" s="1209">
        <f t="shared" si="603"/>
        <v>5.3994082840236698E-2</v>
      </c>
      <c r="AU82" s="33">
        <f t="shared" si="603"/>
        <v>2.314814814814819E-3</v>
      </c>
      <c r="AV82" s="34">
        <f t="shared" si="603"/>
        <v>3.1847133757961841E-3</v>
      </c>
      <c r="AW82" s="1209">
        <f t="shared" si="603"/>
        <v>3.6408977556109737E-2</v>
      </c>
      <c r="AX82" s="1209">
        <f t="shared" si="603"/>
        <v>8.3547557840616987E-2</v>
      </c>
      <c r="AY82" s="33">
        <f t="shared" si="603"/>
        <v>5.1031487513572192E-2</v>
      </c>
      <c r="AZ82" s="34">
        <f t="shared" si="603"/>
        <v>5.8823529411764705E-2</v>
      </c>
      <c r="BA82" s="1209">
        <f t="shared" si="603"/>
        <v>3</v>
      </c>
      <c r="BB82" s="1209">
        <f t="shared" si="603"/>
        <v>-5.0847457627118647E-2</v>
      </c>
      <c r="BC82" s="33">
        <f t="shared" si="603"/>
        <v>-4.1095890410958902E-2</v>
      </c>
      <c r="BD82" s="34">
        <f t="shared" si="603"/>
        <v>-2.7777777777777776E-2</v>
      </c>
      <c r="BE82" s="1209">
        <f t="shared" si="603"/>
        <v>5.1612903225806452E-3</v>
      </c>
      <c r="BF82" s="1209">
        <f t="shared" si="603"/>
        <v>-5.627705627705628E-2</v>
      </c>
      <c r="BG82" s="33">
        <f t="shared" si="603"/>
        <v>-5.6657223796033997E-3</v>
      </c>
      <c r="BH82" s="34">
        <f t="shared" si="603"/>
        <v>-1.8413597733711047E-2</v>
      </c>
      <c r="BI82" s="1209">
        <f t="shared" si="603"/>
        <v>-5.0125313283208017E-3</v>
      </c>
      <c r="BJ82" s="1209">
        <f t="shared" si="603"/>
        <v>6.1538461538461538E-3</v>
      </c>
      <c r="BK82" s="33">
        <f t="shared" si="603"/>
        <v>0.11304347826086956</v>
      </c>
      <c r="BL82" s="34">
        <f t="shared" si="603"/>
        <v>-3.3018867924528301E-2</v>
      </c>
      <c r="BM82" s="1209">
        <f t="shared" si="603"/>
        <v>1.0810810810810811E-2</v>
      </c>
      <c r="BN82" s="1209">
        <f t="shared" si="603"/>
        <v>-4.3710021321961619E-2</v>
      </c>
      <c r="BO82" s="33">
        <f t="shared" si="603"/>
        <v>6.25E-2</v>
      </c>
      <c r="BP82" s="34">
        <f t="shared" ref="BP82:CA82" si="604">+BP75</f>
        <v>0.1951219512195122</v>
      </c>
      <c r="BQ82" s="1209">
        <f t="shared" si="604"/>
        <v>0.22151898734177214</v>
      </c>
      <c r="BR82" s="1209">
        <f t="shared" si="604"/>
        <v>0.4622222222222222</v>
      </c>
      <c r="BS82" s="33">
        <f t="shared" si="604"/>
        <v>-0.20512820512820512</v>
      </c>
      <c r="BT82" s="34">
        <f>BT81/BT72</f>
        <v>1.834862385321101E-2</v>
      </c>
      <c r="BU82" s="1209">
        <f t="shared" si="604"/>
        <v>-4.4999999999999998E-2</v>
      </c>
      <c r="BV82" s="1209">
        <f t="shared" si="604"/>
        <v>0.15637860082304528</v>
      </c>
      <c r="BW82" s="33">
        <f t="shared" si="604"/>
        <v>-7.1428571428571425E-2</v>
      </c>
      <c r="BX82" s="34">
        <f t="shared" si="604"/>
        <v>-6.1904761904761907E-2</v>
      </c>
      <c r="BY82" s="32">
        <f t="shared" si="604"/>
        <v>3.8297872340425532E-2</v>
      </c>
      <c r="BZ82" s="32">
        <f t="shared" si="604"/>
        <v>-1.9230769230769232E-2</v>
      </c>
      <c r="CA82" s="33">
        <f t="shared" si="604"/>
        <v>2.9797377830750892E-3</v>
      </c>
      <c r="CB82" s="34">
        <f t="shared" ref="CB82:CM82" si="605">CB81/CB72</f>
        <v>5.4631828978622329E-2</v>
      </c>
      <c r="CC82" s="32">
        <f t="shared" si="605"/>
        <v>3.4562211981566823E-2</v>
      </c>
      <c r="CD82" s="32">
        <f t="shared" si="605"/>
        <v>3.9897039897039896E-2</v>
      </c>
      <c r="CE82" s="33">
        <f t="shared" si="605"/>
        <v>4.1469194312796206E-2</v>
      </c>
      <c r="CF82" s="34">
        <f t="shared" si="605"/>
        <v>3.8348082595870206E-2</v>
      </c>
      <c r="CG82" s="32">
        <f t="shared" si="605"/>
        <v>0.10457516339869281</v>
      </c>
      <c r="CH82" s="32">
        <f t="shared" si="605"/>
        <v>5.2141527001862198E-2</v>
      </c>
      <c r="CI82" s="33">
        <f t="shared" si="605"/>
        <v>5.1829268292682924E-2</v>
      </c>
      <c r="CJ82" s="34">
        <f t="shared" si="605"/>
        <v>3.3557046979865772E-2</v>
      </c>
      <c r="CK82" s="32">
        <f t="shared" si="605"/>
        <v>6.1403508771929821E-2</v>
      </c>
      <c r="CL82" s="32">
        <f t="shared" si="605"/>
        <v>0.39436619718309857</v>
      </c>
      <c r="CM82" s="33">
        <f t="shared" si="605"/>
        <v>0.13793103448275862</v>
      </c>
      <c r="CN82" s="34">
        <f t="shared" ref="CN82:CQ82" si="606">CN81/CN72</f>
        <v>6.1643835616438353E-2</v>
      </c>
      <c r="CO82" s="1209">
        <f t="shared" si="606"/>
        <v>3.1E-2</v>
      </c>
      <c r="CP82" s="1209">
        <f t="shared" si="606"/>
        <v>3.3666491320357705E-2</v>
      </c>
      <c r="CQ82" s="33">
        <f t="shared" si="606"/>
        <v>2.5115110925073254E-2</v>
      </c>
      <c r="CR82" s="34">
        <f t="shared" ref="CR82:CS82" si="607">CR81/CR72</f>
        <v>2.999340804218853E-2</v>
      </c>
      <c r="CS82" s="1209">
        <f t="shared" si="607"/>
        <v>2.7942421676545301E-2</v>
      </c>
      <c r="CT82" s="32">
        <f t="shared" ref="CT82" si="608">CT81/CT72</f>
        <v>0.04</v>
      </c>
      <c r="CU82" s="33">
        <f t="shared" ref="CU82:CY82" si="609">CU81/CU72</f>
        <v>4.0000000000000008E-2</v>
      </c>
      <c r="CV82" s="34">
        <f t="shared" si="609"/>
        <v>0.12</v>
      </c>
      <c r="CW82" s="1209">
        <f t="shared" si="609"/>
        <v>0.12</v>
      </c>
      <c r="CX82" s="1209">
        <f t="shared" si="609"/>
        <v>0.12000000000000001</v>
      </c>
      <c r="CY82" s="33">
        <f t="shared" si="609"/>
        <v>0.12000000000000001</v>
      </c>
      <c r="CZ82" s="34">
        <f t="shared" ref="CZ82:DC82" si="610">CZ81/CZ72</f>
        <v>0.12</v>
      </c>
      <c r="DA82" s="1209">
        <f t="shared" si="610"/>
        <v>0.12</v>
      </c>
      <c r="DB82" s="1209">
        <f t="shared" si="610"/>
        <v>0.12</v>
      </c>
      <c r="DC82" s="33">
        <f t="shared" si="610"/>
        <v>0.12</v>
      </c>
      <c r="DD82" s="18"/>
      <c r="DE82" s="353">
        <f t="shared" ref="DE82:EB82" si="611">DE81/DE72</f>
        <v>0.3832009080590239</v>
      </c>
      <c r="DF82" s="353">
        <f t="shared" si="611"/>
        <v>0.36108862808579523</v>
      </c>
      <c r="DG82" s="353">
        <f t="shared" si="611"/>
        <v>0.64565217391304319</v>
      </c>
      <c r="DH82" s="353">
        <f t="shared" si="611"/>
        <v>0.26800913431596429</v>
      </c>
      <c r="DI82" s="353">
        <f t="shared" si="611"/>
        <v>0.92307692307691236</v>
      </c>
      <c r="DJ82" s="353">
        <f t="shared" si="611"/>
        <v>0.34393003688813356</v>
      </c>
      <c r="DK82" s="353">
        <f t="shared" si="611"/>
        <v>0.50344282650412076</v>
      </c>
      <c r="DL82" s="353">
        <f t="shared" si="611"/>
        <v>9.3615715162676458E-2</v>
      </c>
      <c r="DM82" s="353">
        <f t="shared" si="611"/>
        <v>-7.0124879923150835E-2</v>
      </c>
      <c r="DN82" s="353">
        <f t="shared" si="611"/>
        <v>0.35602094240837739</v>
      </c>
      <c r="DO82" s="353">
        <f t="shared" si="611"/>
        <v>6.0606060606060545E-2</v>
      </c>
      <c r="DP82" s="32">
        <f t="shared" si="611"/>
        <v>0.11097922848664724</v>
      </c>
      <c r="DQ82" s="32">
        <f t="shared" si="611"/>
        <v>-0.13333333333333333</v>
      </c>
      <c r="DR82" s="32">
        <f t="shared" si="611"/>
        <v>-1.4925373134328358E-2</v>
      </c>
      <c r="DS82" s="32">
        <f t="shared" si="611"/>
        <v>-1.2746972594008922E-3</v>
      </c>
      <c r="DT82" s="1209">
        <f t="shared" si="611"/>
        <v>-1.0036978341257264E-2</v>
      </c>
      <c r="DU82" s="1209">
        <f t="shared" si="611"/>
        <v>1.1871345029239766</v>
      </c>
      <c r="DV82" s="1209">
        <f t="shared" si="611"/>
        <v>2.4531024531024532E-2</v>
      </c>
      <c r="DW82" s="1209">
        <f t="shared" si="611"/>
        <v>-5.3156146179401996E-3</v>
      </c>
      <c r="DX82" s="1209">
        <f t="shared" si="611"/>
        <v>4.2629840888622032E-2</v>
      </c>
      <c r="DY82" s="1209">
        <f t="shared" si="611"/>
        <v>6.1956932376275031E-2</v>
      </c>
      <c r="DZ82" s="1209">
        <f t="shared" si="611"/>
        <v>0.33183856502242154</v>
      </c>
      <c r="EA82" s="1209">
        <f t="shared" si="611"/>
        <v>3.0992475815120029E-2</v>
      </c>
      <c r="EB82" s="1209">
        <f t="shared" si="611"/>
        <v>3.4726002587934075E-2</v>
      </c>
      <c r="EC82" s="33">
        <f>EC81/EC72</f>
        <v>0.12000000000000001</v>
      </c>
      <c r="ED82" s="33">
        <f t="shared" ref="ED82" si="612">ED81/ED72</f>
        <v>0.12000000000000012</v>
      </c>
      <c r="EE82" s="1364"/>
      <c r="EF82" s="34">
        <f t="shared" ref="EF82:FB82" si="613">EF81/EF72</f>
        <v>0.38610662358642972</v>
      </c>
      <c r="EG82" s="32">
        <f t="shared" si="613"/>
        <v>0.34202485231207974</v>
      </c>
      <c r="EH82" s="32">
        <f t="shared" si="613"/>
        <v>0.65608194622279181</v>
      </c>
      <c r="EI82" s="32">
        <f t="shared" si="613"/>
        <v>0.28826895565092986</v>
      </c>
      <c r="EJ82" s="32">
        <f t="shared" si="613"/>
        <v>0.30802174271125043</v>
      </c>
      <c r="EK82" s="32">
        <f t="shared" si="613"/>
        <v>0.3479281015628275</v>
      </c>
      <c r="EL82" s="32">
        <f t="shared" si="613"/>
        <v>0.43518912027199341</v>
      </c>
      <c r="EM82" s="32">
        <f t="shared" si="613"/>
        <v>-0.1297552701720377</v>
      </c>
      <c r="EN82" s="32">
        <f t="shared" si="613"/>
        <v>-9.0480043149945996E-2</v>
      </c>
      <c r="EO82" s="32">
        <f t="shared" si="613"/>
        <v>0.19403379091869022</v>
      </c>
      <c r="EP82" s="353">
        <f t="shared" si="613"/>
        <v>-7.7981651376145641E-2</v>
      </c>
      <c r="EQ82" s="353">
        <f t="shared" si="613"/>
        <v>0.11467889908256829</v>
      </c>
      <c r="ER82" s="353">
        <f t="shared" si="613"/>
        <v>-4.5977011494252873E-2</v>
      </c>
      <c r="ES82" s="353">
        <f t="shared" si="613"/>
        <v>-1.4101057579318449E-2</v>
      </c>
      <c r="ET82" s="353">
        <f t="shared" si="613"/>
        <v>3.0456852791878174E-2</v>
      </c>
      <c r="EU82" s="353">
        <f t="shared" si="613"/>
        <v>2.0833333333333332E-2</v>
      </c>
      <c r="EV82" s="353">
        <f t="shared" si="613"/>
        <v>21.857142857142858</v>
      </c>
      <c r="EW82" s="353">
        <f t="shared" si="613"/>
        <v>2.6212319790301442E-3</v>
      </c>
      <c r="EX82" s="353">
        <f t="shared" si="613"/>
        <v>-7.6779026217228458E-2</v>
      </c>
      <c r="EY82" s="353">
        <f t="shared" si="613"/>
        <v>4.0286481647269473E-2</v>
      </c>
      <c r="EZ82" s="353">
        <f t="shared" si="613"/>
        <v>7.8979343863912518E-2</v>
      </c>
      <c r="FA82" s="353">
        <f t="shared" si="613"/>
        <v>0.29756097560975608</v>
      </c>
      <c r="FB82" s="353">
        <f t="shared" si="613"/>
        <v>2.9992684711046085E-2</v>
      </c>
      <c r="FC82" s="353">
        <f t="shared" ref="FC82:FD82" si="614">FC81/FC72</f>
        <v>5.4951295563383205E-2</v>
      </c>
      <c r="FD82" s="353">
        <f t="shared" si="614"/>
        <v>0.12000000000000002</v>
      </c>
      <c r="FE82" s="308"/>
      <c r="FF82" s="300"/>
      <c r="FG82" s="300"/>
      <c r="FH82" s="300"/>
      <c r="FO82" s="7"/>
    </row>
    <row r="83" spans="1:171" ht="9.75" customHeight="1" collapsed="1">
      <c r="A83" s="7"/>
      <c r="B83" s="548"/>
      <c r="C83" s="31"/>
      <c r="D83" s="34"/>
      <c r="E83" s="1209"/>
      <c r="F83" s="1209"/>
      <c r="G83" s="33"/>
      <c r="H83" s="34"/>
      <c r="I83" s="1209"/>
      <c r="J83" s="1209"/>
      <c r="K83" s="33"/>
      <c r="L83" s="34"/>
      <c r="M83" s="1209"/>
      <c r="N83" s="1209"/>
      <c r="O83" s="33"/>
      <c r="P83" s="34"/>
      <c r="Q83" s="1209"/>
      <c r="R83" s="1209"/>
      <c r="S83" s="33"/>
      <c r="T83" s="34"/>
      <c r="U83" s="1209"/>
      <c r="V83" s="1209"/>
      <c r="W83" s="33"/>
      <c r="X83" s="34"/>
      <c r="Y83" s="1209"/>
      <c r="Z83" s="1209"/>
      <c r="AA83" s="33"/>
      <c r="AB83" s="34"/>
      <c r="AC83" s="1209"/>
      <c r="AD83" s="1209"/>
      <c r="AE83" s="33"/>
      <c r="AF83" s="34"/>
      <c r="AG83" s="1209"/>
      <c r="AH83" s="1209"/>
      <c r="AI83" s="33"/>
      <c r="AJ83" s="34"/>
      <c r="AK83" s="1209"/>
      <c r="AL83" s="1209"/>
      <c r="AM83" s="33"/>
      <c r="AN83" s="34"/>
      <c r="AO83" s="1209"/>
      <c r="AP83" s="1209"/>
      <c r="AQ83" s="33"/>
      <c r="AR83" s="34"/>
      <c r="AS83" s="1209"/>
      <c r="AT83" s="1209"/>
      <c r="AU83" s="33"/>
      <c r="AV83" s="34"/>
      <c r="AW83" s="1209"/>
      <c r="AX83" s="1209"/>
      <c r="AY83" s="33"/>
      <c r="AZ83" s="34"/>
      <c r="BA83" s="1209"/>
      <c r="BB83" s="1209"/>
      <c r="BC83" s="33"/>
      <c r="BD83" s="34"/>
      <c r="BE83" s="1209"/>
      <c r="BF83" s="1209"/>
      <c r="BG83" s="33"/>
      <c r="BH83" s="34"/>
      <c r="BI83" s="1209"/>
      <c r="BJ83" s="1209"/>
      <c r="BK83" s="33"/>
      <c r="BL83" s="34"/>
      <c r="BM83" s="1209"/>
      <c r="BN83" s="1209"/>
      <c r="BO83" s="33"/>
      <c r="BP83" s="34"/>
      <c r="BQ83" s="1209"/>
      <c r="BR83" s="1209"/>
      <c r="BS83" s="33"/>
      <c r="BT83" s="34"/>
      <c r="BU83" s="1209"/>
      <c r="BV83" s="1209"/>
      <c r="BW83" s="33"/>
      <c r="BX83" s="34"/>
      <c r="BY83" s="32"/>
      <c r="BZ83" s="32"/>
      <c r="CA83" s="33"/>
      <c r="CB83" s="34"/>
      <c r="CC83" s="32"/>
      <c r="CD83" s="32"/>
      <c r="CE83" s="33"/>
      <c r="CF83" s="34"/>
      <c r="CG83" s="32"/>
      <c r="CH83" s="32"/>
      <c r="CI83" s="33"/>
      <c r="CJ83" s="34"/>
      <c r="CK83" s="32"/>
      <c r="CL83" s="32"/>
      <c r="CM83" s="33"/>
      <c r="CN83" s="34"/>
      <c r="CO83" s="1209"/>
      <c r="CP83" s="1209"/>
      <c r="CQ83" s="33"/>
      <c r="CR83" s="34"/>
      <c r="CS83" s="1209"/>
      <c r="CT83" s="32"/>
      <c r="CU83" s="33"/>
      <c r="CV83" s="34"/>
      <c r="CW83" s="1209"/>
      <c r="CX83" s="1209"/>
      <c r="CY83" s="33"/>
      <c r="CZ83" s="34"/>
      <c r="DA83" s="1209"/>
      <c r="DB83" s="1209"/>
      <c r="DC83" s="33"/>
      <c r="DD83" s="18"/>
      <c r="DE83" s="353"/>
      <c r="DF83" s="353"/>
      <c r="DG83" s="353"/>
      <c r="DH83" s="353"/>
      <c r="DI83" s="353"/>
      <c r="DJ83" s="353"/>
      <c r="DK83" s="353"/>
      <c r="DL83" s="353"/>
      <c r="DM83" s="353"/>
      <c r="DN83" s="353"/>
      <c r="DO83" s="353"/>
      <c r="DP83" s="32"/>
      <c r="DQ83" s="32"/>
      <c r="DR83" s="32"/>
      <c r="DS83" s="32"/>
      <c r="DT83" s="1209"/>
      <c r="DU83" s="1209"/>
      <c r="DV83" s="1209"/>
      <c r="DW83" s="1209"/>
      <c r="DX83" s="1209"/>
      <c r="DY83" s="1209"/>
      <c r="DZ83" s="1209"/>
      <c r="EA83" s="1209"/>
      <c r="EB83" s="1209"/>
      <c r="EC83" s="33"/>
      <c r="ED83" s="33"/>
      <c r="EE83" s="1364"/>
      <c r="EF83" s="34"/>
      <c r="EG83" s="32"/>
      <c r="EH83" s="32"/>
      <c r="EI83" s="32"/>
      <c r="EJ83" s="32"/>
      <c r="EK83" s="32"/>
      <c r="EL83" s="32"/>
      <c r="EM83" s="32"/>
      <c r="EN83" s="32"/>
      <c r="EO83" s="32"/>
      <c r="EP83" s="353"/>
      <c r="EQ83" s="353"/>
      <c r="ER83" s="353"/>
      <c r="ES83" s="353"/>
      <c r="ET83" s="353"/>
      <c r="EU83" s="353"/>
      <c r="EV83" s="353"/>
      <c r="EW83" s="353"/>
      <c r="EX83" s="353"/>
      <c r="EY83" s="353"/>
      <c r="EZ83" s="353"/>
      <c r="FA83" s="353"/>
      <c r="FB83" s="353"/>
      <c r="FC83" s="353"/>
      <c r="FD83" s="353"/>
      <c r="FE83" s="308"/>
      <c r="FF83" s="300"/>
      <c r="FG83" s="300"/>
      <c r="FH83" s="300"/>
      <c r="FO83" s="7"/>
    </row>
    <row r="84" spans="1:171" ht="14.25" customHeight="1">
      <c r="A84" s="7"/>
      <c r="B84" s="540" t="s">
        <v>137</v>
      </c>
      <c r="C84" s="31"/>
      <c r="D84" s="750">
        <f t="shared" ref="D84:BO84" si="615">D70-D74</f>
        <v>159.30000000000001</v>
      </c>
      <c r="E84" s="759">
        <f t="shared" si="615"/>
        <v>183.50000000000003</v>
      </c>
      <c r="F84" s="759">
        <f t="shared" si="615"/>
        <v>220.20000000000005</v>
      </c>
      <c r="G84" s="758">
        <f t="shared" si="615"/>
        <v>281.10000000000002</v>
      </c>
      <c r="H84" s="750">
        <f t="shared" si="615"/>
        <v>328.49999999999989</v>
      </c>
      <c r="I84" s="759">
        <f t="shared" si="615"/>
        <v>188.19999999999993</v>
      </c>
      <c r="J84" s="759">
        <f t="shared" si="615"/>
        <v>58.199999999999982</v>
      </c>
      <c r="K84" s="758">
        <f t="shared" si="615"/>
        <v>18.599999999999941</v>
      </c>
      <c r="L84" s="750">
        <f t="shared" si="615"/>
        <v>20.600000000000044</v>
      </c>
      <c r="M84" s="759">
        <f t="shared" si="615"/>
        <v>142.70000000000005</v>
      </c>
      <c r="N84" s="759">
        <f t="shared" si="615"/>
        <v>96.8</v>
      </c>
      <c r="O84" s="758">
        <f t="shared" si="615"/>
        <v>72.100000000000094</v>
      </c>
      <c r="P84" s="750">
        <f t="shared" si="615"/>
        <v>6.4999999999999485</v>
      </c>
      <c r="Q84" s="759">
        <f t="shared" si="615"/>
        <v>-50.899999999999935</v>
      </c>
      <c r="R84" s="759">
        <f t="shared" si="615"/>
        <v>-109.39999999999999</v>
      </c>
      <c r="S84" s="758">
        <f t="shared" si="615"/>
        <v>-93.299999999999926</v>
      </c>
      <c r="T84" s="750">
        <f t="shared" si="615"/>
        <v>-46.200000000000024</v>
      </c>
      <c r="U84" s="759">
        <f t="shared" si="615"/>
        <v>22.399999999999928</v>
      </c>
      <c r="V84" s="759">
        <f t="shared" si="615"/>
        <v>-27.699999999999982</v>
      </c>
      <c r="W84" s="758">
        <f t="shared" si="615"/>
        <v>-17.399999999999977</v>
      </c>
      <c r="X84" s="750">
        <f t="shared" si="615"/>
        <v>341.30000000000007</v>
      </c>
      <c r="Y84" s="759">
        <f t="shared" si="615"/>
        <v>161.2999999999999</v>
      </c>
      <c r="Z84" s="759">
        <f t="shared" si="615"/>
        <v>274.89999999999992</v>
      </c>
      <c r="AA84" s="758">
        <f t="shared" si="615"/>
        <v>726.70000000000027</v>
      </c>
      <c r="AB84" s="750">
        <f t="shared" si="615"/>
        <v>352.19999999999982</v>
      </c>
      <c r="AC84" s="759">
        <f t="shared" si="615"/>
        <v>-88.29999999999994</v>
      </c>
      <c r="AD84" s="759">
        <f t="shared" si="615"/>
        <v>-313.39999999999992</v>
      </c>
      <c r="AE84" s="758">
        <f t="shared" si="615"/>
        <v>-575.49999999999932</v>
      </c>
      <c r="AF84" s="750">
        <f t="shared" si="615"/>
        <v>-265.90000000000003</v>
      </c>
      <c r="AG84" s="759">
        <f t="shared" si="615"/>
        <v>-30.400000000000002</v>
      </c>
      <c r="AH84" s="759">
        <f t="shared" si="615"/>
        <v>-24.79999999999999</v>
      </c>
      <c r="AI84" s="758">
        <f t="shared" si="615"/>
        <v>-588</v>
      </c>
      <c r="AJ84" s="750">
        <f t="shared" si="615"/>
        <v>-317.39999999999992</v>
      </c>
      <c r="AK84" s="759">
        <f t="shared" si="615"/>
        <v>-620.79999999999995</v>
      </c>
      <c r="AL84" s="759">
        <f t="shared" si="615"/>
        <v>-216.5</v>
      </c>
      <c r="AM84" s="758">
        <f t="shared" si="615"/>
        <v>-124.80000000000001</v>
      </c>
      <c r="AN84" s="750">
        <f t="shared" si="615"/>
        <v>0.59999999999998721</v>
      </c>
      <c r="AO84" s="759">
        <f t="shared" si="615"/>
        <v>-28.299999999999937</v>
      </c>
      <c r="AP84" s="759">
        <f t="shared" si="615"/>
        <v>94.299999999999983</v>
      </c>
      <c r="AQ84" s="758">
        <f t="shared" si="615"/>
        <v>96.900000000000034</v>
      </c>
      <c r="AR84" s="750">
        <f t="shared" si="615"/>
        <v>158.30000000000001</v>
      </c>
      <c r="AS84" s="759">
        <f t="shared" si="615"/>
        <v>121.3000000000001</v>
      </c>
      <c r="AT84" s="759">
        <f t="shared" si="615"/>
        <v>-127.89999999999996</v>
      </c>
      <c r="AU84" s="758">
        <f t="shared" si="615"/>
        <v>43.099999999999923</v>
      </c>
      <c r="AV84" s="750">
        <f t="shared" si="615"/>
        <v>62.599999999999888</v>
      </c>
      <c r="AW84" s="759">
        <f t="shared" si="615"/>
        <v>193.19999999999993</v>
      </c>
      <c r="AX84" s="759">
        <f t="shared" si="615"/>
        <v>71.299999999999983</v>
      </c>
      <c r="AY84" s="758">
        <f t="shared" si="615"/>
        <v>87.40000000000002</v>
      </c>
      <c r="AZ84" s="750">
        <f t="shared" si="615"/>
        <v>144</v>
      </c>
      <c r="BA84" s="759">
        <f t="shared" si="615"/>
        <v>-4</v>
      </c>
      <c r="BB84" s="759">
        <f t="shared" si="615"/>
        <v>-186</v>
      </c>
      <c r="BC84" s="758">
        <f t="shared" si="615"/>
        <v>-152</v>
      </c>
      <c r="BD84" s="750">
        <f t="shared" si="615"/>
        <v>-259</v>
      </c>
      <c r="BE84" s="759">
        <f t="shared" si="615"/>
        <v>-771</v>
      </c>
      <c r="BF84" s="759">
        <f t="shared" si="615"/>
        <v>-244</v>
      </c>
      <c r="BG84" s="758">
        <f t="shared" si="615"/>
        <v>-355</v>
      </c>
      <c r="BH84" s="750">
        <f t="shared" si="615"/>
        <v>-719</v>
      </c>
      <c r="BI84" s="759">
        <f t="shared" si="615"/>
        <v>-802</v>
      </c>
      <c r="BJ84" s="759">
        <f t="shared" si="615"/>
        <v>-323</v>
      </c>
      <c r="BK84" s="758">
        <f t="shared" si="615"/>
        <v>-102</v>
      </c>
      <c r="BL84" s="750">
        <f t="shared" si="615"/>
        <v>219</v>
      </c>
      <c r="BM84" s="759">
        <f t="shared" si="615"/>
        <v>366</v>
      </c>
      <c r="BN84" s="759">
        <f t="shared" si="615"/>
        <v>979</v>
      </c>
      <c r="BO84" s="758">
        <f t="shared" si="615"/>
        <v>375</v>
      </c>
      <c r="BP84" s="750">
        <f t="shared" ref="BP84:BW84" si="616">BP70-BP74</f>
        <v>198</v>
      </c>
      <c r="BQ84" s="759">
        <f t="shared" si="616"/>
        <v>123</v>
      </c>
      <c r="BR84" s="759">
        <f t="shared" si="616"/>
        <v>121</v>
      </c>
      <c r="BS84" s="758">
        <f t="shared" si="616"/>
        <v>-94</v>
      </c>
      <c r="BT84" s="750">
        <f t="shared" si="616"/>
        <v>-113</v>
      </c>
      <c r="BU84" s="759">
        <f t="shared" si="616"/>
        <v>-209</v>
      </c>
      <c r="BV84" s="759">
        <f t="shared" si="616"/>
        <v>-205</v>
      </c>
      <c r="BW84" s="758">
        <f t="shared" si="616"/>
        <v>-210</v>
      </c>
      <c r="BX84" s="750">
        <f>BX70-BX74</f>
        <v>-223</v>
      </c>
      <c r="BY84" s="759">
        <f>BY70-BY74</f>
        <v>-226</v>
      </c>
      <c r="BZ84" s="759">
        <f>BZ70-BZ74</f>
        <v>53</v>
      </c>
      <c r="CA84" s="758">
        <f>CA70-CA74</f>
        <v>1673</v>
      </c>
      <c r="CB84" s="750">
        <f t="shared" ref="CB84:CH84" si="617">CB70-CB74</f>
        <v>295</v>
      </c>
      <c r="CC84" s="759">
        <f t="shared" si="617"/>
        <v>607</v>
      </c>
      <c r="CD84" s="759">
        <f>CD70-CD74</f>
        <v>671</v>
      </c>
      <c r="CE84" s="758">
        <f>CE70-CE74</f>
        <v>1032</v>
      </c>
      <c r="CF84" s="750">
        <f t="shared" si="617"/>
        <v>878</v>
      </c>
      <c r="CG84" s="759">
        <f t="shared" si="617"/>
        <v>727</v>
      </c>
      <c r="CH84" s="759">
        <f t="shared" si="617"/>
        <v>423</v>
      </c>
      <c r="CI84" s="758">
        <f>CI70-CI74</f>
        <v>424</v>
      </c>
      <c r="CJ84" s="750">
        <f>CJ70-CJ74</f>
        <v>147</v>
      </c>
      <c r="CK84" s="759">
        <f t="shared" ref="CK84:CL84" si="618">CK70-CK74</f>
        <v>-101</v>
      </c>
      <c r="CL84" s="759">
        <f t="shared" si="618"/>
        <v>-175</v>
      </c>
      <c r="CM84" s="758">
        <f>CM70-CM74</f>
        <v>-171</v>
      </c>
      <c r="CN84" s="750">
        <f>CN70-CN74</f>
        <v>182</v>
      </c>
      <c r="CO84" s="759">
        <f t="shared" ref="CO84:CP84" si="619">CO70-CO74</f>
        <v>887</v>
      </c>
      <c r="CP84" s="759">
        <f t="shared" si="619"/>
        <v>1645</v>
      </c>
      <c r="CQ84" s="758">
        <f>CQ70-CQ74</f>
        <v>2368</v>
      </c>
      <c r="CR84" s="750">
        <f>CR70-CR74</f>
        <v>2678</v>
      </c>
      <c r="CS84" s="759">
        <f t="shared" ref="CS84" si="620">CS70-CS74</f>
        <v>3303</v>
      </c>
      <c r="CT84" s="759">
        <f t="shared" ref="CT84:CU84" si="621">CT70-CT74</f>
        <v>3522.2096053387108</v>
      </c>
      <c r="CU84" s="758">
        <f t="shared" si="621"/>
        <v>3466.2660006003762</v>
      </c>
      <c r="CV84" s="750">
        <f t="shared" ref="CV84:CY84" si="622">CV70-CV74</f>
        <v>2766.9864124111864</v>
      </c>
      <c r="CW84" s="759">
        <f t="shared" si="622"/>
        <v>2320.9252198045269</v>
      </c>
      <c r="CX84" s="759">
        <f t="shared" si="622"/>
        <v>1888.0719806037869</v>
      </c>
      <c r="CY84" s="758">
        <f t="shared" si="622"/>
        <v>1660.1994273413607</v>
      </c>
      <c r="CZ84" s="750">
        <f t="shared" ref="CZ84:DC84" si="623">CZ70-CZ74</f>
        <v>1485.7809555562255</v>
      </c>
      <c r="DA84" s="759">
        <f t="shared" si="623"/>
        <v>1352.5726544938814</v>
      </c>
      <c r="DB84" s="759">
        <f t="shared" si="623"/>
        <v>1291.1874698997005</v>
      </c>
      <c r="DC84" s="758">
        <f t="shared" si="623"/>
        <v>1251.2791318465074</v>
      </c>
      <c r="DD84" s="18"/>
      <c r="DE84" s="750">
        <f t="shared" ref="DE84:DU84" si="624">DE70-DE74</f>
        <v>844.0999999999998</v>
      </c>
      <c r="DF84" s="759">
        <f t="shared" si="624"/>
        <v>593.5</v>
      </c>
      <c r="DG84" s="759">
        <f t="shared" si="624"/>
        <v>332.20000000000016</v>
      </c>
      <c r="DH84" s="759">
        <f t="shared" si="624"/>
        <v>-247.09999999999988</v>
      </c>
      <c r="DI84" s="759">
        <f t="shared" si="624"/>
        <v>-68.90000000000046</v>
      </c>
      <c r="DJ84" s="759">
        <f t="shared" si="624"/>
        <v>1504.2000000000005</v>
      </c>
      <c r="DK84" s="759">
        <f t="shared" si="624"/>
        <v>-624.99999999999886</v>
      </c>
      <c r="DL84" s="759">
        <f t="shared" si="624"/>
        <v>-909.10000000000014</v>
      </c>
      <c r="DM84" s="759">
        <f t="shared" si="624"/>
        <v>-1279.4999999999998</v>
      </c>
      <c r="DN84" s="759">
        <f t="shared" si="624"/>
        <v>163.49999999999983</v>
      </c>
      <c r="DO84" s="759">
        <f t="shared" si="624"/>
        <v>194.80000000000024</v>
      </c>
      <c r="DP84" s="759">
        <f t="shared" si="624"/>
        <v>414.49999999999949</v>
      </c>
      <c r="DQ84" s="759">
        <f t="shared" si="624"/>
        <v>-198</v>
      </c>
      <c r="DR84" s="759">
        <f t="shared" si="624"/>
        <v>-1629</v>
      </c>
      <c r="DS84" s="759">
        <f t="shared" si="624"/>
        <v>-1946</v>
      </c>
      <c r="DT84" s="759">
        <f t="shared" si="624"/>
        <v>1939</v>
      </c>
      <c r="DU84" s="759">
        <f t="shared" si="624"/>
        <v>348</v>
      </c>
      <c r="DV84" s="759">
        <f t="shared" ref="DV84:EB84" si="625">DV70-DV74</f>
        <v>-737</v>
      </c>
      <c r="DW84" s="759">
        <f t="shared" si="625"/>
        <v>-207</v>
      </c>
      <c r="DX84" s="759">
        <f t="shared" si="625"/>
        <v>2605</v>
      </c>
      <c r="DY84" s="759">
        <f t="shared" si="625"/>
        <v>2452</v>
      </c>
      <c r="DZ84" s="759">
        <f t="shared" si="625"/>
        <v>-300</v>
      </c>
      <c r="EA84" s="759">
        <f t="shared" ref="EA84" si="626">EA70-EA74</f>
        <v>5082</v>
      </c>
      <c r="EB84" s="759">
        <f t="shared" si="625"/>
        <v>12969.475605939084</v>
      </c>
      <c r="EC84" s="758">
        <f t="shared" ref="EC84:ED84" si="627">EC70-EC74</f>
        <v>8636.1830401608604</v>
      </c>
      <c r="ED84" s="758">
        <f t="shared" si="627"/>
        <v>5380.8202117963083</v>
      </c>
      <c r="EE84" s="1364"/>
      <c r="EF84" s="34"/>
      <c r="EG84" s="32"/>
      <c r="EH84" s="32"/>
      <c r="EI84" s="32"/>
      <c r="EJ84" s="32"/>
      <c r="EK84" s="32"/>
      <c r="EL84" s="32"/>
      <c r="EM84" s="32"/>
      <c r="EN84" s="32"/>
      <c r="EO84" s="32"/>
      <c r="EP84" s="353"/>
      <c r="EQ84" s="353"/>
      <c r="ER84" s="353"/>
      <c r="ES84" s="353"/>
      <c r="ET84" s="353"/>
      <c r="EU84" s="353"/>
      <c r="EV84" s="353"/>
      <c r="EW84" s="353"/>
      <c r="EX84" s="353"/>
      <c r="EY84" s="27">
        <f>SUM(CC84:CF84)</f>
        <v>3188</v>
      </c>
      <c r="EZ84" s="27">
        <f t="shared" ref="EZ84" si="628">SUM(CG84:CJ84)</f>
        <v>1721</v>
      </c>
      <c r="FA84" s="27">
        <f t="shared" ref="FA84" si="629">SUM(CK84:CN84)</f>
        <v>-265</v>
      </c>
      <c r="FB84" s="27">
        <f t="shared" ref="FB84" si="630">SUM(CO84:CR84)</f>
        <v>7578</v>
      </c>
      <c r="FC84" s="27">
        <f>SUM(CS84:CV84)</f>
        <v>13058.462018350272</v>
      </c>
      <c r="FD84" s="27">
        <f>SUM(CW84:CZ84)</f>
        <v>7354.9775833058993</v>
      </c>
      <c r="FE84" s="308"/>
      <c r="FF84" s="300"/>
      <c r="FG84" s="300"/>
      <c r="FH84" s="300"/>
      <c r="FO84" s="7"/>
    </row>
    <row r="85" spans="1:171" ht="14.25" customHeight="1">
      <c r="A85" s="7"/>
      <c r="B85" s="540" t="s">
        <v>138</v>
      </c>
      <c r="C85" s="31"/>
      <c r="D85" s="750">
        <f t="shared" ref="D85:BO85" si="631">D71-D80</f>
        <v>159.30000000000001</v>
      </c>
      <c r="E85" s="759">
        <f t="shared" si="631"/>
        <v>183.50000000000003</v>
      </c>
      <c r="F85" s="759">
        <f t="shared" si="631"/>
        <v>191.20000000000005</v>
      </c>
      <c r="G85" s="758">
        <f t="shared" si="631"/>
        <v>281.10000000000002</v>
      </c>
      <c r="H85" s="750">
        <f t="shared" si="631"/>
        <v>332.19999999999982</v>
      </c>
      <c r="I85" s="759">
        <f t="shared" si="631"/>
        <v>216.09999999999997</v>
      </c>
      <c r="J85" s="759">
        <f t="shared" si="631"/>
        <v>60.199999999999982</v>
      </c>
      <c r="K85" s="758">
        <f t="shared" si="631"/>
        <v>22.999999999999943</v>
      </c>
      <c r="L85" s="750">
        <f t="shared" si="631"/>
        <v>23.700000000000045</v>
      </c>
      <c r="M85" s="759">
        <f t="shared" si="631"/>
        <v>-55.999999999999943</v>
      </c>
      <c r="N85" s="759">
        <f t="shared" si="631"/>
        <v>102.7</v>
      </c>
      <c r="O85" s="758">
        <f t="shared" si="631"/>
        <v>76.300000000000111</v>
      </c>
      <c r="P85" s="750">
        <f t="shared" si="631"/>
        <v>11.299999999999944</v>
      </c>
      <c r="Q85" s="759">
        <f t="shared" si="631"/>
        <v>-174.79999999999993</v>
      </c>
      <c r="R85" s="759">
        <f t="shared" si="631"/>
        <v>-103.89999999999999</v>
      </c>
      <c r="S85" s="758">
        <f t="shared" si="631"/>
        <v>-85.199999999999932</v>
      </c>
      <c r="T85" s="750">
        <f t="shared" si="631"/>
        <v>-34.100000000000009</v>
      </c>
      <c r="U85" s="759">
        <f t="shared" si="631"/>
        <v>42.299999999999933</v>
      </c>
      <c r="V85" s="759">
        <f t="shared" si="631"/>
        <v>-13.999999999999986</v>
      </c>
      <c r="W85" s="758">
        <f t="shared" si="631"/>
        <v>2.8000000000000131</v>
      </c>
      <c r="X85" s="750">
        <f t="shared" si="631"/>
        <v>389.00000000000011</v>
      </c>
      <c r="Y85" s="759">
        <f t="shared" si="631"/>
        <v>185.49999999999991</v>
      </c>
      <c r="Z85" s="759">
        <f t="shared" si="631"/>
        <v>304.89999999999992</v>
      </c>
      <c r="AA85" s="758">
        <f t="shared" si="631"/>
        <v>703.50000000000023</v>
      </c>
      <c r="AB85" s="750">
        <f t="shared" si="631"/>
        <v>362.39999999999986</v>
      </c>
      <c r="AC85" s="759">
        <f t="shared" si="631"/>
        <v>1.4000000000000583</v>
      </c>
      <c r="AD85" s="759">
        <f t="shared" si="631"/>
        <v>-271.59999999999997</v>
      </c>
      <c r="AE85" s="758">
        <f t="shared" si="631"/>
        <v>-532.09999999999923</v>
      </c>
      <c r="AF85" s="750">
        <f t="shared" si="631"/>
        <v>-260.90000000000003</v>
      </c>
      <c r="AG85" s="759">
        <f t="shared" si="631"/>
        <v>-43.599999999999994</v>
      </c>
      <c r="AH85" s="759">
        <f t="shared" si="631"/>
        <v>-20.899999999999977</v>
      </c>
      <c r="AI85" s="758">
        <f t="shared" si="631"/>
        <v>-560.5</v>
      </c>
      <c r="AJ85" s="750">
        <f t="shared" si="631"/>
        <v>-307.49999999999989</v>
      </c>
      <c r="AK85" s="759">
        <f t="shared" si="631"/>
        <v>-501</v>
      </c>
      <c r="AL85" s="759">
        <f t="shared" si="631"/>
        <v>-209.1</v>
      </c>
      <c r="AM85" s="758">
        <f t="shared" si="631"/>
        <v>-96.4</v>
      </c>
      <c r="AN85" s="750">
        <f t="shared" si="631"/>
        <v>-2.2000000000000224</v>
      </c>
      <c r="AO85" s="759">
        <f t="shared" si="631"/>
        <v>-42.699999999999946</v>
      </c>
      <c r="AP85" s="759">
        <f t="shared" si="631"/>
        <v>93.399999999999991</v>
      </c>
      <c r="AQ85" s="758">
        <f t="shared" si="631"/>
        <v>86.800000000000054</v>
      </c>
      <c r="AR85" s="750">
        <f t="shared" si="631"/>
        <v>167.8</v>
      </c>
      <c r="AS85" s="759">
        <f t="shared" si="631"/>
        <v>109.2000000000001</v>
      </c>
      <c r="AT85" s="759">
        <f t="shared" si="631"/>
        <v>-153.19999999999996</v>
      </c>
      <c r="AU85" s="758">
        <f t="shared" si="631"/>
        <v>40.499999999999929</v>
      </c>
      <c r="AV85" s="750">
        <f t="shared" si="631"/>
        <v>50.499999999999893</v>
      </c>
      <c r="AW85" s="759">
        <f t="shared" si="631"/>
        <v>-26.000000000000057</v>
      </c>
      <c r="AX85" s="759">
        <f t="shared" si="631"/>
        <v>72.799999999999983</v>
      </c>
      <c r="AY85" s="758">
        <f t="shared" si="631"/>
        <v>52.500000000000036</v>
      </c>
      <c r="AZ85" s="750">
        <f t="shared" si="631"/>
        <v>113</v>
      </c>
      <c r="BA85" s="759">
        <f t="shared" si="631"/>
        <v>-9</v>
      </c>
      <c r="BB85" s="759">
        <f t="shared" si="631"/>
        <v>-214</v>
      </c>
      <c r="BC85" s="758">
        <f t="shared" si="631"/>
        <v>-145</v>
      </c>
      <c r="BD85" s="750">
        <f t="shared" si="631"/>
        <v>-269</v>
      </c>
      <c r="BE85" s="759">
        <f t="shared" si="631"/>
        <v>-342</v>
      </c>
      <c r="BF85" s="759">
        <f t="shared" si="631"/>
        <v>-257</v>
      </c>
      <c r="BG85" s="758">
        <f t="shared" si="631"/>
        <v>-356</v>
      </c>
      <c r="BH85" s="750">
        <f t="shared" si="631"/>
        <v>-771</v>
      </c>
      <c r="BI85" s="759">
        <f t="shared" si="631"/>
        <v>-563</v>
      </c>
      <c r="BJ85" s="759">
        <f t="shared" si="631"/>
        <v>-167</v>
      </c>
      <c r="BK85" s="758">
        <f t="shared" si="631"/>
        <v>-70</v>
      </c>
      <c r="BL85" s="750">
        <f t="shared" si="631"/>
        <v>227</v>
      </c>
      <c r="BM85" s="759">
        <f t="shared" si="631"/>
        <v>345</v>
      </c>
      <c r="BN85" s="759">
        <f t="shared" si="631"/>
        <v>955</v>
      </c>
      <c r="BO85" s="758">
        <f t="shared" si="631"/>
        <v>385</v>
      </c>
      <c r="BP85" s="750">
        <f t="shared" ref="BP85:BW85" si="632">BP71-BP80</f>
        <v>7</v>
      </c>
      <c r="BQ85" s="759">
        <f t="shared" si="632"/>
        <v>47</v>
      </c>
      <c r="BR85" s="759">
        <f t="shared" si="632"/>
        <v>0</v>
      </c>
      <c r="BS85" s="758">
        <f t="shared" si="632"/>
        <v>-86</v>
      </c>
      <c r="BT85" s="750">
        <f t="shared" si="632"/>
        <v>-107</v>
      </c>
      <c r="BU85" s="759">
        <f t="shared" si="632"/>
        <v>-177</v>
      </c>
      <c r="BV85" s="759">
        <f t="shared" si="632"/>
        <v>-167</v>
      </c>
      <c r="BW85" s="758">
        <f t="shared" si="632"/>
        <v>-225</v>
      </c>
      <c r="BX85" s="750">
        <f t="shared" ref="BX85:CL85" si="633">BX71-BX80</f>
        <v>-192</v>
      </c>
      <c r="BY85" s="759">
        <f t="shared" si="633"/>
        <v>-174</v>
      </c>
      <c r="BZ85" s="759">
        <f t="shared" si="633"/>
        <v>107</v>
      </c>
      <c r="CA85" s="758">
        <f t="shared" si="633"/>
        <v>230</v>
      </c>
      <c r="CB85" s="750">
        <f t="shared" si="633"/>
        <v>818</v>
      </c>
      <c r="CC85" s="759">
        <f t="shared" si="633"/>
        <v>865</v>
      </c>
      <c r="CD85" s="759">
        <f t="shared" si="633"/>
        <v>778</v>
      </c>
      <c r="CE85" s="758">
        <f t="shared" si="633"/>
        <v>843</v>
      </c>
      <c r="CF85" s="750">
        <f t="shared" si="633"/>
        <v>1013</v>
      </c>
      <c r="CG85" s="759">
        <f t="shared" si="633"/>
        <v>734</v>
      </c>
      <c r="CH85" s="759">
        <f t="shared" si="633"/>
        <v>552</v>
      </c>
      <c r="CI85" s="758">
        <f>CI71-CI80</f>
        <v>352</v>
      </c>
      <c r="CJ85" s="750">
        <f t="shared" si="633"/>
        <v>190</v>
      </c>
      <c r="CK85" s="759">
        <f t="shared" si="633"/>
        <v>-52</v>
      </c>
      <c r="CL85" s="759">
        <f t="shared" si="633"/>
        <v>-39</v>
      </c>
      <c r="CM85" s="758">
        <f>CM71-CM80</f>
        <v>-57</v>
      </c>
      <c r="CN85" s="750">
        <f>CN71-CN80</f>
        <v>320</v>
      </c>
      <c r="CO85" s="759">
        <f t="shared" ref="CO85:CP85" si="634">CO71-CO80</f>
        <v>1024</v>
      </c>
      <c r="CP85" s="759">
        <f t="shared" si="634"/>
        <v>1894</v>
      </c>
      <c r="CQ85" s="758">
        <f>CQ71-CQ80</f>
        <v>2386</v>
      </c>
      <c r="CR85" s="750">
        <f>CR71-CR80</f>
        <v>2994</v>
      </c>
      <c r="CS85" s="759">
        <f t="shared" ref="CS85" si="635">CS71-CS80</f>
        <v>3496</v>
      </c>
      <c r="CT85" s="759">
        <f t="shared" ref="CT85:CU85" si="636">CT71-CT80</f>
        <v>3574.2096053387108</v>
      </c>
      <c r="CU85" s="758">
        <f t="shared" si="636"/>
        <v>3518.2660006003762</v>
      </c>
      <c r="CV85" s="750">
        <f t="shared" ref="CV85:CY85" si="637">CV71-CV80</f>
        <v>2818.9864124111864</v>
      </c>
      <c r="CW85" s="759">
        <f t="shared" si="637"/>
        <v>2372.9252198045269</v>
      </c>
      <c r="CX85" s="759">
        <f t="shared" si="637"/>
        <v>1940.0719806037869</v>
      </c>
      <c r="CY85" s="758">
        <f t="shared" si="637"/>
        <v>1712.1994273413607</v>
      </c>
      <c r="CZ85" s="750">
        <f t="shared" ref="CZ85:DC85" si="638">CZ71-CZ80</f>
        <v>1537.7809555562255</v>
      </c>
      <c r="DA85" s="759">
        <f t="shared" si="638"/>
        <v>1404.5726544938814</v>
      </c>
      <c r="DB85" s="759">
        <f t="shared" si="638"/>
        <v>1343.1874698997005</v>
      </c>
      <c r="DC85" s="758">
        <f t="shared" si="638"/>
        <v>1303.2791318465074</v>
      </c>
      <c r="DD85" s="18"/>
      <c r="DE85" s="759">
        <f t="shared" ref="DE85:DU85" si="639">DE71-DE80</f>
        <v>815.0999999999998</v>
      </c>
      <c r="DF85" s="759">
        <f t="shared" si="639"/>
        <v>631.5</v>
      </c>
      <c r="DG85" s="759">
        <f t="shared" si="639"/>
        <v>146.70000000000016</v>
      </c>
      <c r="DH85" s="759">
        <f t="shared" si="639"/>
        <v>-352.59999999999991</v>
      </c>
      <c r="DI85" s="759">
        <f t="shared" si="639"/>
        <v>-3.0000000000004547</v>
      </c>
      <c r="DJ85" s="759">
        <f t="shared" si="639"/>
        <v>1582.9000000000003</v>
      </c>
      <c r="DK85" s="759">
        <f t="shared" si="639"/>
        <v>-439.89999999999884</v>
      </c>
      <c r="DL85" s="759">
        <f t="shared" si="639"/>
        <v>-885.90000000000032</v>
      </c>
      <c r="DM85" s="759">
        <f t="shared" si="639"/>
        <v>-1113.9999999999998</v>
      </c>
      <c r="DN85" s="759">
        <f t="shared" si="639"/>
        <v>135.29999999999973</v>
      </c>
      <c r="DO85" s="759">
        <f t="shared" si="639"/>
        <v>164.30000000000018</v>
      </c>
      <c r="DP85" s="759">
        <f t="shared" si="639"/>
        <v>149.79999999999947</v>
      </c>
      <c r="DQ85" s="759">
        <f t="shared" si="639"/>
        <v>-255</v>
      </c>
      <c r="DR85" s="759">
        <f t="shared" si="639"/>
        <v>-1224</v>
      </c>
      <c r="DS85" s="759">
        <f t="shared" si="639"/>
        <v>-1571</v>
      </c>
      <c r="DT85" s="759">
        <f t="shared" si="639"/>
        <v>1912</v>
      </c>
      <c r="DU85" s="759">
        <f t="shared" si="639"/>
        <v>-32</v>
      </c>
      <c r="DV85" s="759">
        <f>DV71-DV80</f>
        <v>-676</v>
      </c>
      <c r="DW85" s="759">
        <f>DW71-DW80</f>
        <v>-1513</v>
      </c>
      <c r="DX85" s="759">
        <f t="shared" ref="DX85:EB85" si="640">DX71-DX80</f>
        <v>3304</v>
      </c>
      <c r="DY85" s="759">
        <f t="shared" si="640"/>
        <v>2651</v>
      </c>
      <c r="DZ85" s="759">
        <f t="shared" si="640"/>
        <v>42</v>
      </c>
      <c r="EA85" s="759">
        <f t="shared" ref="EA85" si="641">EA71-EA80</f>
        <v>5624</v>
      </c>
      <c r="EB85" s="759">
        <f t="shared" si="640"/>
        <v>13582.475605939084</v>
      </c>
      <c r="EC85" s="758">
        <f t="shared" ref="EC85:ED85" si="642">EC71-EC80</f>
        <v>8844.1830401608604</v>
      </c>
      <c r="ED85" s="758">
        <f t="shared" si="642"/>
        <v>5588.8202117963083</v>
      </c>
      <c r="EE85" s="1364"/>
      <c r="EF85" s="34"/>
      <c r="EG85" s="32"/>
      <c r="EH85" s="32"/>
      <c r="EI85" s="32"/>
      <c r="EJ85" s="32"/>
      <c r="EK85" s="32"/>
      <c r="EL85" s="32"/>
      <c r="EM85" s="32"/>
      <c r="EN85" s="32"/>
      <c r="EO85" s="32"/>
      <c r="EP85" s="353"/>
      <c r="EQ85" s="353"/>
      <c r="ER85" s="353"/>
      <c r="ES85" s="353"/>
      <c r="ET85" s="353"/>
      <c r="EU85" s="353"/>
      <c r="EV85" s="353"/>
      <c r="EW85" s="353"/>
      <c r="EX85" s="353"/>
      <c r="EY85" s="27">
        <f>SUM(CC85:CF85)</f>
        <v>3499</v>
      </c>
      <c r="EZ85" s="27">
        <f t="shared" ref="EZ85:EZ86" si="643">SUM(CG85:CJ85)</f>
        <v>1828</v>
      </c>
      <c r="FA85" s="27">
        <f t="shared" ref="FA85:FA86" si="644">SUM(CK85:CN85)</f>
        <v>172</v>
      </c>
      <c r="FB85" s="27">
        <f t="shared" ref="FB85:FB86" si="645">SUM(CO85:CR85)</f>
        <v>8298</v>
      </c>
      <c r="FC85" s="27">
        <f>SUM(CS85:CV85)</f>
        <v>13407.462018350272</v>
      </c>
      <c r="FD85" s="27">
        <f>SUM(CW85:CZ85)</f>
        <v>7562.9775833058993</v>
      </c>
      <c r="FE85" s="308"/>
      <c r="FF85" s="300"/>
      <c r="FG85" s="300"/>
      <c r="FH85" s="300"/>
      <c r="FO85" s="7"/>
    </row>
    <row r="86" spans="1:171" ht="14.25" customHeight="1">
      <c r="A86" s="7"/>
      <c r="B86" s="540" t="s">
        <v>139</v>
      </c>
      <c r="C86" s="31"/>
      <c r="D86" s="750">
        <f t="shared" ref="D86:BO86" si="646">D72-D81</f>
        <v>159.30000000000001</v>
      </c>
      <c r="E86" s="759">
        <f t="shared" si="646"/>
        <v>183.50000000000003</v>
      </c>
      <c r="F86" s="759">
        <f t="shared" si="646"/>
        <v>191.20000000000005</v>
      </c>
      <c r="G86" s="758">
        <f t="shared" si="646"/>
        <v>281.10000000000002</v>
      </c>
      <c r="H86" s="750">
        <f t="shared" si="646"/>
        <v>332.19999999999982</v>
      </c>
      <c r="I86" s="759">
        <f t="shared" si="646"/>
        <v>216.09999999999997</v>
      </c>
      <c r="J86" s="759">
        <f t="shared" si="646"/>
        <v>60.199999999999982</v>
      </c>
      <c r="K86" s="758">
        <f t="shared" si="646"/>
        <v>22.999999999999943</v>
      </c>
      <c r="L86" s="750">
        <f t="shared" si="646"/>
        <v>23.700000000000045</v>
      </c>
      <c r="M86" s="759">
        <f t="shared" si="646"/>
        <v>-55.999999999999943</v>
      </c>
      <c r="N86" s="759">
        <f t="shared" si="646"/>
        <v>102.7</v>
      </c>
      <c r="O86" s="758">
        <f t="shared" si="646"/>
        <v>76.300000000000111</v>
      </c>
      <c r="P86" s="750">
        <f t="shared" si="646"/>
        <v>11.299999999999944</v>
      </c>
      <c r="Q86" s="759">
        <f t="shared" si="646"/>
        <v>-174.79999999999993</v>
      </c>
      <c r="R86" s="759">
        <f t="shared" si="646"/>
        <v>-103.89999999999999</v>
      </c>
      <c r="S86" s="758">
        <f t="shared" si="646"/>
        <v>-85.199999999999932</v>
      </c>
      <c r="T86" s="750">
        <f t="shared" si="646"/>
        <v>-34.100000000000009</v>
      </c>
      <c r="U86" s="759">
        <f t="shared" si="646"/>
        <v>42.299999999999933</v>
      </c>
      <c r="V86" s="759">
        <f t="shared" si="646"/>
        <v>-13.999999999999986</v>
      </c>
      <c r="W86" s="758">
        <f t="shared" si="646"/>
        <v>2.8000000000000131</v>
      </c>
      <c r="X86" s="750">
        <f t="shared" si="646"/>
        <v>389.00000000000011</v>
      </c>
      <c r="Y86" s="759">
        <f t="shared" si="646"/>
        <v>185.49999999999991</v>
      </c>
      <c r="Z86" s="759">
        <f t="shared" si="646"/>
        <v>304.89999999999992</v>
      </c>
      <c r="AA86" s="758">
        <f t="shared" si="646"/>
        <v>703.50000000000023</v>
      </c>
      <c r="AB86" s="750">
        <f t="shared" si="646"/>
        <v>362.39999999999986</v>
      </c>
      <c r="AC86" s="759">
        <f t="shared" si="646"/>
        <v>1.4000000000000583</v>
      </c>
      <c r="AD86" s="759">
        <f t="shared" si="646"/>
        <v>-271.59999999999997</v>
      </c>
      <c r="AE86" s="758">
        <f t="shared" si="646"/>
        <v>-532.09999999999923</v>
      </c>
      <c r="AF86" s="750">
        <f t="shared" si="646"/>
        <v>-260.90000000000003</v>
      </c>
      <c r="AG86" s="759">
        <f t="shared" si="646"/>
        <v>-43.599999999999994</v>
      </c>
      <c r="AH86" s="759">
        <f t="shared" si="646"/>
        <v>-20.899999999999977</v>
      </c>
      <c r="AI86" s="758">
        <f t="shared" si="646"/>
        <v>-560.5</v>
      </c>
      <c r="AJ86" s="750">
        <f t="shared" si="646"/>
        <v>-307.49999999999989</v>
      </c>
      <c r="AK86" s="759">
        <f t="shared" si="646"/>
        <v>-501</v>
      </c>
      <c r="AL86" s="759">
        <f t="shared" si="646"/>
        <v>-209.1</v>
      </c>
      <c r="AM86" s="758">
        <f t="shared" si="646"/>
        <v>-96.4</v>
      </c>
      <c r="AN86" s="750">
        <f t="shared" si="646"/>
        <v>-2.2000000000000224</v>
      </c>
      <c r="AO86" s="759">
        <f t="shared" si="646"/>
        <v>-42.699999999999946</v>
      </c>
      <c r="AP86" s="759">
        <f t="shared" si="646"/>
        <v>93.399999999999991</v>
      </c>
      <c r="AQ86" s="758">
        <f t="shared" si="646"/>
        <v>86.800000000000054</v>
      </c>
      <c r="AR86" s="750">
        <f t="shared" si="646"/>
        <v>167.8</v>
      </c>
      <c r="AS86" s="759">
        <f t="shared" si="646"/>
        <v>109.2000000000001</v>
      </c>
      <c r="AT86" s="759">
        <f t="shared" si="646"/>
        <v>-153.19999999999996</v>
      </c>
      <c r="AU86" s="758">
        <f t="shared" si="646"/>
        <v>40.499999999999929</v>
      </c>
      <c r="AV86" s="750">
        <f t="shared" si="646"/>
        <v>50.499999999999893</v>
      </c>
      <c r="AW86" s="759">
        <f t="shared" si="646"/>
        <v>-26.000000000000057</v>
      </c>
      <c r="AX86" s="759">
        <f t="shared" si="646"/>
        <v>72.799999999999983</v>
      </c>
      <c r="AY86" s="758">
        <f t="shared" si="646"/>
        <v>52.500000000000036</v>
      </c>
      <c r="AZ86" s="750">
        <f t="shared" si="646"/>
        <v>113</v>
      </c>
      <c r="BA86" s="759">
        <f t="shared" si="646"/>
        <v>-9</v>
      </c>
      <c r="BB86" s="759">
        <f t="shared" si="646"/>
        <v>-214</v>
      </c>
      <c r="BC86" s="758">
        <f t="shared" si="646"/>
        <v>-145</v>
      </c>
      <c r="BD86" s="750">
        <f t="shared" si="646"/>
        <v>-269</v>
      </c>
      <c r="BE86" s="759">
        <f t="shared" si="646"/>
        <v>-342</v>
      </c>
      <c r="BF86" s="759">
        <f t="shared" si="646"/>
        <v>-257</v>
      </c>
      <c r="BG86" s="758">
        <f t="shared" si="646"/>
        <v>-356</v>
      </c>
      <c r="BH86" s="750">
        <f t="shared" si="646"/>
        <v>-771</v>
      </c>
      <c r="BI86" s="759">
        <f t="shared" si="646"/>
        <v>-563</v>
      </c>
      <c r="BJ86" s="759">
        <f t="shared" si="646"/>
        <v>-167</v>
      </c>
      <c r="BK86" s="758">
        <f t="shared" si="646"/>
        <v>-70</v>
      </c>
      <c r="BL86" s="750">
        <f t="shared" si="646"/>
        <v>227</v>
      </c>
      <c r="BM86" s="759">
        <f t="shared" si="646"/>
        <v>345</v>
      </c>
      <c r="BN86" s="759">
        <f t="shared" si="646"/>
        <v>955</v>
      </c>
      <c r="BO86" s="758">
        <f t="shared" si="646"/>
        <v>385</v>
      </c>
      <c r="BP86" s="750">
        <f t="shared" ref="BP86:BW86" si="647">BP72-BP81</f>
        <v>7</v>
      </c>
      <c r="BQ86" s="759">
        <f t="shared" si="647"/>
        <v>47</v>
      </c>
      <c r="BR86" s="759">
        <f t="shared" si="647"/>
        <v>0</v>
      </c>
      <c r="BS86" s="758">
        <f t="shared" si="647"/>
        <v>-86</v>
      </c>
      <c r="BT86" s="750">
        <f t="shared" si="647"/>
        <v>-107</v>
      </c>
      <c r="BU86" s="759">
        <f t="shared" si="647"/>
        <v>-177</v>
      </c>
      <c r="BV86" s="759">
        <f t="shared" si="647"/>
        <v>-167</v>
      </c>
      <c r="BW86" s="758">
        <f t="shared" si="647"/>
        <v>-225</v>
      </c>
      <c r="BX86" s="750">
        <f t="shared" ref="BX86:CL86" si="648">BX72-BX81</f>
        <v>-192</v>
      </c>
      <c r="BY86" s="759">
        <f t="shared" si="648"/>
        <v>-174</v>
      </c>
      <c r="BZ86" s="759">
        <f t="shared" si="648"/>
        <v>107</v>
      </c>
      <c r="CA86" s="758">
        <f t="shared" si="648"/>
        <v>230</v>
      </c>
      <c r="CB86" s="750">
        <f t="shared" si="648"/>
        <v>796</v>
      </c>
      <c r="CC86" s="759">
        <f t="shared" si="648"/>
        <v>838</v>
      </c>
      <c r="CD86" s="759">
        <f t="shared" si="648"/>
        <v>746</v>
      </c>
      <c r="CE86" s="758">
        <f t="shared" si="648"/>
        <v>809</v>
      </c>
      <c r="CF86" s="750">
        <f t="shared" si="648"/>
        <v>978</v>
      </c>
      <c r="CG86" s="759">
        <f t="shared" si="648"/>
        <v>685</v>
      </c>
      <c r="CH86" s="759">
        <f t="shared" si="648"/>
        <v>509</v>
      </c>
      <c r="CI86" s="758">
        <f t="shared" si="648"/>
        <v>311</v>
      </c>
      <c r="CJ86" s="750">
        <f t="shared" si="648"/>
        <v>144</v>
      </c>
      <c r="CK86" s="759">
        <f t="shared" si="648"/>
        <v>-107</v>
      </c>
      <c r="CL86" s="759">
        <f t="shared" si="648"/>
        <v>-86</v>
      </c>
      <c r="CM86" s="758">
        <f t="shared" ref="CM86:CP86" si="649">CM72-CM81</f>
        <v>-100</v>
      </c>
      <c r="CN86" s="750">
        <f t="shared" si="649"/>
        <v>274</v>
      </c>
      <c r="CO86" s="759">
        <f t="shared" si="649"/>
        <v>969</v>
      </c>
      <c r="CP86" s="759">
        <f t="shared" si="649"/>
        <v>1837</v>
      </c>
      <c r="CQ86" s="758">
        <f t="shared" ref="CQ86:CS86" si="650">CQ72-CQ81</f>
        <v>2329</v>
      </c>
      <c r="CR86" s="750">
        <f t="shared" si="650"/>
        <v>2943</v>
      </c>
      <c r="CS86" s="759">
        <f t="shared" si="650"/>
        <v>3444</v>
      </c>
      <c r="CT86" s="759">
        <f t="shared" ref="CT86:CU86" si="651">CT72-CT81</f>
        <v>3522.2096053387108</v>
      </c>
      <c r="CU86" s="758">
        <f t="shared" si="651"/>
        <v>3466.2660006003762</v>
      </c>
      <c r="CV86" s="750">
        <f t="shared" ref="CV86:CY86" si="652">CV72-CV81</f>
        <v>2766.9864124111864</v>
      </c>
      <c r="CW86" s="759">
        <f t="shared" si="652"/>
        <v>2320.9252198045269</v>
      </c>
      <c r="CX86" s="759">
        <f t="shared" si="652"/>
        <v>1888.0719806037869</v>
      </c>
      <c r="CY86" s="758">
        <f t="shared" si="652"/>
        <v>1660.1994273413607</v>
      </c>
      <c r="CZ86" s="750">
        <f t="shared" ref="CZ86:DC86" si="653">CZ72-CZ81</f>
        <v>1485.7809555562255</v>
      </c>
      <c r="DA86" s="759">
        <f t="shared" si="653"/>
        <v>1352.5726544938814</v>
      </c>
      <c r="DB86" s="759">
        <f t="shared" si="653"/>
        <v>1291.1874698997005</v>
      </c>
      <c r="DC86" s="758">
        <f t="shared" si="653"/>
        <v>1251.2791318465074</v>
      </c>
      <c r="DD86" s="18"/>
      <c r="DE86" s="759">
        <f t="shared" ref="DE86:DU86" si="654">DE72-DE81</f>
        <v>815.0999999999998</v>
      </c>
      <c r="DF86" s="759">
        <f t="shared" si="654"/>
        <v>631.5</v>
      </c>
      <c r="DG86" s="759">
        <f t="shared" si="654"/>
        <v>146.70000000000016</v>
      </c>
      <c r="DH86" s="759">
        <f t="shared" si="654"/>
        <v>-352.59999999999991</v>
      </c>
      <c r="DI86" s="759">
        <f t="shared" si="654"/>
        <v>-3.0000000000004547</v>
      </c>
      <c r="DJ86" s="759">
        <f t="shared" si="654"/>
        <v>1582.9000000000003</v>
      </c>
      <c r="DK86" s="759">
        <f t="shared" si="654"/>
        <v>-439.89999999999884</v>
      </c>
      <c r="DL86" s="759">
        <f t="shared" si="654"/>
        <v>-885.90000000000032</v>
      </c>
      <c r="DM86" s="759">
        <f t="shared" si="654"/>
        <v>-1113.9999999999998</v>
      </c>
      <c r="DN86" s="759">
        <f t="shared" si="654"/>
        <v>135.29999999999973</v>
      </c>
      <c r="DO86" s="759">
        <f t="shared" si="654"/>
        <v>164.30000000000018</v>
      </c>
      <c r="DP86" s="759">
        <f t="shared" si="654"/>
        <v>149.79999999999947</v>
      </c>
      <c r="DQ86" s="759">
        <f t="shared" si="654"/>
        <v>-255</v>
      </c>
      <c r="DR86" s="759">
        <f t="shared" si="654"/>
        <v>-1224</v>
      </c>
      <c r="DS86" s="759">
        <f t="shared" si="654"/>
        <v>-1571</v>
      </c>
      <c r="DT86" s="759">
        <f t="shared" si="654"/>
        <v>1912</v>
      </c>
      <c r="DU86" s="759">
        <f t="shared" si="654"/>
        <v>-32</v>
      </c>
      <c r="DV86" s="759">
        <f t="shared" ref="DV86:EB86" si="655">DV72-DV81</f>
        <v>-676</v>
      </c>
      <c r="DW86" s="759">
        <f t="shared" si="655"/>
        <v>-1513</v>
      </c>
      <c r="DX86" s="759">
        <f t="shared" si="655"/>
        <v>3189</v>
      </c>
      <c r="DY86" s="759">
        <f t="shared" si="655"/>
        <v>2483</v>
      </c>
      <c r="DZ86" s="759">
        <f t="shared" si="655"/>
        <v>-149</v>
      </c>
      <c r="EA86" s="759">
        <f t="shared" ref="EA86" si="656">EA72-EA81</f>
        <v>5409</v>
      </c>
      <c r="EB86" s="759">
        <f t="shared" si="655"/>
        <v>13375.475605939084</v>
      </c>
      <c r="EC86" s="758">
        <f t="shared" ref="EC86:ED86" si="657">EC72-EC81</f>
        <v>8636.1830401608604</v>
      </c>
      <c r="ED86" s="758">
        <f t="shared" si="657"/>
        <v>5380.8202117963083</v>
      </c>
      <c r="EE86" s="1364"/>
      <c r="EF86" s="34"/>
      <c r="EG86" s="32"/>
      <c r="EH86" s="32"/>
      <c r="EI86" s="32"/>
      <c r="EJ86" s="32"/>
      <c r="EK86" s="32"/>
      <c r="EL86" s="32"/>
      <c r="EM86" s="32"/>
      <c r="EN86" s="32"/>
      <c r="EO86" s="32"/>
      <c r="EP86" s="353"/>
      <c r="EQ86" s="353"/>
      <c r="ER86" s="353"/>
      <c r="ES86" s="353"/>
      <c r="ET86" s="353"/>
      <c r="EU86" s="353"/>
      <c r="EV86" s="353"/>
      <c r="EW86" s="353"/>
      <c r="EX86" s="353"/>
      <c r="EY86" s="27">
        <f>SUM(CC86:CF86)</f>
        <v>3371</v>
      </c>
      <c r="EZ86" s="27">
        <f t="shared" si="643"/>
        <v>1649</v>
      </c>
      <c r="FA86" s="27">
        <f t="shared" si="644"/>
        <v>-19</v>
      </c>
      <c r="FB86" s="27">
        <f t="shared" si="645"/>
        <v>8078</v>
      </c>
      <c r="FC86" s="27">
        <f>SUM(CS86:CV86)</f>
        <v>13199.462018350272</v>
      </c>
      <c r="FD86" s="27">
        <f>SUM(CW86:CZ86)</f>
        <v>7354.9775833058993</v>
      </c>
      <c r="FE86" s="308"/>
      <c r="FF86" s="300"/>
      <c r="FG86" s="300"/>
      <c r="FH86" s="300"/>
      <c r="FO86" s="7"/>
    </row>
    <row r="87" spans="1:171" ht="9.75" customHeight="1">
      <c r="A87" s="7"/>
      <c r="B87" s="543"/>
      <c r="C87" s="31"/>
      <c r="D87" s="34"/>
      <c r="E87" s="1209"/>
      <c r="F87" s="1209"/>
      <c r="G87" s="33"/>
      <c r="H87" s="34"/>
      <c r="I87" s="1209"/>
      <c r="J87" s="1209"/>
      <c r="K87" s="33"/>
      <c r="L87" s="34"/>
      <c r="M87" s="1209"/>
      <c r="N87" s="1209"/>
      <c r="O87" s="33"/>
      <c r="P87" s="34"/>
      <c r="Q87" s="1209"/>
      <c r="R87" s="1209"/>
      <c r="S87" s="33"/>
      <c r="T87" s="34"/>
      <c r="U87" s="1209"/>
      <c r="V87" s="1209"/>
      <c r="W87" s="33"/>
      <c r="X87" s="34"/>
      <c r="Y87" s="1209"/>
      <c r="Z87" s="1209"/>
      <c r="AA87" s="33"/>
      <c r="AB87" s="34"/>
      <c r="AC87" s="1209"/>
      <c r="AD87" s="1209"/>
      <c r="AE87" s="33"/>
      <c r="AF87" s="34"/>
      <c r="AG87" s="1209"/>
      <c r="AH87" s="1209"/>
      <c r="AI87" s="33"/>
      <c r="AJ87" s="34"/>
      <c r="AK87" s="1209"/>
      <c r="AL87" s="1209"/>
      <c r="AM87" s="33"/>
      <c r="AN87" s="34"/>
      <c r="AO87" s="1209"/>
      <c r="AP87" s="1209"/>
      <c r="AQ87" s="33"/>
      <c r="AR87" s="34"/>
      <c r="AS87" s="1209"/>
      <c r="AT87" s="1209"/>
      <c r="AU87" s="33"/>
      <c r="AV87" s="34"/>
      <c r="AW87" s="1209"/>
      <c r="AX87" s="1209"/>
      <c r="AY87" s="33"/>
      <c r="AZ87" s="34"/>
      <c r="BA87" s="1209"/>
      <c r="BB87" s="1209"/>
      <c r="BC87" s="33"/>
      <c r="BD87" s="34"/>
      <c r="BE87" s="1209"/>
      <c r="BF87" s="1209"/>
      <c r="BG87" s="33"/>
      <c r="BH87" s="34"/>
      <c r="BI87" s="1209"/>
      <c r="BJ87" s="1209"/>
      <c r="BK87" s="33"/>
      <c r="BL87" s="34"/>
      <c r="BM87" s="1209"/>
      <c r="BN87" s="1209"/>
      <c r="BO87" s="33"/>
      <c r="BP87" s="34"/>
      <c r="BQ87" s="1209"/>
      <c r="BR87" s="1209"/>
      <c r="BS87" s="33"/>
      <c r="BT87" s="34"/>
      <c r="BU87" s="1209"/>
      <c r="BV87" s="1209"/>
      <c r="BW87" s="33"/>
      <c r="BX87" s="34"/>
      <c r="BY87" s="32"/>
      <c r="BZ87" s="32"/>
      <c r="CA87" s="33"/>
      <c r="CB87" s="34"/>
      <c r="CC87" s="32"/>
      <c r="CD87" s="32"/>
      <c r="CE87" s="33"/>
      <c r="CF87" s="888"/>
      <c r="CG87" s="32"/>
      <c r="CH87" s="32"/>
      <c r="CI87" s="33"/>
      <c r="CJ87" s="888"/>
      <c r="CK87" s="32"/>
      <c r="CL87" s="32"/>
      <c r="CM87" s="33"/>
      <c r="CN87" s="888"/>
      <c r="CO87" s="1209"/>
      <c r="CP87" s="1209"/>
      <c r="CQ87" s="33"/>
      <c r="CR87" s="888"/>
      <c r="CS87" s="1209"/>
      <c r="CT87" s="32"/>
      <c r="CU87" s="33"/>
      <c r="CV87" s="888"/>
      <c r="CW87" s="1209"/>
      <c r="CX87" s="1209"/>
      <c r="CY87" s="33"/>
      <c r="CZ87" s="888"/>
      <c r="DA87" s="1209"/>
      <c r="DB87" s="1209"/>
      <c r="DC87" s="33"/>
      <c r="DD87" s="18"/>
      <c r="DE87" s="353"/>
      <c r="DF87" s="353"/>
      <c r="DG87" s="353"/>
      <c r="DH87" s="353"/>
      <c r="DI87" s="353"/>
      <c r="DJ87" s="353"/>
      <c r="DK87" s="353"/>
      <c r="DL87" s="353"/>
      <c r="DM87" s="353"/>
      <c r="DN87" s="353"/>
      <c r="DO87" s="353"/>
      <c r="DP87" s="32"/>
      <c r="DQ87" s="32"/>
      <c r="DR87" s="32"/>
      <c r="DS87" s="32"/>
      <c r="DT87" s="1209"/>
      <c r="DU87" s="1209"/>
      <c r="DV87" s="1209"/>
      <c r="DW87" s="1209"/>
      <c r="DX87" s="1209"/>
      <c r="DY87" s="1209"/>
      <c r="DZ87" s="1209"/>
      <c r="EA87" s="1209"/>
      <c r="EB87" s="1209"/>
      <c r="EC87" s="33"/>
      <c r="ED87" s="33"/>
      <c r="EE87" s="1364"/>
      <c r="EF87" s="34"/>
      <c r="EG87" s="32"/>
      <c r="EH87" s="32"/>
      <c r="EI87" s="32"/>
      <c r="EJ87" s="32"/>
      <c r="EK87" s="32"/>
      <c r="EL87" s="32"/>
      <c r="EM87" s="32"/>
      <c r="EN87" s="32"/>
      <c r="EO87" s="32"/>
      <c r="EP87" s="353"/>
      <c r="EQ87" s="353"/>
      <c r="ER87" s="353"/>
      <c r="ES87" s="353"/>
      <c r="ET87" s="353"/>
      <c r="EU87" s="353"/>
      <c r="EV87" s="353"/>
      <c r="EW87" s="353"/>
      <c r="EX87" s="353"/>
      <c r="EY87" s="353"/>
      <c r="EZ87" s="353"/>
      <c r="FA87" s="353"/>
      <c r="FB87" s="353"/>
      <c r="FC87" s="353"/>
      <c r="FD87" s="353"/>
      <c r="FE87" s="308"/>
      <c r="FF87" s="300"/>
      <c r="FG87" s="300"/>
      <c r="FH87" s="300"/>
      <c r="FO87" s="7"/>
    </row>
    <row r="88" spans="1:171" s="652" customFormat="1" ht="14.25" customHeight="1">
      <c r="A88" s="10"/>
      <c r="B88" s="673" t="s">
        <v>197</v>
      </c>
      <c r="C88" s="25"/>
      <c r="D88" s="369">
        <v>0</v>
      </c>
      <c r="E88" s="26">
        <v>0</v>
      </c>
      <c r="F88" s="26">
        <v>0</v>
      </c>
      <c r="G88" s="368">
        <v>0</v>
      </c>
      <c r="H88" s="369">
        <v>0</v>
      </c>
      <c r="I88" s="26">
        <v>0</v>
      </c>
      <c r="J88" s="26">
        <v>0</v>
      </c>
      <c r="K88" s="368">
        <v>0</v>
      </c>
      <c r="L88" s="369">
        <v>0</v>
      </c>
      <c r="M88" s="26">
        <v>0</v>
      </c>
      <c r="N88" s="26">
        <v>0</v>
      </c>
      <c r="O88" s="368">
        <v>0</v>
      </c>
      <c r="P88" s="369">
        <v>0</v>
      </c>
      <c r="Q88" s="26">
        <v>0</v>
      </c>
      <c r="R88" s="26">
        <v>0</v>
      </c>
      <c r="S88" s="368">
        <v>0</v>
      </c>
      <c r="T88" s="369">
        <v>0</v>
      </c>
      <c r="U88" s="26">
        <v>0</v>
      </c>
      <c r="V88" s="26">
        <v>0</v>
      </c>
      <c r="W88" s="368">
        <v>0</v>
      </c>
      <c r="X88" s="369">
        <v>0</v>
      </c>
      <c r="Y88" s="26">
        <v>0</v>
      </c>
      <c r="Z88" s="26">
        <v>0</v>
      </c>
      <c r="AA88" s="368">
        <v>0</v>
      </c>
      <c r="AB88" s="369">
        <v>0</v>
      </c>
      <c r="AC88" s="26">
        <v>0</v>
      </c>
      <c r="AD88" s="26">
        <v>0</v>
      </c>
      <c r="AE88" s="368">
        <v>0</v>
      </c>
      <c r="AF88" s="369">
        <v>0</v>
      </c>
      <c r="AG88" s="26">
        <v>0</v>
      </c>
      <c r="AH88" s="26">
        <v>0</v>
      </c>
      <c r="AI88" s="368">
        <v>0</v>
      </c>
      <c r="AJ88" s="369">
        <v>0</v>
      </c>
      <c r="AK88" s="26">
        <v>0</v>
      </c>
      <c r="AL88" s="26">
        <v>0</v>
      </c>
      <c r="AM88" s="368">
        <v>0</v>
      </c>
      <c r="AN88" s="369">
        <v>0</v>
      </c>
      <c r="AO88" s="26">
        <v>0</v>
      </c>
      <c r="AP88" s="26">
        <v>0</v>
      </c>
      <c r="AQ88" s="368">
        <v>0</v>
      </c>
      <c r="AR88" s="369">
        <v>0</v>
      </c>
      <c r="AS88" s="26">
        <v>0</v>
      </c>
      <c r="AT88" s="26">
        <v>0</v>
      </c>
      <c r="AU88" s="368">
        <v>0</v>
      </c>
      <c r="AV88" s="369">
        <v>0</v>
      </c>
      <c r="AW88" s="26">
        <v>0</v>
      </c>
      <c r="AX88" s="26">
        <v>0</v>
      </c>
      <c r="AY88" s="368">
        <v>0</v>
      </c>
      <c r="AZ88" s="369">
        <v>0</v>
      </c>
      <c r="BA88" s="26">
        <v>0</v>
      </c>
      <c r="BB88" s="26">
        <v>0</v>
      </c>
      <c r="BC88" s="368">
        <v>0</v>
      </c>
      <c r="BD88" s="369">
        <v>0</v>
      </c>
      <c r="BE88" s="26">
        <v>0</v>
      </c>
      <c r="BF88" s="26">
        <v>0</v>
      </c>
      <c r="BG88" s="368">
        <v>0</v>
      </c>
      <c r="BH88" s="369">
        <v>0</v>
      </c>
      <c r="BI88" s="26">
        <v>0</v>
      </c>
      <c r="BJ88" s="26">
        <v>0</v>
      </c>
      <c r="BK88" s="368">
        <v>0</v>
      </c>
      <c r="BL88" s="369">
        <v>-17</v>
      </c>
      <c r="BM88" s="26">
        <v>13</v>
      </c>
      <c r="BN88" s="26">
        <v>-19</v>
      </c>
      <c r="BO88" s="368">
        <f>-39-BN88-BM88-BL88</f>
        <v>-16</v>
      </c>
      <c r="BP88" s="369">
        <v>-26</v>
      </c>
      <c r="BQ88" s="26">
        <v>-48</v>
      </c>
      <c r="BR88" s="26">
        <v>-44</v>
      </c>
      <c r="BS88" s="368">
        <f>-158-BR88-BQ88-BP88</f>
        <v>-40</v>
      </c>
      <c r="BT88" s="369">
        <v>-74</v>
      </c>
      <c r="BU88" s="26">
        <v>-73</v>
      </c>
      <c r="BV88" s="26">
        <v>-115</v>
      </c>
      <c r="BW88" s="368">
        <v>-32</v>
      </c>
      <c r="BX88" s="369">
        <v>-52</v>
      </c>
      <c r="BY88" s="26">
        <v>-58</v>
      </c>
      <c r="BZ88" s="26">
        <v>-10</v>
      </c>
      <c r="CA88" s="368">
        <v>37</v>
      </c>
      <c r="CB88" s="369">
        <v>86</v>
      </c>
      <c r="CC88" s="26">
        <v>134</v>
      </c>
      <c r="CD88" s="26">
        <v>135</v>
      </c>
      <c r="CE88" s="368">
        <v>119</v>
      </c>
      <c r="CF88" s="369">
        <v>124</v>
      </c>
      <c r="CG88" s="26">
        <v>208</v>
      </c>
      <c r="CH88" s="26">
        <v>68</v>
      </c>
      <c r="CI88" s="368">
        <v>47</v>
      </c>
      <c r="CJ88" s="369">
        <v>59</v>
      </c>
      <c r="CK88" s="26">
        <v>5</v>
      </c>
      <c r="CL88" s="26">
        <v>-40</v>
      </c>
      <c r="CM88" s="368">
        <v>1</v>
      </c>
      <c r="CN88" s="369">
        <v>-2</v>
      </c>
      <c r="CO88" s="26">
        <v>7</v>
      </c>
      <c r="CP88" s="26">
        <v>2</v>
      </c>
      <c r="CQ88" s="368">
        <v>1</v>
      </c>
      <c r="CR88" s="369">
        <v>0</v>
      </c>
      <c r="CS88" s="26">
        <v>1</v>
      </c>
      <c r="CT88" s="26">
        <v>0</v>
      </c>
      <c r="CU88" s="368">
        <v>0</v>
      </c>
      <c r="CV88" s="369">
        <v>0</v>
      </c>
      <c r="CW88" s="26">
        <v>0</v>
      </c>
      <c r="CX88" s="26">
        <v>0</v>
      </c>
      <c r="CY88" s="368">
        <v>0</v>
      </c>
      <c r="CZ88" s="369">
        <v>0</v>
      </c>
      <c r="DA88" s="26">
        <v>0</v>
      </c>
      <c r="DB88" s="26">
        <v>0</v>
      </c>
      <c r="DC88" s="368">
        <v>0</v>
      </c>
      <c r="DD88" s="153"/>
      <c r="DE88" s="27">
        <f>SUM(D88:G88)</f>
        <v>0</v>
      </c>
      <c r="DF88" s="27">
        <f>SUM(H88:K88)</f>
        <v>0</v>
      </c>
      <c r="DG88" s="27">
        <f>SUM(L88:O88)</f>
        <v>0</v>
      </c>
      <c r="DH88" s="27">
        <f>SUM(P88:S88)</f>
        <v>0</v>
      </c>
      <c r="DI88" s="27">
        <f>SUM(T88:W88)</f>
        <v>0</v>
      </c>
      <c r="DJ88" s="27">
        <f>SUM(X88:AA88)</f>
        <v>0</v>
      </c>
      <c r="DK88" s="27">
        <f>SUM(AB88:AE88)</f>
        <v>0</v>
      </c>
      <c r="DL88" s="27">
        <f>SUM(AF88:AI88)</f>
        <v>0</v>
      </c>
      <c r="DM88" s="27">
        <f>SUM(AJ88:AM88)</f>
        <v>0</v>
      </c>
      <c r="DN88" s="27">
        <f>SUM(AN88:AQ88)</f>
        <v>0</v>
      </c>
      <c r="DO88" s="27">
        <f>SUM(AR88:AU88)</f>
        <v>0</v>
      </c>
      <c r="DP88" s="27">
        <f>SUM(AV88:AY88)</f>
        <v>0</v>
      </c>
      <c r="DQ88" s="27">
        <f>SUM(AZ88:BC88)</f>
        <v>0</v>
      </c>
      <c r="DR88" s="27">
        <f>SUM(BD88:BG88)</f>
        <v>0</v>
      </c>
      <c r="DS88" s="27">
        <f>SUM(BH88:BK88)</f>
        <v>0</v>
      </c>
      <c r="DT88" s="27">
        <f>SUM(BL88:BO88)</f>
        <v>-39</v>
      </c>
      <c r="DU88" s="27">
        <f>SUM(BP88:BS88)</f>
        <v>-158</v>
      </c>
      <c r="DV88" s="27">
        <f>SUM(BT88:BW88)</f>
        <v>-294</v>
      </c>
      <c r="DW88" s="27">
        <f>SUM(BX88:CA88)</f>
        <v>-83</v>
      </c>
      <c r="DX88" s="27">
        <f>SUM(CB88:CE88)</f>
        <v>474</v>
      </c>
      <c r="DY88" s="27">
        <f>SUM(CF88:CI88)</f>
        <v>447</v>
      </c>
      <c r="DZ88" s="27">
        <f>SUM(CJ88:CM88)</f>
        <v>25</v>
      </c>
      <c r="EA88" s="27">
        <f t="shared" ref="EA88:EA91" si="658">SUM(CN88:CQ88)</f>
        <v>8</v>
      </c>
      <c r="EB88" s="27">
        <f t="shared" ref="EB88:EB91" si="659">SUM(CR88:CU88)</f>
        <v>1</v>
      </c>
      <c r="EC88" s="28">
        <f>SUM(CV88:CY88)</f>
        <v>0</v>
      </c>
      <c r="ED88" s="28">
        <f>SUM(CZ88:DC88)</f>
        <v>0</v>
      </c>
      <c r="EE88" s="1364"/>
      <c r="EF88" s="29">
        <f>SUM(E88:H88)</f>
        <v>0</v>
      </c>
      <c r="EG88" s="27">
        <f>SUM(I88:L88)</f>
        <v>0</v>
      </c>
      <c r="EH88" s="27">
        <f>SUM(M88:P88)</f>
        <v>0</v>
      </c>
      <c r="EI88" s="27">
        <f>SUM(Q88:T88)</f>
        <v>0</v>
      </c>
      <c r="EJ88" s="27">
        <f>SUM(U88:X88)</f>
        <v>0</v>
      </c>
      <c r="EK88" s="27">
        <f>SUM(Y88:AB88)</f>
        <v>0</v>
      </c>
      <c r="EL88" s="27">
        <f>SUM(AC88:AF88)</f>
        <v>0</v>
      </c>
      <c r="EM88" s="27">
        <f>SUM(AG88:AJ88)</f>
        <v>0</v>
      </c>
      <c r="EN88" s="27">
        <f>SUM(AK88:AN88)</f>
        <v>0</v>
      </c>
      <c r="EO88" s="27">
        <f>SUM(AO88:AR88)</f>
        <v>0</v>
      </c>
      <c r="EP88" s="27">
        <f>SUM(AS88:AV88)</f>
        <v>0</v>
      </c>
      <c r="EQ88" s="27">
        <f>SUM(AW88:AZ88)</f>
        <v>0</v>
      </c>
      <c r="ER88" s="27">
        <f>SUM(BA88:BD88)</f>
        <v>0</v>
      </c>
      <c r="ES88" s="27">
        <f>SUM(BE88:BH88)</f>
        <v>0</v>
      </c>
      <c r="ET88" s="27">
        <f>SUM(BI88:BL88)</f>
        <v>-17</v>
      </c>
      <c r="EU88" s="27">
        <f>SUM(BM88:BP88)</f>
        <v>-48</v>
      </c>
      <c r="EV88" s="27">
        <f>SUM(BQ88:BT88)</f>
        <v>-206</v>
      </c>
      <c r="EW88" s="27">
        <f>SUM(BU88:BX88)</f>
        <v>-272</v>
      </c>
      <c r="EX88" s="27">
        <f>SUM(BY88:CB88)</f>
        <v>55</v>
      </c>
      <c r="EY88" s="27">
        <f>SUM(CC88:CF88)</f>
        <v>512</v>
      </c>
      <c r="EZ88" s="27">
        <f t="shared" ref="EZ88" si="660">SUM(CG88:CJ88)</f>
        <v>382</v>
      </c>
      <c r="FA88" s="27">
        <f t="shared" ref="FA88:FA89" si="661">SUM(CK88:CN88)</f>
        <v>-36</v>
      </c>
      <c r="FB88" s="27">
        <f t="shared" ref="FB88:FB89" si="662">SUM(CO88:CR88)</f>
        <v>10</v>
      </c>
      <c r="FC88" s="27">
        <f>SUM(CS88:CV88)</f>
        <v>1</v>
      </c>
      <c r="FD88" s="27">
        <f>SUM(CW88:CZ88)</f>
        <v>0</v>
      </c>
      <c r="FE88" s="651"/>
      <c r="FF88" s="736"/>
      <c r="FG88" s="736"/>
      <c r="FH88" s="736"/>
      <c r="FI88"/>
      <c r="FJ88"/>
      <c r="FK88"/>
      <c r="FL88"/>
      <c r="FM88"/>
      <c r="FN88"/>
      <c r="FO88" s="10"/>
    </row>
    <row r="89" spans="1:171" s="652" customFormat="1" ht="14.25" customHeight="1">
      <c r="A89" s="10"/>
      <c r="B89" s="673" t="s">
        <v>585</v>
      </c>
      <c r="C89" s="25"/>
      <c r="D89" s="369"/>
      <c r="E89" s="26"/>
      <c r="F89" s="26"/>
      <c r="G89" s="368"/>
      <c r="H89" s="369"/>
      <c r="I89" s="26"/>
      <c r="J89" s="26"/>
      <c r="K89" s="368"/>
      <c r="L89" s="369"/>
      <c r="M89" s="26"/>
      <c r="N89" s="26"/>
      <c r="O89" s="368"/>
      <c r="P89" s="369"/>
      <c r="Q89" s="26"/>
      <c r="R89" s="26"/>
      <c r="S89" s="368"/>
      <c r="T89" s="369"/>
      <c r="U89" s="26"/>
      <c r="V89" s="26"/>
      <c r="W89" s="368"/>
      <c r="X89" s="369"/>
      <c r="Y89" s="26"/>
      <c r="Z89" s="26"/>
      <c r="AA89" s="368"/>
      <c r="AB89" s="369"/>
      <c r="AC89" s="26"/>
      <c r="AD89" s="26"/>
      <c r="AE89" s="368"/>
      <c r="AF89" s="369"/>
      <c r="AG89" s="26"/>
      <c r="AH89" s="26"/>
      <c r="AI89" s="368"/>
      <c r="AJ89" s="369"/>
      <c r="AK89" s="26"/>
      <c r="AL89" s="26"/>
      <c r="AM89" s="368"/>
      <c r="AN89" s="369"/>
      <c r="AO89" s="26"/>
      <c r="AP89" s="26"/>
      <c r="AQ89" s="368"/>
      <c r="AR89" s="369"/>
      <c r="AS89" s="26"/>
      <c r="AT89" s="26"/>
      <c r="AU89" s="368"/>
      <c r="AV89" s="369"/>
      <c r="AW89" s="26"/>
      <c r="AX89" s="26"/>
      <c r="AY89" s="368"/>
      <c r="AZ89" s="369"/>
      <c r="BA89" s="26"/>
      <c r="BB89" s="26"/>
      <c r="BC89" s="368"/>
      <c r="BD89" s="369"/>
      <c r="BE89" s="26"/>
      <c r="BF89" s="26"/>
      <c r="BG89" s="368"/>
      <c r="BH89" s="369"/>
      <c r="BI89" s="26"/>
      <c r="BJ89" s="26"/>
      <c r="BK89" s="368"/>
      <c r="BL89" s="369"/>
      <c r="BM89" s="26"/>
      <c r="BN89" s="26"/>
      <c r="BO89" s="368"/>
      <c r="BP89" s="369"/>
      <c r="BQ89" s="26"/>
      <c r="BR89" s="26"/>
      <c r="BS89" s="368"/>
      <c r="BT89" s="369"/>
      <c r="BU89" s="26"/>
      <c r="BV89" s="26"/>
      <c r="BW89" s="368"/>
      <c r="BX89" s="369"/>
      <c r="BY89" s="26"/>
      <c r="BZ89" s="26"/>
      <c r="CA89" s="368"/>
      <c r="CB89" s="369"/>
      <c r="CC89" s="26"/>
      <c r="CD89" s="26"/>
      <c r="CE89" s="368"/>
      <c r="CF89" s="369"/>
      <c r="CG89" s="26"/>
      <c r="CH89" s="26"/>
      <c r="CI89" s="368"/>
      <c r="CJ89" s="369"/>
      <c r="CK89" s="26"/>
      <c r="CL89" s="26"/>
      <c r="CM89" s="368"/>
      <c r="CN89" s="369">
        <v>17</v>
      </c>
      <c r="CO89" s="26"/>
      <c r="CP89" s="26"/>
      <c r="CQ89" s="368"/>
      <c r="CR89" s="369">
        <v>0</v>
      </c>
      <c r="CS89" s="26"/>
      <c r="CT89" s="26"/>
      <c r="CU89" s="368"/>
      <c r="CV89" s="369"/>
      <c r="CW89" s="26"/>
      <c r="CX89" s="26"/>
      <c r="CY89" s="368"/>
      <c r="CZ89" s="369"/>
      <c r="DA89" s="26"/>
      <c r="DB89" s="26"/>
      <c r="DC89" s="368"/>
      <c r="DD89" s="153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>
        <f t="shared" ref="EA89" si="663">SUM(CN89:CQ89)</f>
        <v>17</v>
      </c>
      <c r="EB89" s="27">
        <f t="shared" ref="EB89" si="664">SUM(CR89:CU89)</f>
        <v>0</v>
      </c>
      <c r="EC89" s="28">
        <f>SUM(CV89:CY89)</f>
        <v>0</v>
      </c>
      <c r="ED89" s="28">
        <f>SUM(CZ89:DC89)</f>
        <v>0</v>
      </c>
      <c r="EE89" s="1364"/>
      <c r="EF89" s="29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>
        <f t="shared" si="661"/>
        <v>17</v>
      </c>
      <c r="FB89" s="27">
        <f t="shared" si="662"/>
        <v>0</v>
      </c>
      <c r="FC89" s="27">
        <f>SUM(CS89:CV89)</f>
        <v>0</v>
      </c>
      <c r="FD89" s="27">
        <f>SUM(CW89:CZ89)</f>
        <v>0</v>
      </c>
      <c r="FE89" s="651"/>
      <c r="FF89" s="736"/>
      <c r="FG89" s="736"/>
      <c r="FH89" s="736"/>
      <c r="FI89"/>
      <c r="FJ89"/>
      <c r="FK89"/>
      <c r="FL89"/>
      <c r="FM89"/>
      <c r="FN89"/>
      <c r="FO89" s="10"/>
    </row>
    <row r="90" spans="1:171" s="848" customFormat="1" ht="14.25" customHeight="1">
      <c r="A90" s="10"/>
      <c r="B90" s="673" t="s">
        <v>184</v>
      </c>
      <c r="C90" s="23"/>
      <c r="D90" s="750">
        <f t="shared" ref="D90:AI90" si="665">D70-D74+D88</f>
        <v>159.30000000000001</v>
      </c>
      <c r="E90" s="759">
        <f t="shared" si="665"/>
        <v>183.50000000000003</v>
      </c>
      <c r="F90" s="759">
        <f t="shared" si="665"/>
        <v>220.20000000000005</v>
      </c>
      <c r="G90" s="758">
        <f t="shared" si="665"/>
        <v>281.10000000000002</v>
      </c>
      <c r="H90" s="750">
        <f t="shared" si="665"/>
        <v>328.49999999999989</v>
      </c>
      <c r="I90" s="759">
        <f t="shared" si="665"/>
        <v>188.19999999999993</v>
      </c>
      <c r="J90" s="759">
        <f t="shared" si="665"/>
        <v>58.199999999999982</v>
      </c>
      <c r="K90" s="758">
        <f t="shared" si="665"/>
        <v>18.599999999999941</v>
      </c>
      <c r="L90" s="750">
        <f t="shared" si="665"/>
        <v>20.600000000000044</v>
      </c>
      <c r="M90" s="759">
        <f t="shared" si="665"/>
        <v>142.70000000000005</v>
      </c>
      <c r="N90" s="759">
        <f t="shared" si="665"/>
        <v>96.8</v>
      </c>
      <c r="O90" s="758">
        <f t="shared" si="665"/>
        <v>72.100000000000094</v>
      </c>
      <c r="P90" s="750">
        <f t="shared" si="665"/>
        <v>6.4999999999999485</v>
      </c>
      <c r="Q90" s="759">
        <f t="shared" si="665"/>
        <v>-50.899999999999935</v>
      </c>
      <c r="R90" s="759">
        <f t="shared" si="665"/>
        <v>-109.39999999999999</v>
      </c>
      <c r="S90" s="758">
        <f t="shared" si="665"/>
        <v>-93.299999999999926</v>
      </c>
      <c r="T90" s="750">
        <f t="shared" si="665"/>
        <v>-46.200000000000024</v>
      </c>
      <c r="U90" s="759">
        <f t="shared" si="665"/>
        <v>22.399999999999928</v>
      </c>
      <c r="V90" s="759">
        <f t="shared" si="665"/>
        <v>-27.699999999999982</v>
      </c>
      <c r="W90" s="758">
        <f t="shared" si="665"/>
        <v>-17.399999999999977</v>
      </c>
      <c r="X90" s="750">
        <f t="shared" si="665"/>
        <v>341.30000000000007</v>
      </c>
      <c r="Y90" s="759">
        <f t="shared" si="665"/>
        <v>161.2999999999999</v>
      </c>
      <c r="Z90" s="759">
        <f t="shared" si="665"/>
        <v>274.89999999999992</v>
      </c>
      <c r="AA90" s="758">
        <f t="shared" si="665"/>
        <v>726.70000000000027</v>
      </c>
      <c r="AB90" s="750">
        <f t="shared" si="665"/>
        <v>352.19999999999982</v>
      </c>
      <c r="AC90" s="759">
        <f t="shared" si="665"/>
        <v>-88.29999999999994</v>
      </c>
      <c r="AD90" s="759">
        <f t="shared" si="665"/>
        <v>-313.39999999999992</v>
      </c>
      <c r="AE90" s="758">
        <f t="shared" si="665"/>
        <v>-575.49999999999932</v>
      </c>
      <c r="AF90" s="750">
        <f t="shared" si="665"/>
        <v>-265.90000000000003</v>
      </c>
      <c r="AG90" s="759">
        <f t="shared" si="665"/>
        <v>-30.400000000000002</v>
      </c>
      <c r="AH90" s="759">
        <f t="shared" si="665"/>
        <v>-24.79999999999999</v>
      </c>
      <c r="AI90" s="758">
        <f t="shared" si="665"/>
        <v>-588</v>
      </c>
      <c r="AJ90" s="750">
        <f t="shared" ref="AJ90:BO90" si="666">AJ70-AJ74+AJ88</f>
        <v>-317.39999999999992</v>
      </c>
      <c r="AK90" s="759">
        <f t="shared" si="666"/>
        <v>-620.79999999999995</v>
      </c>
      <c r="AL90" s="759">
        <f t="shared" si="666"/>
        <v>-216.5</v>
      </c>
      <c r="AM90" s="758">
        <f t="shared" si="666"/>
        <v>-124.80000000000001</v>
      </c>
      <c r="AN90" s="750">
        <f t="shared" si="666"/>
        <v>0.59999999999998721</v>
      </c>
      <c r="AO90" s="759">
        <f t="shared" si="666"/>
        <v>-28.299999999999937</v>
      </c>
      <c r="AP90" s="759">
        <f t="shared" si="666"/>
        <v>94.299999999999983</v>
      </c>
      <c r="AQ90" s="758">
        <f t="shared" si="666"/>
        <v>96.900000000000034</v>
      </c>
      <c r="AR90" s="750">
        <f t="shared" si="666"/>
        <v>158.30000000000001</v>
      </c>
      <c r="AS90" s="759">
        <f t="shared" si="666"/>
        <v>121.3000000000001</v>
      </c>
      <c r="AT90" s="759">
        <f t="shared" si="666"/>
        <v>-127.89999999999996</v>
      </c>
      <c r="AU90" s="758">
        <f t="shared" si="666"/>
        <v>43.099999999999923</v>
      </c>
      <c r="AV90" s="750">
        <f t="shared" si="666"/>
        <v>62.599999999999888</v>
      </c>
      <c r="AW90" s="759">
        <f t="shared" si="666"/>
        <v>193.19999999999993</v>
      </c>
      <c r="AX90" s="759">
        <f t="shared" si="666"/>
        <v>71.299999999999983</v>
      </c>
      <c r="AY90" s="758">
        <f t="shared" si="666"/>
        <v>87.40000000000002</v>
      </c>
      <c r="AZ90" s="750">
        <f t="shared" si="666"/>
        <v>144</v>
      </c>
      <c r="BA90" s="759">
        <f t="shared" si="666"/>
        <v>-4</v>
      </c>
      <c r="BB90" s="759">
        <f t="shared" si="666"/>
        <v>-186</v>
      </c>
      <c r="BC90" s="758">
        <f t="shared" si="666"/>
        <v>-152</v>
      </c>
      <c r="BD90" s="750">
        <f t="shared" si="666"/>
        <v>-259</v>
      </c>
      <c r="BE90" s="759">
        <f t="shared" si="666"/>
        <v>-771</v>
      </c>
      <c r="BF90" s="759">
        <f t="shared" si="666"/>
        <v>-244</v>
      </c>
      <c r="BG90" s="758">
        <f t="shared" si="666"/>
        <v>-355</v>
      </c>
      <c r="BH90" s="750">
        <f t="shared" si="666"/>
        <v>-719</v>
      </c>
      <c r="BI90" s="759">
        <f t="shared" si="666"/>
        <v>-802</v>
      </c>
      <c r="BJ90" s="759">
        <f t="shared" si="666"/>
        <v>-323</v>
      </c>
      <c r="BK90" s="758">
        <f t="shared" si="666"/>
        <v>-102</v>
      </c>
      <c r="BL90" s="750">
        <f t="shared" si="666"/>
        <v>202</v>
      </c>
      <c r="BM90" s="759">
        <f t="shared" si="666"/>
        <v>379</v>
      </c>
      <c r="BN90" s="759">
        <f t="shared" si="666"/>
        <v>960</v>
      </c>
      <c r="BO90" s="758">
        <f t="shared" si="666"/>
        <v>359</v>
      </c>
      <c r="BP90" s="750">
        <f t="shared" ref="BP90:CA90" si="667">BP70-BP74+BP88</f>
        <v>172</v>
      </c>
      <c r="BQ90" s="759">
        <f t="shared" si="667"/>
        <v>75</v>
      </c>
      <c r="BR90" s="759">
        <f t="shared" si="667"/>
        <v>77</v>
      </c>
      <c r="BS90" s="758">
        <f t="shared" si="667"/>
        <v>-134</v>
      </c>
      <c r="BT90" s="750">
        <f t="shared" si="667"/>
        <v>-187</v>
      </c>
      <c r="BU90" s="759">
        <f t="shared" si="667"/>
        <v>-282</v>
      </c>
      <c r="BV90" s="759">
        <f t="shared" si="667"/>
        <v>-320</v>
      </c>
      <c r="BW90" s="758">
        <f t="shared" si="667"/>
        <v>-242</v>
      </c>
      <c r="BX90" s="750">
        <f t="shared" si="667"/>
        <v>-275</v>
      </c>
      <c r="BY90" s="759">
        <f t="shared" si="667"/>
        <v>-284</v>
      </c>
      <c r="BZ90" s="759">
        <f t="shared" si="667"/>
        <v>43</v>
      </c>
      <c r="CA90" s="758">
        <f t="shared" si="667"/>
        <v>1710</v>
      </c>
      <c r="CB90" s="750">
        <f t="shared" ref="CB90:CI90" si="668">+CB84+CB88</f>
        <v>381</v>
      </c>
      <c r="CC90" s="759">
        <f t="shared" si="668"/>
        <v>741</v>
      </c>
      <c r="CD90" s="759">
        <f>+CD84+CD88</f>
        <v>806</v>
      </c>
      <c r="CE90" s="758">
        <f>+CE84+CE88</f>
        <v>1151</v>
      </c>
      <c r="CF90" s="750">
        <f t="shared" si="668"/>
        <v>1002</v>
      </c>
      <c r="CG90" s="759">
        <f t="shared" si="668"/>
        <v>935</v>
      </c>
      <c r="CH90" s="759">
        <f t="shared" si="668"/>
        <v>491</v>
      </c>
      <c r="CI90" s="758">
        <f t="shared" si="668"/>
        <v>471</v>
      </c>
      <c r="CJ90" s="750">
        <f>+CJ84+CJ88</f>
        <v>206</v>
      </c>
      <c r="CK90" s="759">
        <f>+CK84+CK88</f>
        <v>-96</v>
      </c>
      <c r="CL90" s="759">
        <f t="shared" ref="CL90:CM90" si="669">+CL84+CL88</f>
        <v>-215</v>
      </c>
      <c r="CM90" s="758">
        <f t="shared" si="669"/>
        <v>-170</v>
      </c>
      <c r="CN90" s="750">
        <f>+CN84+CN88</f>
        <v>180</v>
      </c>
      <c r="CO90" s="759">
        <f>+CO84+CO88</f>
        <v>894</v>
      </c>
      <c r="CP90" s="759">
        <f t="shared" ref="CP90:CQ90" si="670">+CP84+CP88</f>
        <v>1647</v>
      </c>
      <c r="CQ90" s="758">
        <f t="shared" si="670"/>
        <v>2369</v>
      </c>
      <c r="CR90" s="750">
        <f>+CR84+CR88</f>
        <v>2678</v>
      </c>
      <c r="CS90" s="759">
        <f>+CS84+CS88</f>
        <v>3304</v>
      </c>
      <c r="CT90" s="759">
        <f t="shared" ref="CT90:CU90" si="671">+CT84+CT88</f>
        <v>3522.2096053387108</v>
      </c>
      <c r="CU90" s="758">
        <f t="shared" si="671"/>
        <v>3466.2660006003762</v>
      </c>
      <c r="CV90" s="750">
        <f t="shared" ref="CV90:CY90" si="672">+CV84+CV88</f>
        <v>2766.9864124111864</v>
      </c>
      <c r="CW90" s="759">
        <f t="shared" si="672"/>
        <v>2320.9252198045269</v>
      </c>
      <c r="CX90" s="759">
        <f t="shared" si="672"/>
        <v>1888.0719806037869</v>
      </c>
      <c r="CY90" s="758">
        <f t="shared" si="672"/>
        <v>1660.1994273413607</v>
      </c>
      <c r="CZ90" s="750">
        <f t="shared" ref="CZ90:DC90" si="673">+CZ84+CZ88</f>
        <v>1485.7809555562255</v>
      </c>
      <c r="DA90" s="759">
        <f t="shared" si="673"/>
        <v>1352.5726544938814</v>
      </c>
      <c r="DB90" s="759">
        <f t="shared" si="673"/>
        <v>1291.1874698997005</v>
      </c>
      <c r="DC90" s="758">
        <f t="shared" si="673"/>
        <v>1251.2791318465074</v>
      </c>
      <c r="DD90" s="763"/>
      <c r="DE90" s="759">
        <f t="shared" ref="DE90:DW90" si="674">DE70-DE74+DE88</f>
        <v>844.0999999999998</v>
      </c>
      <c r="DF90" s="759">
        <f t="shared" si="674"/>
        <v>593.5</v>
      </c>
      <c r="DG90" s="759">
        <f t="shared" si="674"/>
        <v>332.20000000000016</v>
      </c>
      <c r="DH90" s="759">
        <f t="shared" si="674"/>
        <v>-247.09999999999988</v>
      </c>
      <c r="DI90" s="759">
        <f t="shared" si="674"/>
        <v>-68.90000000000046</v>
      </c>
      <c r="DJ90" s="759">
        <f t="shared" si="674"/>
        <v>1504.2000000000005</v>
      </c>
      <c r="DK90" s="759">
        <f t="shared" si="674"/>
        <v>-624.99999999999886</v>
      </c>
      <c r="DL90" s="759">
        <f t="shared" si="674"/>
        <v>-909.10000000000014</v>
      </c>
      <c r="DM90" s="759">
        <f t="shared" si="674"/>
        <v>-1279.4999999999998</v>
      </c>
      <c r="DN90" s="759">
        <f t="shared" si="674"/>
        <v>163.49999999999983</v>
      </c>
      <c r="DO90" s="759">
        <f t="shared" si="674"/>
        <v>194.80000000000024</v>
      </c>
      <c r="DP90" s="759">
        <f t="shared" si="674"/>
        <v>414.49999999999949</v>
      </c>
      <c r="DQ90" s="759">
        <f t="shared" si="674"/>
        <v>-198</v>
      </c>
      <c r="DR90" s="759">
        <f t="shared" si="674"/>
        <v>-1629</v>
      </c>
      <c r="DS90" s="759">
        <f t="shared" si="674"/>
        <v>-1946</v>
      </c>
      <c r="DT90" s="759">
        <f t="shared" si="674"/>
        <v>1900</v>
      </c>
      <c r="DU90" s="759">
        <f t="shared" si="674"/>
        <v>190</v>
      </c>
      <c r="DV90" s="759">
        <f t="shared" si="674"/>
        <v>-1031</v>
      </c>
      <c r="DW90" s="759">
        <f t="shared" si="674"/>
        <v>-290</v>
      </c>
      <c r="DX90" s="759">
        <f t="shared" ref="DX90:DZ90" si="675">+DX84+DX88</f>
        <v>3079</v>
      </c>
      <c r="DY90" s="759">
        <f t="shared" si="675"/>
        <v>2899</v>
      </c>
      <c r="DZ90" s="759">
        <f t="shared" si="675"/>
        <v>-275</v>
      </c>
      <c r="EA90" s="759">
        <f t="shared" si="658"/>
        <v>5090</v>
      </c>
      <c r="EB90" s="759">
        <f t="shared" si="659"/>
        <v>12970.475605939086</v>
      </c>
      <c r="EC90" s="758">
        <f>SUM(CV90:CY90)</f>
        <v>8636.1830401608604</v>
      </c>
      <c r="ED90" s="758">
        <f>SUM(CZ90:DC90)</f>
        <v>5380.8202117963156</v>
      </c>
      <c r="EE90" s="1364"/>
      <c r="EF90" s="29">
        <f t="shared" ref="EF90:FA90" si="676">EF70-EF74</f>
        <v>1013.2999999999998</v>
      </c>
      <c r="EG90" s="27">
        <f t="shared" si="676"/>
        <v>285.60000000000014</v>
      </c>
      <c r="EH90" s="27">
        <f t="shared" si="676"/>
        <v>318.09999999999974</v>
      </c>
      <c r="EI90" s="27">
        <f t="shared" si="676"/>
        <v>-299.80000000000013</v>
      </c>
      <c r="EJ90" s="27">
        <f t="shared" si="676"/>
        <v>318.59999999999951</v>
      </c>
      <c r="EK90" s="27">
        <f t="shared" si="676"/>
        <v>1515.0999999999995</v>
      </c>
      <c r="EL90" s="27">
        <f t="shared" si="676"/>
        <v>-1243.0999999999992</v>
      </c>
      <c r="EM90" s="27">
        <f t="shared" si="676"/>
        <v>-960.60000000000059</v>
      </c>
      <c r="EN90" s="27">
        <f t="shared" si="676"/>
        <v>-961.50000000000057</v>
      </c>
      <c r="EO90" s="27">
        <f t="shared" si="676"/>
        <v>321.20000000000078</v>
      </c>
      <c r="EP90" s="27">
        <f t="shared" si="676"/>
        <v>99.100000000000691</v>
      </c>
      <c r="EQ90" s="27">
        <f t="shared" si="676"/>
        <v>495.90000000000111</v>
      </c>
      <c r="ER90" s="27">
        <f t="shared" si="676"/>
        <v>-601</v>
      </c>
      <c r="ES90" s="27">
        <f t="shared" si="676"/>
        <v>-2089</v>
      </c>
      <c r="ET90" s="27">
        <f t="shared" si="676"/>
        <v>-1008</v>
      </c>
      <c r="EU90" s="27">
        <f t="shared" si="676"/>
        <v>1918</v>
      </c>
      <c r="EV90" s="27">
        <f t="shared" si="676"/>
        <v>37</v>
      </c>
      <c r="EW90" s="27">
        <f t="shared" si="676"/>
        <v>-847</v>
      </c>
      <c r="EX90" s="27">
        <f t="shared" si="676"/>
        <v>311</v>
      </c>
      <c r="EY90" s="27">
        <f t="shared" si="676"/>
        <v>3188</v>
      </c>
      <c r="EZ90" s="27">
        <f t="shared" si="676"/>
        <v>1721</v>
      </c>
      <c r="FA90" s="27">
        <f t="shared" si="676"/>
        <v>-265</v>
      </c>
      <c r="FB90" s="27">
        <f>FB70-FB74</f>
        <v>7578</v>
      </c>
      <c r="FC90" s="27">
        <f>FC70-FC74</f>
        <v>13058.46201835027</v>
      </c>
      <c r="FD90" s="27">
        <f>FD70-FD74</f>
        <v>7354.9775833058984</v>
      </c>
      <c r="FE90" s="849"/>
      <c r="FF90" s="506"/>
      <c r="FG90" s="506"/>
      <c r="FH90" s="506"/>
      <c r="FI90"/>
      <c r="FJ90"/>
      <c r="FK90"/>
      <c r="FL90"/>
      <c r="FM90"/>
      <c r="FN90"/>
      <c r="FO90" s="10"/>
    </row>
    <row r="91" spans="1:171" s="504" customFormat="1">
      <c r="A91" s="559"/>
      <c r="B91" s="448" t="s">
        <v>430</v>
      </c>
      <c r="C91" s="558"/>
      <c r="D91" s="852">
        <f t="shared" ref="D91:BO91" si="677">+D94-D90+D88</f>
        <v>0</v>
      </c>
      <c r="E91" s="850">
        <f t="shared" si="677"/>
        <v>0</v>
      </c>
      <c r="F91" s="850">
        <f t="shared" si="677"/>
        <v>-29</v>
      </c>
      <c r="G91" s="851">
        <f t="shared" si="677"/>
        <v>0</v>
      </c>
      <c r="H91" s="852">
        <f t="shared" si="677"/>
        <v>3.6999999999999318</v>
      </c>
      <c r="I91" s="850">
        <f t="shared" si="677"/>
        <v>27.900000000000034</v>
      </c>
      <c r="J91" s="850">
        <f t="shared" si="677"/>
        <v>2</v>
      </c>
      <c r="K91" s="851">
        <f t="shared" si="677"/>
        <v>4.4000000000000021</v>
      </c>
      <c r="L91" s="852">
        <f t="shared" si="677"/>
        <v>3.1000000000000014</v>
      </c>
      <c r="M91" s="850">
        <f t="shared" si="677"/>
        <v>-198.7</v>
      </c>
      <c r="N91" s="850">
        <f t="shared" si="677"/>
        <v>5.9000000000000057</v>
      </c>
      <c r="O91" s="851">
        <f t="shared" si="677"/>
        <v>4.2000000000000171</v>
      </c>
      <c r="P91" s="852">
        <f t="shared" si="677"/>
        <v>4.7999999999999954</v>
      </c>
      <c r="Q91" s="850">
        <f t="shared" si="677"/>
        <v>-123.89999999999999</v>
      </c>
      <c r="R91" s="850">
        <f t="shared" si="677"/>
        <v>5.5</v>
      </c>
      <c r="S91" s="851">
        <f t="shared" si="677"/>
        <v>8.0999999999999943</v>
      </c>
      <c r="T91" s="852">
        <f t="shared" si="677"/>
        <v>12.100000000000016</v>
      </c>
      <c r="U91" s="850">
        <f t="shared" si="677"/>
        <v>19.900000000000006</v>
      </c>
      <c r="V91" s="850">
        <f t="shared" si="677"/>
        <v>13.699999999999996</v>
      </c>
      <c r="W91" s="851">
        <f t="shared" si="677"/>
        <v>20.199999999999989</v>
      </c>
      <c r="X91" s="852">
        <f t="shared" si="677"/>
        <v>47.700000000000045</v>
      </c>
      <c r="Y91" s="850">
        <f t="shared" si="677"/>
        <v>24.200000000000017</v>
      </c>
      <c r="Z91" s="850">
        <f t="shared" si="677"/>
        <v>30</v>
      </c>
      <c r="AA91" s="851">
        <f t="shared" si="677"/>
        <v>-23.200000000000045</v>
      </c>
      <c r="AB91" s="852">
        <f t="shared" si="677"/>
        <v>10.200000000000045</v>
      </c>
      <c r="AC91" s="850">
        <f t="shared" si="677"/>
        <v>89.7</v>
      </c>
      <c r="AD91" s="850">
        <f t="shared" si="677"/>
        <v>41.799999999999955</v>
      </c>
      <c r="AE91" s="851">
        <f t="shared" si="677"/>
        <v>43.400000000000091</v>
      </c>
      <c r="AF91" s="852">
        <f t="shared" si="677"/>
        <v>5</v>
      </c>
      <c r="AG91" s="850">
        <f t="shared" si="677"/>
        <v>-13.199999999999992</v>
      </c>
      <c r="AH91" s="850">
        <f t="shared" si="677"/>
        <v>3.9000000000000128</v>
      </c>
      <c r="AI91" s="851">
        <f t="shared" si="677"/>
        <v>27.5</v>
      </c>
      <c r="AJ91" s="852">
        <f t="shared" si="677"/>
        <v>9.9000000000000341</v>
      </c>
      <c r="AK91" s="850">
        <f t="shared" si="677"/>
        <v>119.79999999999995</v>
      </c>
      <c r="AL91" s="850">
        <f t="shared" si="677"/>
        <v>7.4000000000000057</v>
      </c>
      <c r="AM91" s="851">
        <f t="shared" si="677"/>
        <v>28.400000000000006</v>
      </c>
      <c r="AN91" s="852">
        <f t="shared" si="677"/>
        <v>-2.8000000000000096</v>
      </c>
      <c r="AO91" s="850">
        <f t="shared" si="677"/>
        <v>-14.400000000000009</v>
      </c>
      <c r="AP91" s="850">
        <f t="shared" si="677"/>
        <v>-0.89999999999999147</v>
      </c>
      <c r="AQ91" s="851">
        <f t="shared" si="677"/>
        <v>-10.09999999999998</v>
      </c>
      <c r="AR91" s="852">
        <f t="shared" si="677"/>
        <v>9.5</v>
      </c>
      <c r="AS91" s="850">
        <f t="shared" si="677"/>
        <v>-12.099999999999994</v>
      </c>
      <c r="AT91" s="850">
        <f t="shared" si="677"/>
        <v>-25.299999999999997</v>
      </c>
      <c r="AU91" s="851">
        <f t="shared" si="677"/>
        <v>-2.5999999999999943</v>
      </c>
      <c r="AV91" s="852">
        <f t="shared" si="677"/>
        <v>-12.099999999999994</v>
      </c>
      <c r="AW91" s="850">
        <f t="shared" si="677"/>
        <v>-219.2</v>
      </c>
      <c r="AX91" s="850">
        <f t="shared" si="677"/>
        <v>1.5</v>
      </c>
      <c r="AY91" s="851">
        <f t="shared" si="677"/>
        <v>-34.899999999999984</v>
      </c>
      <c r="AZ91" s="852">
        <f t="shared" si="677"/>
        <v>-31</v>
      </c>
      <c r="BA91" s="850">
        <f t="shared" si="677"/>
        <v>-5</v>
      </c>
      <c r="BB91" s="850">
        <f t="shared" si="677"/>
        <v>-28</v>
      </c>
      <c r="BC91" s="851">
        <f t="shared" si="677"/>
        <v>7</v>
      </c>
      <c r="BD91" s="852">
        <f t="shared" si="677"/>
        <v>-10</v>
      </c>
      <c r="BE91" s="850">
        <f t="shared" si="677"/>
        <v>429</v>
      </c>
      <c r="BF91" s="850">
        <f t="shared" si="677"/>
        <v>-13</v>
      </c>
      <c r="BG91" s="851">
        <f t="shared" si="677"/>
        <v>-1</v>
      </c>
      <c r="BH91" s="852">
        <f t="shared" si="677"/>
        <v>-52</v>
      </c>
      <c r="BI91" s="850">
        <f t="shared" si="677"/>
        <v>239</v>
      </c>
      <c r="BJ91" s="850">
        <f t="shared" si="677"/>
        <v>156</v>
      </c>
      <c r="BK91" s="851">
        <f t="shared" si="677"/>
        <v>32</v>
      </c>
      <c r="BL91" s="852">
        <f t="shared" si="677"/>
        <v>8</v>
      </c>
      <c r="BM91" s="850">
        <f t="shared" si="677"/>
        <v>-21</v>
      </c>
      <c r="BN91" s="850">
        <f t="shared" si="677"/>
        <v>-24</v>
      </c>
      <c r="BO91" s="851">
        <f t="shared" si="677"/>
        <v>10</v>
      </c>
      <c r="BP91" s="852">
        <f t="shared" ref="BP91:BZ91" si="678">+BP94-BP90+BP88</f>
        <v>-191</v>
      </c>
      <c r="BQ91" s="850">
        <f t="shared" si="678"/>
        <v>-76</v>
      </c>
      <c r="BR91" s="850">
        <f t="shared" si="678"/>
        <v>-121</v>
      </c>
      <c r="BS91" s="851">
        <f t="shared" si="678"/>
        <v>8</v>
      </c>
      <c r="BT91" s="852">
        <f t="shared" si="678"/>
        <v>6</v>
      </c>
      <c r="BU91" s="850">
        <f t="shared" si="678"/>
        <v>32</v>
      </c>
      <c r="BV91" s="850">
        <f t="shared" si="678"/>
        <v>38</v>
      </c>
      <c r="BW91" s="851">
        <f t="shared" si="678"/>
        <v>-15</v>
      </c>
      <c r="BX91" s="852">
        <f t="shared" si="678"/>
        <v>31</v>
      </c>
      <c r="BY91" s="850">
        <f t="shared" si="678"/>
        <v>52</v>
      </c>
      <c r="BZ91" s="850">
        <f t="shared" si="678"/>
        <v>54</v>
      </c>
      <c r="CA91" s="851">
        <f>+CA94-CA90+CA88</f>
        <v>-1443</v>
      </c>
      <c r="CB91" s="814">
        <f t="shared" ref="CB91:CI91" si="679">+CB94-CB90</f>
        <v>501</v>
      </c>
      <c r="CC91" s="813">
        <f t="shared" si="679"/>
        <v>231</v>
      </c>
      <c r="CD91" s="813">
        <f>+CD94-CD90</f>
        <v>75</v>
      </c>
      <c r="CE91" s="851">
        <f>+CE94-CE90</f>
        <v>-223</v>
      </c>
      <c r="CF91" s="814">
        <f t="shared" si="679"/>
        <v>100</v>
      </c>
      <c r="CG91" s="813">
        <f t="shared" si="679"/>
        <v>-42</v>
      </c>
      <c r="CH91" s="813">
        <f t="shared" si="679"/>
        <v>86</v>
      </c>
      <c r="CI91" s="851">
        <f t="shared" si="679"/>
        <v>-113</v>
      </c>
      <c r="CJ91" s="814">
        <f>+CJ94-CJ90</f>
        <v>-3</v>
      </c>
      <c r="CK91" s="813">
        <f t="shared" ref="CK91:CM91" si="680">+CK94-CK90</f>
        <v>-6</v>
      </c>
      <c r="CL91" s="813">
        <f t="shared" si="680"/>
        <v>89</v>
      </c>
      <c r="CM91" s="851">
        <f t="shared" si="680"/>
        <v>71</v>
      </c>
      <c r="CN91" s="814">
        <f>+CN94-CN90</f>
        <v>92</v>
      </c>
      <c r="CO91" s="813">
        <f t="shared" ref="CO91:CQ91" si="681">+CO94-CO90</f>
        <v>82</v>
      </c>
      <c r="CP91" s="813">
        <f t="shared" si="681"/>
        <v>192</v>
      </c>
      <c r="CQ91" s="851">
        <f t="shared" si="681"/>
        <v>-39</v>
      </c>
      <c r="CR91" s="814">
        <f>+CR94-CR90</f>
        <v>265</v>
      </c>
      <c r="CS91" s="813">
        <f t="shared" ref="CS91" si="682">+CS94-CS90</f>
        <v>141</v>
      </c>
      <c r="CT91" s="813">
        <f t="shared" ref="CT91:CU91" si="683">+CT94-CT90</f>
        <v>0</v>
      </c>
      <c r="CU91" s="811">
        <f t="shared" si="683"/>
        <v>0</v>
      </c>
      <c r="CV91" s="814">
        <f t="shared" ref="CV91:CY91" si="684">+CV94-CV90</f>
        <v>0</v>
      </c>
      <c r="CW91" s="813">
        <f t="shared" si="684"/>
        <v>0</v>
      </c>
      <c r="CX91" s="813">
        <f t="shared" si="684"/>
        <v>0</v>
      </c>
      <c r="CY91" s="811">
        <f t="shared" si="684"/>
        <v>0</v>
      </c>
      <c r="CZ91" s="814">
        <f t="shared" ref="CZ91:DC91" si="685">+CZ94-CZ90</f>
        <v>0</v>
      </c>
      <c r="DA91" s="813">
        <f t="shared" si="685"/>
        <v>0</v>
      </c>
      <c r="DB91" s="813">
        <f t="shared" si="685"/>
        <v>0</v>
      </c>
      <c r="DC91" s="811">
        <f t="shared" si="685"/>
        <v>0</v>
      </c>
      <c r="DD91" s="518"/>
      <c r="DE91" s="553">
        <f>SUM(D91:G91)</f>
        <v>-29</v>
      </c>
      <c r="DF91" s="553">
        <f>SUM(H91:K91)</f>
        <v>37.999999999999972</v>
      </c>
      <c r="DG91" s="553">
        <f>SUM(L91:O91)</f>
        <v>-185.49999999999997</v>
      </c>
      <c r="DH91" s="553">
        <f>SUM(P91:S91)</f>
        <v>-105.5</v>
      </c>
      <c r="DI91" s="553">
        <f>SUM(T91:W91)</f>
        <v>65.900000000000006</v>
      </c>
      <c r="DJ91" s="553">
        <f>SUM(X91:AA91)</f>
        <v>78.700000000000017</v>
      </c>
      <c r="DK91" s="553">
        <f>SUM(AB91:AE91)</f>
        <v>185.10000000000008</v>
      </c>
      <c r="DL91" s="553">
        <f>SUM(AF91:AI91)</f>
        <v>23.200000000000021</v>
      </c>
      <c r="DM91" s="553">
        <f>SUM(AJ91:AM91)</f>
        <v>165.5</v>
      </c>
      <c r="DN91" s="553">
        <f>SUM(AN91:AQ91)</f>
        <v>-28.199999999999989</v>
      </c>
      <c r="DO91" s="553">
        <f>SUM(AR91:AU91)</f>
        <v>-30.499999999999986</v>
      </c>
      <c r="DP91" s="554">
        <f>SUM(AV91:AY91)</f>
        <v>-264.7</v>
      </c>
      <c r="DQ91" s="554">
        <f>SUM(AZ91:BC91)</f>
        <v>-57</v>
      </c>
      <c r="DR91" s="554">
        <f>SUM(BD91:BG91)</f>
        <v>405</v>
      </c>
      <c r="DS91" s="554">
        <f>SUM(BH91:BK91)</f>
        <v>375</v>
      </c>
      <c r="DT91" s="554">
        <f>SUM(BL91:BO91)</f>
        <v>-27</v>
      </c>
      <c r="DU91" s="554">
        <f>SUM(BP91:BS91)</f>
        <v>-380</v>
      </c>
      <c r="DV91" s="554">
        <f>SUM(BT91:BW91)</f>
        <v>61</v>
      </c>
      <c r="DW91" s="554">
        <f>SUM(BX91:CA91)</f>
        <v>-1306</v>
      </c>
      <c r="DX91" s="554">
        <f>SUM(CB91:CE91)</f>
        <v>584</v>
      </c>
      <c r="DY91" s="554">
        <f>SUM(CF91:CI91)</f>
        <v>31</v>
      </c>
      <c r="DZ91" s="554">
        <f>SUM(CJ91:CM91)</f>
        <v>151</v>
      </c>
      <c r="EA91" s="554">
        <f t="shared" si="658"/>
        <v>327</v>
      </c>
      <c r="EB91" s="554">
        <f t="shared" si="659"/>
        <v>406</v>
      </c>
      <c r="EC91" s="555">
        <f>SUM(CV91:CY91)</f>
        <v>0</v>
      </c>
      <c r="ED91" s="555">
        <f>SUM(CZ91:DC91)</f>
        <v>0</v>
      </c>
      <c r="EE91" s="1364"/>
      <c r="EF91" s="556">
        <f>SUM(E91:H91)</f>
        <v>-25.300000000000068</v>
      </c>
      <c r="EG91" s="554">
        <f>SUM(I91:L91)</f>
        <v>37.400000000000041</v>
      </c>
      <c r="EH91" s="554">
        <f>SUM(M91:P91)</f>
        <v>-183.79999999999998</v>
      </c>
      <c r="EI91" s="554">
        <f>SUM(Q91:T91)</f>
        <v>-98.199999999999989</v>
      </c>
      <c r="EJ91" s="554">
        <f>SUM(U91:X91)</f>
        <v>101.50000000000003</v>
      </c>
      <c r="EK91" s="554">
        <f>SUM(Y91:AB91)</f>
        <v>41.200000000000017</v>
      </c>
      <c r="EL91" s="554">
        <f>SUM(AC91:AF91)</f>
        <v>179.90000000000003</v>
      </c>
      <c r="EM91" s="554">
        <f>SUM(AG91:AJ91)</f>
        <v>28.100000000000055</v>
      </c>
      <c r="EN91" s="554">
        <f>SUM(AK91:AN91)</f>
        <v>152.79999999999995</v>
      </c>
      <c r="EO91" s="554">
        <f>SUM(AO91:AR91)</f>
        <v>-15.899999999999981</v>
      </c>
      <c r="EP91" s="554">
        <f>SUM(AS91:AV91)</f>
        <v>-52.09999999999998</v>
      </c>
      <c r="EQ91" s="553">
        <f>SUM(AW91:AZ91)</f>
        <v>-283.59999999999997</v>
      </c>
      <c r="ER91" s="553">
        <f>SUM(BA91:BD91)</f>
        <v>-36</v>
      </c>
      <c r="ES91" s="553">
        <f>SUM(BE91:BH91)</f>
        <v>363</v>
      </c>
      <c r="ET91" s="553">
        <f>SUM(BI91:BL91)</f>
        <v>435</v>
      </c>
      <c r="EU91" s="553">
        <f>SUM(BM91:BP91)</f>
        <v>-226</v>
      </c>
      <c r="EV91" s="553">
        <f>SUM(BQ91:BT91)</f>
        <v>-183</v>
      </c>
      <c r="EW91" s="553">
        <f>SUM(BU91:BX91)</f>
        <v>86</v>
      </c>
      <c r="EX91" s="553">
        <f>SUM(BY91:CB91)</f>
        <v>-836</v>
      </c>
      <c r="EY91" s="553">
        <f>SUM(CC91:CF91)</f>
        <v>183</v>
      </c>
      <c r="EZ91" s="553">
        <f t="shared" ref="EZ91" si="686">SUM(CG91:CJ91)</f>
        <v>-72</v>
      </c>
      <c r="FA91" s="553">
        <f t="shared" ref="FA91" si="687">SUM(CK91:CN91)</f>
        <v>246</v>
      </c>
      <c r="FB91" s="553">
        <f t="shared" ref="FB91" si="688">SUM(CO91:CR91)</f>
        <v>500</v>
      </c>
      <c r="FC91" s="553">
        <f>SUM(CS91:CV91)</f>
        <v>141</v>
      </c>
      <c r="FD91" s="553">
        <f>SUM(CW91:CZ91)</f>
        <v>0</v>
      </c>
      <c r="FE91" s="841"/>
      <c r="FF91" s="1402"/>
      <c r="FG91" s="1402"/>
      <c r="FH91" s="1402"/>
      <c r="FI91"/>
      <c r="FJ91"/>
      <c r="FK91"/>
      <c r="FL91"/>
      <c r="FM91"/>
      <c r="FN91"/>
      <c r="FO91" s="413"/>
    </row>
    <row r="92" spans="1:171" s="562" customFormat="1" ht="14.25" customHeight="1">
      <c r="A92" s="559"/>
      <c r="B92" s="544" t="s">
        <v>109</v>
      </c>
      <c r="C92" s="558"/>
      <c r="D92" s="807">
        <f t="shared" ref="D92:BO92" si="689">D84+D88</f>
        <v>159.30000000000001</v>
      </c>
      <c r="E92" s="808">
        <f t="shared" si="689"/>
        <v>183.50000000000003</v>
      </c>
      <c r="F92" s="808">
        <f t="shared" si="689"/>
        <v>220.20000000000005</v>
      </c>
      <c r="G92" s="809">
        <f t="shared" si="689"/>
        <v>281.10000000000002</v>
      </c>
      <c r="H92" s="807">
        <f t="shared" si="689"/>
        <v>328.49999999999989</v>
      </c>
      <c r="I92" s="808">
        <f t="shared" si="689"/>
        <v>188.19999999999993</v>
      </c>
      <c r="J92" s="808">
        <f t="shared" si="689"/>
        <v>58.199999999999982</v>
      </c>
      <c r="K92" s="809">
        <f t="shared" si="689"/>
        <v>18.599999999999941</v>
      </c>
      <c r="L92" s="807">
        <f t="shared" si="689"/>
        <v>20.600000000000044</v>
      </c>
      <c r="M92" s="808">
        <f t="shared" si="689"/>
        <v>142.70000000000005</v>
      </c>
      <c r="N92" s="808">
        <f t="shared" si="689"/>
        <v>96.8</v>
      </c>
      <c r="O92" s="809">
        <f t="shared" si="689"/>
        <v>72.100000000000094</v>
      </c>
      <c r="P92" s="807">
        <f t="shared" si="689"/>
        <v>6.4999999999999485</v>
      </c>
      <c r="Q92" s="808">
        <f t="shared" si="689"/>
        <v>-50.899999999999935</v>
      </c>
      <c r="R92" s="808">
        <f t="shared" si="689"/>
        <v>-109.39999999999999</v>
      </c>
      <c r="S92" s="809">
        <f t="shared" si="689"/>
        <v>-93.299999999999926</v>
      </c>
      <c r="T92" s="807">
        <f t="shared" si="689"/>
        <v>-46.200000000000024</v>
      </c>
      <c r="U92" s="808">
        <f t="shared" si="689"/>
        <v>22.399999999999928</v>
      </c>
      <c r="V92" s="808">
        <f t="shared" si="689"/>
        <v>-27.699999999999982</v>
      </c>
      <c r="W92" s="809">
        <f t="shared" si="689"/>
        <v>-17.399999999999977</v>
      </c>
      <c r="X92" s="807">
        <f t="shared" si="689"/>
        <v>341.30000000000007</v>
      </c>
      <c r="Y92" s="808">
        <f t="shared" si="689"/>
        <v>161.2999999999999</v>
      </c>
      <c r="Z92" s="808">
        <f t="shared" si="689"/>
        <v>274.89999999999992</v>
      </c>
      <c r="AA92" s="809">
        <f t="shared" si="689"/>
        <v>726.70000000000027</v>
      </c>
      <c r="AB92" s="807">
        <f t="shared" si="689"/>
        <v>352.19999999999982</v>
      </c>
      <c r="AC92" s="808">
        <f t="shared" si="689"/>
        <v>-88.29999999999994</v>
      </c>
      <c r="AD92" s="808">
        <f t="shared" si="689"/>
        <v>-313.39999999999992</v>
      </c>
      <c r="AE92" s="809">
        <f t="shared" si="689"/>
        <v>-575.49999999999932</v>
      </c>
      <c r="AF92" s="807">
        <f t="shared" si="689"/>
        <v>-265.90000000000003</v>
      </c>
      <c r="AG92" s="808">
        <f t="shared" si="689"/>
        <v>-30.400000000000002</v>
      </c>
      <c r="AH92" s="808">
        <f t="shared" si="689"/>
        <v>-24.79999999999999</v>
      </c>
      <c r="AI92" s="809">
        <f t="shared" si="689"/>
        <v>-588</v>
      </c>
      <c r="AJ92" s="807">
        <f t="shared" si="689"/>
        <v>-317.39999999999992</v>
      </c>
      <c r="AK92" s="808">
        <f t="shared" si="689"/>
        <v>-620.79999999999995</v>
      </c>
      <c r="AL92" s="808">
        <f t="shared" si="689"/>
        <v>-216.5</v>
      </c>
      <c r="AM92" s="809">
        <f t="shared" si="689"/>
        <v>-124.80000000000001</v>
      </c>
      <c r="AN92" s="807">
        <f t="shared" si="689"/>
        <v>0.59999999999998721</v>
      </c>
      <c r="AO92" s="808">
        <f t="shared" si="689"/>
        <v>-28.299999999999937</v>
      </c>
      <c r="AP92" s="808">
        <f t="shared" si="689"/>
        <v>94.299999999999983</v>
      </c>
      <c r="AQ92" s="809">
        <f t="shared" si="689"/>
        <v>96.900000000000034</v>
      </c>
      <c r="AR92" s="807">
        <f t="shared" si="689"/>
        <v>158.30000000000001</v>
      </c>
      <c r="AS92" s="808">
        <f t="shared" si="689"/>
        <v>121.3000000000001</v>
      </c>
      <c r="AT92" s="808">
        <f t="shared" si="689"/>
        <v>-127.89999999999996</v>
      </c>
      <c r="AU92" s="809">
        <f t="shared" si="689"/>
        <v>43.099999999999923</v>
      </c>
      <c r="AV92" s="807">
        <f t="shared" si="689"/>
        <v>62.599999999999888</v>
      </c>
      <c r="AW92" s="808">
        <f t="shared" si="689"/>
        <v>193.19999999999993</v>
      </c>
      <c r="AX92" s="808">
        <f t="shared" si="689"/>
        <v>71.299999999999983</v>
      </c>
      <c r="AY92" s="809">
        <f t="shared" si="689"/>
        <v>87.40000000000002</v>
      </c>
      <c r="AZ92" s="807">
        <f t="shared" si="689"/>
        <v>144</v>
      </c>
      <c r="BA92" s="808">
        <f t="shared" si="689"/>
        <v>-4</v>
      </c>
      <c r="BB92" s="808">
        <f t="shared" si="689"/>
        <v>-186</v>
      </c>
      <c r="BC92" s="809">
        <f t="shared" si="689"/>
        <v>-152</v>
      </c>
      <c r="BD92" s="807">
        <f t="shared" si="689"/>
        <v>-259</v>
      </c>
      <c r="BE92" s="808">
        <f t="shared" si="689"/>
        <v>-771</v>
      </c>
      <c r="BF92" s="808">
        <f t="shared" si="689"/>
        <v>-244</v>
      </c>
      <c r="BG92" s="809">
        <f t="shared" si="689"/>
        <v>-355</v>
      </c>
      <c r="BH92" s="807">
        <f t="shared" si="689"/>
        <v>-719</v>
      </c>
      <c r="BI92" s="808">
        <f t="shared" si="689"/>
        <v>-802</v>
      </c>
      <c r="BJ92" s="808">
        <f t="shared" si="689"/>
        <v>-323</v>
      </c>
      <c r="BK92" s="809">
        <f t="shared" si="689"/>
        <v>-102</v>
      </c>
      <c r="BL92" s="807">
        <f t="shared" si="689"/>
        <v>202</v>
      </c>
      <c r="BM92" s="808">
        <f t="shared" si="689"/>
        <v>379</v>
      </c>
      <c r="BN92" s="808">
        <f t="shared" si="689"/>
        <v>960</v>
      </c>
      <c r="BO92" s="809">
        <f t="shared" si="689"/>
        <v>359</v>
      </c>
      <c r="BP92" s="807">
        <f t="shared" ref="BP92:BW92" si="690">BP84+BP88</f>
        <v>172</v>
      </c>
      <c r="BQ92" s="808">
        <f t="shared" si="690"/>
        <v>75</v>
      </c>
      <c r="BR92" s="808">
        <f t="shared" si="690"/>
        <v>77</v>
      </c>
      <c r="BS92" s="809">
        <f t="shared" si="690"/>
        <v>-134</v>
      </c>
      <c r="BT92" s="807">
        <f t="shared" si="690"/>
        <v>-187</v>
      </c>
      <c r="BU92" s="808">
        <f t="shared" si="690"/>
        <v>-282</v>
      </c>
      <c r="BV92" s="808">
        <f t="shared" si="690"/>
        <v>-320</v>
      </c>
      <c r="BW92" s="809">
        <f t="shared" si="690"/>
        <v>-242</v>
      </c>
      <c r="BX92" s="807">
        <f>BX84+BX88</f>
        <v>-275</v>
      </c>
      <c r="BY92" s="808">
        <f>BY84+BY88</f>
        <v>-284</v>
      </c>
      <c r="BZ92" s="808">
        <f>BZ84+BZ88</f>
        <v>43</v>
      </c>
      <c r="CA92" s="809">
        <f>CA90-CA67</f>
        <v>226</v>
      </c>
      <c r="CB92" s="807">
        <f t="shared" ref="CB92:CI92" si="691">CB84+CB88</f>
        <v>381</v>
      </c>
      <c r="CC92" s="808">
        <f t="shared" si="691"/>
        <v>741</v>
      </c>
      <c r="CD92" s="808">
        <f>CD84+CD88</f>
        <v>806</v>
      </c>
      <c r="CE92" s="809">
        <f>CE84+CE88</f>
        <v>1151</v>
      </c>
      <c r="CF92" s="807">
        <f t="shared" si="691"/>
        <v>1002</v>
      </c>
      <c r="CG92" s="808">
        <f t="shared" si="691"/>
        <v>935</v>
      </c>
      <c r="CH92" s="808">
        <f t="shared" si="691"/>
        <v>491</v>
      </c>
      <c r="CI92" s="809">
        <f t="shared" si="691"/>
        <v>471</v>
      </c>
      <c r="CJ92" s="807">
        <f>CJ84+CJ88</f>
        <v>206</v>
      </c>
      <c r="CK92" s="808">
        <f>CK84+CK88</f>
        <v>-96</v>
      </c>
      <c r="CL92" s="808">
        <f t="shared" ref="CL92:CM92" si="692">CL84+CL88</f>
        <v>-215</v>
      </c>
      <c r="CM92" s="809">
        <f t="shared" si="692"/>
        <v>-170</v>
      </c>
      <c r="CN92" s="807">
        <f>CN84+CN88</f>
        <v>180</v>
      </c>
      <c r="CO92" s="808">
        <f>CO84+CO88</f>
        <v>894</v>
      </c>
      <c r="CP92" s="808">
        <f t="shared" ref="CP92:CQ92" si="693">CP84+CP88</f>
        <v>1647</v>
      </c>
      <c r="CQ92" s="809">
        <f t="shared" si="693"/>
        <v>2369</v>
      </c>
      <c r="CR92" s="807">
        <f>CR84+CR88</f>
        <v>2678</v>
      </c>
      <c r="CS92" s="808">
        <f>CS84+CS88</f>
        <v>3304</v>
      </c>
      <c r="CT92" s="808">
        <f t="shared" ref="CT92:CU92" si="694">CT84+CT88</f>
        <v>3522.2096053387108</v>
      </c>
      <c r="CU92" s="809">
        <f t="shared" si="694"/>
        <v>3466.2660006003762</v>
      </c>
      <c r="CV92" s="807">
        <f t="shared" ref="CV92:CY92" si="695">CV84+CV88</f>
        <v>2766.9864124111864</v>
      </c>
      <c r="CW92" s="808">
        <f t="shared" si="695"/>
        <v>2320.9252198045269</v>
      </c>
      <c r="CX92" s="808">
        <f t="shared" si="695"/>
        <v>1888.0719806037869</v>
      </c>
      <c r="CY92" s="809">
        <f t="shared" si="695"/>
        <v>1660.1994273413607</v>
      </c>
      <c r="CZ92" s="807">
        <f t="shared" ref="CZ92:DC92" si="696">CZ84+CZ88</f>
        <v>1485.7809555562255</v>
      </c>
      <c r="DA92" s="808">
        <f t="shared" si="696"/>
        <v>1352.5726544938814</v>
      </c>
      <c r="DB92" s="808">
        <f t="shared" si="696"/>
        <v>1291.1874698997005</v>
      </c>
      <c r="DC92" s="809">
        <f t="shared" si="696"/>
        <v>1251.2791318465074</v>
      </c>
      <c r="DD92" s="812"/>
      <c r="DE92" s="813"/>
      <c r="DF92" s="813"/>
      <c r="DG92" s="813"/>
      <c r="DH92" s="813"/>
      <c r="DI92" s="813"/>
      <c r="DJ92" s="813"/>
      <c r="DK92" s="813"/>
      <c r="DL92" s="813"/>
      <c r="DM92" s="813"/>
      <c r="DN92" s="813"/>
      <c r="DO92" s="813"/>
      <c r="DP92" s="813"/>
      <c r="DQ92" s="813"/>
      <c r="DR92" s="813"/>
      <c r="DS92" s="813"/>
      <c r="DT92" s="813"/>
      <c r="DU92" s="813"/>
      <c r="DV92" s="813">
        <f>DV84+DV88</f>
        <v>-1031</v>
      </c>
      <c r="DW92" s="813">
        <f>DW84+DW88</f>
        <v>-290</v>
      </c>
      <c r="DX92" s="813">
        <f t="shared" ref="DX92:EB92" si="697">DX84+DX88</f>
        <v>3079</v>
      </c>
      <c r="DY92" s="813">
        <f t="shared" si="697"/>
        <v>2899</v>
      </c>
      <c r="DZ92" s="813">
        <f t="shared" si="697"/>
        <v>-275</v>
      </c>
      <c r="EA92" s="808">
        <f t="shared" ref="EA92" si="698">EA84+EA88</f>
        <v>5090</v>
      </c>
      <c r="EB92" s="808">
        <f t="shared" si="697"/>
        <v>12970.475605939084</v>
      </c>
      <c r="EC92" s="809">
        <f t="shared" ref="EC92:ED92" si="699">EC84+EC88</f>
        <v>8636.1830401608604</v>
      </c>
      <c r="ED92" s="809">
        <f t="shared" si="699"/>
        <v>5380.8202117963083</v>
      </c>
      <c r="EE92" s="1364"/>
      <c r="EF92" s="556"/>
      <c r="EG92" s="554"/>
      <c r="EH92" s="554"/>
      <c r="EI92" s="554"/>
      <c r="EJ92" s="554"/>
      <c r="EK92" s="554"/>
      <c r="EL92" s="554"/>
      <c r="EM92" s="554"/>
      <c r="EN92" s="554"/>
      <c r="EO92" s="554"/>
      <c r="EP92" s="554"/>
      <c r="EQ92" s="554"/>
      <c r="ER92" s="554"/>
      <c r="ES92" s="554"/>
      <c r="ET92" s="554"/>
      <c r="EU92" s="554"/>
      <c r="EV92" s="554"/>
      <c r="EW92" s="554"/>
      <c r="EX92" s="554"/>
      <c r="EY92" s="27">
        <f>SUM(CC92:CF92)</f>
        <v>3700</v>
      </c>
      <c r="EZ92" s="27">
        <f t="shared" ref="EZ92" si="700">SUM(CG92:CJ92)</f>
        <v>2103</v>
      </c>
      <c r="FA92" s="27">
        <f t="shared" ref="FA92" si="701">SUM(CK92:CN92)</f>
        <v>-301</v>
      </c>
      <c r="FB92" s="27">
        <f t="shared" ref="FB92" si="702">SUM(CO92:CR92)</f>
        <v>7588</v>
      </c>
      <c r="FC92" s="27">
        <f>SUM(CS92:CV92)</f>
        <v>13059.462018350272</v>
      </c>
      <c r="FD92" s="27">
        <f>SUM(CW92:CZ92)</f>
        <v>7354.9775833058993</v>
      </c>
      <c r="FE92" s="561"/>
      <c r="FF92" s="766"/>
      <c r="FG92" s="766"/>
      <c r="FH92" s="766"/>
      <c r="FI92"/>
      <c r="FJ92"/>
      <c r="FK92"/>
      <c r="FL92"/>
      <c r="FM92"/>
      <c r="FN92"/>
      <c r="FO92" s="559"/>
    </row>
    <row r="93" spans="1:171" s="562" customFormat="1" ht="14.25" customHeight="1">
      <c r="A93" s="559"/>
      <c r="B93" s="544" t="s">
        <v>250</v>
      </c>
      <c r="C93" s="558"/>
      <c r="D93" s="807">
        <f t="shared" ref="D93:BO93" si="703">D85+D88</f>
        <v>159.30000000000001</v>
      </c>
      <c r="E93" s="808">
        <f t="shared" si="703"/>
        <v>183.50000000000003</v>
      </c>
      <c r="F93" s="808">
        <f t="shared" si="703"/>
        <v>191.20000000000005</v>
      </c>
      <c r="G93" s="809">
        <f t="shared" si="703"/>
        <v>281.10000000000002</v>
      </c>
      <c r="H93" s="807">
        <f t="shared" si="703"/>
        <v>332.19999999999982</v>
      </c>
      <c r="I93" s="808">
        <f t="shared" si="703"/>
        <v>216.09999999999997</v>
      </c>
      <c r="J93" s="808">
        <f t="shared" si="703"/>
        <v>60.199999999999982</v>
      </c>
      <c r="K93" s="809">
        <f t="shared" si="703"/>
        <v>22.999999999999943</v>
      </c>
      <c r="L93" s="807">
        <f t="shared" si="703"/>
        <v>23.700000000000045</v>
      </c>
      <c r="M93" s="808">
        <f t="shared" si="703"/>
        <v>-55.999999999999943</v>
      </c>
      <c r="N93" s="808">
        <f t="shared" si="703"/>
        <v>102.7</v>
      </c>
      <c r="O93" s="809">
        <f t="shared" si="703"/>
        <v>76.300000000000111</v>
      </c>
      <c r="P93" s="807">
        <f t="shared" si="703"/>
        <v>11.299999999999944</v>
      </c>
      <c r="Q93" s="808">
        <f t="shared" si="703"/>
        <v>-174.79999999999993</v>
      </c>
      <c r="R93" s="808">
        <f t="shared" si="703"/>
        <v>-103.89999999999999</v>
      </c>
      <c r="S93" s="809">
        <f t="shared" si="703"/>
        <v>-85.199999999999932</v>
      </c>
      <c r="T93" s="807">
        <f t="shared" si="703"/>
        <v>-34.100000000000009</v>
      </c>
      <c r="U93" s="808">
        <f t="shared" si="703"/>
        <v>42.299999999999933</v>
      </c>
      <c r="V93" s="808">
        <f t="shared" si="703"/>
        <v>-13.999999999999986</v>
      </c>
      <c r="W93" s="809">
        <f t="shared" si="703"/>
        <v>2.8000000000000131</v>
      </c>
      <c r="X93" s="807">
        <f t="shared" si="703"/>
        <v>389.00000000000011</v>
      </c>
      <c r="Y93" s="808">
        <f t="shared" si="703"/>
        <v>185.49999999999991</v>
      </c>
      <c r="Z93" s="808">
        <f t="shared" si="703"/>
        <v>304.89999999999992</v>
      </c>
      <c r="AA93" s="809">
        <f t="shared" si="703"/>
        <v>703.50000000000023</v>
      </c>
      <c r="AB93" s="807">
        <f t="shared" si="703"/>
        <v>362.39999999999986</v>
      </c>
      <c r="AC93" s="808">
        <f t="shared" si="703"/>
        <v>1.4000000000000583</v>
      </c>
      <c r="AD93" s="808">
        <f t="shared" si="703"/>
        <v>-271.59999999999997</v>
      </c>
      <c r="AE93" s="809">
        <f t="shared" si="703"/>
        <v>-532.09999999999923</v>
      </c>
      <c r="AF93" s="807">
        <f t="shared" si="703"/>
        <v>-260.90000000000003</v>
      </c>
      <c r="AG93" s="808">
        <f t="shared" si="703"/>
        <v>-43.599999999999994</v>
      </c>
      <c r="AH93" s="808">
        <f t="shared" si="703"/>
        <v>-20.899999999999977</v>
      </c>
      <c r="AI93" s="809">
        <f t="shared" si="703"/>
        <v>-560.5</v>
      </c>
      <c r="AJ93" s="807">
        <f t="shared" si="703"/>
        <v>-307.49999999999989</v>
      </c>
      <c r="AK93" s="808">
        <f t="shared" si="703"/>
        <v>-501</v>
      </c>
      <c r="AL93" s="808">
        <f t="shared" si="703"/>
        <v>-209.1</v>
      </c>
      <c r="AM93" s="809">
        <f t="shared" si="703"/>
        <v>-96.4</v>
      </c>
      <c r="AN93" s="807">
        <f t="shared" si="703"/>
        <v>-2.2000000000000224</v>
      </c>
      <c r="AO93" s="808">
        <f t="shared" si="703"/>
        <v>-42.699999999999946</v>
      </c>
      <c r="AP93" s="808">
        <f t="shared" si="703"/>
        <v>93.399999999999991</v>
      </c>
      <c r="AQ93" s="809">
        <f t="shared" si="703"/>
        <v>86.800000000000054</v>
      </c>
      <c r="AR93" s="807">
        <f t="shared" si="703"/>
        <v>167.8</v>
      </c>
      <c r="AS93" s="808">
        <f t="shared" si="703"/>
        <v>109.2000000000001</v>
      </c>
      <c r="AT93" s="808">
        <f t="shared" si="703"/>
        <v>-153.19999999999996</v>
      </c>
      <c r="AU93" s="809">
        <f t="shared" si="703"/>
        <v>40.499999999999929</v>
      </c>
      <c r="AV93" s="807">
        <f t="shared" si="703"/>
        <v>50.499999999999893</v>
      </c>
      <c r="AW93" s="808">
        <f t="shared" si="703"/>
        <v>-26.000000000000057</v>
      </c>
      <c r="AX93" s="808">
        <f t="shared" si="703"/>
        <v>72.799999999999983</v>
      </c>
      <c r="AY93" s="809">
        <f t="shared" si="703"/>
        <v>52.500000000000036</v>
      </c>
      <c r="AZ93" s="807">
        <f t="shared" si="703"/>
        <v>113</v>
      </c>
      <c r="BA93" s="808">
        <f t="shared" si="703"/>
        <v>-9</v>
      </c>
      <c r="BB93" s="808">
        <f t="shared" si="703"/>
        <v>-214</v>
      </c>
      <c r="BC93" s="809">
        <f t="shared" si="703"/>
        <v>-145</v>
      </c>
      <c r="BD93" s="807">
        <f t="shared" si="703"/>
        <v>-269</v>
      </c>
      <c r="BE93" s="808">
        <f t="shared" si="703"/>
        <v>-342</v>
      </c>
      <c r="BF93" s="808">
        <f t="shared" si="703"/>
        <v>-257</v>
      </c>
      <c r="BG93" s="809">
        <f t="shared" si="703"/>
        <v>-356</v>
      </c>
      <c r="BH93" s="807">
        <f t="shared" si="703"/>
        <v>-771</v>
      </c>
      <c r="BI93" s="808">
        <f t="shared" si="703"/>
        <v>-563</v>
      </c>
      <c r="BJ93" s="808">
        <f t="shared" si="703"/>
        <v>-167</v>
      </c>
      <c r="BK93" s="809">
        <f t="shared" si="703"/>
        <v>-70</v>
      </c>
      <c r="BL93" s="807">
        <f t="shared" si="703"/>
        <v>210</v>
      </c>
      <c r="BM93" s="808">
        <f t="shared" si="703"/>
        <v>358</v>
      </c>
      <c r="BN93" s="808">
        <f t="shared" si="703"/>
        <v>936</v>
      </c>
      <c r="BO93" s="809">
        <f t="shared" si="703"/>
        <v>369</v>
      </c>
      <c r="BP93" s="807">
        <f t="shared" ref="BP93:BW93" si="704">BP85+BP88</f>
        <v>-19</v>
      </c>
      <c r="BQ93" s="808">
        <f t="shared" si="704"/>
        <v>-1</v>
      </c>
      <c r="BR93" s="808">
        <f t="shared" si="704"/>
        <v>-44</v>
      </c>
      <c r="BS93" s="809">
        <f t="shared" si="704"/>
        <v>-126</v>
      </c>
      <c r="BT93" s="807">
        <f t="shared" si="704"/>
        <v>-181</v>
      </c>
      <c r="BU93" s="808">
        <f t="shared" si="704"/>
        <v>-250</v>
      </c>
      <c r="BV93" s="808">
        <f t="shared" si="704"/>
        <v>-282</v>
      </c>
      <c r="BW93" s="809">
        <f t="shared" si="704"/>
        <v>-257</v>
      </c>
      <c r="BX93" s="807">
        <f>BX85+BX88</f>
        <v>-244</v>
      </c>
      <c r="BY93" s="808">
        <f>BY85+BY88</f>
        <v>-232</v>
      </c>
      <c r="BZ93" s="808">
        <f>BZ85+BZ88</f>
        <v>97</v>
      </c>
      <c r="CA93" s="809">
        <f t="shared" ref="CA93:CI93" si="705">CA85+CA88</f>
        <v>267</v>
      </c>
      <c r="CB93" s="807">
        <f t="shared" si="705"/>
        <v>904</v>
      </c>
      <c r="CC93" s="808">
        <f t="shared" si="705"/>
        <v>999</v>
      </c>
      <c r="CD93" s="808">
        <f>CD85+CD88</f>
        <v>913</v>
      </c>
      <c r="CE93" s="809">
        <f>CE85+CE88</f>
        <v>962</v>
      </c>
      <c r="CF93" s="807">
        <f t="shared" si="705"/>
        <v>1137</v>
      </c>
      <c r="CG93" s="808">
        <f t="shared" si="705"/>
        <v>942</v>
      </c>
      <c r="CH93" s="808">
        <f>CH85+CH88</f>
        <v>620</v>
      </c>
      <c r="CI93" s="809">
        <f t="shared" si="705"/>
        <v>399</v>
      </c>
      <c r="CJ93" s="807">
        <f t="shared" ref="CJ93:CM93" si="706">CJ85+CJ88</f>
        <v>249</v>
      </c>
      <c r="CK93" s="808">
        <f t="shared" si="706"/>
        <v>-47</v>
      </c>
      <c r="CL93" s="808">
        <f t="shared" si="706"/>
        <v>-79</v>
      </c>
      <c r="CM93" s="809">
        <f t="shared" si="706"/>
        <v>-56</v>
      </c>
      <c r="CN93" s="807">
        <f>CN85+CN88+CN89</f>
        <v>335</v>
      </c>
      <c r="CO93" s="808">
        <f t="shared" ref="CO93:CQ93" si="707">CO85+CO88</f>
        <v>1031</v>
      </c>
      <c r="CP93" s="808">
        <f t="shared" si="707"/>
        <v>1896</v>
      </c>
      <c r="CQ93" s="809">
        <f t="shared" si="707"/>
        <v>2387</v>
      </c>
      <c r="CR93" s="807">
        <f>CR85+CR88+CR89</f>
        <v>2994</v>
      </c>
      <c r="CS93" s="808">
        <f t="shared" ref="CS93" si="708">CS85+CS88</f>
        <v>3497</v>
      </c>
      <c r="CT93" s="808">
        <f t="shared" ref="CT93:CU93" si="709">CT85+CT88+CT89</f>
        <v>3574.2096053387108</v>
      </c>
      <c r="CU93" s="809">
        <f t="shared" si="709"/>
        <v>3518.2660006003762</v>
      </c>
      <c r="CV93" s="807">
        <f t="shared" ref="CV93:CY93" si="710">CV85+CV88+CV89</f>
        <v>2818.9864124111864</v>
      </c>
      <c r="CW93" s="808">
        <f t="shared" si="710"/>
        <v>2372.9252198045269</v>
      </c>
      <c r="CX93" s="808">
        <f t="shared" si="710"/>
        <v>1940.0719806037869</v>
      </c>
      <c r="CY93" s="809">
        <f t="shared" si="710"/>
        <v>1712.1994273413607</v>
      </c>
      <c r="CZ93" s="807">
        <f t="shared" ref="CZ93:DC93" si="711">CZ85+CZ88+CZ89</f>
        <v>1537.7809555562255</v>
      </c>
      <c r="DA93" s="808">
        <f t="shared" si="711"/>
        <v>1404.5726544938814</v>
      </c>
      <c r="DB93" s="808">
        <f t="shared" si="711"/>
        <v>1343.1874698997005</v>
      </c>
      <c r="DC93" s="809">
        <f t="shared" si="711"/>
        <v>1303.2791318465074</v>
      </c>
      <c r="DD93" s="812"/>
      <c r="DE93" s="813"/>
      <c r="DF93" s="813"/>
      <c r="DG93" s="813"/>
      <c r="DH93" s="813"/>
      <c r="DI93" s="813"/>
      <c r="DJ93" s="813"/>
      <c r="DK93" s="813"/>
      <c r="DL93" s="813"/>
      <c r="DM93" s="813"/>
      <c r="DN93" s="813"/>
      <c r="DO93" s="813"/>
      <c r="DP93" s="813"/>
      <c r="DQ93" s="813"/>
      <c r="DR93" s="813"/>
      <c r="DS93" s="813"/>
      <c r="DT93" s="813"/>
      <c r="DU93" s="813"/>
      <c r="DV93" s="813">
        <f>DV85+DV88</f>
        <v>-970</v>
      </c>
      <c r="DW93" s="813">
        <f>DW85+DW88</f>
        <v>-1596</v>
      </c>
      <c r="DX93" s="813">
        <f t="shared" ref="DX93:DZ93" si="712">DX85+DX88</f>
        <v>3778</v>
      </c>
      <c r="DY93" s="813">
        <f t="shared" si="712"/>
        <v>3098</v>
      </c>
      <c r="DZ93" s="813">
        <f t="shared" si="712"/>
        <v>67</v>
      </c>
      <c r="EA93" s="808">
        <f t="shared" ref="EA93:EB93" si="713">EA85+EA88+EA89</f>
        <v>5649</v>
      </c>
      <c r="EB93" s="808">
        <f t="shared" si="713"/>
        <v>13583.475605939084</v>
      </c>
      <c r="EC93" s="809">
        <f t="shared" ref="EC93:ED93" si="714">EC85+EC88+EC89</f>
        <v>8844.1830401608604</v>
      </c>
      <c r="ED93" s="809">
        <f t="shared" si="714"/>
        <v>5588.8202117963083</v>
      </c>
      <c r="EE93" s="1364"/>
      <c r="EF93" s="556"/>
      <c r="EG93" s="554"/>
      <c r="EH93" s="554"/>
      <c r="EI93" s="554"/>
      <c r="EJ93" s="554"/>
      <c r="EK93" s="554"/>
      <c r="EL93" s="554"/>
      <c r="EM93" s="554"/>
      <c r="EN93" s="554"/>
      <c r="EO93" s="554"/>
      <c r="EP93" s="554"/>
      <c r="EQ93" s="554"/>
      <c r="ER93" s="554"/>
      <c r="ES93" s="554"/>
      <c r="ET93" s="554"/>
      <c r="EU93" s="554"/>
      <c r="EV93" s="554"/>
      <c r="EW93" s="554"/>
      <c r="EX93" s="554"/>
      <c r="EY93" s="27">
        <f>SUM(CC93:CF93)</f>
        <v>4011</v>
      </c>
      <c r="EZ93" s="27">
        <f t="shared" ref="EZ93" si="715">SUM(CG93:CJ93)</f>
        <v>2210</v>
      </c>
      <c r="FA93" s="27">
        <f t="shared" ref="FA93:FB93" si="716">FA85+FA88+FA89</f>
        <v>153</v>
      </c>
      <c r="FB93" s="27">
        <f t="shared" si="716"/>
        <v>8308</v>
      </c>
      <c r="FC93" s="27">
        <f t="shared" ref="FC93:FD93" si="717">FC85+FC88+FC89</f>
        <v>13408.462018350272</v>
      </c>
      <c r="FD93" s="27">
        <f t="shared" si="717"/>
        <v>7562.9775833058993</v>
      </c>
      <c r="FE93" s="561"/>
      <c r="FF93" s="766"/>
      <c r="FG93" s="766"/>
      <c r="FH93" s="766"/>
      <c r="FI93"/>
      <c r="FJ93"/>
      <c r="FK93"/>
      <c r="FL93"/>
      <c r="FM93"/>
      <c r="FN93"/>
      <c r="FO93" s="559"/>
    </row>
    <row r="94" spans="1:171" s="330" customFormat="1" ht="14.25" customHeight="1">
      <c r="A94" s="10"/>
      <c r="B94" s="540" t="s">
        <v>185</v>
      </c>
      <c r="C94" s="44"/>
      <c r="D94" s="807">
        <f t="shared" ref="D94:AI94" si="718">+D72-D81</f>
        <v>159.30000000000001</v>
      </c>
      <c r="E94" s="808">
        <f t="shared" si="718"/>
        <v>183.50000000000003</v>
      </c>
      <c r="F94" s="808">
        <f t="shared" si="718"/>
        <v>191.20000000000005</v>
      </c>
      <c r="G94" s="809">
        <f t="shared" si="718"/>
        <v>281.10000000000002</v>
      </c>
      <c r="H94" s="807">
        <f t="shared" si="718"/>
        <v>332.19999999999982</v>
      </c>
      <c r="I94" s="808">
        <f t="shared" si="718"/>
        <v>216.09999999999997</v>
      </c>
      <c r="J94" s="808">
        <f t="shared" si="718"/>
        <v>60.199999999999982</v>
      </c>
      <c r="K94" s="809">
        <f t="shared" si="718"/>
        <v>22.999999999999943</v>
      </c>
      <c r="L94" s="807">
        <f t="shared" si="718"/>
        <v>23.700000000000045</v>
      </c>
      <c r="M94" s="808">
        <f t="shared" si="718"/>
        <v>-55.999999999999943</v>
      </c>
      <c r="N94" s="808">
        <f t="shared" si="718"/>
        <v>102.7</v>
      </c>
      <c r="O94" s="809">
        <f t="shared" si="718"/>
        <v>76.300000000000111</v>
      </c>
      <c r="P94" s="807">
        <f t="shared" si="718"/>
        <v>11.299999999999944</v>
      </c>
      <c r="Q94" s="808">
        <f t="shared" si="718"/>
        <v>-174.79999999999993</v>
      </c>
      <c r="R94" s="808">
        <f t="shared" si="718"/>
        <v>-103.89999999999999</v>
      </c>
      <c r="S94" s="809">
        <f t="shared" si="718"/>
        <v>-85.199999999999932</v>
      </c>
      <c r="T94" s="807">
        <f t="shared" si="718"/>
        <v>-34.100000000000009</v>
      </c>
      <c r="U94" s="808">
        <f t="shared" si="718"/>
        <v>42.299999999999933</v>
      </c>
      <c r="V94" s="808">
        <f t="shared" si="718"/>
        <v>-13.999999999999986</v>
      </c>
      <c r="W94" s="809">
        <f t="shared" si="718"/>
        <v>2.8000000000000131</v>
      </c>
      <c r="X94" s="807">
        <f t="shared" si="718"/>
        <v>389.00000000000011</v>
      </c>
      <c r="Y94" s="808">
        <f t="shared" si="718"/>
        <v>185.49999999999991</v>
      </c>
      <c r="Z94" s="808">
        <f t="shared" si="718"/>
        <v>304.89999999999992</v>
      </c>
      <c r="AA94" s="809">
        <f t="shared" si="718"/>
        <v>703.50000000000023</v>
      </c>
      <c r="AB94" s="807">
        <f t="shared" si="718"/>
        <v>362.39999999999986</v>
      </c>
      <c r="AC94" s="808">
        <f t="shared" si="718"/>
        <v>1.4000000000000583</v>
      </c>
      <c r="AD94" s="808">
        <f t="shared" si="718"/>
        <v>-271.59999999999997</v>
      </c>
      <c r="AE94" s="809">
        <f t="shared" si="718"/>
        <v>-532.09999999999923</v>
      </c>
      <c r="AF94" s="807">
        <f t="shared" si="718"/>
        <v>-260.90000000000003</v>
      </c>
      <c r="AG94" s="808">
        <f t="shared" si="718"/>
        <v>-43.599999999999994</v>
      </c>
      <c r="AH94" s="808">
        <f t="shared" si="718"/>
        <v>-20.899999999999977</v>
      </c>
      <c r="AI94" s="809">
        <f t="shared" si="718"/>
        <v>-560.5</v>
      </c>
      <c r="AJ94" s="807">
        <f t="shared" ref="AJ94:BO94" si="719">+AJ72-AJ81</f>
        <v>-307.49999999999989</v>
      </c>
      <c r="AK94" s="808">
        <f t="shared" si="719"/>
        <v>-501</v>
      </c>
      <c r="AL94" s="808">
        <f t="shared" si="719"/>
        <v>-209.1</v>
      </c>
      <c r="AM94" s="809">
        <f t="shared" si="719"/>
        <v>-96.4</v>
      </c>
      <c r="AN94" s="807">
        <f t="shared" si="719"/>
        <v>-2.2000000000000224</v>
      </c>
      <c r="AO94" s="808">
        <f t="shared" si="719"/>
        <v>-42.699999999999946</v>
      </c>
      <c r="AP94" s="808">
        <f t="shared" si="719"/>
        <v>93.399999999999991</v>
      </c>
      <c r="AQ94" s="809">
        <f t="shared" si="719"/>
        <v>86.800000000000054</v>
      </c>
      <c r="AR94" s="807">
        <f t="shared" si="719"/>
        <v>167.8</v>
      </c>
      <c r="AS94" s="808">
        <f t="shared" si="719"/>
        <v>109.2000000000001</v>
      </c>
      <c r="AT94" s="808">
        <f t="shared" si="719"/>
        <v>-153.19999999999996</v>
      </c>
      <c r="AU94" s="809">
        <f t="shared" si="719"/>
        <v>40.499999999999929</v>
      </c>
      <c r="AV94" s="807">
        <f t="shared" si="719"/>
        <v>50.499999999999893</v>
      </c>
      <c r="AW94" s="808">
        <f t="shared" si="719"/>
        <v>-26.000000000000057</v>
      </c>
      <c r="AX94" s="808">
        <f t="shared" si="719"/>
        <v>72.799999999999983</v>
      </c>
      <c r="AY94" s="809">
        <f t="shared" si="719"/>
        <v>52.500000000000036</v>
      </c>
      <c r="AZ94" s="807">
        <f t="shared" si="719"/>
        <v>113</v>
      </c>
      <c r="BA94" s="808">
        <f t="shared" si="719"/>
        <v>-9</v>
      </c>
      <c r="BB94" s="808">
        <f t="shared" si="719"/>
        <v>-214</v>
      </c>
      <c r="BC94" s="809">
        <f t="shared" si="719"/>
        <v>-145</v>
      </c>
      <c r="BD94" s="807">
        <f t="shared" si="719"/>
        <v>-269</v>
      </c>
      <c r="BE94" s="808">
        <f t="shared" si="719"/>
        <v>-342</v>
      </c>
      <c r="BF94" s="808">
        <f t="shared" si="719"/>
        <v>-257</v>
      </c>
      <c r="BG94" s="809">
        <f t="shared" si="719"/>
        <v>-356</v>
      </c>
      <c r="BH94" s="807">
        <f t="shared" si="719"/>
        <v>-771</v>
      </c>
      <c r="BI94" s="808">
        <f t="shared" si="719"/>
        <v>-563</v>
      </c>
      <c r="BJ94" s="808">
        <f t="shared" si="719"/>
        <v>-167</v>
      </c>
      <c r="BK94" s="809">
        <f t="shared" si="719"/>
        <v>-70</v>
      </c>
      <c r="BL94" s="807">
        <f t="shared" si="719"/>
        <v>227</v>
      </c>
      <c r="BM94" s="808">
        <f t="shared" si="719"/>
        <v>345</v>
      </c>
      <c r="BN94" s="808">
        <f t="shared" si="719"/>
        <v>955</v>
      </c>
      <c r="BO94" s="809">
        <f t="shared" si="719"/>
        <v>385</v>
      </c>
      <c r="BP94" s="807">
        <f t="shared" ref="BP94:BZ94" si="720">+BP72-BP81</f>
        <v>7</v>
      </c>
      <c r="BQ94" s="808">
        <f t="shared" si="720"/>
        <v>47</v>
      </c>
      <c r="BR94" s="808">
        <f t="shared" si="720"/>
        <v>0</v>
      </c>
      <c r="BS94" s="809">
        <f t="shared" si="720"/>
        <v>-86</v>
      </c>
      <c r="BT94" s="807">
        <f t="shared" si="720"/>
        <v>-107</v>
      </c>
      <c r="BU94" s="808">
        <f t="shared" si="720"/>
        <v>-177</v>
      </c>
      <c r="BV94" s="808">
        <f t="shared" si="720"/>
        <v>-167</v>
      </c>
      <c r="BW94" s="809">
        <f t="shared" si="720"/>
        <v>-225</v>
      </c>
      <c r="BX94" s="807">
        <f t="shared" si="720"/>
        <v>-192</v>
      </c>
      <c r="BY94" s="808">
        <f t="shared" si="720"/>
        <v>-174</v>
      </c>
      <c r="BZ94" s="808">
        <f t="shared" si="720"/>
        <v>107</v>
      </c>
      <c r="CA94" s="809">
        <f>+CA72-CA81-CA64+45</f>
        <v>230</v>
      </c>
      <c r="CB94" s="807">
        <f t="shared" ref="CB94:CI94" si="721">CB86+CB88</f>
        <v>882</v>
      </c>
      <c r="CC94" s="808">
        <f t="shared" si="721"/>
        <v>972</v>
      </c>
      <c r="CD94" s="808">
        <f>CD86+CD88</f>
        <v>881</v>
      </c>
      <c r="CE94" s="809">
        <f>CE86+CE88</f>
        <v>928</v>
      </c>
      <c r="CF94" s="807">
        <f t="shared" si="721"/>
        <v>1102</v>
      </c>
      <c r="CG94" s="808">
        <f t="shared" si="721"/>
        <v>893</v>
      </c>
      <c r="CH94" s="808">
        <f t="shared" si="721"/>
        <v>577</v>
      </c>
      <c r="CI94" s="809">
        <f t="shared" si="721"/>
        <v>358</v>
      </c>
      <c r="CJ94" s="807">
        <f t="shared" ref="CJ94:CM94" si="722">CJ86+CJ88</f>
        <v>203</v>
      </c>
      <c r="CK94" s="808">
        <f t="shared" si="722"/>
        <v>-102</v>
      </c>
      <c r="CL94" s="808">
        <f t="shared" si="722"/>
        <v>-126</v>
      </c>
      <c r="CM94" s="809">
        <f t="shared" si="722"/>
        <v>-99</v>
      </c>
      <c r="CN94" s="807">
        <f t="shared" ref="CN94:CQ94" si="723">CN86+CN88</f>
        <v>272</v>
      </c>
      <c r="CO94" s="808">
        <f t="shared" si="723"/>
        <v>976</v>
      </c>
      <c r="CP94" s="808">
        <f t="shared" si="723"/>
        <v>1839</v>
      </c>
      <c r="CQ94" s="809">
        <f t="shared" si="723"/>
        <v>2330</v>
      </c>
      <c r="CR94" s="807">
        <f t="shared" ref="CR94:CS94" si="724">CR86+CR88</f>
        <v>2943</v>
      </c>
      <c r="CS94" s="808">
        <f t="shared" si="724"/>
        <v>3445</v>
      </c>
      <c r="CT94" s="808">
        <f t="shared" ref="CT94:CU94" si="725">CT86+CT88</f>
        <v>3522.2096053387108</v>
      </c>
      <c r="CU94" s="809">
        <f t="shared" si="725"/>
        <v>3466.2660006003762</v>
      </c>
      <c r="CV94" s="807">
        <f t="shared" ref="CV94:CY94" si="726">CV86+CV88</f>
        <v>2766.9864124111864</v>
      </c>
      <c r="CW94" s="808">
        <f t="shared" si="726"/>
        <v>2320.9252198045269</v>
      </c>
      <c r="CX94" s="808">
        <f t="shared" si="726"/>
        <v>1888.0719806037869</v>
      </c>
      <c r="CY94" s="809">
        <f t="shared" si="726"/>
        <v>1660.1994273413607</v>
      </c>
      <c r="CZ94" s="807">
        <f t="shared" ref="CZ94:DC94" si="727">CZ86+CZ88</f>
        <v>1485.7809555562255</v>
      </c>
      <c r="DA94" s="808">
        <f t="shared" si="727"/>
        <v>1352.5726544938814</v>
      </c>
      <c r="DB94" s="808">
        <f t="shared" si="727"/>
        <v>1291.1874698997005</v>
      </c>
      <c r="DC94" s="809">
        <f t="shared" si="727"/>
        <v>1251.2791318465074</v>
      </c>
      <c r="DD94" s="763"/>
      <c r="DE94" s="808">
        <f t="shared" ref="DE94:DW94" si="728">+DE72-DE81</f>
        <v>815.0999999999998</v>
      </c>
      <c r="DF94" s="808">
        <f t="shared" si="728"/>
        <v>631.5</v>
      </c>
      <c r="DG94" s="808">
        <f t="shared" si="728"/>
        <v>146.70000000000016</v>
      </c>
      <c r="DH94" s="808">
        <f t="shared" si="728"/>
        <v>-352.59999999999991</v>
      </c>
      <c r="DI94" s="808">
        <f t="shared" si="728"/>
        <v>-3.0000000000004547</v>
      </c>
      <c r="DJ94" s="808">
        <f t="shared" si="728"/>
        <v>1582.9000000000003</v>
      </c>
      <c r="DK94" s="808">
        <f t="shared" si="728"/>
        <v>-439.89999999999884</v>
      </c>
      <c r="DL94" s="808">
        <f t="shared" si="728"/>
        <v>-885.90000000000032</v>
      </c>
      <c r="DM94" s="808">
        <f t="shared" si="728"/>
        <v>-1113.9999999999998</v>
      </c>
      <c r="DN94" s="808">
        <f t="shared" si="728"/>
        <v>135.29999999999973</v>
      </c>
      <c r="DO94" s="808">
        <f t="shared" si="728"/>
        <v>164.30000000000018</v>
      </c>
      <c r="DP94" s="808">
        <f t="shared" si="728"/>
        <v>149.79999999999947</v>
      </c>
      <c r="DQ94" s="808">
        <f t="shared" si="728"/>
        <v>-255</v>
      </c>
      <c r="DR94" s="808">
        <f t="shared" si="728"/>
        <v>-1224</v>
      </c>
      <c r="DS94" s="808">
        <f t="shared" si="728"/>
        <v>-1571</v>
      </c>
      <c r="DT94" s="808">
        <f t="shared" si="728"/>
        <v>1912</v>
      </c>
      <c r="DU94" s="808">
        <f t="shared" si="728"/>
        <v>-32</v>
      </c>
      <c r="DV94" s="808">
        <f t="shared" si="728"/>
        <v>-676</v>
      </c>
      <c r="DW94" s="808">
        <f t="shared" si="728"/>
        <v>-1513</v>
      </c>
      <c r="DX94" s="808">
        <f t="shared" ref="DX94:EB94" si="729">DX86+DX88</f>
        <v>3663</v>
      </c>
      <c r="DY94" s="808">
        <f t="shared" si="729"/>
        <v>2930</v>
      </c>
      <c r="DZ94" s="808">
        <f t="shared" si="729"/>
        <v>-124</v>
      </c>
      <c r="EA94" s="808">
        <f t="shared" ref="EA94" si="730">EA86+EA88</f>
        <v>5417</v>
      </c>
      <c r="EB94" s="808">
        <f t="shared" si="729"/>
        <v>13376.475605939084</v>
      </c>
      <c r="EC94" s="809">
        <f t="shared" ref="EC94:ED94" si="731">EC86+EC88</f>
        <v>8636.1830401608604</v>
      </c>
      <c r="ED94" s="809">
        <f t="shared" si="731"/>
        <v>5380.8202117963083</v>
      </c>
      <c r="EE94" s="1364"/>
      <c r="EF94" s="45">
        <f t="shared" ref="EF94:EU94" si="732">+EF72-EF81</f>
        <v>987.99999999999989</v>
      </c>
      <c r="EG94" s="46">
        <f t="shared" si="732"/>
        <v>323.00000000000011</v>
      </c>
      <c r="EH94" s="46">
        <f t="shared" si="732"/>
        <v>134.29999999999967</v>
      </c>
      <c r="EI94" s="46">
        <f t="shared" si="732"/>
        <v>-398.00000000000006</v>
      </c>
      <c r="EJ94" s="46">
        <f t="shared" si="732"/>
        <v>420.09999999999957</v>
      </c>
      <c r="EK94" s="46">
        <f t="shared" si="732"/>
        <v>1556.2999999999988</v>
      </c>
      <c r="EL94" s="46">
        <f t="shared" si="732"/>
        <v>-1063.1999999999991</v>
      </c>
      <c r="EM94" s="46">
        <f t="shared" si="732"/>
        <v>-932.50000000000057</v>
      </c>
      <c r="EN94" s="46">
        <f t="shared" si="732"/>
        <v>-808.7000000000005</v>
      </c>
      <c r="EO94" s="46">
        <f t="shared" si="732"/>
        <v>305.30000000000075</v>
      </c>
      <c r="EP94" s="46">
        <f t="shared" si="732"/>
        <v>47.000000000000632</v>
      </c>
      <c r="EQ94" s="46">
        <f t="shared" si="732"/>
        <v>212.30000000000109</v>
      </c>
      <c r="ER94" s="46">
        <f t="shared" si="732"/>
        <v>-637</v>
      </c>
      <c r="ES94" s="46">
        <f t="shared" si="732"/>
        <v>-1726</v>
      </c>
      <c r="ET94" s="46">
        <f t="shared" si="732"/>
        <v>-573</v>
      </c>
      <c r="EU94" s="46">
        <f t="shared" si="732"/>
        <v>1692</v>
      </c>
      <c r="EV94" s="46">
        <f t="shared" ref="EV94:FB94" si="733">EV86+EV88</f>
        <v>-206</v>
      </c>
      <c r="EW94" s="46">
        <f t="shared" si="733"/>
        <v>-272</v>
      </c>
      <c r="EX94" s="46">
        <f t="shared" si="733"/>
        <v>55</v>
      </c>
      <c r="EY94" s="46">
        <f t="shared" si="733"/>
        <v>3883</v>
      </c>
      <c r="EZ94" s="46">
        <f t="shared" si="733"/>
        <v>2031</v>
      </c>
      <c r="FA94" s="46">
        <f t="shared" si="733"/>
        <v>-55</v>
      </c>
      <c r="FB94" s="46">
        <f t="shared" si="733"/>
        <v>8088</v>
      </c>
      <c r="FC94" s="46">
        <f t="shared" ref="FC94:FD94" si="734">FC86+FC88</f>
        <v>13200.462018350272</v>
      </c>
      <c r="FD94" s="46">
        <f t="shared" si="734"/>
        <v>7354.9775833058993</v>
      </c>
      <c r="FE94" s="393"/>
      <c r="FF94" s="299"/>
      <c r="FG94" s="299"/>
      <c r="FH94" s="299"/>
      <c r="FI94"/>
      <c r="FJ94"/>
      <c r="FK94"/>
      <c r="FL94"/>
      <c r="FM94"/>
      <c r="FN94"/>
      <c r="FO94" s="10"/>
    </row>
    <row r="95" spans="1:171" s="330" customFormat="1" ht="9.75" customHeight="1">
      <c r="A95" s="10"/>
      <c r="B95" s="543"/>
      <c r="C95" s="31"/>
      <c r="D95" s="34"/>
      <c r="E95" s="1209"/>
      <c r="F95" s="1209"/>
      <c r="G95" s="33"/>
      <c r="H95" s="34"/>
      <c r="I95" s="1209"/>
      <c r="J95" s="1209"/>
      <c r="K95" s="33"/>
      <c r="L95" s="34"/>
      <c r="M95" s="1209"/>
      <c r="N95" s="1209"/>
      <c r="O95" s="33"/>
      <c r="P95" s="34"/>
      <c r="Q95" s="1209"/>
      <c r="R95" s="1209"/>
      <c r="S95" s="33"/>
      <c r="T95" s="34"/>
      <c r="U95" s="1209"/>
      <c r="V95" s="1209"/>
      <c r="W95" s="33"/>
      <c r="X95" s="34"/>
      <c r="Y95" s="1209"/>
      <c r="Z95" s="1209"/>
      <c r="AA95" s="33"/>
      <c r="AB95" s="34"/>
      <c r="AC95" s="1209"/>
      <c r="AD95" s="1209"/>
      <c r="AE95" s="33"/>
      <c r="AF95" s="34"/>
      <c r="AG95" s="1209"/>
      <c r="AH95" s="1209"/>
      <c r="AI95" s="33"/>
      <c r="AJ95" s="34"/>
      <c r="AK95" s="1209"/>
      <c r="AL95" s="1209"/>
      <c r="AM95" s="33"/>
      <c r="AN95" s="34"/>
      <c r="AO95" s="1209"/>
      <c r="AP95" s="1209"/>
      <c r="AQ95" s="33"/>
      <c r="AR95" s="34"/>
      <c r="AS95" s="1209"/>
      <c r="AT95" s="1209"/>
      <c r="AU95" s="33"/>
      <c r="AV95" s="34"/>
      <c r="AW95" s="1209"/>
      <c r="AX95" s="1209"/>
      <c r="AY95" s="33"/>
      <c r="AZ95" s="34"/>
      <c r="BA95" s="1209"/>
      <c r="BB95" s="1209"/>
      <c r="BC95" s="33"/>
      <c r="BD95" s="34"/>
      <c r="BE95" s="1209"/>
      <c r="BF95" s="1209"/>
      <c r="BG95" s="33"/>
      <c r="BH95" s="34"/>
      <c r="BI95" s="1209"/>
      <c r="BJ95" s="1209"/>
      <c r="BK95" s="33"/>
      <c r="BL95" s="34"/>
      <c r="BM95" s="1209"/>
      <c r="BN95" s="1209"/>
      <c r="BO95" s="33"/>
      <c r="BP95" s="34"/>
      <c r="BQ95" s="1209"/>
      <c r="BR95" s="1209"/>
      <c r="BS95" s="33"/>
      <c r="BT95" s="34"/>
      <c r="BU95" s="1209"/>
      <c r="BV95" s="1209"/>
      <c r="BW95" s="33"/>
      <c r="BX95" s="34"/>
      <c r="BY95" s="32"/>
      <c r="BZ95" s="32"/>
      <c r="CA95" s="33"/>
      <c r="CB95" s="34"/>
      <c r="CC95" s="32"/>
      <c r="CD95" s="32"/>
      <c r="CE95" s="33"/>
      <c r="CF95" s="34"/>
      <c r="CG95" s="32"/>
      <c r="CH95" s="32"/>
      <c r="CI95" s="33"/>
      <c r="CJ95" s="34"/>
      <c r="CK95" s="32"/>
      <c r="CL95" s="32"/>
      <c r="CM95" s="33"/>
      <c r="CN95" s="34"/>
      <c r="CO95" s="1209"/>
      <c r="CP95" s="1209"/>
      <c r="CQ95" s="33"/>
      <c r="CR95" s="34"/>
      <c r="CS95" s="1209"/>
      <c r="CT95" s="32"/>
      <c r="CU95" s="33"/>
      <c r="CV95" s="34"/>
      <c r="CW95" s="1209"/>
      <c r="CX95" s="1209"/>
      <c r="CY95" s="33"/>
      <c r="CZ95" s="34"/>
      <c r="DA95" s="1209"/>
      <c r="DB95" s="1209"/>
      <c r="DC95" s="33"/>
      <c r="DD95" s="153"/>
      <c r="DE95" s="32"/>
      <c r="DF95" s="32"/>
      <c r="DG95" s="32"/>
      <c r="DH95" s="32"/>
      <c r="DI95" s="32"/>
      <c r="DJ95" s="32"/>
      <c r="DK95" s="32"/>
      <c r="DL95" s="32"/>
      <c r="DM95" s="32"/>
      <c r="DN95" s="32"/>
      <c r="DO95" s="32"/>
      <c r="DP95" s="32"/>
      <c r="DQ95" s="32"/>
      <c r="DR95" s="32"/>
      <c r="DS95" s="32"/>
      <c r="DT95" s="1209"/>
      <c r="DU95" s="1209"/>
      <c r="DV95" s="1209"/>
      <c r="DW95" s="1209"/>
      <c r="DX95" s="1209"/>
      <c r="DY95" s="1209"/>
      <c r="DZ95" s="1209"/>
      <c r="EA95" s="1209"/>
      <c r="EB95" s="1209"/>
      <c r="EC95" s="33"/>
      <c r="ED95" s="33"/>
      <c r="EE95" s="1364"/>
      <c r="EF95" s="34"/>
      <c r="EG95" s="32"/>
      <c r="EH95" s="32"/>
      <c r="EI95" s="32"/>
      <c r="EJ95" s="32"/>
      <c r="EK95" s="32"/>
      <c r="EL95" s="32"/>
      <c r="EM95" s="32"/>
      <c r="EN95" s="32"/>
      <c r="EO95" s="32"/>
      <c r="EP95" s="32"/>
      <c r="EQ95" s="32"/>
      <c r="ER95" s="32"/>
      <c r="ES95" s="32"/>
      <c r="ET95" s="1209"/>
      <c r="EU95" s="1209"/>
      <c r="EV95" s="1160"/>
      <c r="EW95" s="1160"/>
      <c r="EX95" s="1160"/>
      <c r="EY95" s="1160"/>
      <c r="EZ95" s="1160"/>
      <c r="FA95" s="1160"/>
      <c r="FB95" s="1160"/>
      <c r="FC95" s="1160"/>
      <c r="FD95" s="1160"/>
      <c r="FE95" s="393"/>
      <c r="FF95" s="299"/>
      <c r="FG95" s="299"/>
      <c r="FH95" s="299"/>
      <c r="FI95"/>
      <c r="FJ95"/>
      <c r="FK95"/>
      <c r="FL95"/>
      <c r="FM95"/>
      <c r="FN95"/>
      <c r="FO95" s="10"/>
    </row>
    <row r="96" spans="1:171" s="562" customFormat="1" ht="14.25" customHeight="1">
      <c r="A96" s="559"/>
      <c r="B96" s="675" t="s">
        <v>371</v>
      </c>
      <c r="C96" s="549"/>
      <c r="D96" s="552">
        <v>0</v>
      </c>
      <c r="E96" s="550">
        <v>0</v>
      </c>
      <c r="F96" s="550">
        <v>0</v>
      </c>
      <c r="G96" s="551">
        <v>0</v>
      </c>
      <c r="H96" s="552">
        <v>0</v>
      </c>
      <c r="I96" s="550">
        <v>0</v>
      </c>
      <c r="J96" s="550">
        <v>0</v>
      </c>
      <c r="K96" s="551">
        <v>0</v>
      </c>
      <c r="L96" s="552">
        <v>0</v>
      </c>
      <c r="M96" s="550">
        <v>0</v>
      </c>
      <c r="N96" s="550">
        <v>0</v>
      </c>
      <c r="O96" s="551">
        <v>0</v>
      </c>
      <c r="P96" s="552">
        <v>0</v>
      </c>
      <c r="Q96" s="550">
        <v>0</v>
      </c>
      <c r="R96" s="550">
        <v>0</v>
      </c>
      <c r="S96" s="551">
        <v>0</v>
      </c>
      <c r="T96" s="552">
        <v>0</v>
      </c>
      <c r="U96" s="550">
        <v>0</v>
      </c>
      <c r="V96" s="550">
        <v>0</v>
      </c>
      <c r="W96" s="551">
        <v>0</v>
      </c>
      <c r="X96" s="552">
        <v>0</v>
      </c>
      <c r="Y96" s="550">
        <v>0</v>
      </c>
      <c r="Z96" s="550">
        <v>0</v>
      </c>
      <c r="AA96" s="551">
        <v>0</v>
      </c>
      <c r="AB96" s="552">
        <v>0</v>
      </c>
      <c r="AC96" s="550">
        <v>0</v>
      </c>
      <c r="AD96" s="550">
        <v>0</v>
      </c>
      <c r="AE96" s="551">
        <v>0</v>
      </c>
      <c r="AF96" s="552">
        <v>0</v>
      </c>
      <c r="AG96" s="550">
        <v>0</v>
      </c>
      <c r="AH96" s="550">
        <v>0</v>
      </c>
      <c r="AI96" s="551">
        <v>0</v>
      </c>
      <c r="AJ96" s="552">
        <v>0</v>
      </c>
      <c r="AK96" s="550">
        <v>0</v>
      </c>
      <c r="AL96" s="550">
        <v>0</v>
      </c>
      <c r="AM96" s="551">
        <v>0</v>
      </c>
      <c r="AN96" s="552">
        <v>0</v>
      </c>
      <c r="AO96" s="550">
        <v>0</v>
      </c>
      <c r="AP96" s="550">
        <v>0</v>
      </c>
      <c r="AQ96" s="551">
        <v>0</v>
      </c>
      <c r="AR96" s="552">
        <v>0</v>
      </c>
      <c r="AS96" s="550">
        <v>0</v>
      </c>
      <c r="AT96" s="550">
        <v>0</v>
      </c>
      <c r="AU96" s="551">
        <v>0</v>
      </c>
      <c r="AV96" s="552"/>
      <c r="AW96" s="550"/>
      <c r="AX96" s="550">
        <v>17.2</v>
      </c>
      <c r="AY96" s="551">
        <v>-23.9</v>
      </c>
      <c r="AZ96" s="552">
        <v>-29</v>
      </c>
      <c r="BA96" s="550">
        <v>-48</v>
      </c>
      <c r="BB96" s="550">
        <v>-39</v>
      </c>
      <c r="BC96" s="551">
        <v>-6</v>
      </c>
      <c r="BD96" s="552">
        <v>-3</v>
      </c>
      <c r="BE96" s="550">
        <v>-6</v>
      </c>
      <c r="BF96" s="550">
        <v>8</v>
      </c>
      <c r="BG96" s="551">
        <v>11</v>
      </c>
      <c r="BH96" s="552">
        <v>13</v>
      </c>
      <c r="BI96" s="550">
        <v>51</v>
      </c>
      <c r="BJ96" s="550">
        <v>33</v>
      </c>
      <c r="BK96" s="551">
        <v>14</v>
      </c>
      <c r="BL96" s="552">
        <v>2</v>
      </c>
      <c r="BM96" s="550">
        <v>-14</v>
      </c>
      <c r="BN96" s="550">
        <v>-21</v>
      </c>
      <c r="BO96" s="551">
        <f>-50-BN96-BM96-BL96</f>
        <v>-17</v>
      </c>
      <c r="BP96" s="552">
        <v>-17</v>
      </c>
      <c r="BQ96" s="550">
        <v>-3</v>
      </c>
      <c r="BR96" s="550">
        <v>-2</v>
      </c>
      <c r="BS96" s="551">
        <f>-23-BR96-BQ96-BP96</f>
        <v>-1</v>
      </c>
      <c r="BT96" s="552">
        <v>0</v>
      </c>
      <c r="BU96" s="550">
        <v>0</v>
      </c>
      <c r="BV96" s="550">
        <v>0</v>
      </c>
      <c r="BW96" s="551">
        <v>-1</v>
      </c>
      <c r="BX96" s="552">
        <v>0</v>
      </c>
      <c r="BY96" s="550">
        <v>-2</v>
      </c>
      <c r="BZ96" s="550">
        <v>0</v>
      </c>
      <c r="CA96" s="551">
        <v>-2</v>
      </c>
      <c r="CB96" s="552">
        <v>-23</v>
      </c>
      <c r="CC96" s="550">
        <v>-10</v>
      </c>
      <c r="CD96" s="550">
        <v>0</v>
      </c>
      <c r="CE96" s="551">
        <v>-1</v>
      </c>
      <c r="CF96" s="552">
        <v>1</v>
      </c>
      <c r="CG96" s="550">
        <v>-1</v>
      </c>
      <c r="CH96" s="550">
        <v>0</v>
      </c>
      <c r="CI96" s="551">
        <v>0</v>
      </c>
      <c r="CJ96" s="552">
        <v>0</v>
      </c>
      <c r="CK96" s="550">
        <v>-1</v>
      </c>
      <c r="CL96" s="550">
        <v>0</v>
      </c>
      <c r="CM96" s="551">
        <v>0</v>
      </c>
      <c r="CN96" s="552">
        <v>0</v>
      </c>
      <c r="CO96" s="550">
        <v>0</v>
      </c>
      <c r="CP96" s="550">
        <v>0</v>
      </c>
      <c r="CQ96" s="551">
        <v>-1</v>
      </c>
      <c r="CR96" s="552">
        <v>0</v>
      </c>
      <c r="CS96" s="550">
        <v>-2</v>
      </c>
      <c r="CT96" s="550">
        <v>0</v>
      </c>
      <c r="CU96" s="551">
        <v>0</v>
      </c>
      <c r="CV96" s="552">
        <v>0</v>
      </c>
      <c r="CW96" s="550">
        <v>0</v>
      </c>
      <c r="CX96" s="550">
        <v>0</v>
      </c>
      <c r="CY96" s="551">
        <v>0</v>
      </c>
      <c r="CZ96" s="552">
        <v>0</v>
      </c>
      <c r="DA96" s="550">
        <v>0</v>
      </c>
      <c r="DB96" s="550">
        <v>0</v>
      </c>
      <c r="DC96" s="551">
        <v>0</v>
      </c>
      <c r="DD96" s="560"/>
      <c r="DE96" s="554">
        <f>SUM(D96:G96)</f>
        <v>0</v>
      </c>
      <c r="DF96" s="554">
        <f>SUM(H96:K96)</f>
        <v>0</v>
      </c>
      <c r="DG96" s="554">
        <f>SUM(L96:O96)</f>
        <v>0</v>
      </c>
      <c r="DH96" s="554">
        <f>SUM(P96:S96)</f>
        <v>0</v>
      </c>
      <c r="DI96" s="554">
        <f>SUM(T96:W96)</f>
        <v>0</v>
      </c>
      <c r="DJ96" s="554">
        <f>SUM(X96:AA96)</f>
        <v>0</v>
      </c>
      <c r="DK96" s="554">
        <f>SUM(AB96:AE96)</f>
        <v>0</v>
      </c>
      <c r="DL96" s="554">
        <f>SUM(AF96:AI96)</f>
        <v>0</v>
      </c>
      <c r="DM96" s="554">
        <f>SUM(AJ96:AM96)</f>
        <v>0</v>
      </c>
      <c r="DN96" s="554">
        <f>SUM(AN96:AQ96)</f>
        <v>0</v>
      </c>
      <c r="DO96" s="554">
        <f>SUM(AR96:AU96)</f>
        <v>0</v>
      </c>
      <c r="DP96" s="554">
        <f>SUM(AV96:AY96)</f>
        <v>-6.6999999999999993</v>
      </c>
      <c r="DQ96" s="554">
        <f>SUM(AZ96:BC96)</f>
        <v>-122</v>
      </c>
      <c r="DR96" s="554">
        <f>SUM(BD96:BG96)</f>
        <v>10</v>
      </c>
      <c r="DS96" s="554">
        <f>SUM(BH96:BK96)</f>
        <v>111</v>
      </c>
      <c r="DT96" s="554">
        <f>SUM(BL96:BO96)</f>
        <v>-50</v>
      </c>
      <c r="DU96" s="554">
        <f>SUM(BP96:BS96)</f>
        <v>-23</v>
      </c>
      <c r="DV96" s="554">
        <f>SUM(BT96:BW96)</f>
        <v>-1</v>
      </c>
      <c r="DW96" s="554">
        <f>SUM(BX96:CA96)</f>
        <v>-4</v>
      </c>
      <c r="DX96" s="554">
        <f>SUM(CB96:CE96)</f>
        <v>-34</v>
      </c>
      <c r="DY96" s="554">
        <f>SUM(CF96:CI96)</f>
        <v>0</v>
      </c>
      <c r="DZ96" s="554">
        <f>SUM(CJ96:CM96)</f>
        <v>-1</v>
      </c>
      <c r="EA96" s="554">
        <f>SUM(CN96:CQ96)</f>
        <v>-1</v>
      </c>
      <c r="EB96" s="554">
        <f t="shared" ref="EB96" si="735">SUM(CR96:CU96)</f>
        <v>-2</v>
      </c>
      <c r="EC96" s="555">
        <f>SUM(CV96:CY96)</f>
        <v>0</v>
      </c>
      <c r="ED96" s="555">
        <f>SUM(CZ96:DC96)</f>
        <v>0</v>
      </c>
      <c r="EE96" s="1364"/>
      <c r="EF96" s="556">
        <f>SUM(E96:H96)</f>
        <v>0</v>
      </c>
      <c r="EG96" s="554">
        <f>SUM(I96:L96)</f>
        <v>0</v>
      </c>
      <c r="EH96" s="554">
        <f>SUM(M96:P96)</f>
        <v>0</v>
      </c>
      <c r="EI96" s="554">
        <f>SUM(Q96:T96)</f>
        <v>0</v>
      </c>
      <c r="EJ96" s="554">
        <f>SUM(U96:X96)</f>
        <v>0</v>
      </c>
      <c r="EK96" s="554">
        <f>SUM(Y96:AB96)</f>
        <v>0</v>
      </c>
      <c r="EL96" s="554">
        <f>SUM(AC96:AF96)</f>
        <v>0</v>
      </c>
      <c r="EM96" s="554">
        <f>SUM(AG96:AJ96)</f>
        <v>0</v>
      </c>
      <c r="EN96" s="554">
        <f>SUM(AK96:AN96)</f>
        <v>0</v>
      </c>
      <c r="EO96" s="554">
        <f>SUM(AO96:AR96)</f>
        <v>0</v>
      </c>
      <c r="EP96" s="554">
        <f>SUM(AS96:AV96)</f>
        <v>0</v>
      </c>
      <c r="EQ96" s="554">
        <f>SUM(AW96:AZ96)</f>
        <v>-35.700000000000003</v>
      </c>
      <c r="ER96" s="554">
        <f>SUM(BA96:BD96)</f>
        <v>-96</v>
      </c>
      <c r="ES96" s="554">
        <f>SUM(BE96:BH96)</f>
        <v>26</v>
      </c>
      <c r="ET96" s="554">
        <f>SUM(BI96:BL96)</f>
        <v>100</v>
      </c>
      <c r="EU96" s="554">
        <f>SUM(BM96:BP96)</f>
        <v>-69</v>
      </c>
      <c r="EV96" s="554">
        <f>SUM(BQ96:BT96)</f>
        <v>-6</v>
      </c>
      <c r="EW96" s="554">
        <f>SUM(BU96:BX96)</f>
        <v>-1</v>
      </c>
      <c r="EX96" s="554">
        <f>SUM(BY96:CB96)</f>
        <v>-27</v>
      </c>
      <c r="EY96" s="554">
        <f>SUM(CC96:CF96)</f>
        <v>-10</v>
      </c>
      <c r="EZ96" s="554">
        <f t="shared" ref="EZ96" si="736">SUM(CG96:CJ96)</f>
        <v>-1</v>
      </c>
      <c r="FA96" s="554">
        <f t="shared" ref="FA96" si="737">SUM(CK96:CN96)</f>
        <v>-1</v>
      </c>
      <c r="FB96" s="554">
        <f t="shared" ref="FB96" si="738">SUM(CO96:CR96)</f>
        <v>-1</v>
      </c>
      <c r="FC96" s="554">
        <f>SUM(CS96:CV96)</f>
        <v>-2</v>
      </c>
      <c r="FD96" s="554">
        <f>SUM(CW96:CZ96)</f>
        <v>0</v>
      </c>
      <c r="FE96" s="561"/>
      <c r="FF96" s="766"/>
      <c r="FG96" s="766"/>
      <c r="FH96" s="766"/>
      <c r="FI96"/>
      <c r="FJ96"/>
      <c r="FK96"/>
      <c r="FL96"/>
      <c r="FM96"/>
      <c r="FN96"/>
      <c r="FO96" s="559"/>
    </row>
    <row r="97" spans="1:171" s="330" customFormat="1" ht="14.25" customHeight="1">
      <c r="A97" s="10"/>
      <c r="B97" s="540" t="s">
        <v>132</v>
      </c>
      <c r="C97" s="815"/>
      <c r="D97" s="807">
        <f t="shared" ref="D97:AI97" si="739">+D90+D96</f>
        <v>159.30000000000001</v>
      </c>
      <c r="E97" s="808">
        <f t="shared" si="739"/>
        <v>183.50000000000003</v>
      </c>
      <c r="F97" s="808">
        <f t="shared" si="739"/>
        <v>220.20000000000005</v>
      </c>
      <c r="G97" s="809">
        <f t="shared" si="739"/>
        <v>281.10000000000002</v>
      </c>
      <c r="H97" s="807">
        <f t="shared" si="739"/>
        <v>328.49999999999989</v>
      </c>
      <c r="I97" s="808">
        <f t="shared" si="739"/>
        <v>188.19999999999993</v>
      </c>
      <c r="J97" s="808">
        <f t="shared" si="739"/>
        <v>58.199999999999982</v>
      </c>
      <c r="K97" s="809">
        <f t="shared" si="739"/>
        <v>18.599999999999941</v>
      </c>
      <c r="L97" s="807">
        <f t="shared" si="739"/>
        <v>20.600000000000044</v>
      </c>
      <c r="M97" s="808">
        <f t="shared" si="739"/>
        <v>142.70000000000005</v>
      </c>
      <c r="N97" s="808">
        <f t="shared" si="739"/>
        <v>96.8</v>
      </c>
      <c r="O97" s="809">
        <f t="shared" si="739"/>
        <v>72.100000000000094</v>
      </c>
      <c r="P97" s="807">
        <f t="shared" si="739"/>
        <v>6.4999999999999485</v>
      </c>
      <c r="Q97" s="808">
        <f t="shared" si="739"/>
        <v>-50.899999999999935</v>
      </c>
      <c r="R97" s="808">
        <f t="shared" si="739"/>
        <v>-109.39999999999999</v>
      </c>
      <c r="S97" s="809">
        <f t="shared" si="739"/>
        <v>-93.299999999999926</v>
      </c>
      <c r="T97" s="807">
        <f t="shared" si="739"/>
        <v>-46.200000000000024</v>
      </c>
      <c r="U97" s="808">
        <f t="shared" si="739"/>
        <v>22.399999999999928</v>
      </c>
      <c r="V97" s="808">
        <f t="shared" si="739"/>
        <v>-27.699999999999982</v>
      </c>
      <c r="W97" s="809">
        <f t="shared" si="739"/>
        <v>-17.399999999999977</v>
      </c>
      <c r="X97" s="807">
        <f t="shared" si="739"/>
        <v>341.30000000000007</v>
      </c>
      <c r="Y97" s="808">
        <f t="shared" si="739"/>
        <v>161.2999999999999</v>
      </c>
      <c r="Z97" s="808">
        <f t="shared" si="739"/>
        <v>274.89999999999992</v>
      </c>
      <c r="AA97" s="809">
        <f t="shared" si="739"/>
        <v>726.70000000000027</v>
      </c>
      <c r="AB97" s="807">
        <f t="shared" si="739"/>
        <v>352.19999999999982</v>
      </c>
      <c r="AC97" s="808">
        <f t="shared" si="739"/>
        <v>-88.29999999999994</v>
      </c>
      <c r="AD97" s="808">
        <f t="shared" si="739"/>
        <v>-313.39999999999992</v>
      </c>
      <c r="AE97" s="809">
        <f t="shared" si="739"/>
        <v>-575.49999999999932</v>
      </c>
      <c r="AF97" s="807">
        <f t="shared" si="739"/>
        <v>-265.90000000000003</v>
      </c>
      <c r="AG97" s="808">
        <f t="shared" si="739"/>
        <v>-30.400000000000002</v>
      </c>
      <c r="AH97" s="808">
        <f t="shared" si="739"/>
        <v>-24.79999999999999</v>
      </c>
      <c r="AI97" s="809">
        <f t="shared" si="739"/>
        <v>-588</v>
      </c>
      <c r="AJ97" s="807">
        <f t="shared" ref="AJ97:BO97" si="740">+AJ90+AJ96</f>
        <v>-317.39999999999992</v>
      </c>
      <c r="AK97" s="808">
        <f t="shared" si="740"/>
        <v>-620.79999999999995</v>
      </c>
      <c r="AL97" s="808">
        <f t="shared" si="740"/>
        <v>-216.5</v>
      </c>
      <c r="AM97" s="809">
        <f t="shared" si="740"/>
        <v>-124.80000000000001</v>
      </c>
      <c r="AN97" s="807">
        <f t="shared" si="740"/>
        <v>0.59999999999998721</v>
      </c>
      <c r="AO97" s="808">
        <f t="shared" si="740"/>
        <v>-28.299999999999937</v>
      </c>
      <c r="AP97" s="808">
        <f t="shared" si="740"/>
        <v>94.299999999999983</v>
      </c>
      <c r="AQ97" s="809">
        <f t="shared" si="740"/>
        <v>96.900000000000034</v>
      </c>
      <c r="AR97" s="807">
        <f t="shared" si="740"/>
        <v>158.30000000000001</v>
      </c>
      <c r="AS97" s="808">
        <f t="shared" si="740"/>
        <v>121.3000000000001</v>
      </c>
      <c r="AT97" s="808">
        <f t="shared" si="740"/>
        <v>-127.89999999999996</v>
      </c>
      <c r="AU97" s="809">
        <f t="shared" si="740"/>
        <v>43.099999999999923</v>
      </c>
      <c r="AV97" s="807">
        <f t="shared" si="740"/>
        <v>62.599999999999888</v>
      </c>
      <c r="AW97" s="808">
        <f t="shared" si="740"/>
        <v>193.19999999999993</v>
      </c>
      <c r="AX97" s="808">
        <f t="shared" si="740"/>
        <v>88.499999999999986</v>
      </c>
      <c r="AY97" s="809">
        <f t="shared" si="740"/>
        <v>63.500000000000021</v>
      </c>
      <c r="AZ97" s="807">
        <f t="shared" si="740"/>
        <v>115</v>
      </c>
      <c r="BA97" s="808">
        <f t="shared" si="740"/>
        <v>-52</v>
      </c>
      <c r="BB97" s="808">
        <f t="shared" si="740"/>
        <v>-225</v>
      </c>
      <c r="BC97" s="809">
        <f t="shared" si="740"/>
        <v>-158</v>
      </c>
      <c r="BD97" s="807">
        <f t="shared" si="740"/>
        <v>-262</v>
      </c>
      <c r="BE97" s="808">
        <f t="shared" si="740"/>
        <v>-777</v>
      </c>
      <c r="BF97" s="808">
        <f t="shared" si="740"/>
        <v>-236</v>
      </c>
      <c r="BG97" s="809">
        <f t="shared" si="740"/>
        <v>-344</v>
      </c>
      <c r="BH97" s="807">
        <f t="shared" si="740"/>
        <v>-706</v>
      </c>
      <c r="BI97" s="808">
        <f t="shared" si="740"/>
        <v>-751</v>
      </c>
      <c r="BJ97" s="808">
        <f t="shared" si="740"/>
        <v>-290</v>
      </c>
      <c r="BK97" s="809">
        <f t="shared" si="740"/>
        <v>-88</v>
      </c>
      <c r="BL97" s="807">
        <f t="shared" si="740"/>
        <v>204</v>
      </c>
      <c r="BM97" s="808">
        <f t="shared" si="740"/>
        <v>365</v>
      </c>
      <c r="BN97" s="808">
        <f t="shared" si="740"/>
        <v>939</v>
      </c>
      <c r="BO97" s="809">
        <f t="shared" si="740"/>
        <v>342</v>
      </c>
      <c r="BP97" s="807">
        <f t="shared" ref="BP97:CA97" si="741">+BP90+BP96</f>
        <v>155</v>
      </c>
      <c r="BQ97" s="808">
        <f t="shared" si="741"/>
        <v>72</v>
      </c>
      <c r="BR97" s="808">
        <f t="shared" si="741"/>
        <v>75</v>
      </c>
      <c r="BS97" s="809">
        <f t="shared" si="741"/>
        <v>-135</v>
      </c>
      <c r="BT97" s="807">
        <f t="shared" si="741"/>
        <v>-187</v>
      </c>
      <c r="BU97" s="808">
        <f t="shared" si="741"/>
        <v>-282</v>
      </c>
      <c r="BV97" s="808">
        <f t="shared" si="741"/>
        <v>-320</v>
      </c>
      <c r="BW97" s="809">
        <f t="shared" si="741"/>
        <v>-243</v>
      </c>
      <c r="BX97" s="807">
        <f t="shared" si="741"/>
        <v>-275</v>
      </c>
      <c r="BY97" s="808">
        <f t="shared" si="741"/>
        <v>-286</v>
      </c>
      <c r="BZ97" s="808">
        <f t="shared" si="741"/>
        <v>43</v>
      </c>
      <c r="CA97" s="809">
        <f t="shared" si="741"/>
        <v>1708</v>
      </c>
      <c r="CB97" s="807">
        <f t="shared" ref="CB97:CI97" si="742">+CB92+CB96</f>
        <v>358</v>
      </c>
      <c r="CC97" s="808">
        <f t="shared" si="742"/>
        <v>731</v>
      </c>
      <c r="CD97" s="808">
        <f>+CD92+CD96</f>
        <v>806</v>
      </c>
      <c r="CE97" s="809">
        <f>+CE90+CE96</f>
        <v>1150</v>
      </c>
      <c r="CF97" s="807">
        <f t="shared" si="742"/>
        <v>1003</v>
      </c>
      <c r="CG97" s="808">
        <f t="shared" si="742"/>
        <v>934</v>
      </c>
      <c r="CH97" s="808">
        <f t="shared" si="742"/>
        <v>491</v>
      </c>
      <c r="CI97" s="809">
        <f t="shared" si="742"/>
        <v>471</v>
      </c>
      <c r="CJ97" s="807">
        <f t="shared" ref="CJ97:CM97" si="743">+CJ92+CJ96</f>
        <v>206</v>
      </c>
      <c r="CK97" s="808">
        <f t="shared" si="743"/>
        <v>-97</v>
      </c>
      <c r="CL97" s="808">
        <f t="shared" si="743"/>
        <v>-215</v>
      </c>
      <c r="CM97" s="809">
        <f t="shared" si="743"/>
        <v>-170</v>
      </c>
      <c r="CN97" s="807">
        <f t="shared" ref="CN97:CQ97" si="744">+CN92+CN96</f>
        <v>180</v>
      </c>
      <c r="CO97" s="808">
        <f t="shared" si="744"/>
        <v>894</v>
      </c>
      <c r="CP97" s="808">
        <f t="shared" si="744"/>
        <v>1647</v>
      </c>
      <c r="CQ97" s="809">
        <f t="shared" si="744"/>
        <v>2368</v>
      </c>
      <c r="CR97" s="807">
        <f t="shared" ref="CR97" si="745">+CR92+CR96</f>
        <v>2678</v>
      </c>
      <c r="CS97" s="808">
        <f>+CS92+CS96</f>
        <v>3302</v>
      </c>
      <c r="CT97" s="808">
        <f t="shared" ref="CT97:CU97" si="746">+CT92+CT96</f>
        <v>3522.2096053387108</v>
      </c>
      <c r="CU97" s="809">
        <f t="shared" si="746"/>
        <v>3466.2660006003762</v>
      </c>
      <c r="CV97" s="807">
        <f t="shared" ref="CV97:CY97" si="747">+CV92+CV96</f>
        <v>2766.9864124111864</v>
      </c>
      <c r="CW97" s="808">
        <f t="shared" si="747"/>
        <v>2320.9252198045269</v>
      </c>
      <c r="CX97" s="808">
        <f t="shared" si="747"/>
        <v>1888.0719806037869</v>
      </c>
      <c r="CY97" s="809">
        <f t="shared" si="747"/>
        <v>1660.1994273413607</v>
      </c>
      <c r="CZ97" s="807">
        <f t="shared" ref="CZ97:DC97" si="748">+CZ92+CZ96</f>
        <v>1485.7809555562255</v>
      </c>
      <c r="DA97" s="808">
        <f t="shared" si="748"/>
        <v>1352.5726544938814</v>
      </c>
      <c r="DB97" s="808">
        <f t="shared" si="748"/>
        <v>1291.1874698997005</v>
      </c>
      <c r="DC97" s="809">
        <f t="shared" si="748"/>
        <v>1251.2791318465074</v>
      </c>
      <c r="DD97" s="763"/>
      <c r="DE97" s="808">
        <f t="shared" ref="DE97:DW97" si="749">+DE90+DE96</f>
        <v>844.0999999999998</v>
      </c>
      <c r="DF97" s="808">
        <f t="shared" si="749"/>
        <v>593.5</v>
      </c>
      <c r="DG97" s="808">
        <f t="shared" si="749"/>
        <v>332.20000000000016</v>
      </c>
      <c r="DH97" s="808">
        <f t="shared" si="749"/>
        <v>-247.09999999999988</v>
      </c>
      <c r="DI97" s="808">
        <f t="shared" si="749"/>
        <v>-68.90000000000046</v>
      </c>
      <c r="DJ97" s="808">
        <f t="shared" si="749"/>
        <v>1504.2000000000005</v>
      </c>
      <c r="DK97" s="808">
        <f t="shared" si="749"/>
        <v>-624.99999999999886</v>
      </c>
      <c r="DL97" s="808">
        <f t="shared" si="749"/>
        <v>-909.10000000000014</v>
      </c>
      <c r="DM97" s="808">
        <f t="shared" si="749"/>
        <v>-1279.4999999999998</v>
      </c>
      <c r="DN97" s="808">
        <f t="shared" si="749"/>
        <v>163.49999999999983</v>
      </c>
      <c r="DO97" s="808">
        <f t="shared" si="749"/>
        <v>194.80000000000024</v>
      </c>
      <c r="DP97" s="808">
        <f t="shared" si="749"/>
        <v>407.7999999999995</v>
      </c>
      <c r="DQ97" s="808">
        <f t="shared" si="749"/>
        <v>-320</v>
      </c>
      <c r="DR97" s="808">
        <f t="shared" si="749"/>
        <v>-1619</v>
      </c>
      <c r="DS97" s="808">
        <f t="shared" si="749"/>
        <v>-1835</v>
      </c>
      <c r="DT97" s="808">
        <f t="shared" si="749"/>
        <v>1850</v>
      </c>
      <c r="DU97" s="808">
        <f t="shared" si="749"/>
        <v>167</v>
      </c>
      <c r="DV97" s="808">
        <f t="shared" si="749"/>
        <v>-1032</v>
      </c>
      <c r="DW97" s="808">
        <f t="shared" si="749"/>
        <v>-294</v>
      </c>
      <c r="DX97" s="808">
        <f t="shared" ref="DX97:EB97" si="750">+DX92+DX96</f>
        <v>3045</v>
      </c>
      <c r="DY97" s="808">
        <f t="shared" si="750"/>
        <v>2899</v>
      </c>
      <c r="DZ97" s="808">
        <f t="shared" si="750"/>
        <v>-276</v>
      </c>
      <c r="EA97" s="808">
        <f t="shared" ref="EA97" si="751">+EA92+EA96</f>
        <v>5089</v>
      </c>
      <c r="EB97" s="808">
        <f t="shared" si="750"/>
        <v>12968.475605939084</v>
      </c>
      <c r="EC97" s="809">
        <f t="shared" ref="EC97:ED97" si="752">+EC92+EC96</f>
        <v>8636.1830401608604</v>
      </c>
      <c r="ED97" s="809">
        <f t="shared" si="752"/>
        <v>5380.8202117963083</v>
      </c>
      <c r="EE97" s="1364"/>
      <c r="EF97" s="45">
        <f t="shared" ref="EF97:EY97" si="753">+EF90+EF96</f>
        <v>1013.2999999999998</v>
      </c>
      <c r="EG97" s="46">
        <f t="shared" si="753"/>
        <v>285.60000000000014</v>
      </c>
      <c r="EH97" s="46">
        <f t="shared" si="753"/>
        <v>318.09999999999974</v>
      </c>
      <c r="EI97" s="46">
        <f t="shared" si="753"/>
        <v>-299.80000000000013</v>
      </c>
      <c r="EJ97" s="46">
        <f t="shared" si="753"/>
        <v>318.59999999999951</v>
      </c>
      <c r="EK97" s="46">
        <f t="shared" si="753"/>
        <v>1515.0999999999995</v>
      </c>
      <c r="EL97" s="46">
        <f t="shared" si="753"/>
        <v>-1243.0999999999992</v>
      </c>
      <c r="EM97" s="46">
        <f t="shared" si="753"/>
        <v>-960.60000000000059</v>
      </c>
      <c r="EN97" s="46">
        <f t="shared" si="753"/>
        <v>-961.50000000000057</v>
      </c>
      <c r="EO97" s="46">
        <f t="shared" si="753"/>
        <v>321.20000000000078</v>
      </c>
      <c r="EP97" s="46">
        <f t="shared" si="753"/>
        <v>99.100000000000691</v>
      </c>
      <c r="EQ97" s="46">
        <f t="shared" si="753"/>
        <v>460.20000000000113</v>
      </c>
      <c r="ER97" s="46">
        <f t="shared" si="753"/>
        <v>-697</v>
      </c>
      <c r="ES97" s="46">
        <f t="shared" si="753"/>
        <v>-2063</v>
      </c>
      <c r="ET97" s="46">
        <f t="shared" si="753"/>
        <v>-908</v>
      </c>
      <c r="EU97" s="46">
        <f t="shared" si="753"/>
        <v>1849</v>
      </c>
      <c r="EV97" s="46">
        <f t="shared" si="753"/>
        <v>31</v>
      </c>
      <c r="EW97" s="46">
        <f t="shared" si="753"/>
        <v>-848</v>
      </c>
      <c r="EX97" s="46">
        <f t="shared" si="753"/>
        <v>284</v>
      </c>
      <c r="EY97" s="46">
        <f t="shared" si="753"/>
        <v>3178</v>
      </c>
      <c r="EZ97" s="46">
        <f t="shared" ref="EZ97:FB97" si="754">+EZ90+EZ96</f>
        <v>1720</v>
      </c>
      <c r="FA97" s="46">
        <f t="shared" si="754"/>
        <v>-266</v>
      </c>
      <c r="FB97" s="46">
        <f t="shared" si="754"/>
        <v>7577</v>
      </c>
      <c r="FC97" s="46">
        <f t="shared" ref="FC97:FD97" si="755">+FC90+FC96</f>
        <v>13056.46201835027</v>
      </c>
      <c r="FD97" s="46">
        <f t="shared" si="755"/>
        <v>7354.9775833058984</v>
      </c>
      <c r="FE97" s="393"/>
      <c r="FF97" s="299"/>
      <c r="FG97" s="299"/>
      <c r="FH97" s="299"/>
      <c r="FI97"/>
      <c r="FJ97"/>
      <c r="FK97"/>
      <c r="FL97"/>
      <c r="FM97"/>
      <c r="FN97"/>
      <c r="FO97" s="10"/>
    </row>
    <row r="98" spans="1:171" s="330" customFormat="1" ht="14.25" customHeight="1">
      <c r="A98" s="10"/>
      <c r="B98" s="540" t="s">
        <v>140</v>
      </c>
      <c r="C98" s="815"/>
      <c r="D98" s="807">
        <f t="shared" ref="D98:BO98" si="756">D93+D96</f>
        <v>159.30000000000001</v>
      </c>
      <c r="E98" s="808">
        <f t="shared" si="756"/>
        <v>183.50000000000003</v>
      </c>
      <c r="F98" s="808">
        <f t="shared" si="756"/>
        <v>191.20000000000005</v>
      </c>
      <c r="G98" s="809">
        <f t="shared" si="756"/>
        <v>281.10000000000002</v>
      </c>
      <c r="H98" s="807">
        <f t="shared" si="756"/>
        <v>332.19999999999982</v>
      </c>
      <c r="I98" s="808">
        <f t="shared" si="756"/>
        <v>216.09999999999997</v>
      </c>
      <c r="J98" s="808">
        <f t="shared" si="756"/>
        <v>60.199999999999982</v>
      </c>
      <c r="K98" s="809">
        <f t="shared" si="756"/>
        <v>22.999999999999943</v>
      </c>
      <c r="L98" s="807">
        <f t="shared" si="756"/>
        <v>23.700000000000045</v>
      </c>
      <c r="M98" s="808">
        <f t="shared" si="756"/>
        <v>-55.999999999999943</v>
      </c>
      <c r="N98" s="808">
        <f t="shared" si="756"/>
        <v>102.7</v>
      </c>
      <c r="O98" s="809">
        <f t="shared" si="756"/>
        <v>76.300000000000111</v>
      </c>
      <c r="P98" s="807">
        <f t="shared" si="756"/>
        <v>11.299999999999944</v>
      </c>
      <c r="Q98" s="808">
        <f t="shared" si="756"/>
        <v>-174.79999999999993</v>
      </c>
      <c r="R98" s="808">
        <f t="shared" si="756"/>
        <v>-103.89999999999999</v>
      </c>
      <c r="S98" s="809">
        <f t="shared" si="756"/>
        <v>-85.199999999999932</v>
      </c>
      <c r="T98" s="807">
        <f t="shared" si="756"/>
        <v>-34.100000000000009</v>
      </c>
      <c r="U98" s="808">
        <f t="shared" si="756"/>
        <v>42.299999999999933</v>
      </c>
      <c r="V98" s="808">
        <f t="shared" si="756"/>
        <v>-13.999999999999986</v>
      </c>
      <c r="W98" s="809">
        <f t="shared" si="756"/>
        <v>2.8000000000000131</v>
      </c>
      <c r="X98" s="807">
        <f t="shared" si="756"/>
        <v>389.00000000000011</v>
      </c>
      <c r="Y98" s="808">
        <f t="shared" si="756"/>
        <v>185.49999999999991</v>
      </c>
      <c r="Z98" s="808">
        <f t="shared" si="756"/>
        <v>304.89999999999992</v>
      </c>
      <c r="AA98" s="809">
        <f t="shared" si="756"/>
        <v>703.50000000000023</v>
      </c>
      <c r="AB98" s="807">
        <f t="shared" si="756"/>
        <v>362.39999999999986</v>
      </c>
      <c r="AC98" s="808">
        <f t="shared" si="756"/>
        <v>1.4000000000000583</v>
      </c>
      <c r="AD98" s="808">
        <f t="shared" si="756"/>
        <v>-271.59999999999997</v>
      </c>
      <c r="AE98" s="809">
        <f t="shared" si="756"/>
        <v>-532.09999999999923</v>
      </c>
      <c r="AF98" s="807">
        <f t="shared" si="756"/>
        <v>-260.90000000000003</v>
      </c>
      <c r="AG98" s="808">
        <f t="shared" si="756"/>
        <v>-43.599999999999994</v>
      </c>
      <c r="AH98" s="808">
        <f t="shared" si="756"/>
        <v>-20.899999999999977</v>
      </c>
      <c r="AI98" s="809">
        <f t="shared" si="756"/>
        <v>-560.5</v>
      </c>
      <c r="AJ98" s="807">
        <f t="shared" si="756"/>
        <v>-307.49999999999989</v>
      </c>
      <c r="AK98" s="808">
        <f t="shared" si="756"/>
        <v>-501</v>
      </c>
      <c r="AL98" s="808">
        <f t="shared" si="756"/>
        <v>-209.1</v>
      </c>
      <c r="AM98" s="809">
        <f t="shared" si="756"/>
        <v>-96.4</v>
      </c>
      <c r="AN98" s="807">
        <f t="shared" si="756"/>
        <v>-2.2000000000000224</v>
      </c>
      <c r="AO98" s="808">
        <f t="shared" si="756"/>
        <v>-42.699999999999946</v>
      </c>
      <c r="AP98" s="808">
        <f t="shared" si="756"/>
        <v>93.399999999999991</v>
      </c>
      <c r="AQ98" s="809">
        <f t="shared" si="756"/>
        <v>86.800000000000054</v>
      </c>
      <c r="AR98" s="807">
        <f t="shared" si="756"/>
        <v>167.8</v>
      </c>
      <c r="AS98" s="808">
        <f t="shared" si="756"/>
        <v>109.2000000000001</v>
      </c>
      <c r="AT98" s="808">
        <f t="shared" si="756"/>
        <v>-153.19999999999996</v>
      </c>
      <c r="AU98" s="809">
        <f t="shared" si="756"/>
        <v>40.499999999999929</v>
      </c>
      <c r="AV98" s="807">
        <f t="shared" si="756"/>
        <v>50.499999999999893</v>
      </c>
      <c r="AW98" s="808">
        <f t="shared" si="756"/>
        <v>-26.000000000000057</v>
      </c>
      <c r="AX98" s="808">
        <f t="shared" si="756"/>
        <v>89.999999999999986</v>
      </c>
      <c r="AY98" s="809">
        <f t="shared" si="756"/>
        <v>28.600000000000037</v>
      </c>
      <c r="AZ98" s="807">
        <f t="shared" si="756"/>
        <v>84</v>
      </c>
      <c r="BA98" s="808">
        <f t="shared" si="756"/>
        <v>-57</v>
      </c>
      <c r="BB98" s="808">
        <f t="shared" si="756"/>
        <v>-253</v>
      </c>
      <c r="BC98" s="809">
        <f t="shared" si="756"/>
        <v>-151</v>
      </c>
      <c r="BD98" s="807">
        <f t="shared" si="756"/>
        <v>-272</v>
      </c>
      <c r="BE98" s="808">
        <f t="shared" si="756"/>
        <v>-348</v>
      </c>
      <c r="BF98" s="808">
        <f t="shared" si="756"/>
        <v>-249</v>
      </c>
      <c r="BG98" s="809">
        <f t="shared" si="756"/>
        <v>-345</v>
      </c>
      <c r="BH98" s="807">
        <f t="shared" si="756"/>
        <v>-758</v>
      </c>
      <c r="BI98" s="808">
        <f t="shared" si="756"/>
        <v>-512</v>
      </c>
      <c r="BJ98" s="808">
        <f t="shared" si="756"/>
        <v>-134</v>
      </c>
      <c r="BK98" s="809">
        <f t="shared" si="756"/>
        <v>-56</v>
      </c>
      <c r="BL98" s="807">
        <f t="shared" si="756"/>
        <v>212</v>
      </c>
      <c r="BM98" s="808">
        <f t="shared" si="756"/>
        <v>344</v>
      </c>
      <c r="BN98" s="808">
        <f t="shared" si="756"/>
        <v>915</v>
      </c>
      <c r="BO98" s="809">
        <f t="shared" si="756"/>
        <v>352</v>
      </c>
      <c r="BP98" s="807">
        <f t="shared" ref="BP98:BW98" si="757">BP93+BP96</f>
        <v>-36</v>
      </c>
      <c r="BQ98" s="808">
        <f t="shared" si="757"/>
        <v>-4</v>
      </c>
      <c r="BR98" s="808">
        <f t="shared" si="757"/>
        <v>-46</v>
      </c>
      <c r="BS98" s="809">
        <f t="shared" si="757"/>
        <v>-127</v>
      </c>
      <c r="BT98" s="807">
        <f t="shared" si="757"/>
        <v>-181</v>
      </c>
      <c r="BU98" s="808">
        <f t="shared" si="757"/>
        <v>-250</v>
      </c>
      <c r="BV98" s="808">
        <f t="shared" si="757"/>
        <v>-282</v>
      </c>
      <c r="BW98" s="809">
        <f t="shared" si="757"/>
        <v>-258</v>
      </c>
      <c r="BX98" s="807">
        <f>BX93+BX96</f>
        <v>-244</v>
      </c>
      <c r="BY98" s="808">
        <f>BY93+BY96</f>
        <v>-234</v>
      </c>
      <c r="BZ98" s="808">
        <f>BZ93+BZ96</f>
        <v>97</v>
      </c>
      <c r="CA98" s="809">
        <f>CA93+CA96</f>
        <v>265</v>
      </c>
      <c r="CB98" s="807">
        <f t="shared" ref="CB98:CI98" si="758">CB93+CB96</f>
        <v>881</v>
      </c>
      <c r="CC98" s="808">
        <f t="shared" si="758"/>
        <v>989</v>
      </c>
      <c r="CD98" s="808">
        <f t="shared" si="758"/>
        <v>913</v>
      </c>
      <c r="CE98" s="809">
        <f>CE93+CE96</f>
        <v>961</v>
      </c>
      <c r="CF98" s="807">
        <f t="shared" si="758"/>
        <v>1138</v>
      </c>
      <c r="CG98" s="808">
        <f t="shared" si="758"/>
        <v>941</v>
      </c>
      <c r="CH98" s="808">
        <f t="shared" si="758"/>
        <v>620</v>
      </c>
      <c r="CI98" s="809">
        <f t="shared" si="758"/>
        <v>399</v>
      </c>
      <c r="CJ98" s="807">
        <f t="shared" ref="CJ98:CL98" si="759">CJ93+CJ96</f>
        <v>249</v>
      </c>
      <c r="CK98" s="808">
        <f t="shared" si="759"/>
        <v>-48</v>
      </c>
      <c r="CL98" s="808">
        <f t="shared" si="759"/>
        <v>-79</v>
      </c>
      <c r="CM98" s="809">
        <f>CM93+CM96</f>
        <v>-56</v>
      </c>
      <c r="CN98" s="807">
        <f t="shared" ref="CN98:CP98" si="760">CN93+CN96</f>
        <v>335</v>
      </c>
      <c r="CO98" s="808">
        <f t="shared" si="760"/>
        <v>1031</v>
      </c>
      <c r="CP98" s="808">
        <f t="shared" si="760"/>
        <v>1896</v>
      </c>
      <c r="CQ98" s="809">
        <f>CQ93+CQ96</f>
        <v>2386</v>
      </c>
      <c r="CR98" s="807">
        <f t="shared" ref="CR98:CS98" si="761">CR93+CR96</f>
        <v>2994</v>
      </c>
      <c r="CS98" s="808">
        <f t="shared" si="761"/>
        <v>3495</v>
      </c>
      <c r="CT98" s="808">
        <f t="shared" ref="CT98:CU98" si="762">CT93+CT96</f>
        <v>3574.2096053387108</v>
      </c>
      <c r="CU98" s="809">
        <f t="shared" si="762"/>
        <v>3518.2660006003762</v>
      </c>
      <c r="CV98" s="807">
        <f t="shared" ref="CV98:CY98" si="763">CV93+CV96</f>
        <v>2818.9864124111864</v>
      </c>
      <c r="CW98" s="808">
        <f t="shared" si="763"/>
        <v>2372.9252198045269</v>
      </c>
      <c r="CX98" s="808">
        <f t="shared" si="763"/>
        <v>1940.0719806037869</v>
      </c>
      <c r="CY98" s="809">
        <f t="shared" si="763"/>
        <v>1712.1994273413607</v>
      </c>
      <c r="CZ98" s="807">
        <f t="shared" ref="CZ98:DC98" si="764">CZ93+CZ96</f>
        <v>1537.7809555562255</v>
      </c>
      <c r="DA98" s="808">
        <f t="shared" si="764"/>
        <v>1404.5726544938814</v>
      </c>
      <c r="DB98" s="808">
        <f t="shared" si="764"/>
        <v>1343.1874698997005</v>
      </c>
      <c r="DC98" s="809">
        <f t="shared" si="764"/>
        <v>1303.2791318465074</v>
      </c>
      <c r="DD98" s="763"/>
      <c r="DE98" s="808"/>
      <c r="DF98" s="808"/>
      <c r="DG98" s="808"/>
      <c r="DH98" s="808"/>
      <c r="DI98" s="808"/>
      <c r="DJ98" s="808"/>
      <c r="DK98" s="808"/>
      <c r="DL98" s="808"/>
      <c r="DM98" s="808"/>
      <c r="DN98" s="808"/>
      <c r="DO98" s="808"/>
      <c r="DP98" s="808"/>
      <c r="DQ98" s="808"/>
      <c r="DR98" s="808"/>
      <c r="DS98" s="808"/>
      <c r="DT98" s="808"/>
      <c r="DU98" s="808"/>
      <c r="DV98" s="808">
        <f>DV93+DV96</f>
        <v>-971</v>
      </c>
      <c r="DW98" s="808">
        <f>DW93+DW96</f>
        <v>-1600</v>
      </c>
      <c r="DX98" s="808">
        <f t="shared" ref="DX98:EB98" si="765">DX93+DX96</f>
        <v>3744</v>
      </c>
      <c r="DY98" s="808">
        <f t="shared" si="765"/>
        <v>3098</v>
      </c>
      <c r="DZ98" s="808">
        <f t="shared" si="765"/>
        <v>66</v>
      </c>
      <c r="EA98" s="808">
        <f t="shared" ref="EA98" si="766">EA93+EA96</f>
        <v>5648</v>
      </c>
      <c r="EB98" s="808">
        <f t="shared" si="765"/>
        <v>13581.475605939084</v>
      </c>
      <c r="EC98" s="809">
        <f t="shared" ref="EC98:ED98" si="767">EC93+EC96</f>
        <v>8844.1830401608604</v>
      </c>
      <c r="ED98" s="809">
        <f t="shared" si="767"/>
        <v>5588.8202117963083</v>
      </c>
      <c r="EE98" s="1364"/>
      <c r="EF98" s="45"/>
      <c r="EG98" s="46"/>
      <c r="EH98" s="46"/>
      <c r="EI98" s="46"/>
      <c r="EJ98" s="46"/>
      <c r="EK98" s="46"/>
      <c r="EL98" s="46"/>
      <c r="EM98" s="46"/>
      <c r="EN98" s="46"/>
      <c r="EO98" s="46"/>
      <c r="EP98" s="46"/>
      <c r="EQ98" s="46"/>
      <c r="ER98" s="46"/>
      <c r="ES98" s="46"/>
      <c r="ET98" s="46"/>
      <c r="EU98" s="46"/>
      <c r="EV98" s="46"/>
      <c r="EW98" s="46"/>
      <c r="EX98" s="46"/>
      <c r="EY98" s="27">
        <f>SUM(CC98:CF98)</f>
        <v>4001</v>
      </c>
      <c r="EZ98" s="27">
        <f t="shared" ref="EZ98:EZ99" si="768">SUM(CG98:CJ98)</f>
        <v>2209</v>
      </c>
      <c r="FA98" s="27">
        <f t="shared" ref="FA98:FA99" si="769">SUM(CK98:CN98)</f>
        <v>152</v>
      </c>
      <c r="FB98" s="27">
        <f>SUM(CO98:CR98)</f>
        <v>8307</v>
      </c>
      <c r="FC98" s="27">
        <f>SUM(CS98:CV98)</f>
        <v>13406.462018350272</v>
      </c>
      <c r="FD98" s="27">
        <f>SUM(CW98:CZ98)</f>
        <v>7562.9775833058993</v>
      </c>
      <c r="FE98" s="393"/>
      <c r="FF98" s="299"/>
      <c r="FG98" s="299"/>
      <c r="FH98" s="299"/>
      <c r="FI98"/>
      <c r="FJ98"/>
      <c r="FK98"/>
      <c r="FL98"/>
      <c r="FM98"/>
      <c r="FN98"/>
      <c r="FO98" s="10"/>
    </row>
    <row r="99" spans="1:171" s="330" customFormat="1" ht="14.25" customHeight="1">
      <c r="A99" s="10"/>
      <c r="B99" s="540" t="s">
        <v>141</v>
      </c>
      <c r="C99" s="815"/>
      <c r="D99" s="807">
        <f t="shared" ref="D99:BO99" si="770">D94+D96</f>
        <v>159.30000000000001</v>
      </c>
      <c r="E99" s="808">
        <f t="shared" si="770"/>
        <v>183.50000000000003</v>
      </c>
      <c r="F99" s="808">
        <f t="shared" si="770"/>
        <v>191.20000000000005</v>
      </c>
      <c r="G99" s="809">
        <f t="shared" si="770"/>
        <v>281.10000000000002</v>
      </c>
      <c r="H99" s="807">
        <f t="shared" si="770"/>
        <v>332.19999999999982</v>
      </c>
      <c r="I99" s="808">
        <f t="shared" si="770"/>
        <v>216.09999999999997</v>
      </c>
      <c r="J99" s="808">
        <f t="shared" si="770"/>
        <v>60.199999999999982</v>
      </c>
      <c r="K99" s="809">
        <f t="shared" si="770"/>
        <v>22.999999999999943</v>
      </c>
      <c r="L99" s="807">
        <f t="shared" si="770"/>
        <v>23.700000000000045</v>
      </c>
      <c r="M99" s="808">
        <f t="shared" si="770"/>
        <v>-55.999999999999943</v>
      </c>
      <c r="N99" s="808">
        <f t="shared" si="770"/>
        <v>102.7</v>
      </c>
      <c r="O99" s="809">
        <f t="shared" si="770"/>
        <v>76.300000000000111</v>
      </c>
      <c r="P99" s="807">
        <f t="shared" si="770"/>
        <v>11.299999999999944</v>
      </c>
      <c r="Q99" s="808">
        <f t="shared" si="770"/>
        <v>-174.79999999999993</v>
      </c>
      <c r="R99" s="808">
        <f t="shared" si="770"/>
        <v>-103.89999999999999</v>
      </c>
      <c r="S99" s="809">
        <f t="shared" si="770"/>
        <v>-85.199999999999932</v>
      </c>
      <c r="T99" s="807">
        <f t="shared" si="770"/>
        <v>-34.100000000000009</v>
      </c>
      <c r="U99" s="808">
        <f t="shared" si="770"/>
        <v>42.299999999999933</v>
      </c>
      <c r="V99" s="808">
        <f t="shared" si="770"/>
        <v>-13.999999999999986</v>
      </c>
      <c r="W99" s="809">
        <f t="shared" si="770"/>
        <v>2.8000000000000131</v>
      </c>
      <c r="X99" s="807">
        <f t="shared" si="770"/>
        <v>389.00000000000011</v>
      </c>
      <c r="Y99" s="808">
        <f t="shared" si="770"/>
        <v>185.49999999999991</v>
      </c>
      <c r="Z99" s="808">
        <f t="shared" si="770"/>
        <v>304.89999999999992</v>
      </c>
      <c r="AA99" s="809">
        <f t="shared" si="770"/>
        <v>703.50000000000023</v>
      </c>
      <c r="AB99" s="807">
        <f t="shared" si="770"/>
        <v>362.39999999999986</v>
      </c>
      <c r="AC99" s="808">
        <f t="shared" si="770"/>
        <v>1.4000000000000583</v>
      </c>
      <c r="AD99" s="808">
        <f t="shared" si="770"/>
        <v>-271.59999999999997</v>
      </c>
      <c r="AE99" s="809">
        <f t="shared" si="770"/>
        <v>-532.09999999999923</v>
      </c>
      <c r="AF99" s="807">
        <f t="shared" si="770"/>
        <v>-260.90000000000003</v>
      </c>
      <c r="AG99" s="808">
        <f t="shared" si="770"/>
        <v>-43.599999999999994</v>
      </c>
      <c r="AH99" s="808">
        <f t="shared" si="770"/>
        <v>-20.899999999999977</v>
      </c>
      <c r="AI99" s="809">
        <f t="shared" si="770"/>
        <v>-560.5</v>
      </c>
      <c r="AJ99" s="807">
        <f t="shared" si="770"/>
        <v>-307.49999999999989</v>
      </c>
      <c r="AK99" s="808">
        <f t="shared" si="770"/>
        <v>-501</v>
      </c>
      <c r="AL99" s="808">
        <f t="shared" si="770"/>
        <v>-209.1</v>
      </c>
      <c r="AM99" s="809">
        <f t="shared" si="770"/>
        <v>-96.4</v>
      </c>
      <c r="AN99" s="807">
        <f t="shared" si="770"/>
        <v>-2.2000000000000224</v>
      </c>
      <c r="AO99" s="808">
        <f t="shared" si="770"/>
        <v>-42.699999999999946</v>
      </c>
      <c r="AP99" s="808">
        <f t="shared" si="770"/>
        <v>93.399999999999991</v>
      </c>
      <c r="AQ99" s="809">
        <f t="shared" si="770"/>
        <v>86.800000000000054</v>
      </c>
      <c r="AR99" s="807">
        <f t="shared" si="770"/>
        <v>167.8</v>
      </c>
      <c r="AS99" s="808">
        <f t="shared" si="770"/>
        <v>109.2000000000001</v>
      </c>
      <c r="AT99" s="808">
        <f t="shared" si="770"/>
        <v>-153.19999999999996</v>
      </c>
      <c r="AU99" s="809">
        <f t="shared" si="770"/>
        <v>40.499999999999929</v>
      </c>
      <c r="AV99" s="807">
        <f t="shared" si="770"/>
        <v>50.499999999999893</v>
      </c>
      <c r="AW99" s="808">
        <f t="shared" si="770"/>
        <v>-26.000000000000057</v>
      </c>
      <c r="AX99" s="808">
        <f t="shared" si="770"/>
        <v>89.999999999999986</v>
      </c>
      <c r="AY99" s="809">
        <f t="shared" si="770"/>
        <v>28.600000000000037</v>
      </c>
      <c r="AZ99" s="807">
        <f t="shared" si="770"/>
        <v>84</v>
      </c>
      <c r="BA99" s="808">
        <f t="shared" si="770"/>
        <v>-57</v>
      </c>
      <c r="BB99" s="808">
        <f t="shared" si="770"/>
        <v>-253</v>
      </c>
      <c r="BC99" s="809">
        <f t="shared" si="770"/>
        <v>-151</v>
      </c>
      <c r="BD99" s="807">
        <f t="shared" si="770"/>
        <v>-272</v>
      </c>
      <c r="BE99" s="808">
        <f t="shared" si="770"/>
        <v>-348</v>
      </c>
      <c r="BF99" s="808">
        <f t="shared" si="770"/>
        <v>-249</v>
      </c>
      <c r="BG99" s="809">
        <f t="shared" si="770"/>
        <v>-345</v>
      </c>
      <c r="BH99" s="807">
        <f t="shared" si="770"/>
        <v>-758</v>
      </c>
      <c r="BI99" s="808">
        <f t="shared" si="770"/>
        <v>-512</v>
      </c>
      <c r="BJ99" s="808">
        <f t="shared" si="770"/>
        <v>-134</v>
      </c>
      <c r="BK99" s="809">
        <f t="shared" si="770"/>
        <v>-56</v>
      </c>
      <c r="BL99" s="807">
        <f t="shared" si="770"/>
        <v>229</v>
      </c>
      <c r="BM99" s="808">
        <f t="shared" si="770"/>
        <v>331</v>
      </c>
      <c r="BN99" s="808">
        <f t="shared" si="770"/>
        <v>934</v>
      </c>
      <c r="BO99" s="809">
        <f t="shared" si="770"/>
        <v>368</v>
      </c>
      <c r="BP99" s="807">
        <f t="shared" ref="BP99:BW99" si="771">BP94+BP96</f>
        <v>-10</v>
      </c>
      <c r="BQ99" s="808">
        <f t="shared" si="771"/>
        <v>44</v>
      </c>
      <c r="BR99" s="808">
        <f t="shared" si="771"/>
        <v>-2</v>
      </c>
      <c r="BS99" s="809">
        <f t="shared" si="771"/>
        <v>-87</v>
      </c>
      <c r="BT99" s="807">
        <f t="shared" si="771"/>
        <v>-107</v>
      </c>
      <c r="BU99" s="808">
        <f t="shared" si="771"/>
        <v>-177</v>
      </c>
      <c r="BV99" s="808">
        <f t="shared" si="771"/>
        <v>-167</v>
      </c>
      <c r="BW99" s="809">
        <f t="shared" si="771"/>
        <v>-226</v>
      </c>
      <c r="BX99" s="807">
        <f>BX94+BX96</f>
        <v>-192</v>
      </c>
      <c r="BY99" s="808">
        <f>BY94+BY96</f>
        <v>-176</v>
      </c>
      <c r="BZ99" s="808">
        <f>BZ94+BZ96</f>
        <v>107</v>
      </c>
      <c r="CA99" s="809">
        <f>CA94+CA96</f>
        <v>228</v>
      </c>
      <c r="CB99" s="807">
        <f t="shared" ref="CB99:CI99" si="772">CB94+CB96</f>
        <v>859</v>
      </c>
      <c r="CC99" s="808">
        <f t="shared" si="772"/>
        <v>962</v>
      </c>
      <c r="CD99" s="808">
        <f>CD94+CD96</f>
        <v>881</v>
      </c>
      <c r="CE99" s="809">
        <f>CE94+CE96</f>
        <v>927</v>
      </c>
      <c r="CF99" s="807">
        <f t="shared" si="772"/>
        <v>1103</v>
      </c>
      <c r="CG99" s="808">
        <f t="shared" si="772"/>
        <v>892</v>
      </c>
      <c r="CH99" s="808">
        <f t="shared" si="772"/>
        <v>577</v>
      </c>
      <c r="CI99" s="809">
        <f t="shared" si="772"/>
        <v>358</v>
      </c>
      <c r="CJ99" s="807">
        <f t="shared" ref="CJ99:CM99" si="773">CJ94+CJ96</f>
        <v>203</v>
      </c>
      <c r="CK99" s="808">
        <f t="shared" si="773"/>
        <v>-103</v>
      </c>
      <c r="CL99" s="808">
        <f t="shared" si="773"/>
        <v>-126</v>
      </c>
      <c r="CM99" s="809">
        <f t="shared" si="773"/>
        <v>-99</v>
      </c>
      <c r="CN99" s="807">
        <f t="shared" ref="CN99:CQ99" si="774">CN94+CN96</f>
        <v>272</v>
      </c>
      <c r="CO99" s="808">
        <f t="shared" si="774"/>
        <v>976</v>
      </c>
      <c r="CP99" s="808">
        <f t="shared" si="774"/>
        <v>1839</v>
      </c>
      <c r="CQ99" s="809">
        <f t="shared" si="774"/>
        <v>2329</v>
      </c>
      <c r="CR99" s="807">
        <f t="shared" ref="CR99:CS99" si="775">CR94+CR96</f>
        <v>2943</v>
      </c>
      <c r="CS99" s="808">
        <f t="shared" si="775"/>
        <v>3443</v>
      </c>
      <c r="CT99" s="808">
        <f t="shared" ref="CT99:CU99" si="776">CT94+CT96</f>
        <v>3522.2096053387108</v>
      </c>
      <c r="CU99" s="809">
        <f t="shared" si="776"/>
        <v>3466.2660006003762</v>
      </c>
      <c r="CV99" s="807">
        <f t="shared" ref="CV99:CY99" si="777">CV94+CV96</f>
        <v>2766.9864124111864</v>
      </c>
      <c r="CW99" s="808">
        <f t="shared" si="777"/>
        <v>2320.9252198045269</v>
      </c>
      <c r="CX99" s="808">
        <f t="shared" si="777"/>
        <v>1888.0719806037869</v>
      </c>
      <c r="CY99" s="809">
        <f t="shared" si="777"/>
        <v>1660.1994273413607</v>
      </c>
      <c r="CZ99" s="807">
        <f t="shared" ref="CZ99:DC99" si="778">CZ94+CZ96</f>
        <v>1485.7809555562255</v>
      </c>
      <c r="DA99" s="808">
        <f t="shared" si="778"/>
        <v>1352.5726544938814</v>
      </c>
      <c r="DB99" s="808">
        <f t="shared" si="778"/>
        <v>1291.1874698997005</v>
      </c>
      <c r="DC99" s="809">
        <f t="shared" si="778"/>
        <v>1251.2791318465074</v>
      </c>
      <c r="DD99" s="763"/>
      <c r="DE99" s="808"/>
      <c r="DF99" s="808"/>
      <c r="DG99" s="808"/>
      <c r="DH99" s="808"/>
      <c r="DI99" s="808"/>
      <c r="DJ99" s="808"/>
      <c r="DK99" s="808"/>
      <c r="DL99" s="808"/>
      <c r="DM99" s="808"/>
      <c r="DN99" s="808"/>
      <c r="DO99" s="808"/>
      <c r="DP99" s="808"/>
      <c r="DQ99" s="808"/>
      <c r="DR99" s="808"/>
      <c r="DS99" s="808"/>
      <c r="DT99" s="808"/>
      <c r="DU99" s="808"/>
      <c r="DV99" s="808">
        <f>DV94+DV96</f>
        <v>-677</v>
      </c>
      <c r="DW99" s="808">
        <f>DW94+DW96</f>
        <v>-1517</v>
      </c>
      <c r="DX99" s="808">
        <f t="shared" ref="DX99:EB99" si="779">DX94+DX96</f>
        <v>3629</v>
      </c>
      <c r="DY99" s="808">
        <f t="shared" si="779"/>
        <v>2930</v>
      </c>
      <c r="DZ99" s="808">
        <f t="shared" si="779"/>
        <v>-125</v>
      </c>
      <c r="EA99" s="808">
        <f t="shared" ref="EA99" si="780">EA94+EA96</f>
        <v>5416</v>
      </c>
      <c r="EB99" s="808">
        <f t="shared" si="779"/>
        <v>13374.475605939084</v>
      </c>
      <c r="EC99" s="809">
        <f t="shared" ref="EC99:ED99" si="781">EC94+EC96</f>
        <v>8636.1830401608604</v>
      </c>
      <c r="ED99" s="809">
        <f t="shared" si="781"/>
        <v>5380.8202117963083</v>
      </c>
      <c r="EE99" s="1364"/>
      <c r="EF99" s="45"/>
      <c r="EG99" s="46"/>
      <c r="EH99" s="46"/>
      <c r="EI99" s="46"/>
      <c r="EJ99" s="46"/>
      <c r="EK99" s="46"/>
      <c r="EL99" s="46"/>
      <c r="EM99" s="46"/>
      <c r="EN99" s="46"/>
      <c r="EO99" s="46"/>
      <c r="EP99" s="46"/>
      <c r="EQ99" s="46"/>
      <c r="ER99" s="46"/>
      <c r="ES99" s="46"/>
      <c r="ET99" s="46"/>
      <c r="EU99" s="46"/>
      <c r="EV99" s="46"/>
      <c r="EW99" s="46"/>
      <c r="EX99" s="46"/>
      <c r="EY99" s="27">
        <f>SUM(CC99:CF99)</f>
        <v>3873</v>
      </c>
      <c r="EZ99" s="27">
        <f t="shared" si="768"/>
        <v>2030</v>
      </c>
      <c r="FA99" s="27">
        <f t="shared" si="769"/>
        <v>-56</v>
      </c>
      <c r="FB99" s="27">
        <f t="shared" ref="FB99" si="782">SUM(CO99:CR99)</f>
        <v>8087</v>
      </c>
      <c r="FC99" s="27">
        <f>SUM(CS99:CV99)</f>
        <v>13198.462018350272</v>
      </c>
      <c r="FD99" s="27">
        <f>SUM(CW99:CZ99)</f>
        <v>7354.9775833058993</v>
      </c>
      <c r="FE99" s="393"/>
      <c r="FF99" s="299"/>
      <c r="FG99" s="299"/>
      <c r="FH99" s="299"/>
      <c r="FI99"/>
      <c r="FJ99"/>
      <c r="FK99"/>
      <c r="FL99"/>
      <c r="FM99"/>
      <c r="FN99"/>
      <c r="FO99" s="10"/>
    </row>
    <row r="100" spans="1:171" s="330" customFormat="1" ht="9.75" customHeight="1">
      <c r="A100" s="10"/>
      <c r="B100" s="540"/>
      <c r="C100" s="815"/>
      <c r="D100" s="807"/>
      <c r="E100" s="808"/>
      <c r="F100" s="808"/>
      <c r="G100" s="809"/>
      <c r="H100" s="807"/>
      <c r="I100" s="808"/>
      <c r="J100" s="808"/>
      <c r="K100" s="809"/>
      <c r="L100" s="807"/>
      <c r="M100" s="808"/>
      <c r="N100" s="808"/>
      <c r="O100" s="809"/>
      <c r="P100" s="807"/>
      <c r="Q100" s="808"/>
      <c r="R100" s="808"/>
      <c r="S100" s="809"/>
      <c r="T100" s="807"/>
      <c r="U100" s="808"/>
      <c r="V100" s="808"/>
      <c r="W100" s="809"/>
      <c r="X100" s="807"/>
      <c r="Y100" s="808"/>
      <c r="Z100" s="808"/>
      <c r="AA100" s="809"/>
      <c r="AB100" s="807"/>
      <c r="AC100" s="808"/>
      <c r="AD100" s="808"/>
      <c r="AE100" s="809"/>
      <c r="AF100" s="807"/>
      <c r="AG100" s="808"/>
      <c r="AH100" s="808"/>
      <c r="AI100" s="809"/>
      <c r="AJ100" s="807"/>
      <c r="AK100" s="808"/>
      <c r="AL100" s="808"/>
      <c r="AM100" s="809"/>
      <c r="AN100" s="807"/>
      <c r="AO100" s="808"/>
      <c r="AP100" s="808"/>
      <c r="AQ100" s="809"/>
      <c r="AR100" s="807"/>
      <c r="AS100" s="808"/>
      <c r="AT100" s="808"/>
      <c r="AU100" s="809"/>
      <c r="AV100" s="807"/>
      <c r="AW100" s="808"/>
      <c r="AX100" s="808"/>
      <c r="AY100" s="809"/>
      <c r="AZ100" s="807"/>
      <c r="BA100" s="808"/>
      <c r="BB100" s="808"/>
      <c r="BC100" s="809"/>
      <c r="BD100" s="807"/>
      <c r="BE100" s="808"/>
      <c r="BF100" s="808"/>
      <c r="BG100" s="809"/>
      <c r="BH100" s="807"/>
      <c r="BI100" s="808"/>
      <c r="BJ100" s="808"/>
      <c r="BK100" s="809"/>
      <c r="BL100" s="807"/>
      <c r="BM100" s="808"/>
      <c r="BN100" s="808"/>
      <c r="BO100" s="809"/>
      <c r="BP100" s="807"/>
      <c r="BQ100" s="808"/>
      <c r="BR100" s="808"/>
      <c r="BS100" s="809"/>
      <c r="BT100" s="807"/>
      <c r="BU100" s="808"/>
      <c r="BV100" s="808"/>
      <c r="BW100" s="809"/>
      <c r="BX100" s="807"/>
      <c r="BY100" s="808"/>
      <c r="BZ100" s="808"/>
      <c r="CA100" s="809"/>
      <c r="CB100" s="807"/>
      <c r="CC100" s="808"/>
      <c r="CD100" s="808"/>
      <c r="CE100" s="809"/>
      <c r="CF100" s="807"/>
      <c r="CG100" s="808"/>
      <c r="CH100" s="808"/>
      <c r="CI100" s="809"/>
      <c r="CJ100" s="807"/>
      <c r="CK100" s="808"/>
      <c r="CL100" s="808"/>
      <c r="CM100" s="809"/>
      <c r="CN100" s="807"/>
      <c r="CO100" s="808"/>
      <c r="CP100" s="808"/>
      <c r="CQ100" s="809"/>
      <c r="CR100" s="807"/>
      <c r="CS100" s="808"/>
      <c r="CT100" s="808"/>
      <c r="CU100" s="809"/>
      <c r="CV100" s="807"/>
      <c r="CW100" s="808"/>
      <c r="CX100" s="808"/>
      <c r="CY100" s="809"/>
      <c r="CZ100" s="807"/>
      <c r="DA100" s="808"/>
      <c r="DB100" s="808"/>
      <c r="DC100" s="809"/>
      <c r="DD100" s="763"/>
      <c r="DE100" s="808"/>
      <c r="DF100" s="808"/>
      <c r="DG100" s="808"/>
      <c r="DH100" s="808"/>
      <c r="DI100" s="808"/>
      <c r="DJ100" s="808"/>
      <c r="DK100" s="808"/>
      <c r="DL100" s="808"/>
      <c r="DM100" s="808"/>
      <c r="DN100" s="808"/>
      <c r="DO100" s="808"/>
      <c r="DP100" s="808"/>
      <c r="DQ100" s="808"/>
      <c r="DR100" s="808"/>
      <c r="DS100" s="808"/>
      <c r="DT100" s="808"/>
      <c r="DU100" s="808"/>
      <c r="DV100" s="808"/>
      <c r="DW100" s="808"/>
      <c r="DX100" s="808"/>
      <c r="DY100" s="808"/>
      <c r="DZ100" s="808"/>
      <c r="EA100" s="808"/>
      <c r="EB100" s="808"/>
      <c r="EC100" s="809"/>
      <c r="ED100" s="809"/>
      <c r="EE100" s="1364"/>
      <c r="EF100" s="45"/>
      <c r="EG100" s="46"/>
      <c r="EH100" s="46"/>
      <c r="EI100" s="46"/>
      <c r="EJ100" s="46"/>
      <c r="EK100" s="46"/>
      <c r="EL100" s="46"/>
      <c r="EM100" s="46"/>
      <c r="EN100" s="46"/>
      <c r="EO100" s="46"/>
      <c r="EP100" s="46"/>
      <c r="EQ100" s="46"/>
      <c r="ER100" s="46"/>
      <c r="ES100" s="46"/>
      <c r="ET100" s="46"/>
      <c r="EU100" s="46"/>
      <c r="EV100" s="46"/>
      <c r="EW100" s="46"/>
      <c r="EX100" s="46"/>
      <c r="EY100" s="46"/>
      <c r="EZ100" s="46"/>
      <c r="FA100" s="46"/>
      <c r="FB100" s="46"/>
      <c r="FC100" s="46"/>
      <c r="FD100" s="46"/>
      <c r="FE100" s="393"/>
      <c r="FF100" s="299"/>
      <c r="FG100" s="299"/>
      <c r="FH100" s="299"/>
      <c r="FI100"/>
      <c r="FJ100"/>
      <c r="FK100"/>
      <c r="FL100"/>
      <c r="FM100"/>
      <c r="FN100"/>
      <c r="FO100" s="10"/>
    </row>
    <row r="101" spans="1:171" ht="14.25" customHeight="1">
      <c r="A101" s="7"/>
      <c r="B101" s="540"/>
      <c r="C101" s="44"/>
      <c r="D101" s="45"/>
      <c r="E101" s="46"/>
      <c r="F101" s="46"/>
      <c r="G101" s="47"/>
      <c r="H101" s="45"/>
      <c r="I101" s="46"/>
      <c r="J101" s="46"/>
      <c r="K101" s="47"/>
      <c r="L101" s="45"/>
      <c r="M101" s="46"/>
      <c r="N101" s="46"/>
      <c r="O101" s="47"/>
      <c r="P101" s="45"/>
      <c r="Q101" s="46"/>
      <c r="R101" s="46"/>
      <c r="S101" s="47"/>
      <c r="T101" s="45"/>
      <c r="U101" s="46"/>
      <c r="V101" s="46"/>
      <c r="W101" s="47"/>
      <c r="X101" s="45"/>
      <c r="Y101" s="46"/>
      <c r="Z101" s="46"/>
      <c r="AA101" s="47"/>
      <c r="AB101" s="45"/>
      <c r="AC101" s="46"/>
      <c r="AD101" s="46"/>
      <c r="AE101" s="47"/>
      <c r="AF101" s="45"/>
      <c r="AG101" s="46"/>
      <c r="AH101" s="46"/>
      <c r="AI101" s="47"/>
      <c r="AJ101" s="45"/>
      <c r="AK101" s="46"/>
      <c r="AL101" s="46"/>
      <c r="AM101" s="47"/>
      <c r="AN101" s="45"/>
      <c r="AO101" s="46"/>
      <c r="AP101" s="46"/>
      <c r="AQ101" s="47"/>
      <c r="AR101" s="45"/>
      <c r="AS101" s="46"/>
      <c r="AT101" s="46"/>
      <c r="AU101" s="47"/>
      <c r="AV101" s="45"/>
      <c r="AW101" s="46"/>
      <c r="AX101" s="46"/>
      <c r="AY101" s="47"/>
      <c r="AZ101" s="45"/>
      <c r="BA101" s="46"/>
      <c r="BB101" s="46"/>
      <c r="BC101" s="47"/>
      <c r="BD101" s="45"/>
      <c r="BE101" s="46"/>
      <c r="BF101" s="46"/>
      <c r="BG101" s="47"/>
      <c r="BH101" s="45"/>
      <c r="BI101" s="46"/>
      <c r="BJ101" s="46"/>
      <c r="BK101" s="47"/>
      <c r="BL101" s="45"/>
      <c r="BM101" s="46"/>
      <c r="BN101" s="46"/>
      <c r="BO101" s="47"/>
      <c r="BP101" s="45"/>
      <c r="BQ101" s="46"/>
      <c r="BR101" s="46"/>
      <c r="BS101" s="47"/>
      <c r="BT101" s="45"/>
      <c r="BU101" s="46"/>
      <c r="BV101" s="46"/>
      <c r="BW101" s="47"/>
      <c r="BX101" s="45"/>
      <c r="BY101" s="46"/>
      <c r="BZ101" s="46"/>
      <c r="CA101" s="47"/>
      <c r="CB101" s="45"/>
      <c r="CC101" s="46"/>
      <c r="CD101" s="46"/>
      <c r="CE101" s="47"/>
      <c r="CF101" s="45"/>
      <c r="CG101" s="46"/>
      <c r="CH101" s="46"/>
      <c r="CI101" s="47"/>
      <c r="CJ101" s="45"/>
      <c r="CK101" s="46"/>
      <c r="CL101" s="46"/>
      <c r="CM101" s="47"/>
      <c r="CN101" s="45"/>
      <c r="CO101" s="46"/>
      <c r="CP101" s="46"/>
      <c r="CQ101" s="47"/>
      <c r="CR101" s="45"/>
      <c r="CS101" s="46"/>
      <c r="CT101" s="46"/>
      <c r="CU101" s="809"/>
      <c r="CV101" s="45"/>
      <c r="CW101" s="46"/>
      <c r="CX101" s="46"/>
      <c r="CY101" s="809"/>
      <c r="CZ101" s="45"/>
      <c r="DA101" s="46"/>
      <c r="DB101" s="46"/>
      <c r="DC101" s="809"/>
      <c r="DD101" s="763"/>
      <c r="DE101" s="808"/>
      <c r="DF101" s="808"/>
      <c r="DG101" s="808"/>
      <c r="DH101" s="808"/>
      <c r="DI101" s="808"/>
      <c r="DJ101" s="808"/>
      <c r="DK101" s="808"/>
      <c r="DL101" s="808"/>
      <c r="DM101" s="808"/>
      <c r="DN101" s="808"/>
      <c r="DO101" s="808"/>
      <c r="DP101" s="808"/>
      <c r="DQ101" s="808"/>
      <c r="DR101" s="808"/>
      <c r="DS101" s="808"/>
      <c r="DT101" s="808"/>
      <c r="DU101" s="808"/>
      <c r="DV101" s="808"/>
      <c r="DW101" s="808"/>
      <c r="DX101" s="808"/>
      <c r="DY101" s="808"/>
      <c r="DZ101" s="808"/>
      <c r="EA101" s="46"/>
      <c r="EB101" s="46"/>
      <c r="EC101" s="47"/>
      <c r="ED101" s="47"/>
      <c r="EE101" s="1364"/>
      <c r="EF101" s="45"/>
      <c r="EG101" s="46"/>
      <c r="EH101" s="46"/>
      <c r="EI101" s="46"/>
      <c r="EJ101" s="46"/>
      <c r="EK101" s="46"/>
      <c r="EL101" s="46"/>
      <c r="EM101" s="46"/>
      <c r="EN101" s="46"/>
      <c r="EO101" s="46"/>
      <c r="EP101" s="357"/>
      <c r="EQ101" s="357"/>
      <c r="ER101" s="357"/>
      <c r="ES101" s="357"/>
      <c r="ET101" s="357"/>
      <c r="EU101" s="357"/>
      <c r="EV101" s="357"/>
      <c r="EW101" s="357"/>
      <c r="EX101" s="357"/>
      <c r="EY101" s="357"/>
      <c r="EZ101" s="357"/>
      <c r="FA101" s="357"/>
      <c r="FB101" s="357"/>
      <c r="FC101" s="357"/>
      <c r="FD101" s="357"/>
      <c r="FE101" s="308"/>
      <c r="FF101" s="300"/>
      <c r="FG101" s="300"/>
      <c r="FH101" s="300"/>
      <c r="FO101" s="7"/>
    </row>
    <row r="102" spans="1:171" s="314" customFormat="1" ht="14.25" customHeight="1">
      <c r="A102" s="412"/>
      <c r="B102" s="673" t="s">
        <v>195</v>
      </c>
      <c r="C102" s="726"/>
      <c r="D102" s="775">
        <f t="shared" ref="D102:AI102" si="783">D97/D111</f>
        <v>0.37254443405051452</v>
      </c>
      <c r="E102" s="727">
        <f t="shared" si="783"/>
        <v>0.42763924493125149</v>
      </c>
      <c r="F102" s="727">
        <f t="shared" si="783"/>
        <v>0.50760719225449524</v>
      </c>
      <c r="G102" s="728">
        <f t="shared" si="783"/>
        <v>0.64251428571428582</v>
      </c>
      <c r="H102" s="775">
        <f t="shared" si="783"/>
        <v>0.75621546961325947</v>
      </c>
      <c r="I102" s="727">
        <f t="shared" si="783"/>
        <v>0.4372676579925649</v>
      </c>
      <c r="J102" s="727">
        <f t="shared" si="783"/>
        <v>0.13566433566433561</v>
      </c>
      <c r="K102" s="728">
        <f t="shared" si="783"/>
        <v>4.3661971830985774E-2</v>
      </c>
      <c r="L102" s="775">
        <f t="shared" si="783"/>
        <v>4.8018648018648122E-2</v>
      </c>
      <c r="M102" s="727">
        <f t="shared" si="783"/>
        <v>0.33001850138760419</v>
      </c>
      <c r="N102" s="727">
        <f t="shared" si="783"/>
        <v>0.2216117216117216</v>
      </c>
      <c r="O102" s="728">
        <f t="shared" si="783"/>
        <v>0.16453674121405773</v>
      </c>
      <c r="P102" s="775">
        <f t="shared" si="783"/>
        <v>1.492194674012844E-2</v>
      </c>
      <c r="Q102" s="727">
        <f t="shared" si="783"/>
        <v>-0.11826208178438648</v>
      </c>
      <c r="R102" s="727">
        <f t="shared" si="783"/>
        <v>-0.25347544022242813</v>
      </c>
      <c r="S102" s="728">
        <f t="shared" si="783"/>
        <v>-0.21517527675276735</v>
      </c>
      <c r="T102" s="775">
        <f t="shared" si="783"/>
        <v>-9.4017094017094072E-2</v>
      </c>
      <c r="U102" s="727">
        <f t="shared" si="783"/>
        <v>4.1040674239648092E-2</v>
      </c>
      <c r="V102" s="727">
        <f t="shared" si="783"/>
        <v>-5.200901239203902E-2</v>
      </c>
      <c r="W102" s="728">
        <f t="shared" si="783"/>
        <v>-3.2584269662921307E-2</v>
      </c>
      <c r="X102" s="775">
        <f t="shared" si="783"/>
        <v>0.57380632145258925</v>
      </c>
      <c r="Y102" s="727">
        <f t="shared" si="783"/>
        <v>0.28948312993539105</v>
      </c>
      <c r="Z102" s="727">
        <f t="shared" si="783"/>
        <v>0.45626556016597497</v>
      </c>
      <c r="AA102" s="728">
        <f t="shared" si="783"/>
        <v>1.1827799479166672</v>
      </c>
      <c r="AB102" s="775">
        <f t="shared" si="783"/>
        <v>0.57794552018378709</v>
      </c>
      <c r="AC102" s="727">
        <f t="shared" si="783"/>
        <v>-0.14870326709329731</v>
      </c>
      <c r="AD102" s="727">
        <f t="shared" si="783"/>
        <v>-0.52557437531443896</v>
      </c>
      <c r="AE102" s="728">
        <f t="shared" si="783"/>
        <v>-0.97147197839297661</v>
      </c>
      <c r="AF102" s="775">
        <f t="shared" si="783"/>
        <v>-0.44375834445927909</v>
      </c>
      <c r="AG102" s="727">
        <f t="shared" si="783"/>
        <v>-5.0624479600333061E-2</v>
      </c>
      <c r="AH102" s="727">
        <f t="shared" si="783"/>
        <v>-4.117549393989705E-2</v>
      </c>
      <c r="AI102" s="728">
        <f t="shared" si="783"/>
        <v>-0.97350993377483441</v>
      </c>
      <c r="AJ102" s="775">
        <f t="shared" ref="AJ102:BO102" si="784">AJ97/AJ111</f>
        <v>-0.52445472571050877</v>
      </c>
      <c r="AK102" s="727">
        <f t="shared" si="784"/>
        <v>-1.0223978919631092</v>
      </c>
      <c r="AL102" s="727">
        <f t="shared" si="784"/>
        <v>-0.35590991287193824</v>
      </c>
      <c r="AM102" s="728">
        <f t="shared" si="784"/>
        <v>-0.20475799835931094</v>
      </c>
      <c r="AN102" s="775">
        <f t="shared" si="784"/>
        <v>9.4250706880299594E-4</v>
      </c>
      <c r="AO102" s="727">
        <f t="shared" si="784"/>
        <v>-4.3998756218905373E-2</v>
      </c>
      <c r="AP102" s="727">
        <f t="shared" si="784"/>
        <v>0.13368301672809751</v>
      </c>
      <c r="AQ102" s="728">
        <f t="shared" si="784"/>
        <v>0.13815226689478191</v>
      </c>
      <c r="AR102" s="775">
        <f t="shared" si="784"/>
        <v>0.22598144182726626</v>
      </c>
      <c r="AS102" s="727">
        <f t="shared" si="784"/>
        <v>0.17296449451019549</v>
      </c>
      <c r="AT102" s="727">
        <f t="shared" si="784"/>
        <v>-0.1973156433199629</v>
      </c>
      <c r="AU102" s="728">
        <f t="shared" si="784"/>
        <v>6.6307692307692193E-2</v>
      </c>
      <c r="AV102" s="775">
        <f t="shared" si="784"/>
        <v>8.8530618017253412E-2</v>
      </c>
      <c r="AW102" s="727">
        <f t="shared" si="784"/>
        <v>0.27036104114189746</v>
      </c>
      <c r="AX102" s="727">
        <f t="shared" si="784"/>
        <v>0.12289959727815579</v>
      </c>
      <c r="AY102" s="728">
        <f t="shared" si="784"/>
        <v>8.3607636603028335E-2</v>
      </c>
      <c r="AZ102" s="775">
        <f t="shared" si="784"/>
        <v>0.14751154438173422</v>
      </c>
      <c r="BA102" s="727">
        <f t="shared" si="784"/>
        <v>-6.7646676206582532E-2</v>
      </c>
      <c r="BB102" s="727">
        <f t="shared" si="784"/>
        <v>-0.29224574620080529</v>
      </c>
      <c r="BC102" s="728">
        <f t="shared" si="784"/>
        <v>-0.20495524711376314</v>
      </c>
      <c r="BD102" s="775">
        <f t="shared" si="784"/>
        <v>-0.33942220494882758</v>
      </c>
      <c r="BE102" s="727">
        <f t="shared" si="784"/>
        <v>-1.0059554634904195</v>
      </c>
      <c r="BF102" s="727">
        <f t="shared" si="784"/>
        <v>-0.30538302277432716</v>
      </c>
      <c r="BG102" s="728">
        <f t="shared" si="784"/>
        <v>-0.4450769827920818</v>
      </c>
      <c r="BH102" s="775">
        <f t="shared" si="784"/>
        <v>-0.91297038665459729</v>
      </c>
      <c r="BI102" s="727">
        <f t="shared" si="784"/>
        <v>-0.97040961364517386</v>
      </c>
      <c r="BJ102" s="727">
        <f t="shared" si="784"/>
        <v>-0.35657199065535472</v>
      </c>
      <c r="BK102" s="728">
        <f t="shared" si="784"/>
        <v>-0.10422835485017175</v>
      </c>
      <c r="BL102" s="775">
        <f t="shared" si="784"/>
        <v>0.20385729989007695</v>
      </c>
      <c r="BM102" s="727">
        <f t="shared" si="784"/>
        <v>0.36307569879637919</v>
      </c>
      <c r="BN102" s="727">
        <f t="shared" si="784"/>
        <v>0.89479702687249851</v>
      </c>
      <c r="BO102" s="728">
        <f t="shared" si="784"/>
        <v>0.29931734640294066</v>
      </c>
      <c r="BP102" s="775">
        <f t="shared" ref="BP102:CL102" si="785">BP97/BP111</f>
        <v>0.15029574323669156</v>
      </c>
      <c r="BQ102" s="727">
        <f t="shared" si="785"/>
        <v>6.9410970789549789E-2</v>
      </c>
      <c r="BR102" s="727">
        <f t="shared" si="785"/>
        <v>7.1997696073725637E-2</v>
      </c>
      <c r="BS102" s="728">
        <f t="shared" si="785"/>
        <v>-0.13606127796815157</v>
      </c>
      <c r="BT102" s="775">
        <f t="shared" si="785"/>
        <v>-0.19054412064397799</v>
      </c>
      <c r="BU102" s="727">
        <f t="shared" si="785"/>
        <v>-0.28693528693528697</v>
      </c>
      <c r="BV102" s="727">
        <f t="shared" si="785"/>
        <v>-0.32411627671427123</v>
      </c>
      <c r="BW102" s="728">
        <f t="shared" si="785"/>
        <v>-0.24515738498789344</v>
      </c>
      <c r="BX102" s="775">
        <f t="shared" si="785"/>
        <v>-0.27128341718457138</v>
      </c>
      <c r="BY102" s="727">
        <f t="shared" si="785"/>
        <v>-0.28149606299212598</v>
      </c>
      <c r="BZ102" s="727">
        <f t="shared" si="785"/>
        <v>4.1085419453468379E-2</v>
      </c>
      <c r="CA102" s="728">
        <f t="shared" si="785"/>
        <v>1.5123074198689568</v>
      </c>
      <c r="CB102" s="775">
        <f t="shared" si="785"/>
        <v>0.29933110367892979</v>
      </c>
      <c r="CC102" s="727">
        <f t="shared" si="785"/>
        <v>0.60865945045795167</v>
      </c>
      <c r="CD102" s="727">
        <f t="shared" si="785"/>
        <v>0.67731092436974794</v>
      </c>
      <c r="CE102" s="728">
        <f t="shared" si="785"/>
        <v>0.95594347464671658</v>
      </c>
      <c r="CF102" s="775">
        <f t="shared" si="785"/>
        <v>0.8393305439330544</v>
      </c>
      <c r="CG102" s="727">
        <f t="shared" si="785"/>
        <v>0.78487394957983192</v>
      </c>
      <c r="CH102" s="727">
        <f t="shared" si="785"/>
        <v>0.41965811965811967</v>
      </c>
      <c r="CI102" s="728">
        <f t="shared" si="785"/>
        <v>0.41903914590747332</v>
      </c>
      <c r="CJ102" s="775">
        <f t="shared" si="785"/>
        <v>0.18986175115207374</v>
      </c>
      <c r="CK102" s="727">
        <f t="shared" si="785"/>
        <v>-9.3629343629343623E-2</v>
      </c>
      <c r="CL102" s="727">
        <f t="shared" si="785"/>
        <v>-0.20752895752895753</v>
      </c>
      <c r="CM102" s="728">
        <f t="shared" ref="CM102:CO102" si="786">CM97/CM111</f>
        <v>-0.16393442622950818</v>
      </c>
      <c r="CN102" s="775">
        <f t="shared" si="786"/>
        <v>0.16498625114573787</v>
      </c>
      <c r="CO102" s="727">
        <f t="shared" si="786"/>
        <v>0.77068965517241383</v>
      </c>
      <c r="CP102" s="727">
        <f>CP97/CP111</f>
        <v>1.399320305862362</v>
      </c>
      <c r="CQ102" s="728">
        <f t="shared" ref="CQ102:CS102" si="787">CQ97/CQ111</f>
        <v>1.9949452401010952</v>
      </c>
      <c r="CR102" s="775">
        <f t="shared" si="787"/>
        <v>2.1861224489795918</v>
      </c>
      <c r="CS102" s="727">
        <f t="shared" si="787"/>
        <v>2.6672051696284331</v>
      </c>
      <c r="CT102" s="727">
        <f t="shared" ref="CT102:CU102" si="788">CT97/CT111</f>
        <v>2.8222833376111467</v>
      </c>
      <c r="CU102" s="728">
        <f t="shared" si="788"/>
        <v>2.7575704062055499</v>
      </c>
      <c r="CV102" s="775">
        <f t="shared" ref="CV102:CY102" si="789">CV97/CV111</f>
        <v>2.1856132799456449</v>
      </c>
      <c r="CW102" s="727">
        <f t="shared" si="789"/>
        <v>1.8203335057290406</v>
      </c>
      <c r="CX102" s="727">
        <f t="shared" si="789"/>
        <v>1.4704610440839461</v>
      </c>
      <c r="CY102" s="728">
        <f t="shared" si="789"/>
        <v>1.2839902763660949</v>
      </c>
      <c r="CZ102" s="775">
        <f t="shared" ref="CZ102:DC102" si="790">CZ97/CZ111</f>
        <v>1.1411528076468707</v>
      </c>
      <c r="DA102" s="727">
        <f t="shared" si="790"/>
        <v>1.0317106441600925</v>
      </c>
      <c r="DB102" s="727">
        <f t="shared" si="790"/>
        <v>0.97817232568159129</v>
      </c>
      <c r="DC102" s="728">
        <f t="shared" si="790"/>
        <v>0.94151928656622075</v>
      </c>
      <c r="DD102" s="570"/>
      <c r="DE102" s="729">
        <f t="shared" ref="DE102:EB102" si="791">DE97/DE111</f>
        <v>1.9539351851851847</v>
      </c>
      <c r="DF102" s="729">
        <f t="shared" si="791"/>
        <v>1.3803930689615072</v>
      </c>
      <c r="DG102" s="729">
        <f t="shared" si="791"/>
        <v>0.76526146049297428</v>
      </c>
      <c r="DH102" s="729">
        <f t="shared" si="791"/>
        <v>-0.57093345656192218</v>
      </c>
      <c r="DI102" s="729">
        <f t="shared" si="791"/>
        <v>-0.13100104572678101</v>
      </c>
      <c r="DJ102" s="729">
        <f t="shared" si="791"/>
        <v>2.5399130398075065</v>
      </c>
      <c r="DK102" s="729">
        <f t="shared" si="791"/>
        <v>-1.0451941970818162</v>
      </c>
      <c r="DL102" s="729">
        <f t="shared" si="791"/>
        <v>-1.5113881961762263</v>
      </c>
      <c r="DM102" s="729">
        <f t="shared" si="791"/>
        <v>-2.1059995062134802</v>
      </c>
      <c r="DN102" s="729">
        <f t="shared" si="791"/>
        <v>0.24343035807340105</v>
      </c>
      <c r="DO102" s="729">
        <f t="shared" si="791"/>
        <v>0.28859259259259296</v>
      </c>
      <c r="DP102" s="727">
        <f t="shared" si="791"/>
        <v>0.56223072415813524</v>
      </c>
      <c r="DQ102" s="727">
        <f t="shared" si="791"/>
        <v>-0.41436016962869437</v>
      </c>
      <c r="DR102" s="727">
        <f t="shared" si="791"/>
        <v>-2.0957928802588999</v>
      </c>
      <c r="DS102" s="727">
        <f t="shared" si="791"/>
        <v>-2.2903145282076882</v>
      </c>
      <c r="DT102" s="727">
        <f t="shared" si="791"/>
        <v>1.7627441638875656</v>
      </c>
      <c r="DU102" s="727">
        <f t="shared" si="791"/>
        <v>0.16282754418037781</v>
      </c>
      <c r="DV102" s="727">
        <f t="shared" si="791"/>
        <v>-1.0469982499302508</v>
      </c>
      <c r="DW102" s="727">
        <f t="shared" si="791"/>
        <v>-0.2796205150153363</v>
      </c>
      <c r="DX102" s="727">
        <f t="shared" si="791"/>
        <v>2.5427974947807934</v>
      </c>
      <c r="DY102" s="727">
        <f t="shared" si="791"/>
        <v>2.478307330626202</v>
      </c>
      <c r="DZ102" s="727">
        <f t="shared" si="791"/>
        <v>-0.26323319027181691</v>
      </c>
      <c r="EA102" s="727">
        <f t="shared" si="791"/>
        <v>4.4108342361863491</v>
      </c>
      <c r="EB102" s="727">
        <f t="shared" si="791"/>
        <v>10.441606768066896</v>
      </c>
      <c r="EC102" s="728">
        <f t="shared" ref="EC102:ED102" si="792">EC97/EC111</f>
        <v>6.7496545839475264</v>
      </c>
      <c r="ED102" s="728">
        <f t="shared" si="792"/>
        <v>4.0903232320762513</v>
      </c>
      <c r="EE102" s="1364"/>
      <c r="EF102" s="775">
        <f t="shared" ref="EF102:EY102" si="793">EF97/EF111</f>
        <v>2.3364076550611017</v>
      </c>
      <c r="EG102" s="727">
        <f t="shared" si="793"/>
        <v>0.66635557629491393</v>
      </c>
      <c r="EH102" s="727">
        <f t="shared" si="793"/>
        <v>0.73000573723465234</v>
      </c>
      <c r="EI102" s="727">
        <f t="shared" si="793"/>
        <v>-0.67106883044208199</v>
      </c>
      <c r="EJ102" s="727">
        <f t="shared" si="793"/>
        <v>0.5773831098223986</v>
      </c>
      <c r="EK102" s="727">
        <f t="shared" si="793"/>
        <v>2.5426473673169698</v>
      </c>
      <c r="EL102" s="727">
        <f t="shared" si="793"/>
        <v>-2.0877524457320389</v>
      </c>
      <c r="EM102" s="727">
        <f t="shared" si="793"/>
        <v>-1.5930348258706477</v>
      </c>
      <c r="EN102" s="727">
        <f t="shared" si="793"/>
        <v>-1.5623984400390001</v>
      </c>
      <c r="EO102" s="727">
        <f t="shared" si="793"/>
        <v>0.4671150699872762</v>
      </c>
      <c r="EP102" s="727">
        <f t="shared" si="793"/>
        <v>0.14645680928101779</v>
      </c>
      <c r="EQ102" s="727">
        <f t="shared" si="793"/>
        <v>0.61900598560764164</v>
      </c>
      <c r="ER102" s="727">
        <f t="shared" si="793"/>
        <v>-0.90478353994937366</v>
      </c>
      <c r="ES102" s="727">
        <f t="shared" si="793"/>
        <v>-2.6693407517629555</v>
      </c>
      <c r="ET102" s="727">
        <f t="shared" si="793"/>
        <v>-1.0582133908280404</v>
      </c>
      <c r="EU102" s="727">
        <f t="shared" si="793"/>
        <v>1.7490422362011069</v>
      </c>
      <c r="EV102" s="727">
        <f t="shared" si="793"/>
        <v>3.059764102057938E-2</v>
      </c>
      <c r="EW102" s="727">
        <f t="shared" si="793"/>
        <v>-0.85333333333333339</v>
      </c>
      <c r="EX102" s="727">
        <f t="shared" si="793"/>
        <v>0.25888787602552416</v>
      </c>
      <c r="EY102" s="727">
        <f t="shared" si="793"/>
        <v>2.6544163708498645</v>
      </c>
      <c r="EZ102" s="727">
        <f t="shared" ref="EZ102:FA102" si="794">EZ97/EZ111</f>
        <v>1.5057999562267455</v>
      </c>
      <c r="FA102" s="727">
        <f t="shared" si="794"/>
        <v>-0.25333333333333335</v>
      </c>
      <c r="FB102" s="727">
        <f t="shared" ref="FB102:FC102" si="795">FB97/FB111</f>
        <v>6.3819751526637187</v>
      </c>
      <c r="FC102" s="727">
        <f t="shared" si="795"/>
        <v>10.426402090916566</v>
      </c>
      <c r="FD102" s="727">
        <f t="shared" ref="FD102" si="796">FD97/FD111</f>
        <v>5.7081704177771817</v>
      </c>
      <c r="FE102" s="316"/>
      <c r="FF102" s="664"/>
      <c r="FG102" s="664"/>
      <c r="FH102" s="664"/>
      <c r="FI102"/>
      <c r="FJ102"/>
      <c r="FK102"/>
      <c r="FL102"/>
      <c r="FM102"/>
      <c r="FN102"/>
      <c r="FO102" s="412"/>
    </row>
    <row r="103" spans="1:171" ht="14.25" customHeight="1">
      <c r="A103" s="7"/>
      <c r="B103" s="673" t="s">
        <v>148</v>
      </c>
      <c r="C103" s="23"/>
      <c r="D103" s="51">
        <f t="shared" ref="D103:AI103" si="797">D92/D111</f>
        <v>0.37254443405051452</v>
      </c>
      <c r="E103" s="52">
        <f t="shared" si="797"/>
        <v>0.42763924493125149</v>
      </c>
      <c r="F103" s="52">
        <f t="shared" si="797"/>
        <v>0.50760719225449524</v>
      </c>
      <c r="G103" s="53">
        <f t="shared" si="797"/>
        <v>0.64251428571428582</v>
      </c>
      <c r="H103" s="51">
        <f t="shared" si="797"/>
        <v>0.75621546961325947</v>
      </c>
      <c r="I103" s="52">
        <f t="shared" si="797"/>
        <v>0.4372676579925649</v>
      </c>
      <c r="J103" s="52">
        <f t="shared" si="797"/>
        <v>0.13566433566433561</v>
      </c>
      <c r="K103" s="53">
        <f t="shared" si="797"/>
        <v>4.3661971830985774E-2</v>
      </c>
      <c r="L103" s="51">
        <f t="shared" si="797"/>
        <v>4.8018648018648122E-2</v>
      </c>
      <c r="M103" s="52">
        <f t="shared" si="797"/>
        <v>0.33001850138760419</v>
      </c>
      <c r="N103" s="52">
        <f t="shared" si="797"/>
        <v>0.2216117216117216</v>
      </c>
      <c r="O103" s="53">
        <f t="shared" si="797"/>
        <v>0.16453674121405773</v>
      </c>
      <c r="P103" s="51">
        <f t="shared" si="797"/>
        <v>1.492194674012844E-2</v>
      </c>
      <c r="Q103" s="52">
        <f t="shared" si="797"/>
        <v>-0.11826208178438648</v>
      </c>
      <c r="R103" s="52">
        <f t="shared" si="797"/>
        <v>-0.25347544022242813</v>
      </c>
      <c r="S103" s="53">
        <f t="shared" si="797"/>
        <v>-0.21517527675276735</v>
      </c>
      <c r="T103" s="51">
        <f t="shared" si="797"/>
        <v>-9.4017094017094072E-2</v>
      </c>
      <c r="U103" s="52">
        <f t="shared" si="797"/>
        <v>4.1040674239648092E-2</v>
      </c>
      <c r="V103" s="52">
        <f t="shared" si="797"/>
        <v>-5.200901239203902E-2</v>
      </c>
      <c r="W103" s="53">
        <f t="shared" si="797"/>
        <v>-3.2584269662921307E-2</v>
      </c>
      <c r="X103" s="51">
        <f t="shared" si="797"/>
        <v>0.57380632145258925</v>
      </c>
      <c r="Y103" s="52">
        <f t="shared" si="797"/>
        <v>0.28948312993539105</v>
      </c>
      <c r="Z103" s="52">
        <f t="shared" si="797"/>
        <v>0.45626556016597497</v>
      </c>
      <c r="AA103" s="53">
        <f t="shared" si="797"/>
        <v>1.1827799479166672</v>
      </c>
      <c r="AB103" s="51">
        <f t="shared" si="797"/>
        <v>0.57794552018378709</v>
      </c>
      <c r="AC103" s="52">
        <f t="shared" si="797"/>
        <v>-0.14870326709329731</v>
      </c>
      <c r="AD103" s="52">
        <f t="shared" si="797"/>
        <v>-0.52557437531443896</v>
      </c>
      <c r="AE103" s="53">
        <f t="shared" si="797"/>
        <v>-0.97147197839297661</v>
      </c>
      <c r="AF103" s="51">
        <f t="shared" si="797"/>
        <v>-0.44375834445927909</v>
      </c>
      <c r="AG103" s="52">
        <f t="shared" si="797"/>
        <v>-5.0624479600333061E-2</v>
      </c>
      <c r="AH103" s="52">
        <f t="shared" si="797"/>
        <v>-4.117549393989705E-2</v>
      </c>
      <c r="AI103" s="53">
        <f t="shared" si="797"/>
        <v>-0.97350993377483441</v>
      </c>
      <c r="AJ103" s="51">
        <f t="shared" ref="AJ103:BO103" si="798">AJ92/AJ111</f>
        <v>-0.52445472571050877</v>
      </c>
      <c r="AK103" s="52">
        <f t="shared" si="798"/>
        <v>-1.0223978919631092</v>
      </c>
      <c r="AL103" s="52">
        <f t="shared" si="798"/>
        <v>-0.35590991287193824</v>
      </c>
      <c r="AM103" s="53">
        <f t="shared" si="798"/>
        <v>-0.20475799835931094</v>
      </c>
      <c r="AN103" s="51">
        <f t="shared" si="798"/>
        <v>9.4250706880299594E-4</v>
      </c>
      <c r="AO103" s="52">
        <f t="shared" si="798"/>
        <v>-4.3998756218905373E-2</v>
      </c>
      <c r="AP103" s="52">
        <f t="shared" si="798"/>
        <v>0.13368301672809751</v>
      </c>
      <c r="AQ103" s="53">
        <f t="shared" si="798"/>
        <v>0.13815226689478191</v>
      </c>
      <c r="AR103" s="51">
        <f t="shared" si="798"/>
        <v>0.22598144182726626</v>
      </c>
      <c r="AS103" s="52">
        <f t="shared" si="798"/>
        <v>0.17296449451019549</v>
      </c>
      <c r="AT103" s="52">
        <f t="shared" si="798"/>
        <v>-0.1973156433199629</v>
      </c>
      <c r="AU103" s="53">
        <f t="shared" si="798"/>
        <v>6.6307692307692193E-2</v>
      </c>
      <c r="AV103" s="51">
        <f t="shared" si="798"/>
        <v>8.8530618017253412E-2</v>
      </c>
      <c r="AW103" s="52">
        <f t="shared" si="798"/>
        <v>0.27036104114189746</v>
      </c>
      <c r="AX103" s="52">
        <f t="shared" si="798"/>
        <v>9.9014025829745847E-2</v>
      </c>
      <c r="AY103" s="53">
        <f t="shared" si="798"/>
        <v>0.11507570770243584</v>
      </c>
      <c r="AZ103" s="51">
        <f t="shared" si="798"/>
        <v>0.18471010774756286</v>
      </c>
      <c r="BA103" s="52">
        <f t="shared" si="798"/>
        <v>-5.203590477429426E-3</v>
      </c>
      <c r="BB103" s="52">
        <f t="shared" si="798"/>
        <v>-0.2415898168593324</v>
      </c>
      <c r="BC103" s="53">
        <f t="shared" si="798"/>
        <v>-0.19717213646387341</v>
      </c>
      <c r="BD103" s="51">
        <f t="shared" si="798"/>
        <v>-0.33553569115170362</v>
      </c>
      <c r="BE103" s="52">
        <f t="shared" si="798"/>
        <v>-0.99818746763335064</v>
      </c>
      <c r="BF103" s="52">
        <f t="shared" si="798"/>
        <v>-0.31573498964803315</v>
      </c>
      <c r="BG103" s="53">
        <f t="shared" si="798"/>
        <v>-0.45930909561392158</v>
      </c>
      <c r="BH103" s="51">
        <f t="shared" si="798"/>
        <v>-0.92978145609724561</v>
      </c>
      <c r="BI103" s="52">
        <f t="shared" si="798"/>
        <v>-1.0363096007236077</v>
      </c>
      <c r="BJ103" s="52">
        <f t="shared" si="798"/>
        <v>-0.39714742407475717</v>
      </c>
      <c r="BK103" s="53">
        <f t="shared" si="798"/>
        <v>-0.12081013857633544</v>
      </c>
      <c r="BL103" s="51">
        <f t="shared" si="798"/>
        <v>0.20185869891076247</v>
      </c>
      <c r="BM103" s="52">
        <f t="shared" si="798"/>
        <v>0.37700188998308964</v>
      </c>
      <c r="BN103" s="52">
        <f t="shared" si="798"/>
        <v>0.91480846197827326</v>
      </c>
      <c r="BO103" s="53">
        <f t="shared" si="798"/>
        <v>0.31419569403115705</v>
      </c>
      <c r="BP103" s="51">
        <f t="shared" ref="BP103:CL103" si="799">BP92/BP111</f>
        <v>0.16677979249490935</v>
      </c>
      <c r="BQ103" s="52">
        <f t="shared" si="799"/>
        <v>7.2303094572447699E-2</v>
      </c>
      <c r="BR103" s="52">
        <f t="shared" si="799"/>
        <v>7.3917634635691648E-2</v>
      </c>
      <c r="BS103" s="53">
        <f t="shared" si="799"/>
        <v>-0.13505341664986897</v>
      </c>
      <c r="BT103" s="51">
        <f t="shared" si="799"/>
        <v>-0.19054412064397799</v>
      </c>
      <c r="BU103" s="52">
        <f t="shared" si="799"/>
        <v>-0.28693528693528697</v>
      </c>
      <c r="BV103" s="52">
        <f t="shared" si="799"/>
        <v>-0.32411627671427123</v>
      </c>
      <c r="BW103" s="53">
        <f t="shared" si="799"/>
        <v>-0.24414850686037126</v>
      </c>
      <c r="BX103" s="51">
        <f t="shared" si="799"/>
        <v>-0.27128341718457138</v>
      </c>
      <c r="BY103" s="52">
        <f t="shared" si="799"/>
        <v>-0.27952755905511811</v>
      </c>
      <c r="BZ103" s="52">
        <f t="shared" si="799"/>
        <v>4.1085419453468379E-2</v>
      </c>
      <c r="CA103" s="53">
        <f t="shared" si="799"/>
        <v>0.20010625110678235</v>
      </c>
      <c r="CB103" s="51">
        <f t="shared" si="799"/>
        <v>0.31856187290969901</v>
      </c>
      <c r="CC103" s="52">
        <f t="shared" si="799"/>
        <v>0.61698584512905907</v>
      </c>
      <c r="CD103" s="52">
        <f t="shared" si="799"/>
        <v>0.67731092436974794</v>
      </c>
      <c r="CE103" s="53">
        <f t="shared" si="799"/>
        <v>0.95677472984206147</v>
      </c>
      <c r="CF103" s="51">
        <f t="shared" si="799"/>
        <v>0.83849372384937237</v>
      </c>
      <c r="CG103" s="52">
        <f t="shared" si="799"/>
        <v>0.7857142857142857</v>
      </c>
      <c r="CH103" s="52">
        <f t="shared" si="799"/>
        <v>0.41965811965811967</v>
      </c>
      <c r="CI103" s="53">
        <f t="shared" si="799"/>
        <v>0.41903914590747332</v>
      </c>
      <c r="CJ103" s="51">
        <f t="shared" si="799"/>
        <v>0.18986175115207374</v>
      </c>
      <c r="CK103" s="52">
        <f t="shared" si="799"/>
        <v>-9.2664092664092659E-2</v>
      </c>
      <c r="CL103" s="52">
        <f t="shared" si="799"/>
        <v>-0.20752895752895753</v>
      </c>
      <c r="CM103" s="53">
        <f t="shared" ref="CM103:CP103" si="800">CM92/CM111</f>
        <v>-0.16393442622950818</v>
      </c>
      <c r="CN103" s="51">
        <f t="shared" si="800"/>
        <v>0.16498625114573787</v>
      </c>
      <c r="CO103" s="52">
        <f t="shared" si="800"/>
        <v>0.77068965517241383</v>
      </c>
      <c r="CP103" s="52">
        <f t="shared" si="800"/>
        <v>1.399320305862362</v>
      </c>
      <c r="CQ103" s="53">
        <f t="shared" ref="CQ103:CS103" si="801">CQ92/CQ111</f>
        <v>1.9957877000842461</v>
      </c>
      <c r="CR103" s="51">
        <f t="shared" si="801"/>
        <v>2.1861224489795918</v>
      </c>
      <c r="CS103" s="52">
        <f t="shared" si="801"/>
        <v>2.6688206785137316</v>
      </c>
      <c r="CT103" s="52">
        <f t="shared" ref="CT103:CU103" si="802">CT92/CT111</f>
        <v>2.8222833376111467</v>
      </c>
      <c r="CU103" s="53">
        <f t="shared" si="802"/>
        <v>2.7575704062055499</v>
      </c>
      <c r="CV103" s="51">
        <f t="shared" ref="CV103:CY103" si="803">CV92/CV111</f>
        <v>2.1856132799456449</v>
      </c>
      <c r="CW103" s="52">
        <f t="shared" si="803"/>
        <v>1.8203335057290406</v>
      </c>
      <c r="CX103" s="52">
        <f t="shared" si="803"/>
        <v>1.4704610440839461</v>
      </c>
      <c r="CY103" s="53">
        <f t="shared" si="803"/>
        <v>1.2839902763660949</v>
      </c>
      <c r="CZ103" s="51">
        <f t="shared" ref="CZ103:DC103" si="804">CZ92/CZ111</f>
        <v>1.1411528076468707</v>
      </c>
      <c r="DA103" s="52">
        <f t="shared" si="804"/>
        <v>1.0317106441600925</v>
      </c>
      <c r="DB103" s="52">
        <f t="shared" si="804"/>
        <v>0.97817232568159129</v>
      </c>
      <c r="DC103" s="53">
        <f t="shared" si="804"/>
        <v>0.94151928656622075</v>
      </c>
      <c r="DD103" s="231"/>
      <c r="DE103" s="358"/>
      <c r="DF103" s="358"/>
      <c r="DG103" s="358"/>
      <c r="DH103" s="358"/>
      <c r="DI103" s="358"/>
      <c r="DJ103" s="358"/>
      <c r="DK103" s="358"/>
      <c r="DL103" s="358"/>
      <c r="DM103" s="358"/>
      <c r="DN103" s="358"/>
      <c r="DO103" s="358"/>
      <c r="DP103" s="52"/>
      <c r="DQ103" s="52"/>
      <c r="DR103" s="52"/>
      <c r="DS103" s="52"/>
      <c r="DT103" s="52"/>
      <c r="DU103" s="52"/>
      <c r="DV103" s="52"/>
      <c r="DW103" s="52">
        <f>SUM(BX103:CA103)</f>
        <v>-0.30961930567943885</v>
      </c>
      <c r="DX103" s="52">
        <f>SUM(CB103:CE103)</f>
        <v>2.5696333722505678</v>
      </c>
      <c r="DY103" s="52">
        <f>SUM(CF103:CI103)</f>
        <v>2.4629052751292511</v>
      </c>
      <c r="DZ103" s="52">
        <f>SUM(CJ103:CM103)</f>
        <v>-0.27426572527048465</v>
      </c>
      <c r="EA103" s="52">
        <f t="shared" ref="EA103" si="805">SUM(CN103:CQ103)</f>
        <v>4.33078391226476</v>
      </c>
      <c r="EB103" s="52">
        <f t="shared" ref="EB103:EB104" si="806">SUM(CR103:CU103)</f>
        <v>10.43479687131002</v>
      </c>
      <c r="EC103" s="53">
        <f>SUM(CV103:CY103)</f>
        <v>6.7603981061247262</v>
      </c>
      <c r="ED103" s="53">
        <f>SUM(CZ103:DC103)</f>
        <v>4.0925550640547748</v>
      </c>
      <c r="EE103" s="1364"/>
      <c r="EF103" s="51"/>
      <c r="EG103" s="52"/>
      <c r="EH103" s="52"/>
      <c r="EI103" s="52"/>
      <c r="EJ103" s="52"/>
      <c r="EK103" s="52"/>
      <c r="EL103" s="52"/>
      <c r="EM103" s="52"/>
      <c r="EN103" s="52"/>
      <c r="EO103" s="52"/>
      <c r="EP103" s="52"/>
      <c r="EQ103" s="52"/>
      <c r="ER103" s="52"/>
      <c r="ES103" s="52"/>
      <c r="ET103" s="52"/>
      <c r="EU103" s="52"/>
      <c r="EV103" s="52"/>
      <c r="EW103" s="52"/>
      <c r="EX103" s="52"/>
      <c r="EY103" s="52"/>
      <c r="EZ103" s="52"/>
      <c r="FA103" s="52"/>
      <c r="FB103" s="52"/>
      <c r="FC103" s="52"/>
      <c r="FD103" s="52"/>
      <c r="FE103" s="308"/>
      <c r="FF103" s="300"/>
      <c r="FG103" s="300"/>
      <c r="FH103" s="300"/>
      <c r="FO103" s="7"/>
    </row>
    <row r="104" spans="1:171" ht="14.25" customHeight="1">
      <c r="A104" s="7"/>
      <c r="B104" s="544" t="s">
        <v>377</v>
      </c>
      <c r="C104" s="23"/>
      <c r="D104" s="775">
        <f t="shared" ref="D104:AI104" si="807">D98/D112</f>
        <v>0.37254443405051452</v>
      </c>
      <c r="E104" s="55">
        <f t="shared" si="807"/>
        <v>0.42763924493125149</v>
      </c>
      <c r="F104" s="55">
        <f t="shared" si="807"/>
        <v>0.44075610880590144</v>
      </c>
      <c r="G104" s="728">
        <f t="shared" si="807"/>
        <v>0.64251428571428582</v>
      </c>
      <c r="H104" s="775">
        <f t="shared" si="807"/>
        <v>0.76473296500920773</v>
      </c>
      <c r="I104" s="55">
        <f t="shared" si="807"/>
        <v>0.50209107806691444</v>
      </c>
      <c r="J104" s="55">
        <f t="shared" si="807"/>
        <v>0.14032634032634028</v>
      </c>
      <c r="K104" s="728">
        <f t="shared" si="807"/>
        <v>5.3990610328638361E-2</v>
      </c>
      <c r="L104" s="775">
        <f t="shared" si="807"/>
        <v>5.5244755244755347E-2</v>
      </c>
      <c r="M104" s="55">
        <f t="shared" si="807"/>
        <v>-0.129509713228492</v>
      </c>
      <c r="N104" s="55">
        <f t="shared" si="807"/>
        <v>0.23511904761904762</v>
      </c>
      <c r="O104" s="728">
        <f t="shared" si="807"/>
        <v>0.17412140575079899</v>
      </c>
      <c r="P104" s="775">
        <f t="shared" si="807"/>
        <v>2.5941230486684903E-2</v>
      </c>
      <c r="Q104" s="55">
        <f t="shared" si="807"/>
        <v>-0.40613382899628236</v>
      </c>
      <c r="R104" s="55">
        <f t="shared" si="807"/>
        <v>-0.24073215940685816</v>
      </c>
      <c r="S104" s="728">
        <f t="shared" si="807"/>
        <v>-0.19649446494464928</v>
      </c>
      <c r="T104" s="775">
        <f t="shared" si="807"/>
        <v>-6.9393569393569415E-2</v>
      </c>
      <c r="U104" s="55">
        <f t="shared" si="807"/>
        <v>7.7500916086478452E-2</v>
      </c>
      <c r="V104" s="55">
        <f t="shared" si="807"/>
        <v>-2.6286143447239927E-2</v>
      </c>
      <c r="W104" s="728">
        <f t="shared" si="807"/>
        <v>5.2434456928839197E-3</v>
      </c>
      <c r="X104" s="775">
        <f t="shared" si="807"/>
        <v>0.6540013449899128</v>
      </c>
      <c r="Y104" s="55">
        <f t="shared" si="807"/>
        <v>0.33291457286432141</v>
      </c>
      <c r="Z104" s="55">
        <f t="shared" si="807"/>
        <v>0.50605809128630697</v>
      </c>
      <c r="AA104" s="728">
        <f t="shared" si="807"/>
        <v>1.1450195312500004</v>
      </c>
      <c r="AB104" s="775">
        <f t="shared" si="807"/>
        <v>0.59468329504430573</v>
      </c>
      <c r="AC104" s="55">
        <f t="shared" si="807"/>
        <v>2.3576961940048138E-3</v>
      </c>
      <c r="AD104" s="55">
        <f t="shared" si="807"/>
        <v>-0.45547543182961592</v>
      </c>
      <c r="AE104" s="728">
        <f t="shared" si="807"/>
        <v>-0.89821066846725062</v>
      </c>
      <c r="AF104" s="775">
        <f t="shared" si="807"/>
        <v>-0.43541388518024032</v>
      </c>
      <c r="AG104" s="55">
        <f t="shared" si="807"/>
        <v>-7.2606161532056609E-2</v>
      </c>
      <c r="AH104" s="55">
        <f t="shared" si="807"/>
        <v>-3.4700315457413214E-2</v>
      </c>
      <c r="AI104" s="728">
        <f t="shared" si="807"/>
        <v>-0.92798013245033117</v>
      </c>
      <c r="AJ104" s="775">
        <f t="shared" ref="AJ104:BO104" si="808">AJ98/AJ112</f>
        <v>-0.50809649702577642</v>
      </c>
      <c r="AK104" s="55">
        <f t="shared" si="808"/>
        <v>-0.82509881422924891</v>
      </c>
      <c r="AL104" s="55">
        <f t="shared" si="808"/>
        <v>-0.3437448627322045</v>
      </c>
      <c r="AM104" s="728">
        <f t="shared" si="808"/>
        <v>-0.15816242821985235</v>
      </c>
      <c r="AN104" s="775">
        <f t="shared" si="808"/>
        <v>-3.4558592522777602E-3</v>
      </c>
      <c r="AO104" s="55">
        <f t="shared" si="808"/>
        <v>-6.6386815920397926E-2</v>
      </c>
      <c r="AP104" s="55">
        <f t="shared" si="808"/>
        <v>0.13240714488233626</v>
      </c>
      <c r="AQ104" s="728">
        <f t="shared" si="808"/>
        <v>0.12375249500998012</v>
      </c>
      <c r="AR104" s="775">
        <f t="shared" si="808"/>
        <v>0.23954318344039974</v>
      </c>
      <c r="AS104" s="55">
        <f t="shared" si="808"/>
        <v>0.15571082275773579</v>
      </c>
      <c r="AT104" s="55">
        <f t="shared" si="808"/>
        <v>-0.23634680654119092</v>
      </c>
      <c r="AU104" s="728">
        <f t="shared" si="808"/>
        <v>6.2307692307692196E-2</v>
      </c>
      <c r="AV104" s="775">
        <f t="shared" si="808"/>
        <v>7.1418469806250731E-2</v>
      </c>
      <c r="AW104" s="55">
        <f t="shared" si="808"/>
        <v>-3.6383991043940744E-2</v>
      </c>
      <c r="AX104" s="55">
        <f t="shared" si="808"/>
        <v>0.12498264129981945</v>
      </c>
      <c r="AY104" s="728">
        <f t="shared" si="808"/>
        <v>3.7656352863726185E-2</v>
      </c>
      <c r="AZ104" s="775">
        <f t="shared" si="808"/>
        <v>0.10774756285274499</v>
      </c>
      <c r="BA104" s="55">
        <f t="shared" si="808"/>
        <v>-7.4151164303369321E-2</v>
      </c>
      <c r="BB104" s="55">
        <f t="shared" si="808"/>
        <v>-0.32861410572801664</v>
      </c>
      <c r="BC104" s="728">
        <f t="shared" si="808"/>
        <v>-0.19587495135555844</v>
      </c>
      <c r="BD104" s="775">
        <f t="shared" si="808"/>
        <v>-0.35237725093924083</v>
      </c>
      <c r="BE104" s="55">
        <f t="shared" si="808"/>
        <v>-0.45054375970999483</v>
      </c>
      <c r="BF104" s="55">
        <f t="shared" si="808"/>
        <v>-0.32220496894409939</v>
      </c>
      <c r="BG104" s="728">
        <f t="shared" si="808"/>
        <v>-0.44637081123043088</v>
      </c>
      <c r="BH104" s="775">
        <f t="shared" si="808"/>
        <v>-0.98021466442519078</v>
      </c>
      <c r="BI104" s="55">
        <f t="shared" si="808"/>
        <v>-0.66158418400310115</v>
      </c>
      <c r="BJ104" s="55">
        <f t="shared" si="808"/>
        <v>-0.16476085085454323</v>
      </c>
      <c r="BK104" s="728">
        <f t="shared" si="808"/>
        <v>-6.632713490465475E-2</v>
      </c>
      <c r="BL104" s="775">
        <f t="shared" si="808"/>
        <v>0.21185170380733487</v>
      </c>
      <c r="BM104" s="55">
        <f t="shared" si="808"/>
        <v>0.34218641201631356</v>
      </c>
      <c r="BN104" s="55">
        <f t="shared" si="808"/>
        <v>0.87192681532304162</v>
      </c>
      <c r="BO104" s="728">
        <f t="shared" si="808"/>
        <v>0.30806931559600914</v>
      </c>
      <c r="BP104" s="775">
        <f t="shared" ref="BP104:CL104" si="809">BP98/BP112</f>
        <v>-3.4907398429167069E-2</v>
      </c>
      <c r="BQ104" s="55">
        <f t="shared" si="809"/>
        <v>-3.8561650438638777E-3</v>
      </c>
      <c r="BR104" s="55">
        <f t="shared" si="809"/>
        <v>-4.4158586925218388E-2</v>
      </c>
      <c r="BS104" s="728">
        <f t="shared" si="809"/>
        <v>-0.12799838742189074</v>
      </c>
      <c r="BT104" s="775">
        <f t="shared" si="809"/>
        <v>-0.18443040554310169</v>
      </c>
      <c r="BU104" s="55">
        <f t="shared" si="809"/>
        <v>-0.25437525437525438</v>
      </c>
      <c r="BV104" s="55">
        <f t="shared" si="809"/>
        <v>-0.28562746885445156</v>
      </c>
      <c r="BW104" s="728">
        <f t="shared" si="809"/>
        <v>-0.26029055690072639</v>
      </c>
      <c r="BX104" s="775">
        <f t="shared" si="809"/>
        <v>-0.24070237742921968</v>
      </c>
      <c r="BY104" s="55">
        <f t="shared" si="809"/>
        <v>-0.23031496062992127</v>
      </c>
      <c r="BZ104" s="55">
        <f t="shared" si="809"/>
        <v>9.2681062488056576E-2</v>
      </c>
      <c r="CA104" s="728">
        <f t="shared" si="809"/>
        <v>0.23463786081105009</v>
      </c>
      <c r="CB104" s="775">
        <f t="shared" si="809"/>
        <v>0.77145359019264448</v>
      </c>
      <c r="CC104" s="55">
        <f t="shared" si="809"/>
        <v>0.85332182916307164</v>
      </c>
      <c r="CD104" s="55">
        <f t="shared" si="809"/>
        <v>0.79253472222222221</v>
      </c>
      <c r="CE104" s="728">
        <f t="shared" si="809"/>
        <v>0.81717687074829937</v>
      </c>
      <c r="CF104" s="775">
        <f t="shared" si="809"/>
        <v>0.97431506849315064</v>
      </c>
      <c r="CG104" s="55">
        <f t="shared" si="809"/>
        <v>0.8091143594153053</v>
      </c>
      <c r="CH104" s="55">
        <f t="shared" si="809"/>
        <v>0.54433713784021076</v>
      </c>
      <c r="CI104" s="728">
        <f t="shared" si="809"/>
        <v>0.36944444444444446</v>
      </c>
      <c r="CJ104" s="775">
        <f t="shared" si="809"/>
        <v>0.24057971014492754</v>
      </c>
      <c r="CK104" s="55">
        <f t="shared" si="809"/>
        <v>-4.633204633204633E-2</v>
      </c>
      <c r="CL104" s="55">
        <f t="shared" si="809"/>
        <v>-7.6254826254826255E-2</v>
      </c>
      <c r="CM104" s="728">
        <f t="shared" ref="CM104" si="810">CM98/CM112</f>
        <v>-5.4001928640308582E-2</v>
      </c>
      <c r="CN104" s="775">
        <f>CN98/CN112</f>
        <v>0.31544256120527309</v>
      </c>
      <c r="CO104" s="55">
        <f t="shared" ref="CO104:CQ104" si="811">CO98/CO112</f>
        <v>0.8996509598603839</v>
      </c>
      <c r="CP104" s="55">
        <f t="shared" si="811"/>
        <v>1.6218990590248075</v>
      </c>
      <c r="CQ104" s="728">
        <f t="shared" si="811"/>
        <v>2.0203217612193058</v>
      </c>
      <c r="CR104" s="775">
        <f>CR98/CR112</f>
        <v>2.4540983606557378</v>
      </c>
      <c r="CS104" s="55">
        <f t="shared" ref="CS104" si="812">CS98/CS112</f>
        <v>2.818548387096774</v>
      </c>
      <c r="CT104" s="727">
        <f t="shared" ref="CT104:CU104" si="813">CT98/CT112</f>
        <v>2.8593676842709685</v>
      </c>
      <c r="CU104" s="728">
        <f t="shared" si="813"/>
        <v>2.7944924548056997</v>
      </c>
      <c r="CV104" s="775">
        <f t="shared" ref="CV104:CY104" si="814">CV98/CV112</f>
        <v>2.2231754041097687</v>
      </c>
      <c r="CW104" s="727">
        <f t="shared" si="814"/>
        <v>1.8582029912329889</v>
      </c>
      <c r="CX104" s="727">
        <f t="shared" si="814"/>
        <v>1.508609627219119</v>
      </c>
      <c r="CY104" s="728">
        <f t="shared" si="814"/>
        <v>1.3221617199547187</v>
      </c>
      <c r="CZ104" s="775">
        <f t="shared" ref="CZ104:DC104" si="815">CZ98/CZ112</f>
        <v>1.179279873892811</v>
      </c>
      <c r="DA104" s="727">
        <f t="shared" si="815"/>
        <v>1.0697430727295365</v>
      </c>
      <c r="DB104" s="727">
        <f t="shared" si="815"/>
        <v>1.0160268304838884</v>
      </c>
      <c r="DC104" s="728">
        <f t="shared" si="815"/>
        <v>0.97917290146243985</v>
      </c>
      <c r="DD104" s="231"/>
      <c r="DE104" s="358"/>
      <c r="DF104" s="358"/>
      <c r="DG104" s="358"/>
      <c r="DH104" s="358"/>
      <c r="DI104" s="358"/>
      <c r="DJ104" s="358"/>
      <c r="DK104" s="358"/>
      <c r="DL104" s="358"/>
      <c r="DM104" s="358"/>
      <c r="DN104" s="358"/>
      <c r="DO104" s="358"/>
      <c r="DP104" s="52"/>
      <c r="DQ104" s="52"/>
      <c r="DR104" s="52"/>
      <c r="DS104" s="52"/>
      <c r="DT104" s="52"/>
      <c r="DU104" s="52"/>
      <c r="DV104" s="52"/>
      <c r="DW104" s="52">
        <f>DW98/DW112</f>
        <v>-1.5217442994031907</v>
      </c>
      <c r="DX104" s="52">
        <f>DX98/DX112</f>
        <v>3.235255994815295</v>
      </c>
      <c r="DY104" s="52">
        <f>SUM(CF104:CI104)</f>
        <v>2.697211010193111</v>
      </c>
      <c r="DZ104" s="52">
        <f>SUM(CJ104:CM104)</f>
        <v>6.3990908917746392E-2</v>
      </c>
      <c r="EA104" s="727">
        <f>SUM(CN104:CQ104)</f>
        <v>4.8573143413097704</v>
      </c>
      <c r="EB104" s="727">
        <f t="shared" si="806"/>
        <v>10.926506886829181</v>
      </c>
      <c r="EC104" s="728">
        <f>SUM(CV104:CY104)</f>
        <v>6.9121497425165952</v>
      </c>
      <c r="ED104" s="728">
        <f>SUM(CZ104:DC104)</f>
        <v>4.2442226785686756</v>
      </c>
      <c r="EE104" s="1364"/>
      <c r="EF104" s="51"/>
      <c r="EG104" s="52"/>
      <c r="EH104" s="52"/>
      <c r="EI104" s="52"/>
      <c r="EJ104" s="52"/>
      <c r="EK104" s="52"/>
      <c r="EL104" s="52"/>
      <c r="EM104" s="52"/>
      <c r="EN104" s="52"/>
      <c r="EO104" s="52"/>
      <c r="EP104" s="52"/>
      <c r="EQ104" s="52"/>
      <c r="ER104" s="52"/>
      <c r="ES104" s="52"/>
      <c r="ET104" s="52"/>
      <c r="EU104" s="52"/>
      <c r="EV104" s="52"/>
      <c r="EW104" s="52"/>
      <c r="EX104" s="52"/>
      <c r="EY104" s="727">
        <f>EY98/EY112</f>
        <v>3.4874700370451079</v>
      </c>
      <c r="EZ104" s="727">
        <f t="shared" ref="EZ104:FA104" si="816">EZ98/EZ112</f>
        <v>2.0004527960153951</v>
      </c>
      <c r="FA104" s="727">
        <f t="shared" si="816"/>
        <v>0.14576840086310236</v>
      </c>
      <c r="FB104" s="727">
        <f>FB98/FB112</f>
        <v>7.0458015267175576</v>
      </c>
      <c r="FC104" s="727">
        <f>FC98/FC112</f>
        <v>10.688827600837371</v>
      </c>
      <c r="FD104" s="727">
        <f>FD98/FD112</f>
        <v>5.8605018080634634</v>
      </c>
      <c r="FE104" s="308"/>
      <c r="FF104" s="300"/>
      <c r="FG104" s="300"/>
      <c r="FH104" s="300"/>
      <c r="FO104" s="7"/>
    </row>
    <row r="105" spans="1:171" ht="14.25" hidden="1" customHeight="1" outlineLevel="1">
      <c r="A105" s="7"/>
      <c r="B105" s="271" t="s">
        <v>440</v>
      </c>
      <c r="C105" s="44"/>
      <c r="D105" s="396"/>
      <c r="E105" s="768"/>
      <c r="F105" s="768"/>
      <c r="G105" s="53"/>
      <c r="H105" s="396"/>
      <c r="I105" s="768"/>
      <c r="J105" s="768"/>
      <c r="K105" s="53"/>
      <c r="L105" s="396"/>
      <c r="M105" s="768"/>
      <c r="N105" s="768"/>
      <c r="O105" s="53"/>
      <c r="P105" s="396"/>
      <c r="Q105" s="768"/>
      <c r="R105" s="768"/>
      <c r="S105" s="53"/>
      <c r="T105" s="396"/>
      <c r="U105" s="768"/>
      <c r="V105" s="768"/>
      <c r="W105" s="53"/>
      <c r="X105" s="396"/>
      <c r="Y105" s="768"/>
      <c r="Z105" s="768"/>
      <c r="AA105" s="53"/>
      <c r="AB105" s="396"/>
      <c r="AC105" s="768"/>
      <c r="AD105" s="768"/>
      <c r="AE105" s="53"/>
      <c r="AF105" s="396"/>
      <c r="AG105" s="768"/>
      <c r="AH105" s="768"/>
      <c r="AI105" s="53"/>
      <c r="AJ105" s="396"/>
      <c r="AK105" s="768"/>
      <c r="AL105" s="768"/>
      <c r="AM105" s="53"/>
      <c r="AN105" s="396"/>
      <c r="AO105" s="768"/>
      <c r="AP105" s="768"/>
      <c r="AQ105" s="53"/>
      <c r="AR105" s="396"/>
      <c r="AS105" s="768"/>
      <c r="AT105" s="768"/>
      <c r="AU105" s="53"/>
      <c r="AV105" s="396"/>
      <c r="AW105" s="768"/>
      <c r="AX105" s="768"/>
      <c r="AY105" s="53"/>
      <c r="AZ105" s="396"/>
      <c r="BA105" s="768"/>
      <c r="BB105" s="768"/>
      <c r="BC105" s="53"/>
      <c r="BD105" s="396"/>
      <c r="BE105" s="768"/>
      <c r="BF105" s="768"/>
      <c r="BG105" s="53"/>
      <c r="BH105" s="396"/>
      <c r="BI105" s="768"/>
      <c r="BJ105" s="768"/>
      <c r="BK105" s="53"/>
      <c r="BL105" s="396"/>
      <c r="BM105" s="768"/>
      <c r="BN105" s="768"/>
      <c r="BO105" s="53"/>
      <c r="BP105" s="396"/>
      <c r="BQ105" s="768"/>
      <c r="BR105" s="768"/>
      <c r="BS105" s="53"/>
      <c r="BT105" s="396">
        <f>BT103/BT114</f>
        <v>1.7642974133701556E-2</v>
      </c>
      <c r="BU105" s="768"/>
      <c r="BV105" s="768"/>
      <c r="BW105" s="53" t="str">
        <f>_xll.ThomsonONEAddinShim.SpreadsheetFormulas.TF($B$3,"TF.ES.EPS.Mean(period=3QCY2012,sdate=0D)")</f>
        <v xml:space="preserve">    Manual Calculation    </v>
      </c>
      <c r="BX105" s="396" t="str">
        <f>_xll.ThomsonONEAddinShim.SpreadsheetFormulas.TF($B$3,"TF.ES.EPS.Mean(period=4QCY2012,sdate=0D)")</f>
        <v xml:space="preserve">    Manual Calculation    </v>
      </c>
      <c r="BY105" s="768" t="str">
        <f>_xll.ThomsonONEAddinShim.SpreadsheetFormulas.TF($B$3,"TF.ES.EPS.Mean(period=1QCY2013,sdate=0D)")</f>
        <v xml:space="preserve">    Manual Calculation    </v>
      </c>
      <c r="BZ105" s="768" t="str">
        <f>_xll.ThomsonONEAddinShim.SpreadsheetFormulas.TF($B$3,"TF.ES.EPS.Mean(period=2QCY2013,sdate=0D)")</f>
        <v xml:space="preserve">    Manual Calculation    </v>
      </c>
      <c r="CA105" s="53" t="str">
        <f>_xll.ThomsonONEAddinShim.SpreadsheetFormulas.TF($B$3,"TF.ES.EPS.Mean(period=3QCY2013,sdate=0D)")</f>
        <v xml:space="preserve">    Manual Calculation    </v>
      </c>
      <c r="CB105" s="396" t="str">
        <f>_xll.ThomsonONEAddinShim.SpreadsheetFormulas.TF($B$3,"TF.ES.EPS.Mean(period=4QCY2013,sdate=0D)")</f>
        <v xml:space="preserve">    Manual Calculation    </v>
      </c>
      <c r="CC105" s="768" t="str">
        <f>_xll.ThomsonONEAddinShim.SpreadsheetFormulas.TF($B$3,"TF.ES.EPS.Mean(period=1QCY2014,sdate=0D)")</f>
        <v xml:space="preserve">    Manual Calculation    </v>
      </c>
      <c r="CD105" s="768" t="str">
        <f>_xll.ThomsonONEAddinShim.SpreadsheetFormulas.TF($B$3,"TF.ES.EPS.Mean(period=2QCY2014,sdate=0D)")</f>
        <v xml:space="preserve">    Manual Calculation    </v>
      </c>
      <c r="CE105" s="904" t="str">
        <f>_xll.ThomsonONEAddinShim.SpreadsheetFormulas.TF($B$3,"TF.ES.EPS.Mean(period=3QCY2014,sdate=0D)")</f>
        <v xml:space="preserve">    Manual Calculation    </v>
      </c>
      <c r="CF105" s="396" t="str">
        <f>_xll.ThomsonONEAddinShim.SpreadsheetFormulas.TF($B$3,"TF.ES.EPS.Mean(period=4QCY2014,sdate=0D)")</f>
        <v xml:space="preserve">    Manual Calculation    </v>
      </c>
      <c r="CG105" s="768" t="str">
        <f>_xll.ThomsonONEAddinShim.SpreadsheetFormulas.TF($B$3,"TF.ES.EPS.Mean(period=1QCY2015,sdate=0D)")</f>
        <v xml:space="preserve">    Manual Calculation    </v>
      </c>
      <c r="CH105" s="768" t="str">
        <f>_xll.ThomsonONEAddinShim.SpreadsheetFormulas.TF($B$3,"TF.ES.EPS.Mean(period=2QCY2015,sdate=0D)")</f>
        <v xml:space="preserve">    Manual Calculation    </v>
      </c>
      <c r="CI105" s="904" t="str">
        <f>_xll.ThomsonONEAddinShim.SpreadsheetFormulas.TF($B$3,"TF.ES.EPS.Mean(period=3QCY2015,sdate=0D)")</f>
        <v xml:space="preserve">    Manual Calculation    </v>
      </c>
      <c r="CJ105" s="396" t="str">
        <f>_xll.ThomsonONEAddinShim.SpreadsheetFormulas.TF($B$3,"TF.ES.EPS.Mean(period=4QCY2015,sdate=0D)")</f>
        <v xml:space="preserve">    Manual Calculation    </v>
      </c>
      <c r="CK105" s="768" t="str">
        <f>_xll.ThomsonONEAddinShim.SpreadsheetFormulas.TF($B$3,"TF.ES.EPS.Mean(period=1QCY2016,sdate=0D)")</f>
        <v xml:space="preserve">    Manual Calculation    </v>
      </c>
      <c r="CL105" s="768" t="str">
        <f>_xll.ThomsonONEAddinShim.SpreadsheetFormulas.TF($B$3,"TF.ES.EPS.Mean(period=2QCY2016,sdate=0D)")</f>
        <v xml:space="preserve">    Manual Calculation    </v>
      </c>
      <c r="CM105" s="904" t="str">
        <f>_xll.ThomsonONEAddinShim.SpreadsheetFormulas.TF($B$3,"TF.ES.EPS.Mean(period=3QCY2016,sdate=0D)")</f>
        <v xml:space="preserve">    Manual Calculation    </v>
      </c>
      <c r="CN105" s="396" t="str">
        <f>_xll.ThomsonONEAddinShim.SpreadsheetFormulas.TF($B$3,"TF.ES.EPS.Mean(period=4QCY2016,sdate=0D)")</f>
        <v xml:space="preserve">     $    0.28     </v>
      </c>
      <c r="CO105" s="768" t="str">
        <f>_xll.ThomsonONEAddinShim.SpreadsheetFormulas.TF($B$3,"TF.ES.EPS.Mean(period=1QCY2017,sdate=0D)")</f>
        <v xml:space="preserve">     $    0.86     </v>
      </c>
      <c r="CP105" s="768" t="str">
        <f>_xll.ThomsonONEAddinShim.SpreadsheetFormulas.TF($B$3,"TF.ES.EPS.Mean(period=2QCY2017,sdate=0D)")</f>
        <v xml:space="preserve">     $      1.51     </v>
      </c>
      <c r="CQ105" s="904" t="str">
        <f>_xll.ThomsonONEAddinShim.SpreadsheetFormulas.TF($B$3,"TF.ES.EPS.Mean(period=3QCY2017,sdate=0D)")</f>
        <v xml:space="preserve">     $      1.83     </v>
      </c>
      <c r="CR105" s="396" t="str">
        <f>_xll.ThomsonONEAddinShim.SpreadsheetFormulas.TF($B$3,"TF.ES.EPS.Mean(period=4QCY2016,sdate=0D)")</f>
        <v xml:space="preserve">     $    0.28     </v>
      </c>
      <c r="CS105" s="768" t="str">
        <f>_xll.ThomsonONEAddinShim.SpreadsheetFormulas.TF($B$3,"TF.ES.EPS.Mean(period=1QCY2017,sdate=0D)")</f>
        <v xml:space="preserve">     $      0.86     </v>
      </c>
      <c r="CT105" s="394" t="str">
        <f>_xll.ThomsonONEAddinShim.SpreadsheetFormulas.TF($B$3,"TF.ES.EPS.Mean(period=2QCY2018,sdate=0D)")</f>
        <v xml:space="preserve">     $     2.65     </v>
      </c>
      <c r="CU105" s="53" t="str">
        <f>_xll.ThomsonONEAddinShim.SpreadsheetFormulas.TF($B$3,"TF.ES.EPS.Mean(period=3QCY2018,sdate=0D)")</f>
        <v xml:space="preserve">     $      2.58     </v>
      </c>
      <c r="CV105" s="396" t="str">
        <f>_xll.ThomsonONEAddinShim.SpreadsheetFormulas.TF($B$3,"TF.ES.EPS.Mean(period=4QCY2018,sdate=0D)")</f>
        <v xml:space="preserve">     $     2.54     </v>
      </c>
      <c r="CW105" s="394" t="str">
        <f>_xll.ThomsonONEAddinShim.SpreadsheetFormulas.TF($B$3,"TF.ES.EPS.Mean(period=1QCY2019,sdate=0D)")</f>
        <v xml:space="preserve">     $     2.35     </v>
      </c>
      <c r="CX105" s="394" t="str">
        <f>_xll.ThomsonONEAddinShim.SpreadsheetFormulas.TF($B$3,"TF.ES.EPS.Mean(period=2QCY2019,sdate=0D)")</f>
        <v xml:space="preserve">     $     2.31     </v>
      </c>
      <c r="CY105" s="53" t="str">
        <f>_xll.ThomsonONEAddinShim.SpreadsheetFormulas.TF($B$3,"TF.ES.EPS.Mean(period=3QCY2019,sdate=0D)")</f>
        <v xml:space="preserve">     $      2.30     </v>
      </c>
      <c r="CZ105" s="396" t="str">
        <f>_xll.ThomsonONEAddinShim.SpreadsheetFormulas.TF($B$3,"TF.ES.EPS.Mean(period=4QCY2019,sdate=0D)")</f>
        <v xml:space="preserve">    Manual Calculation    </v>
      </c>
      <c r="DA105" s="394" t="str">
        <f>_xll.ThomsonONEAddinShim.SpreadsheetFormulas.TF($B$3,"TF.ES.EPS.Mean(period=1QCY2020,sdate=0D)")</f>
        <v xml:space="preserve">    Manual Calculation    </v>
      </c>
      <c r="DB105" s="394" t="str">
        <f>_xll.ThomsonONEAddinShim.SpreadsheetFormulas.TF($B$3,"TF.ES.EPS.Mean(period=2QCY2020,sdate=0D)")</f>
        <v xml:space="preserve">    Manual Calculation    </v>
      </c>
      <c r="DC105" s="53" t="str">
        <f>_xll.ThomsonONEAddinShim.SpreadsheetFormulas.TF($B$3,"TF.ES.EPS.Mean(period=3QCY2020,sdate=0D)")</f>
        <v xml:space="preserve">    Manual Calculation    </v>
      </c>
      <c r="DD105" s="231" t="s">
        <v>252</v>
      </c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55"/>
      <c r="DQ105" s="55"/>
      <c r="DR105" s="55"/>
      <c r="DS105" s="55"/>
      <c r="DT105" s="55"/>
      <c r="DU105" s="55" t="str">
        <f>_xll.ThomsonONEAddinShim.SpreadsheetFormulas.TF($B$3,"TF.ES.EPS.Mean(period=FY2011,sdate=0D)")</f>
        <v xml:space="preserve">    Manual Calculation    </v>
      </c>
      <c r="DV105" s="55" t="str">
        <f>_xll.ThomsonONEAddinShim.SpreadsheetFormulas.TF($B$3,"TF.ES.EPS.Mean(period=FY2012,sdate=0D)")</f>
        <v xml:space="preserve">    Manual Calculation    </v>
      </c>
      <c r="DW105" s="55" t="str">
        <f>_xll.ThomsonONEAddinShim.SpreadsheetFormulas.TF($B$3,"TF.ES.EPS.Mean(period=FY2013,sdate=0D)")</f>
        <v xml:space="preserve">    Manual Calculation    </v>
      </c>
      <c r="DX105" s="55" t="str">
        <f>_xll.ThomsonONEAddinShim.SpreadsheetFormulas.TF($B$3,"TF.ES.EPS.Mean(period=FY2014,sdate=0D)")</f>
        <v xml:space="preserve">    Manual Calculation    </v>
      </c>
      <c r="DY105" s="55" t="str">
        <f>_xll.ThomsonONEAddinShim.SpreadsheetFormulas.TF($B$3,"TF.ES.EPS.Mean(period=FY2015,sdate=0D)")</f>
        <v xml:space="preserve">    Manual Calculation    </v>
      </c>
      <c r="DZ105" s="55" t="str">
        <f>_xll.ThomsonONEAddinShim.SpreadsheetFormulas.TF($B$3,"TF.ES.EPS.Mean(period=FY2016,sdate=0D)")</f>
        <v xml:space="preserve">    Manual Calculation    </v>
      </c>
      <c r="EA105" s="394" t="str">
        <f>_xll.ThomsonONEAddinShim.SpreadsheetFormulas.TF($B$3,"TF.ES.EPS.Mean(period=FY2017,sdate=0D)")</f>
        <v xml:space="preserve">     $      4.73     </v>
      </c>
      <c r="EB105" s="394" t="str">
        <f>_xll.ThomsonONEAddinShim.SpreadsheetFormulas.TF($B$3,"TF.ES.EPS.Mean(period=FY2018,sdate=0D)")</f>
        <v xml:space="preserve">     $    10.29     </v>
      </c>
      <c r="EC105" s="395" t="str">
        <f>_xll.ThomsonONEAddinShim.SpreadsheetFormulas.TF($B$3,"TF.ES.EPS.Mean(period=FY2019,sdate=0D)")</f>
        <v xml:space="preserve">     $        8.96     </v>
      </c>
      <c r="ED105" s="395" t="str">
        <f>_xll.ThomsonONEAddinShim.SpreadsheetFormulas.TF($B$3,"TF.ES.EPS.Mean(period=FY2020,sdate=0D)")</f>
        <v xml:space="preserve">    Manual Calculation    </v>
      </c>
      <c r="EE105" s="1364"/>
      <c r="EF105" s="54"/>
      <c r="EG105" s="55"/>
      <c r="EH105" s="55"/>
      <c r="EI105" s="55"/>
      <c r="EJ105" s="55"/>
      <c r="EK105" s="55"/>
      <c r="EL105" s="55"/>
      <c r="EM105" s="55"/>
      <c r="EN105" s="55"/>
      <c r="EO105" s="55"/>
      <c r="EP105" s="55"/>
      <c r="EQ105" s="55"/>
      <c r="ER105" s="55"/>
      <c r="ES105" s="55"/>
      <c r="ET105" s="55"/>
      <c r="EU105" s="55" t="str">
        <f>_xll.ThomsonONEAddinShim.SpreadsheetFormulas.TF($B$3,"TF.ES.EPS.Mean(period=CY2010,sdate=0D)")</f>
        <v xml:space="preserve">    Manual Calculation    </v>
      </c>
      <c r="EV105" s="394" t="str">
        <f>_xll.ThomsonONEAddinShim.SpreadsheetFormulas.TF($B$3,"TF.ES.EPS.Mean(period=CY2011,sdate=0D)")</f>
        <v xml:space="preserve">    Manual Calculation    </v>
      </c>
      <c r="EW105" s="394" t="str">
        <f>_xll.ThomsonONEAddinShim.SpreadsheetFormulas.TF($B$3,"TF.ES.EPS.Mean(period=CY2012,sdate=0D)")</f>
        <v xml:space="preserve">    Manual Calculation    </v>
      </c>
      <c r="EX105" s="394" t="str">
        <f>_xll.ThomsonONEAddinShim.SpreadsheetFormulas.TF($B$3,"TF.ES.EPS.Mean(period=CY2013,sdate=0D)")</f>
        <v xml:space="preserve">    Manual Calculation    </v>
      </c>
      <c r="EY105" s="394" t="str">
        <f>_xll.ThomsonONEAddinShim.SpreadsheetFormulas.TF($B$3,"TF.ES.EPS.Mean(period=CY2014,sdate=0D)")</f>
        <v xml:space="preserve">    Manual Calculation    </v>
      </c>
      <c r="EZ105" s="394" t="str">
        <f>_xll.ThomsonONEAddinShim.SpreadsheetFormulas.TF($B$3,"TF.ES.EPS.Mean(period=CY2015,sdate=0D)")</f>
        <v xml:space="preserve">    Manual Calculation    </v>
      </c>
      <c r="FA105" s="394" t="str">
        <f>_xll.ThomsonONEAddinShim.SpreadsheetFormulas.TF($B$3,"TF.ES.EPS.Mean(period=CY2016,sdate=0D)")</f>
        <v xml:space="preserve">    Manual Calculation    </v>
      </c>
      <c r="FB105" s="394" t="str">
        <f>_xll.ThomsonONEAddinShim.SpreadsheetFormulas.TF($B$3,"TF.ES.EPS.Mean(period=CY2017,sdate=0D)")</f>
        <v xml:space="preserve">     $        6.41     </v>
      </c>
      <c r="FC105" s="394" t="str">
        <f>_xll.ThomsonONEAddinShim.SpreadsheetFormulas.TF($B$3,"TF.ES.EPS.Mean(period=CY2018,sdate=0D)")</f>
        <v xml:space="preserve">     $     10.51     </v>
      </c>
      <c r="FD105" s="395" t="str">
        <f>_xll.ThomsonONEAddinShim.SpreadsheetFormulas.TF($B$3,"TF.ES.EPS.Mean(period=CY2019,sdate=0D)")</f>
        <v xml:space="preserve">     $        9.42     </v>
      </c>
      <c r="FE105" s="308"/>
      <c r="FF105" s="300"/>
      <c r="FG105" s="300"/>
      <c r="FH105" s="300"/>
      <c r="FO105" s="7"/>
    </row>
    <row r="106" spans="1:171" s="328" customFormat="1" ht="14.25" customHeight="1" collapsed="1">
      <c r="A106" s="270"/>
      <c r="B106" s="902" t="s">
        <v>196</v>
      </c>
      <c r="C106" s="903"/>
      <c r="D106" s="776">
        <f t="shared" ref="D106:AI106" si="817">D94/D111</f>
        <v>0.37254443405051452</v>
      </c>
      <c r="E106" s="777">
        <f t="shared" si="817"/>
        <v>0.42763924493125149</v>
      </c>
      <c r="F106" s="777">
        <f t="shared" si="817"/>
        <v>0.44075610880590144</v>
      </c>
      <c r="G106" s="778">
        <f t="shared" si="817"/>
        <v>0.64251428571428582</v>
      </c>
      <c r="H106" s="776">
        <f t="shared" si="817"/>
        <v>0.76473296500920773</v>
      </c>
      <c r="I106" s="777">
        <f t="shared" si="817"/>
        <v>0.50209107806691444</v>
      </c>
      <c r="J106" s="777">
        <f t="shared" si="817"/>
        <v>0.14032634032634028</v>
      </c>
      <c r="K106" s="778">
        <f t="shared" si="817"/>
        <v>5.3990610328638361E-2</v>
      </c>
      <c r="L106" s="776">
        <f t="shared" si="817"/>
        <v>5.5244755244755347E-2</v>
      </c>
      <c r="M106" s="777">
        <f t="shared" si="817"/>
        <v>-0.129509713228492</v>
      </c>
      <c r="N106" s="777">
        <f t="shared" si="817"/>
        <v>0.23511904761904762</v>
      </c>
      <c r="O106" s="778">
        <f t="shared" si="817"/>
        <v>0.17412140575079899</v>
      </c>
      <c r="P106" s="776">
        <f t="shared" si="817"/>
        <v>2.5941230486684903E-2</v>
      </c>
      <c r="Q106" s="777">
        <f t="shared" si="817"/>
        <v>-0.40613382899628236</v>
      </c>
      <c r="R106" s="777">
        <f t="shared" si="817"/>
        <v>-0.24073215940685816</v>
      </c>
      <c r="S106" s="778">
        <f t="shared" si="817"/>
        <v>-0.19649446494464928</v>
      </c>
      <c r="T106" s="776">
        <f t="shared" si="817"/>
        <v>-6.9393569393569415E-2</v>
      </c>
      <c r="U106" s="777">
        <f t="shared" si="817"/>
        <v>7.7500916086478452E-2</v>
      </c>
      <c r="V106" s="777">
        <f t="shared" si="817"/>
        <v>-2.6286143447239927E-2</v>
      </c>
      <c r="W106" s="778">
        <f t="shared" si="817"/>
        <v>5.2434456928839197E-3</v>
      </c>
      <c r="X106" s="776">
        <f t="shared" si="817"/>
        <v>0.6540013449899128</v>
      </c>
      <c r="Y106" s="777">
        <f t="shared" si="817"/>
        <v>0.33291457286432141</v>
      </c>
      <c r="Z106" s="777">
        <f t="shared" si="817"/>
        <v>0.50605809128630697</v>
      </c>
      <c r="AA106" s="778">
        <f t="shared" si="817"/>
        <v>1.1450195312500004</v>
      </c>
      <c r="AB106" s="776">
        <f t="shared" si="817"/>
        <v>0.59468329504430573</v>
      </c>
      <c r="AC106" s="777">
        <f t="shared" si="817"/>
        <v>2.3576961940048138E-3</v>
      </c>
      <c r="AD106" s="777">
        <f t="shared" si="817"/>
        <v>-0.45547543182961592</v>
      </c>
      <c r="AE106" s="778">
        <f t="shared" si="817"/>
        <v>-0.89821066846725062</v>
      </c>
      <c r="AF106" s="776">
        <f t="shared" si="817"/>
        <v>-0.43541388518024032</v>
      </c>
      <c r="AG106" s="777">
        <f t="shared" si="817"/>
        <v>-7.2606161532056609E-2</v>
      </c>
      <c r="AH106" s="777">
        <f t="shared" si="817"/>
        <v>-3.4700315457413214E-2</v>
      </c>
      <c r="AI106" s="778">
        <f t="shared" si="817"/>
        <v>-0.92798013245033117</v>
      </c>
      <c r="AJ106" s="776">
        <f t="shared" ref="AJ106:BO106" si="818">AJ94/AJ111</f>
        <v>-0.50809649702577642</v>
      </c>
      <c r="AK106" s="777">
        <f t="shared" si="818"/>
        <v>-0.82509881422924891</v>
      </c>
      <c r="AL106" s="777">
        <f t="shared" si="818"/>
        <v>-0.3437448627322045</v>
      </c>
      <c r="AM106" s="778">
        <f t="shared" si="818"/>
        <v>-0.15816242821985235</v>
      </c>
      <c r="AN106" s="776">
        <f t="shared" si="818"/>
        <v>-3.4558592522777602E-3</v>
      </c>
      <c r="AO106" s="777">
        <f t="shared" si="818"/>
        <v>-6.6386815920397926E-2</v>
      </c>
      <c r="AP106" s="777">
        <f t="shared" si="818"/>
        <v>0.13240714488233626</v>
      </c>
      <c r="AQ106" s="778">
        <f t="shared" si="818"/>
        <v>0.12375249500998012</v>
      </c>
      <c r="AR106" s="776">
        <f t="shared" si="818"/>
        <v>0.23954318344039974</v>
      </c>
      <c r="AS106" s="777">
        <f t="shared" si="818"/>
        <v>0.15571082275773579</v>
      </c>
      <c r="AT106" s="777">
        <f t="shared" si="818"/>
        <v>-0.23634680654119092</v>
      </c>
      <c r="AU106" s="778">
        <f t="shared" si="818"/>
        <v>6.2307692307692196E-2</v>
      </c>
      <c r="AV106" s="776">
        <f t="shared" si="818"/>
        <v>7.1418469806250731E-2</v>
      </c>
      <c r="AW106" s="777">
        <f t="shared" si="818"/>
        <v>-3.6383991043940744E-2</v>
      </c>
      <c r="AX106" s="777">
        <f t="shared" si="818"/>
        <v>0.1010970698514095</v>
      </c>
      <c r="AY106" s="778">
        <f t="shared" si="818"/>
        <v>6.9124423963133688E-2</v>
      </c>
      <c r="AZ106" s="776">
        <f t="shared" si="818"/>
        <v>0.14494612621857361</v>
      </c>
      <c r="BA106" s="777">
        <f t="shared" si="818"/>
        <v>-1.1708078574216208E-2</v>
      </c>
      <c r="BB106" s="777">
        <f t="shared" si="818"/>
        <v>-0.27795817638654374</v>
      </c>
      <c r="BC106" s="778">
        <f t="shared" si="818"/>
        <v>-0.1880918407056687</v>
      </c>
      <c r="BD106" s="776">
        <f t="shared" si="818"/>
        <v>-0.34849073714211687</v>
      </c>
      <c r="BE106" s="777">
        <f t="shared" si="818"/>
        <v>-0.44277576385292594</v>
      </c>
      <c r="BF106" s="777">
        <f t="shared" si="818"/>
        <v>-0.33255693581780538</v>
      </c>
      <c r="BG106" s="778">
        <f t="shared" si="818"/>
        <v>-0.46060292405227066</v>
      </c>
      <c r="BH106" s="776">
        <f t="shared" si="818"/>
        <v>-0.99702573386783921</v>
      </c>
      <c r="BI106" s="777">
        <f t="shared" si="818"/>
        <v>-0.72748417108153507</v>
      </c>
      <c r="BJ106" s="777">
        <f t="shared" si="818"/>
        <v>-0.20533628427394565</v>
      </c>
      <c r="BK106" s="778">
        <f t="shared" si="818"/>
        <v>-8.2908918630818437E-2</v>
      </c>
      <c r="BL106" s="776">
        <f t="shared" si="818"/>
        <v>0.22684121115219347</v>
      </c>
      <c r="BM106" s="777">
        <f t="shared" si="818"/>
        <v>0.34318113995822142</v>
      </c>
      <c r="BN106" s="777">
        <f t="shared" si="818"/>
        <v>0.91004383457213633</v>
      </c>
      <c r="BO106" s="778">
        <f t="shared" si="818"/>
        <v>0.33695081393313497</v>
      </c>
      <c r="BP106" s="776">
        <f t="shared" ref="BP106:CL106" si="819">BP94/BP111</f>
        <v>6.7875496945602638E-3</v>
      </c>
      <c r="BQ106" s="777">
        <f t="shared" si="819"/>
        <v>4.5309939265400563E-2</v>
      </c>
      <c r="BR106" s="777">
        <f t="shared" si="819"/>
        <v>0</v>
      </c>
      <c r="BS106" s="778">
        <f t="shared" si="819"/>
        <v>-8.6676073372303972E-2</v>
      </c>
      <c r="BT106" s="776">
        <f t="shared" si="819"/>
        <v>-0.10902791929896068</v>
      </c>
      <c r="BU106" s="777">
        <f t="shared" si="819"/>
        <v>-0.1800976800976801</v>
      </c>
      <c r="BV106" s="777">
        <f t="shared" si="819"/>
        <v>-0.16914818191026032</v>
      </c>
      <c r="BW106" s="778">
        <f t="shared" si="819"/>
        <v>-0.22699757869249393</v>
      </c>
      <c r="BX106" s="776">
        <f t="shared" si="819"/>
        <v>-0.18940514945250073</v>
      </c>
      <c r="BY106" s="777">
        <f t="shared" si="819"/>
        <v>-0.17125984251968504</v>
      </c>
      <c r="BZ106" s="777">
        <f t="shared" si="819"/>
        <v>0.10223581119816549</v>
      </c>
      <c r="CA106" s="778">
        <f t="shared" si="819"/>
        <v>0.20364795466619443</v>
      </c>
      <c r="CB106" s="776">
        <f t="shared" si="819"/>
        <v>0.73745819397993306</v>
      </c>
      <c r="CC106" s="777">
        <f t="shared" si="819"/>
        <v>0.8093255620316403</v>
      </c>
      <c r="CD106" s="777">
        <f t="shared" si="819"/>
        <v>0.74033613445378155</v>
      </c>
      <c r="CE106" s="778">
        <f t="shared" si="819"/>
        <v>0.77140482128013299</v>
      </c>
      <c r="CF106" s="776">
        <f t="shared" si="819"/>
        <v>0.92217573221757321</v>
      </c>
      <c r="CG106" s="777">
        <f t="shared" si="819"/>
        <v>0.75042016806722689</v>
      </c>
      <c r="CH106" s="777">
        <f t="shared" si="819"/>
        <v>0.49316239316239319</v>
      </c>
      <c r="CI106" s="778">
        <f t="shared" si="819"/>
        <v>0.31850533807829179</v>
      </c>
      <c r="CJ106" s="776">
        <f t="shared" si="819"/>
        <v>0.18709677419354839</v>
      </c>
      <c r="CK106" s="777">
        <f t="shared" si="819"/>
        <v>-9.8455598455598453E-2</v>
      </c>
      <c r="CL106" s="777">
        <f t="shared" si="819"/>
        <v>-0.12162162162162163</v>
      </c>
      <c r="CM106" s="778">
        <f t="shared" ref="CM106:CP106" si="820">CM94/CM111</f>
        <v>-9.5467695274831246E-2</v>
      </c>
      <c r="CN106" s="776">
        <f t="shared" si="820"/>
        <v>0.24931255728689275</v>
      </c>
      <c r="CO106" s="777">
        <f t="shared" si="820"/>
        <v>0.8413793103448276</v>
      </c>
      <c r="CP106" s="777">
        <f t="shared" si="820"/>
        <v>1.5624468988954969</v>
      </c>
      <c r="CQ106" s="778">
        <f t="shared" ref="CQ106:CS106" si="821">CQ94/CQ111</f>
        <v>1.9629317607413648</v>
      </c>
      <c r="CR106" s="776">
        <f t="shared" si="821"/>
        <v>2.4024489795918367</v>
      </c>
      <c r="CS106" s="777">
        <f t="shared" si="821"/>
        <v>2.7827140549273022</v>
      </c>
      <c r="CT106" s="777">
        <f t="shared" ref="CT106:CU106" si="822">CT94/CT111</f>
        <v>2.8222833376111467</v>
      </c>
      <c r="CU106" s="778">
        <f t="shared" si="822"/>
        <v>2.7575704062055499</v>
      </c>
      <c r="CV106" s="776">
        <f t="shared" ref="CV106:CY106" si="823">CV94/CV111</f>
        <v>2.1856132799456449</v>
      </c>
      <c r="CW106" s="777">
        <f t="shared" si="823"/>
        <v>1.8203335057290406</v>
      </c>
      <c r="CX106" s="777">
        <f t="shared" si="823"/>
        <v>1.4704610440839461</v>
      </c>
      <c r="CY106" s="778">
        <f t="shared" si="823"/>
        <v>1.2839902763660949</v>
      </c>
      <c r="CZ106" s="776">
        <f t="shared" ref="CZ106:DC106" si="824">CZ94/CZ111</f>
        <v>1.1411528076468707</v>
      </c>
      <c r="DA106" s="777">
        <f t="shared" si="824"/>
        <v>1.0317106441600925</v>
      </c>
      <c r="DB106" s="777">
        <f t="shared" si="824"/>
        <v>0.97817232568159129</v>
      </c>
      <c r="DC106" s="778">
        <f t="shared" si="824"/>
        <v>0.94151928656622075</v>
      </c>
      <c r="DD106" s="315"/>
      <c r="DE106" s="779">
        <f t="shared" ref="DE106:EA106" si="825">DE94/DE111</f>
        <v>1.8868055555555552</v>
      </c>
      <c r="DF106" s="779">
        <f t="shared" si="825"/>
        <v>1.4687754390045356</v>
      </c>
      <c r="DG106" s="779">
        <f t="shared" si="825"/>
        <v>0.33794056668970318</v>
      </c>
      <c r="DH106" s="779">
        <f t="shared" si="825"/>
        <v>-0.81469500924214411</v>
      </c>
      <c r="DI106" s="779">
        <f t="shared" si="825"/>
        <v>-5.7039642551581999E-3</v>
      </c>
      <c r="DJ106" s="779">
        <f t="shared" si="825"/>
        <v>2.672801722318376</v>
      </c>
      <c r="DK106" s="779">
        <f t="shared" si="825"/>
        <v>-0.7356494836740648</v>
      </c>
      <c r="DL106" s="779">
        <f t="shared" si="825"/>
        <v>-1.47281795511222</v>
      </c>
      <c r="DM106" s="779">
        <f t="shared" si="825"/>
        <v>-1.8335939428853589</v>
      </c>
      <c r="DN106" s="779">
        <f t="shared" si="825"/>
        <v>0.20144420457083259</v>
      </c>
      <c r="DO106" s="779">
        <f t="shared" si="825"/>
        <v>0.24340740740740768</v>
      </c>
      <c r="DP106" s="768">
        <f t="shared" si="825"/>
        <v>0.20652810808947639</v>
      </c>
      <c r="DQ106" s="768">
        <f t="shared" si="825"/>
        <v>-0.33019326017286582</v>
      </c>
      <c r="DR106" s="768">
        <f t="shared" si="825"/>
        <v>-1.5844660194174758</v>
      </c>
      <c r="DS106" s="768">
        <f t="shared" si="825"/>
        <v>-1.9608087868197703</v>
      </c>
      <c r="DT106" s="768">
        <f t="shared" si="825"/>
        <v>1.8218199142448785</v>
      </c>
      <c r="DU106" s="768">
        <f t="shared" si="825"/>
        <v>-3.1200487507617305E-2</v>
      </c>
      <c r="DV106" s="768">
        <f t="shared" si="825"/>
        <v>-0.68582443503183099</v>
      </c>
      <c r="DW106" s="768">
        <f t="shared" si="825"/>
        <v>-1.4389994531231423</v>
      </c>
      <c r="DX106" s="768">
        <f t="shared" si="825"/>
        <v>3.0588726513569937</v>
      </c>
      <c r="DY106" s="768">
        <f t="shared" si="825"/>
        <v>2.5048087198119258</v>
      </c>
      <c r="DZ106" s="768">
        <f t="shared" si="825"/>
        <v>-0.11826418693371483</v>
      </c>
      <c r="EA106" s="777">
        <f t="shared" si="825"/>
        <v>4.6951245937161428</v>
      </c>
      <c r="EB106" s="777">
        <f>EB94/EB111</f>
        <v>10.770109183525832</v>
      </c>
      <c r="EC106" s="778">
        <f>EC94/EC111</f>
        <v>6.7496545839475264</v>
      </c>
      <c r="ED106" s="778">
        <f>ED94/ED111</f>
        <v>4.0903232320762513</v>
      </c>
      <c r="EE106" s="1365"/>
      <c r="EF106" s="776">
        <f t="shared" ref="EF106:EY106" si="826">EF94/EF111</f>
        <v>2.2780724002766886</v>
      </c>
      <c r="EG106" s="777">
        <f t="shared" si="826"/>
        <v>0.75361642557162878</v>
      </c>
      <c r="EH106" s="777">
        <f t="shared" si="826"/>
        <v>0.3082042455536424</v>
      </c>
      <c r="EI106" s="777">
        <f t="shared" si="826"/>
        <v>-0.89087856743144944</v>
      </c>
      <c r="EJ106" s="777">
        <f t="shared" si="826"/>
        <v>0.76132656759695472</v>
      </c>
      <c r="EK106" s="777">
        <f t="shared" si="826"/>
        <v>2.6117893853576652</v>
      </c>
      <c r="EL106" s="777">
        <f t="shared" si="826"/>
        <v>-1.7856153167905264</v>
      </c>
      <c r="EM106" s="777">
        <f t="shared" si="826"/>
        <v>-1.5464344941956891</v>
      </c>
      <c r="EN106" s="777">
        <f t="shared" si="826"/>
        <v>-1.3141046473838163</v>
      </c>
      <c r="EO106" s="777">
        <f t="shared" si="826"/>
        <v>0.44399200145428214</v>
      </c>
      <c r="EP106" s="777">
        <f t="shared" si="826"/>
        <v>6.9459838912289421E-2</v>
      </c>
      <c r="EQ106" s="777">
        <f t="shared" si="826"/>
        <v>0.28556056224359555</v>
      </c>
      <c r="ER106" s="777">
        <f t="shared" si="826"/>
        <v>-0.82689686506133575</v>
      </c>
      <c r="ES106" s="777">
        <f t="shared" si="826"/>
        <v>-2.2332923594487939</v>
      </c>
      <c r="ET106" s="777">
        <f t="shared" si="826"/>
        <v>-0.66779325214148366</v>
      </c>
      <c r="EU106" s="777">
        <f t="shared" si="826"/>
        <v>1.6005297261504992</v>
      </c>
      <c r="EV106" s="777">
        <f t="shared" si="826"/>
        <v>-0.2033262596851404</v>
      </c>
      <c r="EW106" s="777">
        <f t="shared" si="826"/>
        <v>-0.27371069182389934</v>
      </c>
      <c r="EX106" s="777">
        <f t="shared" si="826"/>
        <v>5.0136736554238837E-2</v>
      </c>
      <c r="EY106" s="777">
        <f t="shared" si="826"/>
        <v>3.2432658174984339</v>
      </c>
      <c r="EZ106" s="777">
        <f t="shared" ref="EZ106:FA106" si="827">EZ94/EZ111</f>
        <v>1.7780695994747209</v>
      </c>
      <c r="FA106" s="777">
        <f t="shared" si="827"/>
        <v>-5.2380952380952382E-2</v>
      </c>
      <c r="FB106" s="777">
        <f t="shared" ref="FB106:FC106" si="828">FB94/FB111</f>
        <v>6.8123815540113712</v>
      </c>
      <c r="FC106" s="777">
        <f t="shared" si="828"/>
        <v>10.541395103493928</v>
      </c>
      <c r="FD106" s="777">
        <f t="shared" ref="FD106" si="829">FD94/FD111</f>
        <v>5.7081704177771826</v>
      </c>
      <c r="FE106" s="780"/>
      <c r="FF106" s="861"/>
      <c r="FG106" s="861"/>
      <c r="FH106" s="861"/>
      <c r="FI106"/>
      <c r="FJ106"/>
      <c r="FK106"/>
      <c r="FL106"/>
      <c r="FM106"/>
      <c r="FN106"/>
      <c r="FO106" s="270"/>
    </row>
    <row r="107" spans="1:171" s="1131" customFormat="1" ht="14.25" customHeight="1">
      <c r="A107" s="7"/>
      <c r="B107" s="676"/>
      <c r="C107" s="59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1167"/>
      <c r="CC107" s="1167"/>
      <c r="CD107" s="1167"/>
      <c r="CE107" s="1167"/>
      <c r="CF107" s="1167"/>
      <c r="CG107" s="1167"/>
      <c r="CH107" s="1167"/>
      <c r="CI107" s="1167"/>
      <c r="CJ107" s="1167"/>
      <c r="CK107" s="1167"/>
      <c r="CL107" s="1167"/>
      <c r="CM107" s="1167"/>
      <c r="CN107" s="1167"/>
      <c r="CO107" s="1167"/>
      <c r="CP107" s="1167"/>
      <c r="CQ107" s="1167"/>
      <c r="CR107" s="1167"/>
      <c r="CS107" s="1167"/>
      <c r="CT107" s="1167"/>
      <c r="CU107" s="1167"/>
      <c r="CV107" s="1167"/>
      <c r="CW107" s="1167"/>
      <c r="CX107" s="1167"/>
      <c r="CY107" s="1167"/>
      <c r="CZ107" s="1167" t="s">
        <v>252</v>
      </c>
      <c r="DA107" s="1167" t="s">
        <v>252</v>
      </c>
      <c r="DB107" s="1167" t="s">
        <v>252</v>
      </c>
      <c r="DC107" s="1167" t="s">
        <v>252</v>
      </c>
      <c r="DD107" s="1167"/>
      <c r="DE107" s="1167"/>
      <c r="DF107" s="1167"/>
      <c r="DG107" s="1167"/>
      <c r="DH107" s="1167"/>
      <c r="DI107" s="1167"/>
      <c r="DJ107" s="1167"/>
      <c r="DK107" s="1167"/>
      <c r="DL107" s="1167"/>
      <c r="DM107" s="1167"/>
      <c r="DN107" s="1167"/>
      <c r="DO107" s="1167"/>
      <c r="DP107" s="1167"/>
      <c r="DQ107" s="1167"/>
      <c r="DR107" s="1167"/>
      <c r="DS107" s="1167"/>
      <c r="DT107" s="1167"/>
      <c r="DU107" s="1167"/>
      <c r="DV107" s="1167"/>
      <c r="DW107" s="1167"/>
      <c r="DX107" s="1167"/>
      <c r="DY107" s="1167"/>
      <c r="DZ107" s="1167"/>
      <c r="EA107" s="1167"/>
      <c r="EB107" s="1167"/>
      <c r="EC107" s="1167"/>
      <c r="ED107" s="1167"/>
      <c r="EE107" s="1167"/>
      <c r="EF107" s="1167"/>
      <c r="EG107" s="1167"/>
      <c r="EH107" s="1167"/>
      <c r="EI107" s="1167"/>
      <c r="EJ107" s="1167"/>
      <c r="EK107" s="1167"/>
      <c r="EL107" s="1167"/>
      <c r="EM107" s="1167"/>
      <c r="EN107" s="1167"/>
      <c r="EO107" s="1167"/>
      <c r="EP107" s="1167"/>
      <c r="EQ107" s="1167"/>
      <c r="ER107" s="1167"/>
      <c r="ES107" s="1167"/>
      <c r="ET107" s="1167"/>
      <c r="EU107" s="1167"/>
      <c r="EV107" s="1167"/>
      <c r="EW107" s="1167"/>
      <c r="EX107" s="1167"/>
      <c r="EY107" s="1167"/>
      <c r="EZ107" s="1167"/>
      <c r="FA107" s="1167"/>
      <c r="FB107" s="1167"/>
      <c r="FC107" s="1167"/>
      <c r="FD107" s="1167"/>
      <c r="FE107" s="1167"/>
      <c r="FF107" s="1167"/>
      <c r="FG107" s="1167"/>
      <c r="FH107" s="1167"/>
      <c r="FI107"/>
      <c r="FJ107"/>
      <c r="FK107"/>
      <c r="FL107"/>
      <c r="FM107"/>
      <c r="FN107"/>
      <c r="FO107" s="7"/>
    </row>
    <row r="108" spans="1:171" ht="14.25" customHeight="1">
      <c r="A108" s="7"/>
      <c r="B108" s="676"/>
      <c r="C108" s="59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878" t="s">
        <v>252</v>
      </c>
      <c r="CD108" s="41"/>
      <c r="CE108" s="41"/>
      <c r="CF108" s="41" t="s">
        <v>252</v>
      </c>
      <c r="CG108" s="878" t="s">
        <v>252</v>
      </c>
      <c r="CH108" s="383"/>
      <c r="CI108" s="41"/>
      <c r="CJ108" s="41"/>
      <c r="CK108" s="878"/>
      <c r="CL108" s="383"/>
      <c r="CM108" s="41"/>
      <c r="CN108" s="41"/>
      <c r="CO108" s="878"/>
      <c r="CP108" s="383"/>
      <c r="CQ108" s="383"/>
      <c r="CR108" s="41"/>
      <c r="CS108" s="1368"/>
      <c r="CT108" s="383"/>
      <c r="CU108" s="383"/>
      <c r="CV108" s="1368"/>
      <c r="CW108" s="1368"/>
      <c r="CX108" s="1368"/>
      <c r="CY108" s="1368"/>
      <c r="CZ108" s="1368"/>
      <c r="DA108" s="1368"/>
      <c r="DB108" s="1368"/>
      <c r="DC108" s="1368"/>
      <c r="DD108" s="13"/>
      <c r="DE108" s="355"/>
      <c r="DF108" s="355"/>
      <c r="DG108" s="355"/>
      <c r="DH108" s="355"/>
      <c r="DI108" s="355"/>
      <c r="DJ108" s="355"/>
      <c r="DK108" s="355"/>
      <c r="DL108" s="355"/>
      <c r="DM108" s="355"/>
      <c r="DN108" s="355"/>
      <c r="DO108" s="355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1368"/>
      <c r="EB108" s="1368"/>
      <c r="EC108" s="1368"/>
      <c r="ED108" s="1368"/>
      <c r="EE108" s="13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O108" s="7"/>
    </row>
    <row r="109" spans="1:171" ht="14.25" customHeight="1">
      <c r="A109" s="7"/>
      <c r="B109" s="677" t="s">
        <v>198</v>
      </c>
      <c r="C109" s="456"/>
      <c r="D109" s="1318" t="str">
        <f t="shared" ref="D109:AI109" si="830">+D6</f>
        <v>F1Q95A</v>
      </c>
      <c r="E109" s="1319" t="str">
        <f t="shared" si="830"/>
        <v>F2Q95A</v>
      </c>
      <c r="F109" s="1319" t="str">
        <f t="shared" si="830"/>
        <v>F3Q95A</v>
      </c>
      <c r="G109" s="1320" t="str">
        <f t="shared" si="830"/>
        <v>F4Q95A</v>
      </c>
      <c r="H109" s="1318" t="str">
        <f t="shared" si="830"/>
        <v>F1Q96A</v>
      </c>
      <c r="I109" s="1319" t="str">
        <f t="shared" si="830"/>
        <v>F2Q96A</v>
      </c>
      <c r="J109" s="1319" t="str">
        <f t="shared" si="830"/>
        <v>F3Q96A</v>
      </c>
      <c r="K109" s="1320" t="str">
        <f t="shared" si="830"/>
        <v>F4Q96A</v>
      </c>
      <c r="L109" s="1318" t="str">
        <f t="shared" si="830"/>
        <v>F1Q97A</v>
      </c>
      <c r="M109" s="1319" t="str">
        <f t="shared" si="830"/>
        <v>F2Q97A</v>
      </c>
      <c r="N109" s="1319" t="str">
        <f t="shared" si="830"/>
        <v>F3Q97A</v>
      </c>
      <c r="O109" s="1320" t="str">
        <f t="shared" si="830"/>
        <v>F4Q97A</v>
      </c>
      <c r="P109" s="1318" t="str">
        <f t="shared" si="830"/>
        <v>F1Q98A</v>
      </c>
      <c r="Q109" s="1319" t="str">
        <f t="shared" si="830"/>
        <v>F2Q98A</v>
      </c>
      <c r="R109" s="1319" t="str">
        <f t="shared" si="830"/>
        <v>F3Q98A</v>
      </c>
      <c r="S109" s="1320" t="str">
        <f t="shared" si="830"/>
        <v>F4Q98A</v>
      </c>
      <c r="T109" s="1318" t="str">
        <f t="shared" si="830"/>
        <v>F1Q99A</v>
      </c>
      <c r="U109" s="1319" t="str">
        <f t="shared" si="830"/>
        <v>F2Q99A</v>
      </c>
      <c r="V109" s="1319" t="str">
        <f t="shared" si="830"/>
        <v>F3Q99A</v>
      </c>
      <c r="W109" s="1320" t="str">
        <f t="shared" si="830"/>
        <v>F4Q99A</v>
      </c>
      <c r="X109" s="1318" t="str">
        <f t="shared" si="830"/>
        <v>F1Q00A</v>
      </c>
      <c r="Y109" s="1319" t="str">
        <f t="shared" si="830"/>
        <v>F2Q00A</v>
      </c>
      <c r="Z109" s="1319" t="str">
        <f t="shared" si="830"/>
        <v>F3Q00A</v>
      </c>
      <c r="AA109" s="1320" t="str">
        <f t="shared" si="830"/>
        <v>F4Q00A</v>
      </c>
      <c r="AB109" s="1318" t="str">
        <f t="shared" si="830"/>
        <v>F1Q01A</v>
      </c>
      <c r="AC109" s="1319" t="str">
        <f t="shared" si="830"/>
        <v>F2Q01A</v>
      </c>
      <c r="AD109" s="1319" t="str">
        <f t="shared" si="830"/>
        <v>F3Q01A</v>
      </c>
      <c r="AE109" s="1320" t="str">
        <f t="shared" si="830"/>
        <v>F4Q01A</v>
      </c>
      <c r="AF109" s="1318" t="str">
        <f t="shared" si="830"/>
        <v>F1Q02A</v>
      </c>
      <c r="AG109" s="1319" t="str">
        <f t="shared" si="830"/>
        <v>F2Q02A</v>
      </c>
      <c r="AH109" s="1319" t="str">
        <f t="shared" si="830"/>
        <v>F3Q02A</v>
      </c>
      <c r="AI109" s="1320" t="str">
        <f t="shared" si="830"/>
        <v>F4Q02A</v>
      </c>
      <c r="AJ109" s="1318" t="str">
        <f t="shared" ref="AJ109:BO109" si="831">+AJ6</f>
        <v>F1Q03A</v>
      </c>
      <c r="AK109" s="1319" t="str">
        <f t="shared" si="831"/>
        <v>F2Q03A</v>
      </c>
      <c r="AL109" s="1319" t="str">
        <f t="shared" si="831"/>
        <v>F3Q03A</v>
      </c>
      <c r="AM109" s="1320" t="str">
        <f t="shared" si="831"/>
        <v>F4Q03A</v>
      </c>
      <c r="AN109" s="1318" t="str">
        <f t="shared" si="831"/>
        <v>F1Q04A</v>
      </c>
      <c r="AO109" s="1319" t="str">
        <f t="shared" si="831"/>
        <v>F2Q04A</v>
      </c>
      <c r="AP109" s="1319" t="str">
        <f t="shared" si="831"/>
        <v>F3Q04A</v>
      </c>
      <c r="AQ109" s="1320" t="str">
        <f t="shared" si="831"/>
        <v>F4Q04A</v>
      </c>
      <c r="AR109" s="1318" t="str">
        <f t="shared" si="831"/>
        <v>F1Q05A</v>
      </c>
      <c r="AS109" s="1319" t="str">
        <f t="shared" si="831"/>
        <v>F2Q05A</v>
      </c>
      <c r="AT109" s="1319" t="str">
        <f t="shared" si="831"/>
        <v>F3Q05A</v>
      </c>
      <c r="AU109" s="1320" t="str">
        <f t="shared" si="831"/>
        <v>F4Q05A</v>
      </c>
      <c r="AV109" s="1318" t="str">
        <f t="shared" si="831"/>
        <v>F1Q06A</v>
      </c>
      <c r="AW109" s="1319" t="str">
        <f t="shared" si="831"/>
        <v>F2Q06A</v>
      </c>
      <c r="AX109" s="1319" t="str">
        <f t="shared" si="831"/>
        <v>F3Q06A</v>
      </c>
      <c r="AY109" s="1320" t="str">
        <f t="shared" si="831"/>
        <v>F4Q06A</v>
      </c>
      <c r="AZ109" s="1318" t="str">
        <f t="shared" si="831"/>
        <v>F1Q07A</v>
      </c>
      <c r="BA109" s="1319" t="str">
        <f t="shared" si="831"/>
        <v>F2Q07A</v>
      </c>
      <c r="BB109" s="1319" t="str">
        <f t="shared" si="831"/>
        <v>F3Q07A</v>
      </c>
      <c r="BC109" s="1320" t="str">
        <f t="shared" si="831"/>
        <v>F4Q07A</v>
      </c>
      <c r="BD109" s="1318" t="str">
        <f t="shared" si="831"/>
        <v>F1Q08A</v>
      </c>
      <c r="BE109" s="1319" t="str">
        <f t="shared" si="831"/>
        <v>F2Q08A</v>
      </c>
      <c r="BF109" s="1319" t="str">
        <f t="shared" si="831"/>
        <v>F3Q08A</v>
      </c>
      <c r="BG109" s="1320" t="str">
        <f t="shared" si="831"/>
        <v>F4Q08A</v>
      </c>
      <c r="BH109" s="1318" t="str">
        <f t="shared" si="831"/>
        <v>F1Q09A</v>
      </c>
      <c r="BI109" s="1319" t="str">
        <f t="shared" si="831"/>
        <v>F2Q09A</v>
      </c>
      <c r="BJ109" s="1319" t="str">
        <f t="shared" si="831"/>
        <v>F3Q09A</v>
      </c>
      <c r="BK109" s="1320" t="str">
        <f t="shared" si="831"/>
        <v>F4Q09A</v>
      </c>
      <c r="BL109" s="1318" t="str">
        <f t="shared" si="831"/>
        <v>F1Q10A</v>
      </c>
      <c r="BM109" s="1319" t="str">
        <f t="shared" si="831"/>
        <v>F2Q10A</v>
      </c>
      <c r="BN109" s="1319" t="str">
        <f t="shared" si="831"/>
        <v>F3Q10A</v>
      </c>
      <c r="BO109" s="1320" t="str">
        <f t="shared" si="831"/>
        <v>F4Q10A</v>
      </c>
      <c r="BP109" s="1318" t="str">
        <f t="shared" ref="BP109:CU109" si="832">+BP6</f>
        <v>F1Q11A</v>
      </c>
      <c r="BQ109" s="1319" t="str">
        <f t="shared" si="832"/>
        <v>F2Q11A</v>
      </c>
      <c r="BR109" s="1319" t="str">
        <f t="shared" si="832"/>
        <v>F3Q11A</v>
      </c>
      <c r="BS109" s="1320" t="str">
        <f t="shared" si="832"/>
        <v>F4Q11A</v>
      </c>
      <c r="BT109" s="1318" t="str">
        <f t="shared" si="832"/>
        <v>F1Q12A</v>
      </c>
      <c r="BU109" s="1319" t="str">
        <f t="shared" si="832"/>
        <v>F2Q12A</v>
      </c>
      <c r="BV109" s="1319" t="str">
        <f t="shared" si="832"/>
        <v>F3Q12A</v>
      </c>
      <c r="BW109" s="1320" t="str">
        <f t="shared" si="832"/>
        <v>F4Q12A</v>
      </c>
      <c r="BX109" s="1226" t="str">
        <f t="shared" si="832"/>
        <v>F1Q13A</v>
      </c>
      <c r="BY109" s="1227" t="str">
        <f t="shared" si="832"/>
        <v>F2Q13A</v>
      </c>
      <c r="BZ109" s="1227" t="str">
        <f t="shared" si="832"/>
        <v>F3Q13</v>
      </c>
      <c r="CA109" s="17" t="str">
        <f t="shared" si="832"/>
        <v>F4Q13</v>
      </c>
      <c r="CB109" s="1226" t="str">
        <f t="shared" si="832"/>
        <v>F1Q14</v>
      </c>
      <c r="CC109" s="1227" t="str">
        <f t="shared" si="832"/>
        <v>F2Q14A</v>
      </c>
      <c r="CD109" s="1227" t="str">
        <f t="shared" si="832"/>
        <v>F3Q14A</v>
      </c>
      <c r="CE109" s="17" t="str">
        <f t="shared" si="832"/>
        <v>F4Q14</v>
      </c>
      <c r="CF109" s="1226" t="str">
        <f t="shared" si="832"/>
        <v>F1Q15A</v>
      </c>
      <c r="CG109" s="1227" t="str">
        <f t="shared" si="832"/>
        <v>F2Q15A</v>
      </c>
      <c r="CH109" s="1227" t="str">
        <f t="shared" si="832"/>
        <v>F3Q15A</v>
      </c>
      <c r="CI109" s="17" t="str">
        <f t="shared" si="832"/>
        <v>F4Q15A</v>
      </c>
      <c r="CJ109" s="1226" t="str">
        <f t="shared" si="832"/>
        <v>F1Q16A</v>
      </c>
      <c r="CK109" s="1227" t="str">
        <f t="shared" si="832"/>
        <v>F2Q16A</v>
      </c>
      <c r="CL109" s="1227" t="str">
        <f t="shared" si="832"/>
        <v>F3Q16A</v>
      </c>
      <c r="CM109" s="17" t="str">
        <f t="shared" ref="CM109:CO109" si="833">+CM6</f>
        <v>F4Q16A</v>
      </c>
      <c r="CN109" s="1226" t="str">
        <f t="shared" si="833"/>
        <v>F1Q17A</v>
      </c>
      <c r="CO109" s="1227" t="str">
        <f t="shared" si="833"/>
        <v>F2Q17A</v>
      </c>
      <c r="CP109" s="1227" t="str">
        <f t="shared" si="832"/>
        <v>F3Q17A</v>
      </c>
      <c r="CQ109" s="1227" t="str">
        <f t="shared" si="832"/>
        <v>F4Q17A</v>
      </c>
      <c r="CR109" s="1318" t="str">
        <f t="shared" si="832"/>
        <v>F1Q18A</v>
      </c>
      <c r="CS109" s="1319" t="str">
        <f t="shared" si="832"/>
        <v>F2Q18A</v>
      </c>
      <c r="CT109" s="1319" t="str">
        <f t="shared" si="832"/>
        <v>F3Q18E</v>
      </c>
      <c r="CU109" s="1320" t="str">
        <f t="shared" si="832"/>
        <v>F4Q18E</v>
      </c>
      <c r="CV109" s="1318" t="str">
        <f t="shared" ref="CV109:CY109" si="834">+CV6</f>
        <v>F1Q19E</v>
      </c>
      <c r="CW109" s="1319" t="str">
        <f t="shared" si="834"/>
        <v>F2Q19E</v>
      </c>
      <c r="CX109" s="1319" t="str">
        <f t="shared" si="834"/>
        <v>F3Q19E</v>
      </c>
      <c r="CY109" s="1320" t="str">
        <f t="shared" si="834"/>
        <v>F4Q19E</v>
      </c>
      <c r="CZ109" s="1318" t="str">
        <f t="shared" ref="CZ109:DC109" si="835">+CZ6</f>
        <v>F1Q20E</v>
      </c>
      <c r="DA109" s="1319" t="str">
        <f t="shared" si="835"/>
        <v>F2Q20E</v>
      </c>
      <c r="DB109" s="1319" t="str">
        <f t="shared" si="835"/>
        <v>F3Q20E</v>
      </c>
      <c r="DC109" s="1320" t="str">
        <f t="shared" si="835"/>
        <v>F4Q20E</v>
      </c>
      <c r="DD109" s="18"/>
      <c r="DE109" s="407" t="str">
        <f t="shared" ref="DE109:EB109" si="836">+DE6</f>
        <v>FY1995A</v>
      </c>
      <c r="DF109" s="408" t="str">
        <f t="shared" si="836"/>
        <v>FY1996A</v>
      </c>
      <c r="DG109" s="16" t="str">
        <f t="shared" si="836"/>
        <v>FY1997A</v>
      </c>
      <c r="DH109" s="16" t="str">
        <f t="shared" si="836"/>
        <v>FY1998A</v>
      </c>
      <c r="DI109" s="16" t="str">
        <f t="shared" si="836"/>
        <v>FY1999A</v>
      </c>
      <c r="DJ109" s="16" t="str">
        <f t="shared" si="836"/>
        <v>FY2000A</v>
      </c>
      <c r="DK109" s="16" t="str">
        <f t="shared" si="836"/>
        <v>FY2001A</v>
      </c>
      <c r="DL109" s="16" t="str">
        <f t="shared" si="836"/>
        <v>FY2002A</v>
      </c>
      <c r="DM109" s="16" t="str">
        <f t="shared" si="836"/>
        <v>FY2003A</v>
      </c>
      <c r="DN109" s="16" t="str">
        <f t="shared" si="836"/>
        <v>FY2004A</v>
      </c>
      <c r="DO109" s="16" t="str">
        <f t="shared" si="836"/>
        <v>FY2005A</v>
      </c>
      <c r="DP109" s="16" t="str">
        <f t="shared" si="836"/>
        <v>FY2006A</v>
      </c>
      <c r="DQ109" s="16" t="str">
        <f t="shared" si="836"/>
        <v>FY2007A</v>
      </c>
      <c r="DR109" s="16" t="str">
        <f t="shared" si="836"/>
        <v>FY2008A</v>
      </c>
      <c r="DS109" s="16" t="str">
        <f t="shared" si="836"/>
        <v>FY2009A</v>
      </c>
      <c r="DT109" s="1319" t="str">
        <f t="shared" si="836"/>
        <v>FY2010A</v>
      </c>
      <c r="DU109" s="1319" t="str">
        <f t="shared" si="836"/>
        <v>FY2011A</v>
      </c>
      <c r="DV109" s="1319" t="str">
        <f t="shared" si="836"/>
        <v>FY2012A</v>
      </c>
      <c r="DW109" s="1319" t="str">
        <f t="shared" si="836"/>
        <v>FY2013A</v>
      </c>
      <c r="DX109" s="1319" t="str">
        <f t="shared" si="836"/>
        <v>FY2014A</v>
      </c>
      <c r="DY109" s="1319" t="str">
        <f t="shared" si="836"/>
        <v>FY2015A</v>
      </c>
      <c r="DZ109" s="1319" t="str">
        <f t="shared" si="836"/>
        <v>FY2016A</v>
      </c>
      <c r="EA109" s="1227" t="str">
        <f t="shared" si="836"/>
        <v>FY2017A</v>
      </c>
      <c r="EB109" s="1319" t="str">
        <f t="shared" si="836"/>
        <v>FY2018E</v>
      </c>
      <c r="EC109" s="1320" t="str">
        <f t="shared" ref="EC109:ED109" si="837">+EC6</f>
        <v>FY2019E</v>
      </c>
      <c r="ED109" s="1320" t="str">
        <f t="shared" si="837"/>
        <v>FY2020E</v>
      </c>
      <c r="EE109" s="18"/>
      <c r="EF109" s="406" t="str">
        <f t="shared" ref="EF109:EY109" si="838">+EF4</f>
        <v>CY1995</v>
      </c>
      <c r="EG109" s="404" t="str">
        <f t="shared" si="838"/>
        <v>CY1996</v>
      </c>
      <c r="EH109" s="404" t="str">
        <f t="shared" si="838"/>
        <v>CY1997</v>
      </c>
      <c r="EI109" s="404" t="str">
        <f t="shared" si="838"/>
        <v>CY1998</v>
      </c>
      <c r="EJ109" s="404" t="str">
        <f t="shared" si="838"/>
        <v>CY1999</v>
      </c>
      <c r="EK109" s="404" t="str">
        <f t="shared" si="838"/>
        <v>CY2000</v>
      </c>
      <c r="EL109" s="404" t="str">
        <f t="shared" si="838"/>
        <v>CY2001</v>
      </c>
      <c r="EM109" s="404" t="str">
        <f t="shared" si="838"/>
        <v>CY2002</v>
      </c>
      <c r="EN109" s="404" t="str">
        <f t="shared" si="838"/>
        <v>CY2003</v>
      </c>
      <c r="EO109" s="404" t="str">
        <f t="shared" si="838"/>
        <v>CY2004</v>
      </c>
      <c r="EP109" s="404" t="str">
        <f t="shared" si="838"/>
        <v>CY2005</v>
      </c>
      <c r="EQ109" s="404" t="str">
        <f t="shared" si="838"/>
        <v>CY2006</v>
      </c>
      <c r="ER109" s="404" t="str">
        <f t="shared" si="838"/>
        <v>CY2007</v>
      </c>
      <c r="ES109" s="404" t="str">
        <f t="shared" si="838"/>
        <v>CY2008</v>
      </c>
      <c r="ET109" s="404" t="str">
        <f t="shared" si="838"/>
        <v>CY2009</v>
      </c>
      <c r="EU109" s="404" t="str">
        <f t="shared" si="838"/>
        <v>CY2010</v>
      </c>
      <c r="EV109" s="404" t="str">
        <f t="shared" si="838"/>
        <v>CY2011</v>
      </c>
      <c r="EW109" s="404" t="str">
        <f t="shared" si="838"/>
        <v>CY2012</v>
      </c>
      <c r="EX109" s="1227" t="str">
        <f t="shared" si="838"/>
        <v>CY2013</v>
      </c>
      <c r="EY109" s="404" t="str">
        <f t="shared" si="838"/>
        <v>CY2014</v>
      </c>
      <c r="EZ109" s="404" t="s">
        <v>560</v>
      </c>
      <c r="FA109" s="404" t="s">
        <v>561</v>
      </c>
      <c r="FB109" s="1134" t="s">
        <v>574</v>
      </c>
      <c r="FC109" s="1134" t="s">
        <v>602</v>
      </c>
      <c r="FD109" s="1297" t="s">
        <v>612</v>
      </c>
      <c r="FO109" s="7"/>
    </row>
    <row r="110" spans="1:171" s="749" customFormat="1" ht="14.25" customHeight="1">
      <c r="A110" s="737"/>
      <c r="B110" s="442" t="s">
        <v>199</v>
      </c>
      <c r="C110" s="738"/>
      <c r="D110" s="739">
        <v>421.6</v>
      </c>
      <c r="E110" s="739">
        <v>425.6</v>
      </c>
      <c r="F110" s="739">
        <v>430.2</v>
      </c>
      <c r="G110" s="740">
        <v>427.8</v>
      </c>
      <c r="H110" s="739">
        <v>434.4</v>
      </c>
      <c r="I110" s="739">
        <v>430.4</v>
      </c>
      <c r="J110" s="739">
        <v>429</v>
      </c>
      <c r="K110" s="740">
        <v>430</v>
      </c>
      <c r="L110" s="739">
        <v>428</v>
      </c>
      <c r="M110" s="739">
        <v>431</v>
      </c>
      <c r="N110" s="739">
        <v>435</v>
      </c>
      <c r="O110" s="740">
        <v>432.6</v>
      </c>
      <c r="P110" s="739">
        <v>431.8</v>
      </c>
      <c r="Q110" s="739">
        <v>423.6</v>
      </c>
      <c r="R110" s="739">
        <v>424.6</v>
      </c>
      <c r="S110" s="740">
        <v>424.4</v>
      </c>
      <c r="T110" s="739">
        <v>491.4</v>
      </c>
      <c r="U110" s="739">
        <v>528.6</v>
      </c>
      <c r="V110" s="739">
        <v>532.6</v>
      </c>
      <c r="W110" s="740">
        <v>521.4</v>
      </c>
      <c r="X110" s="739">
        <v>538.4</v>
      </c>
      <c r="Y110" s="739">
        <v>540.79999999999995</v>
      </c>
      <c r="Z110" s="739">
        <v>551</v>
      </c>
      <c r="AA110" s="740">
        <v>550.9</v>
      </c>
      <c r="AB110" s="739">
        <v>581.9</v>
      </c>
      <c r="AC110" s="739">
        <v>593.79999999999995</v>
      </c>
      <c r="AD110" s="739">
        <v>596.29999999999995</v>
      </c>
      <c r="AE110" s="740">
        <v>592.4</v>
      </c>
      <c r="AF110" s="739">
        <v>599.20000000000005</v>
      </c>
      <c r="AG110" s="739">
        <v>600.5</v>
      </c>
      <c r="AH110" s="739">
        <v>602.29999999999995</v>
      </c>
      <c r="AI110" s="740">
        <v>601.5</v>
      </c>
      <c r="AJ110" s="739">
        <v>605.20000000000005</v>
      </c>
      <c r="AK110" s="739">
        <v>607.20000000000005</v>
      </c>
      <c r="AL110" s="739">
        <v>608.29999999999995</v>
      </c>
      <c r="AM110" s="740">
        <v>607.5</v>
      </c>
      <c r="AN110" s="739">
        <v>633.79999999999995</v>
      </c>
      <c r="AO110" s="739">
        <v>643.20000000000005</v>
      </c>
      <c r="AP110" s="739">
        <v>644.20000000000005</v>
      </c>
      <c r="AQ110" s="740">
        <v>641.5</v>
      </c>
      <c r="AR110" s="739">
        <v>646</v>
      </c>
      <c r="AS110" s="739">
        <v>647.1</v>
      </c>
      <c r="AT110" s="739">
        <v>648.20000000000005</v>
      </c>
      <c r="AU110" s="740">
        <v>647.70000000000005</v>
      </c>
      <c r="AV110" s="739">
        <v>650.1</v>
      </c>
      <c r="AW110" s="739">
        <v>661.5</v>
      </c>
      <c r="AX110" s="739">
        <v>708.6</v>
      </c>
      <c r="AY110" s="740">
        <v>692</v>
      </c>
      <c r="AZ110" s="739">
        <v>767</v>
      </c>
      <c r="BA110" s="739">
        <v>768.7</v>
      </c>
      <c r="BB110" s="739">
        <v>769.9</v>
      </c>
      <c r="BC110" s="740">
        <v>770.9</v>
      </c>
      <c r="BD110" s="739">
        <v>771.9</v>
      </c>
      <c r="BE110" s="739">
        <v>772.4</v>
      </c>
      <c r="BF110" s="739">
        <v>772.8</v>
      </c>
      <c r="BG110" s="740">
        <v>772.9</v>
      </c>
      <c r="BH110" s="739">
        <v>773.3</v>
      </c>
      <c r="BI110" s="739">
        <v>773.9</v>
      </c>
      <c r="BJ110" s="739">
        <v>813.3</v>
      </c>
      <c r="BK110" s="740">
        <v>844.3</v>
      </c>
      <c r="BL110" s="739">
        <v>846.3</v>
      </c>
      <c r="BM110" s="739">
        <v>847.6</v>
      </c>
      <c r="BN110" s="739">
        <v>885.4</v>
      </c>
      <c r="BO110" s="740">
        <v>970</v>
      </c>
      <c r="BP110" s="739">
        <v>972.9</v>
      </c>
      <c r="BQ110" s="739">
        <v>988.1</v>
      </c>
      <c r="BR110" s="739">
        <v>998.9</v>
      </c>
      <c r="BS110" s="740">
        <v>992.2</v>
      </c>
      <c r="BT110" s="739">
        <v>981.4</v>
      </c>
      <c r="BU110" s="739">
        <v>982.8</v>
      </c>
      <c r="BV110" s="739">
        <v>987.3</v>
      </c>
      <c r="BW110" s="740">
        <v>991.2</v>
      </c>
      <c r="BX110" s="739">
        <v>1013.7</v>
      </c>
      <c r="BY110" s="739">
        <v>1016</v>
      </c>
      <c r="BZ110" s="739">
        <v>1024</v>
      </c>
      <c r="CA110" s="740">
        <v>1033.2</v>
      </c>
      <c r="CB110" s="739">
        <v>1046</v>
      </c>
      <c r="CC110" s="739">
        <v>1060</v>
      </c>
      <c r="CD110" s="739">
        <v>1067</v>
      </c>
      <c r="CE110" s="740">
        <v>1068</v>
      </c>
      <c r="CF110" s="739">
        <v>1070</v>
      </c>
      <c r="CG110" s="739">
        <v>1074</v>
      </c>
      <c r="CH110" s="739">
        <v>1073</v>
      </c>
      <c r="CI110" s="740">
        <v>1060</v>
      </c>
      <c r="CJ110" s="739">
        <v>1035</v>
      </c>
      <c r="CK110" s="739">
        <v>1036</v>
      </c>
      <c r="CL110" s="739">
        <v>1036</v>
      </c>
      <c r="CM110" s="740">
        <v>1037</v>
      </c>
      <c r="CN110" s="739">
        <v>1040</v>
      </c>
      <c r="CO110" s="739">
        <v>1099</v>
      </c>
      <c r="CP110" s="739">
        <v>1106</v>
      </c>
      <c r="CQ110" s="740">
        <v>1109</v>
      </c>
      <c r="CR110" s="739">
        <v>1134</v>
      </c>
      <c r="CS110" s="739">
        <v>1156</v>
      </c>
      <c r="CT110" s="1313">
        <f t="shared" ref="CT110:CU110" si="839">CS110+(CT111-CS111)</f>
        <v>1166</v>
      </c>
      <c r="CU110" s="741">
        <f t="shared" si="839"/>
        <v>1175</v>
      </c>
      <c r="CV110" s="1314">
        <f t="shared" ref="CV110:CV111" si="840">CU110+(CV111-CU111)</f>
        <v>1184</v>
      </c>
      <c r="CW110" s="1313">
        <f t="shared" ref="CW110:CW111" si="841">CV110+(CW111-CV111)</f>
        <v>1193</v>
      </c>
      <c r="CX110" s="1313">
        <f t="shared" ref="CX110:CX111" si="842">CW110+(CX111-CW111)</f>
        <v>1202</v>
      </c>
      <c r="CY110" s="741">
        <f t="shared" ref="CY110:CY111" si="843">CX110+(CY111-CX111)</f>
        <v>1211</v>
      </c>
      <c r="CZ110" s="1314">
        <f t="shared" ref="CZ110:CZ111" si="844">CY110+(CZ111-CY111)</f>
        <v>1220</v>
      </c>
      <c r="DA110" s="1313">
        <f t="shared" ref="DA110:DA111" si="845">CZ110+(DA111-CZ111)</f>
        <v>1229</v>
      </c>
      <c r="DB110" s="1313">
        <f t="shared" ref="DB110:DB111" si="846">DA110+(DB111-DA111)</f>
        <v>1238</v>
      </c>
      <c r="DC110" s="741">
        <f t="shared" ref="DC110:DC111" si="847">DB110+(DC111-DB111)</f>
        <v>1247</v>
      </c>
      <c r="DD110" s="743"/>
      <c r="DE110" s="744">
        <f>AVERAGE(D110:G110)</f>
        <v>426.3</v>
      </c>
      <c r="DF110" s="744">
        <f>AVERAGE(H110:K110)</f>
        <v>430.95</v>
      </c>
      <c r="DG110" s="744">
        <f>AVERAGE(L110:O110)</f>
        <v>431.65</v>
      </c>
      <c r="DH110" s="744">
        <f>AVERAGE(P110:S110)</f>
        <v>426.1</v>
      </c>
      <c r="DI110" s="744">
        <f>AVERAGE(T110:W110)</f>
        <v>518.5</v>
      </c>
      <c r="DJ110" s="744">
        <f>AVERAGE(X110:AA110)</f>
        <v>545.27499999999998</v>
      </c>
      <c r="DK110" s="744">
        <f>AVERAGE(AB110:AE110)</f>
        <v>591.09999999999991</v>
      </c>
      <c r="DL110" s="744">
        <f>AVERAGE(AF110:AI110)</f>
        <v>600.875</v>
      </c>
      <c r="DM110" s="744">
        <f>AVERAGE(AJ110:AM110)</f>
        <v>607.04999999999995</v>
      </c>
      <c r="DN110" s="744">
        <f>AVERAGE(AN110:AQ110)</f>
        <v>640.67499999999995</v>
      </c>
      <c r="DO110" s="744">
        <f>AVERAGE(AR110:AU110)</f>
        <v>647.25</v>
      </c>
      <c r="DP110" s="745">
        <f>AVERAGE(AV110:AY110)</f>
        <v>678.05</v>
      </c>
      <c r="DQ110" s="745">
        <f>AVERAGE(AZ110:BC110)</f>
        <v>769.125</v>
      </c>
      <c r="DR110" s="745">
        <f>AVERAGE(BD110:BG110)</f>
        <v>772.5</v>
      </c>
      <c r="DS110" s="745">
        <f>AVERAGE(BH110:BK110)</f>
        <v>801.2</v>
      </c>
      <c r="DT110" s="745">
        <f>AVERAGE(BL110:BO110)</f>
        <v>887.32500000000005</v>
      </c>
      <c r="DU110" s="745">
        <f>AVERAGE(BP110:BS110)</f>
        <v>988.02500000000009</v>
      </c>
      <c r="DV110" s="745">
        <f>AVERAGE(BT110:BW110)</f>
        <v>985.67499999999995</v>
      </c>
      <c r="DW110" s="745">
        <f>AVERAGE(BX110:CA110)</f>
        <v>1021.7249999999999</v>
      </c>
      <c r="DX110" s="745">
        <f>AVERAGE(CB110:CE110)</f>
        <v>1060.25</v>
      </c>
      <c r="DY110" s="745">
        <f>AVERAGE(CF110:CI110)</f>
        <v>1069.25</v>
      </c>
      <c r="DZ110" s="745">
        <f>AVERAGE(CJ110:CM110)</f>
        <v>1036</v>
      </c>
      <c r="EA110" s="745">
        <f>AVERAGE(CN110:CQ110)</f>
        <v>1088.5</v>
      </c>
      <c r="EB110" s="745">
        <f>AVERAGE(CR110:CU110)</f>
        <v>1157.75</v>
      </c>
      <c r="EC110" s="738">
        <f>AVERAGE(CV110:CY110)</f>
        <v>1197.5</v>
      </c>
      <c r="ED110" s="738">
        <f>AVERAGE(CZ110:DC110)</f>
        <v>1233.5</v>
      </c>
      <c r="EE110" s="1393"/>
      <c r="EF110" s="747">
        <f>AVERAGE(E110:H110)</f>
        <v>429.5</v>
      </c>
      <c r="EG110" s="745">
        <f>AVERAGE(I110:L110)</f>
        <v>429.35</v>
      </c>
      <c r="EH110" s="745">
        <f>AVERAGE(M110:P110)</f>
        <v>432.59999999999997</v>
      </c>
      <c r="EI110" s="745">
        <f>AVERAGE(Q110:T110)</f>
        <v>441</v>
      </c>
      <c r="EJ110" s="745">
        <f>AVERAGE(U110:X110)</f>
        <v>530.25</v>
      </c>
      <c r="EK110" s="745">
        <f>AVERAGE(Y110:AB110)</f>
        <v>556.15</v>
      </c>
      <c r="EL110" s="745">
        <f>AVERAGE(AC110:AF110)</f>
        <v>595.42499999999995</v>
      </c>
      <c r="EM110" s="745">
        <f>AVERAGE(AG110:AJ110)</f>
        <v>602.375</v>
      </c>
      <c r="EN110" s="745">
        <f>AVERAGE(AK110:AN110)</f>
        <v>614.20000000000005</v>
      </c>
      <c r="EO110" s="745">
        <f>AVERAGE(AO110:AR110)</f>
        <v>643.72500000000002</v>
      </c>
      <c r="EP110" s="745">
        <f>AVERAGE(AS110:AV110)</f>
        <v>648.27500000000009</v>
      </c>
      <c r="EQ110" s="745">
        <f>AVERAGE(AW110:AZ110)</f>
        <v>707.27499999999998</v>
      </c>
      <c r="ER110" s="745">
        <f>AVERAGE(BA110:BD110)</f>
        <v>770.35</v>
      </c>
      <c r="ES110" s="745">
        <f>AVERAGE(BE110:BH110)</f>
        <v>772.84999999999991</v>
      </c>
      <c r="ET110" s="745">
        <f>AVERAGE(BI110:BL110)</f>
        <v>819.45</v>
      </c>
      <c r="EU110" s="745">
        <f>AVERAGE(BM110:BP110)</f>
        <v>918.97500000000002</v>
      </c>
      <c r="EV110" s="745">
        <f>AVERAGE(BQ110:BT110)</f>
        <v>990.15</v>
      </c>
      <c r="EW110" s="745">
        <f>AVERAGE(BU110:BX110)</f>
        <v>993.75</v>
      </c>
      <c r="EX110" s="746">
        <f>AVERAGE(BY110:CB110)</f>
        <v>1029.8</v>
      </c>
      <c r="EY110" s="745">
        <f>AVERAGE(CC110:CF110)</f>
        <v>1066.25</v>
      </c>
      <c r="EZ110" s="745">
        <f>AVERAGE(CG110:CJ110)</f>
        <v>1060.5</v>
      </c>
      <c r="FA110" s="745">
        <f>AVERAGE(CK110:CN110)</f>
        <v>1037.25</v>
      </c>
      <c r="FB110" s="746">
        <f>AVERAGE(CO110:CR110)</f>
        <v>1112</v>
      </c>
      <c r="FC110" s="746">
        <f>AVERAGE(CS110:CV110)</f>
        <v>1170.25</v>
      </c>
      <c r="FD110" s="751">
        <f>AVERAGE(CW110:CZ110)</f>
        <v>1206.5</v>
      </c>
      <c r="FE110" s="1295"/>
      <c r="FF110" s="1295"/>
      <c r="FG110" s="1295"/>
      <c r="FH110" s="1295"/>
      <c r="FI110"/>
      <c r="FJ110"/>
      <c r="FK110"/>
      <c r="FL110"/>
      <c r="FM110"/>
      <c r="FN110"/>
      <c r="FO110" s="737"/>
    </row>
    <row r="111" spans="1:171" s="749" customFormat="1" ht="14.25" customHeight="1">
      <c r="A111" s="737"/>
      <c r="B111" s="443" t="s">
        <v>200</v>
      </c>
      <c r="C111" s="751"/>
      <c r="D111" s="752">
        <v>427.6</v>
      </c>
      <c r="E111" s="752">
        <v>429.1</v>
      </c>
      <c r="F111" s="752">
        <v>433.8</v>
      </c>
      <c r="G111" s="754">
        <v>437.5</v>
      </c>
      <c r="H111" s="752">
        <v>434.4</v>
      </c>
      <c r="I111" s="752">
        <v>430.4</v>
      </c>
      <c r="J111" s="752">
        <v>429</v>
      </c>
      <c r="K111" s="754">
        <v>426</v>
      </c>
      <c r="L111" s="752">
        <v>429</v>
      </c>
      <c r="M111" s="752">
        <v>432.4</v>
      </c>
      <c r="N111" s="752">
        <v>436.8</v>
      </c>
      <c r="O111" s="754">
        <v>438.2</v>
      </c>
      <c r="P111" s="752">
        <v>435.6</v>
      </c>
      <c r="Q111" s="752">
        <v>430.4</v>
      </c>
      <c r="R111" s="752">
        <v>431.6</v>
      </c>
      <c r="S111" s="754">
        <v>433.6</v>
      </c>
      <c r="T111" s="752">
        <v>491.4</v>
      </c>
      <c r="U111" s="752">
        <v>545.79999999999995</v>
      </c>
      <c r="V111" s="752">
        <v>532.6</v>
      </c>
      <c r="W111" s="754">
        <v>534</v>
      </c>
      <c r="X111" s="752">
        <v>594.79999999999995</v>
      </c>
      <c r="Y111" s="752">
        <v>557.20000000000005</v>
      </c>
      <c r="Z111" s="752">
        <v>602.5</v>
      </c>
      <c r="AA111" s="754">
        <v>614.4</v>
      </c>
      <c r="AB111" s="752">
        <v>609.4</v>
      </c>
      <c r="AC111" s="752">
        <v>593.79999999999995</v>
      </c>
      <c r="AD111" s="752">
        <v>596.29999999999995</v>
      </c>
      <c r="AE111" s="754">
        <v>592.4</v>
      </c>
      <c r="AF111" s="752">
        <v>599.20000000000005</v>
      </c>
      <c r="AG111" s="752">
        <v>600.5</v>
      </c>
      <c r="AH111" s="752">
        <v>602.29999999999995</v>
      </c>
      <c r="AI111" s="754">
        <v>604</v>
      </c>
      <c r="AJ111" s="752">
        <v>605.20000000000005</v>
      </c>
      <c r="AK111" s="752">
        <v>607.20000000000005</v>
      </c>
      <c r="AL111" s="752">
        <v>608.29999999999995</v>
      </c>
      <c r="AM111" s="754">
        <v>609.5</v>
      </c>
      <c r="AN111" s="752">
        <v>636.6</v>
      </c>
      <c r="AO111" s="752">
        <v>643.20000000000005</v>
      </c>
      <c r="AP111" s="752">
        <v>705.4</v>
      </c>
      <c r="AQ111" s="754">
        <v>701.4</v>
      </c>
      <c r="AR111" s="752">
        <v>700.5</v>
      </c>
      <c r="AS111" s="752">
        <v>701.3</v>
      </c>
      <c r="AT111" s="752">
        <v>648.20000000000005</v>
      </c>
      <c r="AU111" s="754">
        <v>650</v>
      </c>
      <c r="AV111" s="752">
        <v>707.1</v>
      </c>
      <c r="AW111" s="752">
        <v>714.6</v>
      </c>
      <c r="AX111" s="752">
        <v>720.1</v>
      </c>
      <c r="AY111" s="754">
        <v>759.5</v>
      </c>
      <c r="AZ111" s="752">
        <v>779.6</v>
      </c>
      <c r="BA111" s="752">
        <v>768.7</v>
      </c>
      <c r="BB111" s="752">
        <v>769.9</v>
      </c>
      <c r="BC111" s="754">
        <v>770.9</v>
      </c>
      <c r="BD111" s="752">
        <v>771.9</v>
      </c>
      <c r="BE111" s="752">
        <v>772.4</v>
      </c>
      <c r="BF111" s="752">
        <v>772.8</v>
      </c>
      <c r="BG111" s="754">
        <v>772.9</v>
      </c>
      <c r="BH111" s="752">
        <v>773.3</v>
      </c>
      <c r="BI111" s="752">
        <v>773.9</v>
      </c>
      <c r="BJ111" s="752">
        <v>813.3</v>
      </c>
      <c r="BK111" s="754">
        <v>844.3</v>
      </c>
      <c r="BL111" s="752">
        <v>1000.7</v>
      </c>
      <c r="BM111" s="752">
        <v>1005.3</v>
      </c>
      <c r="BN111" s="752">
        <v>1049.4000000000001</v>
      </c>
      <c r="BO111" s="754">
        <v>1142.5999999999999</v>
      </c>
      <c r="BP111" s="752">
        <v>1031.3</v>
      </c>
      <c r="BQ111" s="752">
        <v>1037.3</v>
      </c>
      <c r="BR111" s="752">
        <v>1041.7</v>
      </c>
      <c r="BS111" s="754">
        <v>992.2</v>
      </c>
      <c r="BT111" s="752">
        <v>981.4</v>
      </c>
      <c r="BU111" s="752">
        <v>982.8</v>
      </c>
      <c r="BV111" s="752">
        <v>987.3</v>
      </c>
      <c r="BW111" s="754">
        <v>991.2</v>
      </c>
      <c r="BX111" s="752">
        <v>1013.7</v>
      </c>
      <c r="BY111" s="752">
        <v>1016</v>
      </c>
      <c r="BZ111" s="752">
        <v>1046.5999999999999</v>
      </c>
      <c r="CA111" s="754">
        <v>1129.4000000000001</v>
      </c>
      <c r="CB111" s="752">
        <v>1196</v>
      </c>
      <c r="CC111" s="752">
        <v>1201</v>
      </c>
      <c r="CD111" s="752">
        <v>1190</v>
      </c>
      <c r="CE111" s="754">
        <v>1203</v>
      </c>
      <c r="CF111" s="752">
        <v>1195</v>
      </c>
      <c r="CG111" s="752">
        <v>1190</v>
      </c>
      <c r="CH111" s="752">
        <v>1170</v>
      </c>
      <c r="CI111" s="754">
        <v>1124</v>
      </c>
      <c r="CJ111" s="752">
        <v>1085</v>
      </c>
      <c r="CK111" s="752">
        <v>1036</v>
      </c>
      <c r="CL111" s="752">
        <v>1036</v>
      </c>
      <c r="CM111" s="754">
        <v>1037</v>
      </c>
      <c r="CN111" s="752">
        <v>1091</v>
      </c>
      <c r="CO111" s="752">
        <v>1160</v>
      </c>
      <c r="CP111" s="752">
        <v>1177</v>
      </c>
      <c r="CQ111" s="754">
        <v>1187</v>
      </c>
      <c r="CR111" s="752">
        <v>1225</v>
      </c>
      <c r="CS111" s="752">
        <v>1238</v>
      </c>
      <c r="CT111" s="742">
        <f t="shared" ref="CT111:CU111" si="848">CS111+(CT112-CS112)</f>
        <v>1248</v>
      </c>
      <c r="CU111" s="755">
        <f t="shared" si="848"/>
        <v>1257</v>
      </c>
      <c r="CV111" s="1316">
        <f t="shared" si="840"/>
        <v>1266</v>
      </c>
      <c r="CW111" s="742">
        <f t="shared" si="841"/>
        <v>1275</v>
      </c>
      <c r="CX111" s="742">
        <f t="shared" si="842"/>
        <v>1284</v>
      </c>
      <c r="CY111" s="755">
        <f t="shared" si="843"/>
        <v>1293</v>
      </c>
      <c r="CZ111" s="1316">
        <f t="shared" si="844"/>
        <v>1302</v>
      </c>
      <c r="DA111" s="742">
        <f t="shared" si="845"/>
        <v>1311</v>
      </c>
      <c r="DB111" s="742">
        <f t="shared" si="846"/>
        <v>1320</v>
      </c>
      <c r="DC111" s="755">
        <f t="shared" si="847"/>
        <v>1329</v>
      </c>
      <c r="DD111" s="743"/>
      <c r="DE111" s="756">
        <f>AVERAGE(D111:G111)</f>
        <v>432</v>
      </c>
      <c r="DF111" s="756">
        <f>AVERAGE(H111:K111)</f>
        <v>429.95</v>
      </c>
      <c r="DG111" s="756">
        <f>AVERAGE(L111:O111)</f>
        <v>434.1</v>
      </c>
      <c r="DH111" s="756">
        <f>AVERAGE(P111:S111)</f>
        <v>432.79999999999995</v>
      </c>
      <c r="DI111" s="756">
        <f>AVERAGE(T111:W111)</f>
        <v>525.94999999999993</v>
      </c>
      <c r="DJ111" s="756">
        <f>AVERAGE(X111:AA111)</f>
        <v>592.22500000000002</v>
      </c>
      <c r="DK111" s="756">
        <f>AVERAGE(AB111:AE111)</f>
        <v>597.97499999999991</v>
      </c>
      <c r="DL111" s="756">
        <f>AVERAGE(AF111:AI111)</f>
        <v>601.5</v>
      </c>
      <c r="DM111" s="756">
        <f>AVERAGE(AJ111:AM111)</f>
        <v>607.54999999999995</v>
      </c>
      <c r="DN111" s="756">
        <f>AVERAGE(AN111:AQ111)</f>
        <v>671.65000000000009</v>
      </c>
      <c r="DO111" s="756">
        <f>AVERAGE(AR111:AU111)</f>
        <v>675</v>
      </c>
      <c r="DP111" s="746">
        <f>AVERAGE(AV111:AY111)</f>
        <v>725.32500000000005</v>
      </c>
      <c r="DQ111" s="746">
        <f>AVERAGE(AZ111:BC111)</f>
        <v>772.27500000000009</v>
      </c>
      <c r="DR111" s="746">
        <f>AVERAGE(BD111:BG111)</f>
        <v>772.5</v>
      </c>
      <c r="DS111" s="746">
        <f>AVERAGE(BH111:BK111)</f>
        <v>801.2</v>
      </c>
      <c r="DT111" s="746">
        <f>AVERAGE(BL111:BO111)</f>
        <v>1049.5</v>
      </c>
      <c r="DU111" s="746">
        <f>AVERAGE(BP111:BS111)</f>
        <v>1025.625</v>
      </c>
      <c r="DV111" s="746">
        <f>AVERAGE(BT111:BW111)</f>
        <v>985.67499999999995</v>
      </c>
      <c r="DW111" s="746">
        <f>AVERAGE(BX111:CA111)</f>
        <v>1051.4250000000002</v>
      </c>
      <c r="DX111" s="746">
        <f>AVERAGE(CB111:CE111)</f>
        <v>1197.5</v>
      </c>
      <c r="DY111" s="746">
        <f>AVERAGE(CF111:CI111)</f>
        <v>1169.75</v>
      </c>
      <c r="DZ111" s="746">
        <f>AVERAGE(CJ111:CM111)</f>
        <v>1048.5</v>
      </c>
      <c r="EA111" s="746">
        <f t="shared" ref="EA111:EA112" si="849">AVERAGE(CN111:CQ111)</f>
        <v>1153.75</v>
      </c>
      <c r="EB111" s="746">
        <f t="shared" ref="EB111:EB112" si="850">AVERAGE(CR111:CU111)</f>
        <v>1242</v>
      </c>
      <c r="EC111" s="751">
        <f>AVERAGE(CV111:CY111)</f>
        <v>1279.5</v>
      </c>
      <c r="ED111" s="751">
        <f>AVERAGE(CZ111:DC111)</f>
        <v>1315.5</v>
      </c>
      <c r="EE111" s="1393"/>
      <c r="EF111" s="757">
        <f>AVERAGE(E111:H111)</f>
        <v>433.70000000000005</v>
      </c>
      <c r="EG111" s="746">
        <f>AVERAGE(I111:L111)</f>
        <v>428.6</v>
      </c>
      <c r="EH111" s="746">
        <f>AVERAGE(M111:P111)</f>
        <v>435.75</v>
      </c>
      <c r="EI111" s="746">
        <f>AVERAGE(Q111:T111)</f>
        <v>446.75</v>
      </c>
      <c r="EJ111" s="746">
        <f>AVERAGE(U111:X111)</f>
        <v>551.79999999999995</v>
      </c>
      <c r="EK111" s="746">
        <f>AVERAGE(Y111:AB111)</f>
        <v>595.875</v>
      </c>
      <c r="EL111" s="746">
        <f>AVERAGE(AC111:AF111)</f>
        <v>595.42499999999995</v>
      </c>
      <c r="EM111" s="746">
        <f>AVERAGE(AG111:AJ111)</f>
        <v>603</v>
      </c>
      <c r="EN111" s="746">
        <f>AVERAGE(AK111:AN111)</f>
        <v>615.4</v>
      </c>
      <c r="EO111" s="746">
        <f>AVERAGE(AO111:AR111)</f>
        <v>687.625</v>
      </c>
      <c r="EP111" s="746">
        <f>AVERAGE(AS111:AV111)</f>
        <v>676.65</v>
      </c>
      <c r="EQ111" s="746">
        <f>AVERAGE(AW111:AZ111)</f>
        <v>743.44999999999993</v>
      </c>
      <c r="ER111" s="746">
        <f>AVERAGE(BA111:BD111)</f>
        <v>770.35</v>
      </c>
      <c r="ES111" s="746">
        <f>AVERAGE(BE111:BH111)</f>
        <v>772.84999999999991</v>
      </c>
      <c r="ET111" s="746">
        <f>AVERAGE(BI111:BL111)</f>
        <v>858.05</v>
      </c>
      <c r="EU111" s="746">
        <f>AVERAGE(BM111:BP111)</f>
        <v>1057.1499999999999</v>
      </c>
      <c r="EV111" s="746">
        <f>AVERAGE(BQ111:BT111)</f>
        <v>1013.15</v>
      </c>
      <c r="EW111" s="746">
        <f>AVERAGE(BU111:BX111)</f>
        <v>993.75</v>
      </c>
      <c r="EX111" s="746">
        <f>AVERAGE(BY111:CB111)</f>
        <v>1097</v>
      </c>
      <c r="EY111" s="746">
        <f>AVERAGE(CC111:CF111)</f>
        <v>1197.25</v>
      </c>
      <c r="EZ111" s="746">
        <f t="shared" ref="EZ111:EZ112" si="851">AVERAGE(CG111:CJ111)</f>
        <v>1142.25</v>
      </c>
      <c r="FA111" s="746">
        <f t="shared" ref="FA111:FA112" si="852">AVERAGE(CK111:CN111)</f>
        <v>1050</v>
      </c>
      <c r="FB111" s="746">
        <f t="shared" ref="FB111:FB112" si="853">AVERAGE(CO111:CR111)</f>
        <v>1187.25</v>
      </c>
      <c r="FC111" s="746">
        <f>AVERAGE(CS111:CV111)</f>
        <v>1252.25</v>
      </c>
      <c r="FD111" s="751">
        <f>AVERAGE(CW111:CZ111)</f>
        <v>1288.5</v>
      </c>
      <c r="FE111" s="1295"/>
      <c r="FF111" s="1295"/>
      <c r="FG111" s="1295"/>
      <c r="FH111" s="1295"/>
      <c r="FI111"/>
      <c r="FJ111"/>
      <c r="FK111"/>
      <c r="FL111"/>
      <c r="FM111"/>
      <c r="FN111"/>
      <c r="FO111" s="737"/>
    </row>
    <row r="112" spans="1:171" s="749" customFormat="1" ht="14.25" customHeight="1">
      <c r="A112" s="737"/>
      <c r="B112" s="443" t="s">
        <v>251</v>
      </c>
      <c r="C112" s="751"/>
      <c r="D112" s="752">
        <f t="shared" ref="D112:BO112" si="854">D111</f>
        <v>427.6</v>
      </c>
      <c r="E112" s="752">
        <f t="shared" si="854"/>
        <v>429.1</v>
      </c>
      <c r="F112" s="752">
        <f t="shared" si="854"/>
        <v>433.8</v>
      </c>
      <c r="G112" s="754">
        <f t="shared" si="854"/>
        <v>437.5</v>
      </c>
      <c r="H112" s="752">
        <f t="shared" si="854"/>
        <v>434.4</v>
      </c>
      <c r="I112" s="752">
        <f t="shared" si="854"/>
        <v>430.4</v>
      </c>
      <c r="J112" s="752">
        <f t="shared" si="854"/>
        <v>429</v>
      </c>
      <c r="K112" s="754">
        <f t="shared" si="854"/>
        <v>426</v>
      </c>
      <c r="L112" s="752">
        <f t="shared" si="854"/>
        <v>429</v>
      </c>
      <c r="M112" s="752">
        <f t="shared" si="854"/>
        <v>432.4</v>
      </c>
      <c r="N112" s="752">
        <f t="shared" si="854"/>
        <v>436.8</v>
      </c>
      <c r="O112" s="754">
        <f t="shared" si="854"/>
        <v>438.2</v>
      </c>
      <c r="P112" s="752">
        <f t="shared" si="854"/>
        <v>435.6</v>
      </c>
      <c r="Q112" s="752">
        <f t="shared" si="854"/>
        <v>430.4</v>
      </c>
      <c r="R112" s="752">
        <f t="shared" si="854"/>
        <v>431.6</v>
      </c>
      <c r="S112" s="754">
        <f t="shared" si="854"/>
        <v>433.6</v>
      </c>
      <c r="T112" s="752">
        <f t="shared" si="854"/>
        <v>491.4</v>
      </c>
      <c r="U112" s="752">
        <f t="shared" si="854"/>
        <v>545.79999999999995</v>
      </c>
      <c r="V112" s="752">
        <f t="shared" si="854"/>
        <v>532.6</v>
      </c>
      <c r="W112" s="754">
        <f t="shared" si="854"/>
        <v>534</v>
      </c>
      <c r="X112" s="752">
        <f t="shared" si="854"/>
        <v>594.79999999999995</v>
      </c>
      <c r="Y112" s="752">
        <f t="shared" si="854"/>
        <v>557.20000000000005</v>
      </c>
      <c r="Z112" s="752">
        <f t="shared" si="854"/>
        <v>602.5</v>
      </c>
      <c r="AA112" s="754">
        <f t="shared" si="854"/>
        <v>614.4</v>
      </c>
      <c r="AB112" s="752">
        <f t="shared" si="854"/>
        <v>609.4</v>
      </c>
      <c r="AC112" s="752">
        <f t="shared" si="854"/>
        <v>593.79999999999995</v>
      </c>
      <c r="AD112" s="752">
        <f t="shared" si="854"/>
        <v>596.29999999999995</v>
      </c>
      <c r="AE112" s="754">
        <f t="shared" si="854"/>
        <v>592.4</v>
      </c>
      <c r="AF112" s="752">
        <f t="shared" si="854"/>
        <v>599.20000000000005</v>
      </c>
      <c r="AG112" s="752">
        <f t="shared" si="854"/>
        <v>600.5</v>
      </c>
      <c r="AH112" s="752">
        <f t="shared" si="854"/>
        <v>602.29999999999995</v>
      </c>
      <c r="AI112" s="754">
        <f t="shared" si="854"/>
        <v>604</v>
      </c>
      <c r="AJ112" s="752">
        <f t="shared" si="854"/>
        <v>605.20000000000005</v>
      </c>
      <c r="AK112" s="752">
        <f t="shared" si="854"/>
        <v>607.20000000000005</v>
      </c>
      <c r="AL112" s="752">
        <f t="shared" si="854"/>
        <v>608.29999999999995</v>
      </c>
      <c r="AM112" s="754">
        <f t="shared" si="854"/>
        <v>609.5</v>
      </c>
      <c r="AN112" s="752">
        <f t="shared" si="854"/>
        <v>636.6</v>
      </c>
      <c r="AO112" s="752">
        <f t="shared" si="854"/>
        <v>643.20000000000005</v>
      </c>
      <c r="AP112" s="752">
        <f t="shared" si="854"/>
        <v>705.4</v>
      </c>
      <c r="AQ112" s="754">
        <f t="shared" si="854"/>
        <v>701.4</v>
      </c>
      <c r="AR112" s="752">
        <f t="shared" si="854"/>
        <v>700.5</v>
      </c>
      <c r="AS112" s="752">
        <f t="shared" si="854"/>
        <v>701.3</v>
      </c>
      <c r="AT112" s="752">
        <f t="shared" si="854"/>
        <v>648.20000000000005</v>
      </c>
      <c r="AU112" s="754">
        <f t="shared" si="854"/>
        <v>650</v>
      </c>
      <c r="AV112" s="752">
        <f t="shared" si="854"/>
        <v>707.1</v>
      </c>
      <c r="AW112" s="752">
        <f t="shared" si="854"/>
        <v>714.6</v>
      </c>
      <c r="AX112" s="752">
        <f t="shared" si="854"/>
        <v>720.1</v>
      </c>
      <c r="AY112" s="754">
        <f t="shared" si="854"/>
        <v>759.5</v>
      </c>
      <c r="AZ112" s="752">
        <f t="shared" si="854"/>
        <v>779.6</v>
      </c>
      <c r="BA112" s="752">
        <f t="shared" si="854"/>
        <v>768.7</v>
      </c>
      <c r="BB112" s="752">
        <f t="shared" si="854"/>
        <v>769.9</v>
      </c>
      <c r="BC112" s="754">
        <f t="shared" si="854"/>
        <v>770.9</v>
      </c>
      <c r="BD112" s="752">
        <f t="shared" si="854"/>
        <v>771.9</v>
      </c>
      <c r="BE112" s="752">
        <f t="shared" si="854"/>
        <v>772.4</v>
      </c>
      <c r="BF112" s="752">
        <f t="shared" si="854"/>
        <v>772.8</v>
      </c>
      <c r="BG112" s="754">
        <f t="shared" si="854"/>
        <v>772.9</v>
      </c>
      <c r="BH112" s="752">
        <f t="shared" si="854"/>
        <v>773.3</v>
      </c>
      <c r="BI112" s="752">
        <f t="shared" si="854"/>
        <v>773.9</v>
      </c>
      <c r="BJ112" s="752">
        <f t="shared" si="854"/>
        <v>813.3</v>
      </c>
      <c r="BK112" s="754">
        <f t="shared" si="854"/>
        <v>844.3</v>
      </c>
      <c r="BL112" s="752">
        <f t="shared" si="854"/>
        <v>1000.7</v>
      </c>
      <c r="BM112" s="752">
        <f t="shared" si="854"/>
        <v>1005.3</v>
      </c>
      <c r="BN112" s="752">
        <f t="shared" si="854"/>
        <v>1049.4000000000001</v>
      </c>
      <c r="BO112" s="754">
        <f t="shared" si="854"/>
        <v>1142.5999999999999</v>
      </c>
      <c r="BP112" s="752">
        <f t="shared" ref="BP112:BW112" si="855">BP111</f>
        <v>1031.3</v>
      </c>
      <c r="BQ112" s="752">
        <f t="shared" si="855"/>
        <v>1037.3</v>
      </c>
      <c r="BR112" s="752">
        <f t="shared" si="855"/>
        <v>1041.7</v>
      </c>
      <c r="BS112" s="754">
        <f t="shared" si="855"/>
        <v>992.2</v>
      </c>
      <c r="BT112" s="752">
        <f t="shared" si="855"/>
        <v>981.4</v>
      </c>
      <c r="BU112" s="752">
        <f t="shared" si="855"/>
        <v>982.8</v>
      </c>
      <c r="BV112" s="752">
        <f t="shared" si="855"/>
        <v>987.3</v>
      </c>
      <c r="BW112" s="754">
        <f t="shared" si="855"/>
        <v>991.2</v>
      </c>
      <c r="BX112" s="752">
        <f>BX111</f>
        <v>1013.7</v>
      </c>
      <c r="BY112" s="752">
        <f>BY111</f>
        <v>1016</v>
      </c>
      <c r="BZ112" s="752">
        <f>BZ111</f>
        <v>1046.5999999999999</v>
      </c>
      <c r="CA112" s="754">
        <f>CA111</f>
        <v>1129.4000000000001</v>
      </c>
      <c r="CB112" s="752">
        <f>CB111-54</f>
        <v>1142</v>
      </c>
      <c r="CC112" s="752">
        <f>+CC111-42</f>
        <v>1159</v>
      </c>
      <c r="CD112" s="752">
        <f>+CD111-38</f>
        <v>1152</v>
      </c>
      <c r="CE112" s="754">
        <v>1176</v>
      </c>
      <c r="CF112" s="752">
        <v>1168</v>
      </c>
      <c r="CG112" s="752">
        <v>1163</v>
      </c>
      <c r="CH112" s="752">
        <v>1139</v>
      </c>
      <c r="CI112" s="754">
        <v>1080</v>
      </c>
      <c r="CJ112" s="752">
        <v>1035</v>
      </c>
      <c r="CK112" s="752">
        <v>1036</v>
      </c>
      <c r="CL112" s="752">
        <v>1036</v>
      </c>
      <c r="CM112" s="754">
        <v>1037</v>
      </c>
      <c r="CN112" s="752">
        <v>1062</v>
      </c>
      <c r="CO112" s="752">
        <v>1146</v>
      </c>
      <c r="CP112" s="752">
        <v>1169</v>
      </c>
      <c r="CQ112" s="754">
        <v>1181</v>
      </c>
      <c r="CR112" s="752">
        <v>1220</v>
      </c>
      <c r="CS112" s="752">
        <v>1240</v>
      </c>
      <c r="CT112" s="742">
        <v>1250</v>
      </c>
      <c r="CU112" s="742">
        <f t="shared" ref="CU112" si="856">CT112+9</f>
        <v>1259</v>
      </c>
      <c r="CV112" s="1316">
        <f t="shared" ref="CV112" si="857">CU112+9</f>
        <v>1268</v>
      </c>
      <c r="CW112" s="742">
        <f t="shared" ref="CW112" si="858">CV112+9</f>
        <v>1277</v>
      </c>
      <c r="CX112" s="742">
        <f t="shared" ref="CX112" si="859">CW112+9</f>
        <v>1286</v>
      </c>
      <c r="CY112" s="742">
        <f t="shared" ref="CY112" si="860">CX112+9</f>
        <v>1295</v>
      </c>
      <c r="CZ112" s="1316">
        <f t="shared" ref="CZ112" si="861">CY112+9</f>
        <v>1304</v>
      </c>
      <c r="DA112" s="742">
        <f t="shared" ref="DA112" si="862">CZ112+9</f>
        <v>1313</v>
      </c>
      <c r="DB112" s="742">
        <f t="shared" ref="DB112" si="863">DA112+9</f>
        <v>1322</v>
      </c>
      <c r="DC112" s="742">
        <f t="shared" ref="DC112" si="864">DB112+9</f>
        <v>1331</v>
      </c>
      <c r="DD112" s="743"/>
      <c r="DE112" s="756"/>
      <c r="DF112" s="756"/>
      <c r="DG112" s="756"/>
      <c r="DH112" s="756"/>
      <c r="DI112" s="756"/>
      <c r="DJ112" s="756"/>
      <c r="DK112" s="756"/>
      <c r="DL112" s="756"/>
      <c r="DM112" s="756"/>
      <c r="DN112" s="756"/>
      <c r="DO112" s="756"/>
      <c r="DP112" s="746"/>
      <c r="DQ112" s="746"/>
      <c r="DR112" s="746"/>
      <c r="DS112" s="746"/>
      <c r="DT112" s="746"/>
      <c r="DU112" s="746"/>
      <c r="DV112" s="746"/>
      <c r="DW112" s="746">
        <f>AVERAGE(BX112:CA112)</f>
        <v>1051.4250000000002</v>
      </c>
      <c r="DX112" s="746">
        <f>AVERAGE(CB112:CE112)</f>
        <v>1157.25</v>
      </c>
      <c r="DY112" s="746">
        <f>AVERAGE(CF112:CI112)</f>
        <v>1137.5</v>
      </c>
      <c r="DZ112" s="746">
        <f>AVERAGE(CJ112:CM112)</f>
        <v>1036</v>
      </c>
      <c r="EA112" s="746">
        <f t="shared" si="849"/>
        <v>1139.5</v>
      </c>
      <c r="EB112" s="746">
        <f t="shared" si="850"/>
        <v>1242.25</v>
      </c>
      <c r="EC112" s="751">
        <f>AVERAGE(CV112:CY112)</f>
        <v>1281.5</v>
      </c>
      <c r="ED112" s="751">
        <f>AVERAGE(CZ112:DC112)</f>
        <v>1317.5</v>
      </c>
      <c r="EE112" s="1393"/>
      <c r="EF112" s="746">
        <f t="shared" ref="EF112:EY112" si="865">EF111-50</f>
        <v>383.70000000000005</v>
      </c>
      <c r="EG112" s="746">
        <f t="shared" si="865"/>
        <v>378.6</v>
      </c>
      <c r="EH112" s="746">
        <f t="shared" si="865"/>
        <v>385.75</v>
      </c>
      <c r="EI112" s="746">
        <f t="shared" si="865"/>
        <v>396.75</v>
      </c>
      <c r="EJ112" s="746">
        <f t="shared" si="865"/>
        <v>501.79999999999995</v>
      </c>
      <c r="EK112" s="746">
        <f t="shared" si="865"/>
        <v>545.875</v>
      </c>
      <c r="EL112" s="746">
        <f t="shared" si="865"/>
        <v>545.42499999999995</v>
      </c>
      <c r="EM112" s="746">
        <f t="shared" si="865"/>
        <v>553</v>
      </c>
      <c r="EN112" s="746">
        <f t="shared" si="865"/>
        <v>565.4</v>
      </c>
      <c r="EO112" s="746">
        <f t="shared" si="865"/>
        <v>637.625</v>
      </c>
      <c r="EP112" s="746">
        <f t="shared" si="865"/>
        <v>626.65</v>
      </c>
      <c r="EQ112" s="746">
        <f t="shared" si="865"/>
        <v>693.44999999999993</v>
      </c>
      <c r="ER112" s="746">
        <f t="shared" si="865"/>
        <v>720.35</v>
      </c>
      <c r="ES112" s="746">
        <f t="shared" si="865"/>
        <v>722.84999999999991</v>
      </c>
      <c r="ET112" s="746">
        <f t="shared" si="865"/>
        <v>808.05</v>
      </c>
      <c r="EU112" s="746">
        <f t="shared" si="865"/>
        <v>1007.1499999999999</v>
      </c>
      <c r="EV112" s="746">
        <f t="shared" si="865"/>
        <v>963.15</v>
      </c>
      <c r="EW112" s="746">
        <f t="shared" si="865"/>
        <v>943.75</v>
      </c>
      <c r="EX112" s="746">
        <f t="shared" si="865"/>
        <v>1047</v>
      </c>
      <c r="EY112" s="746">
        <f t="shared" si="865"/>
        <v>1147.25</v>
      </c>
      <c r="EZ112" s="746">
        <f t="shared" si="851"/>
        <v>1104.25</v>
      </c>
      <c r="FA112" s="746">
        <f t="shared" si="852"/>
        <v>1042.75</v>
      </c>
      <c r="FB112" s="746">
        <f t="shared" si="853"/>
        <v>1179</v>
      </c>
      <c r="FC112" s="746">
        <f>AVERAGE(CS112:CV112)</f>
        <v>1254.25</v>
      </c>
      <c r="FD112" s="751">
        <f>AVERAGE(CW112:CZ112)</f>
        <v>1290.5</v>
      </c>
      <c r="FE112" s="1295"/>
      <c r="FF112" s="1295"/>
      <c r="FG112" s="1295"/>
      <c r="FH112" s="1295"/>
      <c r="FI112"/>
      <c r="FJ112"/>
      <c r="FK112"/>
      <c r="FL112"/>
      <c r="FM112"/>
      <c r="FN112"/>
      <c r="FO112" s="737"/>
    </row>
    <row r="113" spans="1:171" s="761" customFormat="1" ht="14.25" customHeight="1">
      <c r="A113" s="737"/>
      <c r="B113" s="1291" t="s">
        <v>218</v>
      </c>
      <c r="C113" s="1292"/>
      <c r="D113" s="1293">
        <f>+D111-D110</f>
        <v>6</v>
      </c>
      <c r="E113" s="1293">
        <f t="shared" ref="E113:BP113" si="866">+E111-E110</f>
        <v>3.5</v>
      </c>
      <c r="F113" s="1293">
        <f t="shared" si="866"/>
        <v>3.6000000000000227</v>
      </c>
      <c r="G113" s="1292">
        <f t="shared" si="866"/>
        <v>9.6999999999999886</v>
      </c>
      <c r="H113" s="1293">
        <f t="shared" si="866"/>
        <v>0</v>
      </c>
      <c r="I113" s="1293">
        <f t="shared" si="866"/>
        <v>0</v>
      </c>
      <c r="J113" s="1293">
        <f t="shared" si="866"/>
        <v>0</v>
      </c>
      <c r="K113" s="1292">
        <f t="shared" si="866"/>
        <v>-4</v>
      </c>
      <c r="L113" s="1293">
        <f t="shared" si="866"/>
        <v>1</v>
      </c>
      <c r="M113" s="1293">
        <f t="shared" si="866"/>
        <v>1.3999999999999773</v>
      </c>
      <c r="N113" s="1293">
        <f t="shared" si="866"/>
        <v>1.8000000000000114</v>
      </c>
      <c r="O113" s="1292">
        <f t="shared" si="866"/>
        <v>5.5999999999999659</v>
      </c>
      <c r="P113" s="1293">
        <f t="shared" si="866"/>
        <v>3.8000000000000114</v>
      </c>
      <c r="Q113" s="1293">
        <f t="shared" si="866"/>
        <v>6.7999999999999545</v>
      </c>
      <c r="R113" s="1293">
        <f t="shared" si="866"/>
        <v>7</v>
      </c>
      <c r="S113" s="1292">
        <f t="shared" si="866"/>
        <v>9.2000000000000455</v>
      </c>
      <c r="T113" s="1293">
        <f t="shared" si="866"/>
        <v>0</v>
      </c>
      <c r="U113" s="1293">
        <f t="shared" si="866"/>
        <v>17.199999999999932</v>
      </c>
      <c r="V113" s="1293">
        <f t="shared" si="866"/>
        <v>0</v>
      </c>
      <c r="W113" s="1292">
        <f t="shared" si="866"/>
        <v>12.600000000000023</v>
      </c>
      <c r="X113" s="1293">
        <f t="shared" si="866"/>
        <v>56.399999999999977</v>
      </c>
      <c r="Y113" s="1293">
        <f t="shared" si="866"/>
        <v>16.400000000000091</v>
      </c>
      <c r="Z113" s="1293">
        <f t="shared" si="866"/>
        <v>51.5</v>
      </c>
      <c r="AA113" s="1292">
        <f t="shared" si="866"/>
        <v>63.5</v>
      </c>
      <c r="AB113" s="1293">
        <f t="shared" si="866"/>
        <v>27.5</v>
      </c>
      <c r="AC113" s="1293">
        <f t="shared" si="866"/>
        <v>0</v>
      </c>
      <c r="AD113" s="1293">
        <f t="shared" si="866"/>
        <v>0</v>
      </c>
      <c r="AE113" s="1292">
        <f t="shared" si="866"/>
        <v>0</v>
      </c>
      <c r="AF113" s="1293">
        <f t="shared" si="866"/>
        <v>0</v>
      </c>
      <c r="AG113" s="1293">
        <f t="shared" si="866"/>
        <v>0</v>
      </c>
      <c r="AH113" s="1293">
        <f t="shared" si="866"/>
        <v>0</v>
      </c>
      <c r="AI113" s="1292">
        <f t="shared" si="866"/>
        <v>2.5</v>
      </c>
      <c r="AJ113" s="1293">
        <f t="shared" si="866"/>
        <v>0</v>
      </c>
      <c r="AK113" s="1293">
        <f t="shared" si="866"/>
        <v>0</v>
      </c>
      <c r="AL113" s="1293">
        <f t="shared" si="866"/>
        <v>0</v>
      </c>
      <c r="AM113" s="1292">
        <f t="shared" si="866"/>
        <v>2</v>
      </c>
      <c r="AN113" s="1293">
        <f t="shared" si="866"/>
        <v>2.8000000000000682</v>
      </c>
      <c r="AO113" s="1293">
        <f t="shared" si="866"/>
        <v>0</v>
      </c>
      <c r="AP113" s="1293">
        <f t="shared" si="866"/>
        <v>61.199999999999932</v>
      </c>
      <c r="AQ113" s="1292">
        <f t="shared" si="866"/>
        <v>59.899999999999977</v>
      </c>
      <c r="AR113" s="1293">
        <f t="shared" si="866"/>
        <v>54.5</v>
      </c>
      <c r="AS113" s="1293">
        <f t="shared" si="866"/>
        <v>54.199999999999932</v>
      </c>
      <c r="AT113" s="1293">
        <f t="shared" si="866"/>
        <v>0</v>
      </c>
      <c r="AU113" s="1292">
        <f t="shared" si="866"/>
        <v>2.2999999999999545</v>
      </c>
      <c r="AV113" s="1293">
        <f t="shared" si="866"/>
        <v>57</v>
      </c>
      <c r="AW113" s="1293">
        <f t="shared" si="866"/>
        <v>53.100000000000023</v>
      </c>
      <c r="AX113" s="1293">
        <f t="shared" si="866"/>
        <v>11.5</v>
      </c>
      <c r="AY113" s="1292">
        <f t="shared" si="866"/>
        <v>67.5</v>
      </c>
      <c r="AZ113" s="1293">
        <f t="shared" si="866"/>
        <v>12.600000000000023</v>
      </c>
      <c r="BA113" s="1293">
        <f t="shared" si="866"/>
        <v>0</v>
      </c>
      <c r="BB113" s="1293">
        <f t="shared" si="866"/>
        <v>0</v>
      </c>
      <c r="BC113" s="1292">
        <f t="shared" si="866"/>
        <v>0</v>
      </c>
      <c r="BD113" s="1293">
        <f t="shared" si="866"/>
        <v>0</v>
      </c>
      <c r="BE113" s="1293">
        <f t="shared" si="866"/>
        <v>0</v>
      </c>
      <c r="BF113" s="1293">
        <f t="shared" si="866"/>
        <v>0</v>
      </c>
      <c r="BG113" s="1292">
        <f t="shared" si="866"/>
        <v>0</v>
      </c>
      <c r="BH113" s="1293">
        <f t="shared" si="866"/>
        <v>0</v>
      </c>
      <c r="BI113" s="1293">
        <f t="shared" si="866"/>
        <v>0</v>
      </c>
      <c r="BJ113" s="1293">
        <f t="shared" si="866"/>
        <v>0</v>
      </c>
      <c r="BK113" s="1292">
        <f t="shared" si="866"/>
        <v>0</v>
      </c>
      <c r="BL113" s="1293">
        <f t="shared" si="866"/>
        <v>154.40000000000009</v>
      </c>
      <c r="BM113" s="1293">
        <f t="shared" si="866"/>
        <v>157.69999999999993</v>
      </c>
      <c r="BN113" s="1293">
        <f t="shared" si="866"/>
        <v>164.00000000000011</v>
      </c>
      <c r="BO113" s="1292">
        <f t="shared" si="866"/>
        <v>172.59999999999991</v>
      </c>
      <c r="BP113" s="1293">
        <f t="shared" si="866"/>
        <v>58.399999999999977</v>
      </c>
      <c r="BQ113" s="1293">
        <f t="shared" ref="BQ113:CI113" si="867">+BQ111-BQ110</f>
        <v>49.199999999999932</v>
      </c>
      <c r="BR113" s="1293">
        <f t="shared" si="867"/>
        <v>42.800000000000068</v>
      </c>
      <c r="BS113" s="1292">
        <f t="shared" si="867"/>
        <v>0</v>
      </c>
      <c r="BT113" s="1293">
        <f t="shared" si="867"/>
        <v>0</v>
      </c>
      <c r="BU113" s="1293">
        <f t="shared" si="867"/>
        <v>0</v>
      </c>
      <c r="BV113" s="1293">
        <f t="shared" si="867"/>
        <v>0</v>
      </c>
      <c r="BW113" s="1292">
        <f t="shared" si="867"/>
        <v>0</v>
      </c>
      <c r="BX113" s="1293">
        <f t="shared" si="867"/>
        <v>0</v>
      </c>
      <c r="BY113" s="1293">
        <f t="shared" si="867"/>
        <v>0</v>
      </c>
      <c r="BZ113" s="1293">
        <f t="shared" si="867"/>
        <v>22.599999999999909</v>
      </c>
      <c r="CA113" s="1292">
        <f t="shared" si="867"/>
        <v>96.200000000000045</v>
      </c>
      <c r="CB113" s="1293">
        <f t="shared" si="867"/>
        <v>150</v>
      </c>
      <c r="CC113" s="1293">
        <f>+CC111-CC110</f>
        <v>141</v>
      </c>
      <c r="CD113" s="1293">
        <f>+CD111-CD110</f>
        <v>123</v>
      </c>
      <c r="CE113" s="1292">
        <f>+CE111-CE110</f>
        <v>135</v>
      </c>
      <c r="CF113" s="1293">
        <f t="shared" si="867"/>
        <v>125</v>
      </c>
      <c r="CG113" s="1293">
        <f t="shared" si="867"/>
        <v>116</v>
      </c>
      <c r="CH113" s="1293">
        <f t="shared" si="867"/>
        <v>97</v>
      </c>
      <c r="CI113" s="1292">
        <f t="shared" si="867"/>
        <v>64</v>
      </c>
      <c r="CJ113" s="1293">
        <f>CJ111-CJ112</f>
        <v>50</v>
      </c>
      <c r="CK113" s="1293">
        <f t="shared" ref="CK113:CM113" si="868">CK111-CK112</f>
        <v>0</v>
      </c>
      <c r="CL113" s="1293">
        <f t="shared" si="868"/>
        <v>0</v>
      </c>
      <c r="CM113" s="1292">
        <f t="shared" si="868"/>
        <v>0</v>
      </c>
      <c r="CN113" s="1293">
        <f>CN111-CN112</f>
        <v>29</v>
      </c>
      <c r="CO113" s="1293">
        <f>CO111-CO112</f>
        <v>14</v>
      </c>
      <c r="CP113" s="1293">
        <f>CP111-CP112</f>
        <v>8</v>
      </c>
      <c r="CQ113" s="1292">
        <f t="shared" ref="CQ113" si="869">+CQ111-CQ110</f>
        <v>78</v>
      </c>
      <c r="CR113" s="1293">
        <f t="shared" ref="CR113:CU113" si="870">+CR111-CR110</f>
        <v>91</v>
      </c>
      <c r="CS113" s="1293">
        <f>CS111-CS112</f>
        <v>-2</v>
      </c>
      <c r="CT113" s="1293">
        <f t="shared" si="870"/>
        <v>82</v>
      </c>
      <c r="CU113" s="1292">
        <f t="shared" si="870"/>
        <v>82</v>
      </c>
      <c r="CV113" s="1294">
        <f t="shared" ref="CV113:CY113" si="871">+CV111-CV110</f>
        <v>82</v>
      </c>
      <c r="CW113" s="1293">
        <f t="shared" si="871"/>
        <v>82</v>
      </c>
      <c r="CX113" s="1293">
        <f t="shared" si="871"/>
        <v>82</v>
      </c>
      <c r="CY113" s="1292">
        <f t="shared" si="871"/>
        <v>82</v>
      </c>
      <c r="CZ113" s="1294">
        <f t="shared" ref="CZ113:DC113" si="872">+CZ111-CZ110</f>
        <v>82</v>
      </c>
      <c r="DA113" s="1293">
        <f t="shared" si="872"/>
        <v>82</v>
      </c>
      <c r="DB113" s="1293">
        <f t="shared" si="872"/>
        <v>82</v>
      </c>
      <c r="DC113" s="1292">
        <f t="shared" si="872"/>
        <v>82</v>
      </c>
      <c r="DD113" s="743"/>
      <c r="DE113" s="1421">
        <f t="shared" ref="DE113:EB113" si="873">+DE111-DE110</f>
        <v>5.6999999999999886</v>
      </c>
      <c r="DF113" s="1422">
        <f t="shared" si="873"/>
        <v>-1</v>
      </c>
      <c r="DG113" s="1422">
        <f t="shared" si="873"/>
        <v>2.4500000000000455</v>
      </c>
      <c r="DH113" s="1422">
        <f t="shared" si="873"/>
        <v>6.6999999999999318</v>
      </c>
      <c r="DI113" s="1422">
        <f t="shared" si="873"/>
        <v>7.4499999999999318</v>
      </c>
      <c r="DJ113" s="1422">
        <f t="shared" si="873"/>
        <v>46.950000000000045</v>
      </c>
      <c r="DK113" s="1422">
        <f t="shared" si="873"/>
        <v>6.875</v>
      </c>
      <c r="DL113" s="1422">
        <f t="shared" si="873"/>
        <v>0.625</v>
      </c>
      <c r="DM113" s="1422">
        <f t="shared" si="873"/>
        <v>0.5</v>
      </c>
      <c r="DN113" s="1422">
        <f t="shared" si="873"/>
        <v>30.975000000000136</v>
      </c>
      <c r="DO113" s="1422">
        <f t="shared" si="873"/>
        <v>27.75</v>
      </c>
      <c r="DP113" s="1293">
        <f t="shared" si="873"/>
        <v>47.275000000000091</v>
      </c>
      <c r="DQ113" s="1293">
        <f t="shared" si="873"/>
        <v>3.1500000000000909</v>
      </c>
      <c r="DR113" s="1293">
        <f t="shared" si="873"/>
        <v>0</v>
      </c>
      <c r="DS113" s="1293">
        <f t="shared" si="873"/>
        <v>0</v>
      </c>
      <c r="DT113" s="1293">
        <f t="shared" si="873"/>
        <v>162.17499999999995</v>
      </c>
      <c r="DU113" s="1293">
        <f t="shared" si="873"/>
        <v>37.599999999999909</v>
      </c>
      <c r="DV113" s="1293">
        <f t="shared" si="873"/>
        <v>0</v>
      </c>
      <c r="DW113" s="1293">
        <f t="shared" si="873"/>
        <v>29.700000000000273</v>
      </c>
      <c r="DX113" s="1293">
        <f t="shared" si="873"/>
        <v>137.25</v>
      </c>
      <c r="DY113" s="1293">
        <f t="shared" si="873"/>
        <v>100.5</v>
      </c>
      <c r="DZ113" s="1293">
        <f t="shared" si="873"/>
        <v>12.5</v>
      </c>
      <c r="EA113" s="1293">
        <f t="shared" si="873"/>
        <v>65.25</v>
      </c>
      <c r="EB113" s="1293">
        <f t="shared" si="873"/>
        <v>84.25</v>
      </c>
      <c r="EC113" s="1292">
        <f t="shared" ref="EC113:ED113" si="874">+EC111-EC110</f>
        <v>82</v>
      </c>
      <c r="ED113" s="1292">
        <f t="shared" si="874"/>
        <v>82</v>
      </c>
      <c r="EE113" s="1393"/>
      <c r="EF113" s="1294">
        <f t="shared" ref="EF113:EY113" si="875">+EF111-EF110</f>
        <v>4.2000000000000455</v>
      </c>
      <c r="EG113" s="1293">
        <f t="shared" si="875"/>
        <v>-0.75</v>
      </c>
      <c r="EH113" s="1293">
        <f t="shared" si="875"/>
        <v>3.1500000000000341</v>
      </c>
      <c r="EI113" s="1293">
        <f t="shared" si="875"/>
        <v>5.75</v>
      </c>
      <c r="EJ113" s="1293">
        <f t="shared" si="875"/>
        <v>21.549999999999955</v>
      </c>
      <c r="EK113" s="1293">
        <f t="shared" si="875"/>
        <v>39.725000000000023</v>
      </c>
      <c r="EL113" s="1293">
        <f t="shared" si="875"/>
        <v>0</v>
      </c>
      <c r="EM113" s="1293">
        <f t="shared" si="875"/>
        <v>0.625</v>
      </c>
      <c r="EN113" s="1293">
        <f t="shared" si="875"/>
        <v>1.1999999999999318</v>
      </c>
      <c r="EO113" s="1293">
        <f t="shared" si="875"/>
        <v>43.899999999999977</v>
      </c>
      <c r="EP113" s="1293">
        <f t="shared" si="875"/>
        <v>28.374999999999886</v>
      </c>
      <c r="EQ113" s="1293">
        <f t="shared" si="875"/>
        <v>36.174999999999955</v>
      </c>
      <c r="ER113" s="1293">
        <f t="shared" si="875"/>
        <v>0</v>
      </c>
      <c r="ES113" s="1293">
        <f t="shared" si="875"/>
        <v>0</v>
      </c>
      <c r="ET113" s="1293">
        <f t="shared" si="875"/>
        <v>38.599999999999909</v>
      </c>
      <c r="EU113" s="1293">
        <f t="shared" si="875"/>
        <v>138.17499999999984</v>
      </c>
      <c r="EV113" s="1293">
        <f t="shared" si="875"/>
        <v>23</v>
      </c>
      <c r="EW113" s="1293">
        <f t="shared" si="875"/>
        <v>0</v>
      </c>
      <c r="EX113" s="1293">
        <f t="shared" si="875"/>
        <v>67.200000000000045</v>
      </c>
      <c r="EY113" s="1293">
        <f t="shared" si="875"/>
        <v>131</v>
      </c>
      <c r="EZ113" s="1293">
        <f t="shared" ref="EZ113:FA113" si="876">+EZ111-EZ110</f>
        <v>81.75</v>
      </c>
      <c r="FA113" s="1293">
        <f t="shared" si="876"/>
        <v>12.75</v>
      </c>
      <c r="FB113" s="1293">
        <f t="shared" ref="FB113:FC113" si="877">+FB111-FB110</f>
        <v>75.25</v>
      </c>
      <c r="FC113" s="1293">
        <f t="shared" si="877"/>
        <v>82</v>
      </c>
      <c r="FD113" s="1292">
        <f t="shared" ref="FD113" si="878">+FD111-FD110</f>
        <v>82</v>
      </c>
      <c r="FE113" s="1296"/>
      <c r="FF113" s="1296"/>
      <c r="FG113" s="1296"/>
      <c r="FH113" s="1296"/>
      <c r="FI113"/>
      <c r="FJ113"/>
      <c r="FK113"/>
      <c r="FL113"/>
      <c r="FM113"/>
      <c r="FN113"/>
      <c r="FO113" s="737"/>
    </row>
    <row r="114" spans="1:171" s="765" customFormat="1" ht="14.25" hidden="1" customHeight="1" outlineLevel="1">
      <c r="A114" s="762"/>
      <c r="B114" s="750"/>
      <c r="C114" s="751"/>
      <c r="D114" s="746">
        <f t="shared" ref="D114:BO114" si="879">+D111-C111</f>
        <v>427.6</v>
      </c>
      <c r="E114" s="746">
        <f t="shared" si="879"/>
        <v>1.5</v>
      </c>
      <c r="F114" s="746">
        <f t="shared" si="879"/>
        <v>4.6999999999999886</v>
      </c>
      <c r="G114" s="751">
        <f t="shared" si="879"/>
        <v>3.6999999999999886</v>
      </c>
      <c r="H114" s="746">
        <f t="shared" si="879"/>
        <v>-3.1000000000000227</v>
      </c>
      <c r="I114" s="746">
        <f t="shared" si="879"/>
        <v>-4</v>
      </c>
      <c r="J114" s="746">
        <f t="shared" si="879"/>
        <v>-1.3999999999999773</v>
      </c>
      <c r="K114" s="751">
        <f t="shared" si="879"/>
        <v>-3</v>
      </c>
      <c r="L114" s="746">
        <f t="shared" si="879"/>
        <v>3</v>
      </c>
      <c r="M114" s="746">
        <f t="shared" si="879"/>
        <v>3.3999999999999773</v>
      </c>
      <c r="N114" s="746">
        <f t="shared" si="879"/>
        <v>4.4000000000000341</v>
      </c>
      <c r="O114" s="751">
        <f t="shared" si="879"/>
        <v>1.3999999999999773</v>
      </c>
      <c r="P114" s="746">
        <f t="shared" si="879"/>
        <v>-2.5999999999999659</v>
      </c>
      <c r="Q114" s="746">
        <f t="shared" si="879"/>
        <v>-5.2000000000000455</v>
      </c>
      <c r="R114" s="746">
        <f t="shared" si="879"/>
        <v>1.2000000000000455</v>
      </c>
      <c r="S114" s="751">
        <f t="shared" si="879"/>
        <v>2</v>
      </c>
      <c r="T114" s="746">
        <f t="shared" si="879"/>
        <v>57.799999999999955</v>
      </c>
      <c r="U114" s="746">
        <f t="shared" si="879"/>
        <v>54.399999999999977</v>
      </c>
      <c r="V114" s="746">
        <f t="shared" si="879"/>
        <v>-13.199999999999932</v>
      </c>
      <c r="W114" s="751">
        <f t="shared" si="879"/>
        <v>1.3999999999999773</v>
      </c>
      <c r="X114" s="746">
        <f t="shared" si="879"/>
        <v>60.799999999999955</v>
      </c>
      <c r="Y114" s="746">
        <f t="shared" si="879"/>
        <v>-37.599999999999909</v>
      </c>
      <c r="Z114" s="746">
        <f t="shared" si="879"/>
        <v>45.299999999999955</v>
      </c>
      <c r="AA114" s="751">
        <f t="shared" si="879"/>
        <v>11.899999999999977</v>
      </c>
      <c r="AB114" s="746">
        <f t="shared" si="879"/>
        <v>-5</v>
      </c>
      <c r="AC114" s="746">
        <f t="shared" si="879"/>
        <v>-15.600000000000023</v>
      </c>
      <c r="AD114" s="746">
        <f t="shared" si="879"/>
        <v>2.5</v>
      </c>
      <c r="AE114" s="751">
        <f t="shared" si="879"/>
        <v>-3.8999999999999773</v>
      </c>
      <c r="AF114" s="746">
        <f t="shared" si="879"/>
        <v>6.8000000000000682</v>
      </c>
      <c r="AG114" s="746">
        <f t="shared" si="879"/>
        <v>1.2999999999999545</v>
      </c>
      <c r="AH114" s="746">
        <f t="shared" si="879"/>
        <v>1.7999999999999545</v>
      </c>
      <c r="AI114" s="751">
        <f t="shared" si="879"/>
        <v>1.7000000000000455</v>
      </c>
      <c r="AJ114" s="746">
        <f t="shared" si="879"/>
        <v>1.2000000000000455</v>
      </c>
      <c r="AK114" s="746">
        <f t="shared" si="879"/>
        <v>2</v>
      </c>
      <c r="AL114" s="746">
        <f t="shared" si="879"/>
        <v>1.0999999999999091</v>
      </c>
      <c r="AM114" s="751">
        <f t="shared" si="879"/>
        <v>1.2000000000000455</v>
      </c>
      <c r="AN114" s="746">
        <f t="shared" si="879"/>
        <v>27.100000000000023</v>
      </c>
      <c r="AO114" s="746">
        <f t="shared" si="879"/>
        <v>6.6000000000000227</v>
      </c>
      <c r="AP114" s="746">
        <f t="shared" si="879"/>
        <v>62.199999999999932</v>
      </c>
      <c r="AQ114" s="751">
        <f t="shared" si="879"/>
        <v>-4</v>
      </c>
      <c r="AR114" s="746">
        <f t="shared" si="879"/>
        <v>-0.89999999999997726</v>
      </c>
      <c r="AS114" s="746">
        <f t="shared" si="879"/>
        <v>0.79999999999995453</v>
      </c>
      <c r="AT114" s="746">
        <f t="shared" si="879"/>
        <v>-53.099999999999909</v>
      </c>
      <c r="AU114" s="751">
        <f t="shared" si="879"/>
        <v>1.7999999999999545</v>
      </c>
      <c r="AV114" s="746">
        <f t="shared" si="879"/>
        <v>57.100000000000023</v>
      </c>
      <c r="AW114" s="746">
        <f t="shared" si="879"/>
        <v>7.5</v>
      </c>
      <c r="AX114" s="746">
        <f t="shared" si="879"/>
        <v>5.5</v>
      </c>
      <c r="AY114" s="751">
        <f t="shared" si="879"/>
        <v>39.399999999999977</v>
      </c>
      <c r="AZ114" s="746">
        <f t="shared" si="879"/>
        <v>20.100000000000023</v>
      </c>
      <c r="BA114" s="746">
        <f t="shared" si="879"/>
        <v>-10.899999999999977</v>
      </c>
      <c r="BB114" s="746">
        <f t="shared" si="879"/>
        <v>1.1999999999999318</v>
      </c>
      <c r="BC114" s="751">
        <f t="shared" si="879"/>
        <v>1</v>
      </c>
      <c r="BD114" s="746">
        <f t="shared" si="879"/>
        <v>1</v>
      </c>
      <c r="BE114" s="746">
        <f t="shared" si="879"/>
        <v>0.5</v>
      </c>
      <c r="BF114" s="746">
        <f t="shared" si="879"/>
        <v>0.39999999999997726</v>
      </c>
      <c r="BG114" s="751">
        <f t="shared" si="879"/>
        <v>0.10000000000002274</v>
      </c>
      <c r="BH114" s="746">
        <f t="shared" si="879"/>
        <v>0.39999999999997726</v>
      </c>
      <c r="BI114" s="746">
        <f t="shared" si="879"/>
        <v>0.60000000000002274</v>
      </c>
      <c r="BJ114" s="746">
        <f t="shared" si="879"/>
        <v>39.399999999999977</v>
      </c>
      <c r="BK114" s="751">
        <f t="shared" si="879"/>
        <v>31</v>
      </c>
      <c r="BL114" s="746">
        <f t="shared" si="879"/>
        <v>156.40000000000009</v>
      </c>
      <c r="BM114" s="746">
        <f t="shared" si="879"/>
        <v>4.5999999999999091</v>
      </c>
      <c r="BN114" s="746">
        <f t="shared" si="879"/>
        <v>44.100000000000136</v>
      </c>
      <c r="BO114" s="751">
        <f t="shared" si="879"/>
        <v>93.199999999999818</v>
      </c>
      <c r="BP114" s="746">
        <f t="shared" ref="BP114:BY114" si="880">+BP111-BO111</f>
        <v>-111.29999999999995</v>
      </c>
      <c r="BQ114" s="746">
        <f t="shared" si="880"/>
        <v>6</v>
      </c>
      <c r="BR114" s="746">
        <f t="shared" si="880"/>
        <v>4.4000000000000909</v>
      </c>
      <c r="BS114" s="751">
        <f t="shared" si="880"/>
        <v>-49.5</v>
      </c>
      <c r="BT114" s="746">
        <f t="shared" si="880"/>
        <v>-10.800000000000068</v>
      </c>
      <c r="BU114" s="746">
        <f t="shared" si="880"/>
        <v>1.3999999999999773</v>
      </c>
      <c r="BV114" s="746">
        <f t="shared" si="880"/>
        <v>4.5</v>
      </c>
      <c r="BW114" s="751">
        <f t="shared" si="880"/>
        <v>3.9000000000000909</v>
      </c>
      <c r="BX114" s="746"/>
      <c r="BY114" s="746">
        <f t="shared" si="880"/>
        <v>2.2999999999999545</v>
      </c>
      <c r="BZ114" s="746"/>
      <c r="CA114" s="751"/>
      <c r="CB114" s="746"/>
      <c r="CC114" s="746"/>
      <c r="CD114" s="746"/>
      <c r="CE114" s="751"/>
      <c r="CF114" s="746"/>
      <c r="CG114" s="746"/>
      <c r="CH114" s="746"/>
      <c r="CI114" s="751"/>
      <c r="CJ114" s="746"/>
      <c r="CK114" s="746"/>
      <c r="CL114" s="746"/>
      <c r="CM114" s="751"/>
      <c r="CN114" s="746"/>
      <c r="CO114" s="746"/>
      <c r="CP114" s="746"/>
      <c r="CQ114" s="751"/>
      <c r="CR114" s="746"/>
      <c r="CS114" s="746"/>
      <c r="CT114" s="746"/>
      <c r="CU114" s="751"/>
      <c r="CV114" s="746"/>
      <c r="CW114" s="746"/>
      <c r="CX114" s="746"/>
      <c r="CY114" s="751"/>
      <c r="CZ114" s="746"/>
      <c r="DA114" s="746"/>
      <c r="DB114" s="746"/>
      <c r="DC114" s="751"/>
      <c r="DD114" s="763"/>
      <c r="DE114" s="746"/>
      <c r="DF114" s="746"/>
      <c r="DG114" s="746"/>
      <c r="DH114" s="746"/>
      <c r="DI114" s="746"/>
      <c r="DJ114" s="746"/>
      <c r="DK114" s="746"/>
      <c r="DL114" s="746"/>
      <c r="DM114" s="746"/>
      <c r="DN114" s="746"/>
      <c r="DO114" s="746"/>
      <c r="DP114" s="746"/>
      <c r="DQ114" s="746"/>
      <c r="DR114" s="746"/>
      <c r="DS114" s="746"/>
      <c r="DT114" s="746"/>
      <c r="DU114" s="746"/>
      <c r="DV114" s="746"/>
      <c r="DW114" s="746"/>
      <c r="DX114" s="746"/>
      <c r="DY114" s="746"/>
      <c r="DZ114" s="746"/>
      <c r="EA114" s="746"/>
      <c r="EB114" s="746"/>
      <c r="EC114" s="751"/>
      <c r="ED114" s="751"/>
      <c r="EE114" s="743"/>
      <c r="EF114" s="757"/>
      <c r="EG114" s="746"/>
      <c r="EH114" s="746"/>
      <c r="EI114" s="746"/>
      <c r="EJ114" s="746"/>
      <c r="EK114" s="746"/>
      <c r="EL114" s="746"/>
      <c r="EM114" s="746"/>
      <c r="EN114" s="746"/>
      <c r="EO114" s="746"/>
      <c r="EP114" s="746"/>
      <c r="EQ114" s="746"/>
      <c r="ER114" s="746"/>
      <c r="ES114" s="746"/>
      <c r="ET114" s="746"/>
      <c r="EU114" s="746"/>
      <c r="EV114" s="746"/>
      <c r="EW114" s="746"/>
      <c r="EX114" s="746"/>
      <c r="EY114" s="746"/>
      <c r="EZ114" s="746"/>
      <c r="FA114" s="746"/>
      <c r="FB114" s="746"/>
      <c r="FC114" s="746"/>
      <c r="FD114" s="751"/>
      <c r="FE114" s="764"/>
      <c r="FF114" s="1403"/>
      <c r="FG114" s="1403"/>
      <c r="FH114" s="1403"/>
      <c r="FI114"/>
      <c r="FJ114"/>
      <c r="FK114"/>
      <c r="FL114"/>
      <c r="FM114"/>
      <c r="FN114"/>
      <c r="FO114" s="762"/>
    </row>
    <row r="115" spans="1:171" s="652" customFormat="1" ht="14.25" hidden="1" customHeight="1" outlineLevel="1">
      <c r="A115" s="10"/>
      <c r="B115" s="673"/>
      <c r="C115" s="23"/>
      <c r="D115" s="71"/>
      <c r="E115" s="66"/>
      <c r="F115" s="71"/>
      <c r="G115" s="72"/>
      <c r="H115" s="71"/>
      <c r="I115" s="66"/>
      <c r="J115" s="71"/>
      <c r="K115" s="72"/>
      <c r="L115" s="71"/>
      <c r="M115" s="66"/>
      <c r="N115" s="71"/>
      <c r="O115" s="72"/>
      <c r="P115" s="71"/>
      <c r="Q115" s="66"/>
      <c r="R115" s="71"/>
      <c r="S115" s="72"/>
      <c r="T115" s="71"/>
      <c r="U115" s="66"/>
      <c r="V115" s="71"/>
      <c r="W115" s="72"/>
      <c r="X115" s="71"/>
      <c r="Y115" s="66"/>
      <c r="Z115" s="71"/>
      <c r="AA115" s="72"/>
      <c r="AB115" s="71"/>
      <c r="AC115" s="66"/>
      <c r="AD115" s="71"/>
      <c r="AE115" s="72"/>
      <c r="AF115" s="71"/>
      <c r="AG115" s="66"/>
      <c r="AH115" s="71"/>
      <c r="AI115" s="72"/>
      <c r="AJ115" s="71"/>
      <c r="AK115" s="66"/>
      <c r="AL115" s="71"/>
      <c r="AM115" s="72"/>
      <c r="AN115" s="71"/>
      <c r="AO115" s="66"/>
      <c r="AP115" s="71"/>
      <c r="AQ115" s="72"/>
      <c r="AR115" s="71"/>
      <c r="AS115" s="66"/>
      <c r="AT115" s="71"/>
      <c r="AU115" s="72"/>
      <c r="AV115" s="71"/>
      <c r="AW115" s="66"/>
      <c r="AX115" s="71"/>
      <c r="AY115" s="72"/>
      <c r="AZ115" s="71"/>
      <c r="BA115" s="66"/>
      <c r="BB115" s="71"/>
      <c r="BC115" s="72"/>
      <c r="BD115" s="71"/>
      <c r="BE115" s="66"/>
      <c r="BF115" s="71"/>
      <c r="BG115" s="72"/>
      <c r="BH115" s="71"/>
      <c r="BI115" s="66"/>
      <c r="BJ115" s="71"/>
      <c r="BK115" s="72"/>
      <c r="BL115" s="71"/>
      <c r="BM115" s="66"/>
      <c r="BN115" s="71"/>
      <c r="BO115" s="72"/>
      <c r="BP115" s="71"/>
      <c r="BQ115" s="66"/>
      <c r="BR115" s="71"/>
      <c r="BS115" s="72"/>
      <c r="BT115" s="71"/>
      <c r="BU115" s="66"/>
      <c r="BV115" s="71"/>
      <c r="BW115" s="72"/>
      <c r="BX115" s="71"/>
      <c r="BY115" s="66"/>
      <c r="BZ115" s="71"/>
      <c r="CA115" s="72"/>
      <c r="CB115" s="71"/>
      <c r="CC115" s="66"/>
      <c r="CD115" s="71"/>
      <c r="CE115" s="72"/>
      <c r="CF115" s="71"/>
      <c r="CG115" s="66"/>
      <c r="CH115" s="71"/>
      <c r="CI115" s="72"/>
      <c r="CJ115" s="71"/>
      <c r="CK115" s="66"/>
      <c r="CL115" s="71"/>
      <c r="CM115" s="72"/>
      <c r="CN115" s="71"/>
      <c r="CO115" s="66"/>
      <c r="CP115" s="71"/>
      <c r="CQ115" s="72"/>
      <c r="CR115" s="71"/>
      <c r="CS115" s="71"/>
      <c r="CT115" s="71"/>
      <c r="CU115" s="72"/>
      <c r="CV115" s="71"/>
      <c r="CW115" s="71"/>
      <c r="CX115" s="71"/>
      <c r="CY115" s="72"/>
      <c r="CZ115" s="71"/>
      <c r="DA115" s="71"/>
      <c r="DB115" s="71"/>
      <c r="DC115" s="72"/>
      <c r="DD115" s="153"/>
      <c r="DE115" s="71"/>
      <c r="DF115" s="71"/>
      <c r="DG115" s="71"/>
      <c r="DH115" s="71"/>
      <c r="DI115" s="71"/>
      <c r="DJ115" s="71"/>
      <c r="DK115" s="71"/>
      <c r="DL115" s="71"/>
      <c r="DM115" s="71"/>
      <c r="DN115" s="71"/>
      <c r="DO115" s="71"/>
      <c r="DP115" s="71"/>
      <c r="DQ115" s="71"/>
      <c r="DR115" s="71"/>
      <c r="DS115" s="71"/>
      <c r="DT115" s="71"/>
      <c r="DU115" s="71"/>
      <c r="DV115" s="71"/>
      <c r="DW115" s="71"/>
      <c r="DX115" s="71"/>
      <c r="DY115" s="71"/>
      <c r="DZ115" s="71"/>
      <c r="EA115" s="71"/>
      <c r="EB115" s="71"/>
      <c r="EC115" s="72"/>
      <c r="ED115" s="72"/>
      <c r="EE115" s="743"/>
      <c r="EF115" s="311"/>
      <c r="EG115" s="71"/>
      <c r="EH115" s="71"/>
      <c r="EI115" s="71"/>
      <c r="EJ115" s="71"/>
      <c r="EK115" s="71"/>
      <c r="EL115" s="71"/>
      <c r="EM115" s="71"/>
      <c r="EN115" s="71"/>
      <c r="EO115" s="71"/>
      <c r="EP115" s="71"/>
      <c r="EQ115" s="71"/>
      <c r="ER115" s="71"/>
      <c r="ES115" s="71"/>
      <c r="ET115" s="71"/>
      <c r="EU115" s="71"/>
      <c r="EV115" s="71"/>
      <c r="EW115" s="71"/>
      <c r="EX115" s="71"/>
      <c r="EY115" s="71"/>
      <c r="EZ115" s="71"/>
      <c r="FA115" s="71"/>
      <c r="FB115" s="71"/>
      <c r="FC115" s="71"/>
      <c r="FD115" s="72"/>
      <c r="FE115" s="651"/>
      <c r="FF115" s="736"/>
      <c r="FG115" s="736"/>
      <c r="FH115" s="736"/>
      <c r="FI115"/>
      <c r="FJ115"/>
      <c r="FK115"/>
      <c r="FL115"/>
      <c r="FM115"/>
      <c r="FN115"/>
      <c r="FO115" s="10"/>
    </row>
    <row r="116" spans="1:171" ht="14.25" hidden="1" customHeight="1" outlineLevel="1">
      <c r="A116" s="7"/>
      <c r="B116" s="673"/>
      <c r="C116" s="23"/>
      <c r="D116" s="71"/>
      <c r="E116" s="284"/>
      <c r="F116" s="71"/>
      <c r="G116" s="72"/>
      <c r="H116" s="71"/>
      <c r="I116" s="284"/>
      <c r="J116" s="71"/>
      <c r="K116" s="72"/>
      <c r="L116" s="71"/>
      <c r="M116" s="284"/>
      <c r="N116" s="71"/>
      <c r="O116" s="72"/>
      <c r="P116" s="71"/>
      <c r="Q116" s="284"/>
      <c r="R116" s="71"/>
      <c r="S116" s="72"/>
      <c r="T116" s="71"/>
      <c r="U116" s="284"/>
      <c r="V116" s="71"/>
      <c r="W116" s="72"/>
      <c r="X116" s="71"/>
      <c r="Y116" s="284"/>
      <c r="Z116" s="71"/>
      <c r="AA116" s="72"/>
      <c r="AB116" s="71"/>
      <c r="AC116" s="284"/>
      <c r="AD116" s="71"/>
      <c r="AE116" s="72"/>
      <c r="AF116" s="71"/>
      <c r="AG116" s="284"/>
      <c r="AH116" s="71"/>
      <c r="AI116" s="72"/>
      <c r="AJ116" s="71"/>
      <c r="AK116" s="284"/>
      <c r="AL116" s="71"/>
      <c r="AM116" s="72"/>
      <c r="AN116" s="71"/>
      <c r="AO116" s="284"/>
      <c r="AP116" s="71"/>
      <c r="AQ116" s="72"/>
      <c r="AR116" s="71"/>
      <c r="AS116" s="284"/>
      <c r="AT116" s="71"/>
      <c r="AU116" s="72"/>
      <c r="AV116" s="71"/>
      <c r="AW116" s="284"/>
      <c r="AX116" s="71"/>
      <c r="AY116" s="72"/>
      <c r="AZ116" s="71"/>
      <c r="BA116" s="284"/>
      <c r="BB116" s="71"/>
      <c r="BC116" s="72"/>
      <c r="BD116" s="71"/>
      <c r="BE116" s="284"/>
      <c r="BF116" s="71"/>
      <c r="BG116" s="72"/>
      <c r="BH116" s="71"/>
      <c r="BI116" s="284"/>
      <c r="BJ116" s="71"/>
      <c r="BK116" s="72"/>
      <c r="BL116" s="71"/>
      <c r="BM116" s="284"/>
      <c r="BN116" s="71"/>
      <c r="BO116" s="72"/>
      <c r="BP116" s="71"/>
      <c r="BQ116" s="284"/>
      <c r="BR116" s="71"/>
      <c r="BS116" s="72"/>
      <c r="BT116" s="71"/>
      <c r="BU116" s="284"/>
      <c r="BV116" s="71"/>
      <c r="BW116" s="72"/>
      <c r="BX116" s="71"/>
      <c r="BY116" s="284"/>
      <c r="BZ116" s="71"/>
      <c r="CA116" s="72"/>
      <c r="CB116" s="71"/>
      <c r="CC116" s="284"/>
      <c r="CD116" s="71"/>
      <c r="CE116" s="72"/>
      <c r="CF116" s="71"/>
      <c r="CG116" s="284"/>
      <c r="CH116" s="71"/>
      <c r="CI116" s="72"/>
      <c r="CJ116" s="71"/>
      <c r="CK116" s="284"/>
      <c r="CL116" s="71"/>
      <c r="CM116" s="72"/>
      <c r="CN116" s="71"/>
      <c r="CO116" s="284"/>
      <c r="CP116" s="71"/>
      <c r="CQ116" s="72"/>
      <c r="CR116" s="71"/>
      <c r="CS116" s="71"/>
      <c r="CT116" s="71"/>
      <c r="CU116" s="72"/>
      <c r="CV116" s="71"/>
      <c r="CW116" s="71"/>
      <c r="CX116" s="71"/>
      <c r="CY116" s="72"/>
      <c r="CZ116" s="71"/>
      <c r="DA116" s="71"/>
      <c r="DB116" s="71"/>
      <c r="DC116" s="72"/>
      <c r="DD116" s="18"/>
      <c r="DE116" s="352"/>
      <c r="DF116" s="352"/>
      <c r="DG116" s="352"/>
      <c r="DH116" s="352"/>
      <c r="DI116" s="352"/>
      <c r="DJ116" s="352"/>
      <c r="DK116" s="352"/>
      <c r="DL116" s="352"/>
      <c r="DM116" s="352"/>
      <c r="DN116" s="352"/>
      <c r="DO116" s="352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8"/>
      <c r="ED116" s="28"/>
      <c r="EE116" s="18"/>
      <c r="EF116" s="29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8"/>
      <c r="FE116" s="308"/>
      <c r="FF116" s="300"/>
      <c r="FG116" s="300"/>
      <c r="FH116" s="300"/>
      <c r="FO116" s="7"/>
    </row>
    <row r="117" spans="1:171" ht="14.25" hidden="1" customHeight="1" outlineLevel="1">
      <c r="A117" s="7"/>
      <c r="B117" s="543"/>
      <c r="C117" s="31"/>
      <c r="D117" s="309"/>
      <c r="E117" s="309"/>
      <c r="F117" s="309"/>
      <c r="G117" s="310"/>
      <c r="H117" s="309"/>
      <c r="I117" s="309"/>
      <c r="J117" s="309"/>
      <c r="K117" s="310"/>
      <c r="L117" s="309"/>
      <c r="M117" s="309"/>
      <c r="N117" s="309"/>
      <c r="O117" s="310"/>
      <c r="P117" s="309"/>
      <c r="Q117" s="309"/>
      <c r="R117" s="309"/>
      <c r="S117" s="310"/>
      <c r="T117" s="309"/>
      <c r="U117" s="309"/>
      <c r="V117" s="309"/>
      <c r="W117" s="310"/>
      <c r="X117" s="309"/>
      <c r="Y117" s="309"/>
      <c r="Z117" s="309"/>
      <c r="AA117" s="310"/>
      <c r="AB117" s="309"/>
      <c r="AC117" s="309"/>
      <c r="AD117" s="309"/>
      <c r="AE117" s="310"/>
      <c r="AF117" s="309"/>
      <c r="AG117" s="309"/>
      <c r="AH117" s="309"/>
      <c r="AI117" s="310"/>
      <c r="AJ117" s="309"/>
      <c r="AK117" s="309"/>
      <c r="AL117" s="309"/>
      <c r="AM117" s="310"/>
      <c r="AN117" s="309"/>
      <c r="AO117" s="309"/>
      <c r="AP117" s="309"/>
      <c r="AQ117" s="310"/>
      <c r="AR117" s="309"/>
      <c r="AS117" s="309"/>
      <c r="AT117" s="309"/>
      <c r="AU117" s="310"/>
      <c r="AV117" s="309"/>
      <c r="AW117" s="309"/>
      <c r="AX117" s="309"/>
      <c r="AY117" s="310"/>
      <c r="AZ117" s="309"/>
      <c r="BA117" s="309"/>
      <c r="BB117" s="309"/>
      <c r="BC117" s="310"/>
      <c r="BD117" s="309"/>
      <c r="BE117" s="309"/>
      <c r="BF117" s="309"/>
      <c r="BG117" s="310"/>
      <c r="BH117" s="309"/>
      <c r="BI117" s="309"/>
      <c r="BJ117" s="309"/>
      <c r="BK117" s="310"/>
      <c r="BL117" s="309"/>
      <c r="BM117" s="309"/>
      <c r="BN117" s="309"/>
      <c r="BO117" s="310"/>
      <c r="BP117" s="309"/>
      <c r="BQ117" s="309"/>
      <c r="BR117" s="309"/>
      <c r="BS117" s="310"/>
      <c r="BT117" s="309"/>
      <c r="BU117" s="309"/>
      <c r="BV117" s="309"/>
      <c r="BW117" s="310"/>
      <c r="BX117" s="309"/>
      <c r="BY117" s="309"/>
      <c r="BZ117" s="309"/>
      <c r="CA117" s="310"/>
      <c r="CB117" s="309"/>
      <c r="CC117" s="309"/>
      <c r="CD117" s="73"/>
      <c r="CE117" s="310"/>
      <c r="CF117" s="309"/>
      <c r="CG117" s="309"/>
      <c r="CH117" s="73"/>
      <c r="CI117" s="310"/>
      <c r="CJ117" s="309"/>
      <c r="CK117" s="309"/>
      <c r="CL117" s="73"/>
      <c r="CM117" s="310"/>
      <c r="CN117" s="309"/>
      <c r="CO117" s="309"/>
      <c r="CP117" s="73"/>
      <c r="CQ117" s="74"/>
      <c r="CR117" s="309"/>
      <c r="CS117" s="73"/>
      <c r="CT117" s="73"/>
      <c r="CU117" s="74"/>
      <c r="CV117" s="309"/>
      <c r="CW117" s="73"/>
      <c r="CX117" s="73"/>
      <c r="CY117" s="74"/>
      <c r="CZ117" s="309"/>
      <c r="DA117" s="73"/>
      <c r="DB117" s="73"/>
      <c r="DC117" s="74"/>
      <c r="DD117" s="18"/>
      <c r="DE117" s="360"/>
      <c r="DF117" s="360"/>
      <c r="DG117" s="360"/>
      <c r="DH117" s="360"/>
      <c r="DI117" s="360"/>
      <c r="DJ117" s="360"/>
      <c r="DK117" s="360"/>
      <c r="DL117" s="360"/>
      <c r="DM117" s="360"/>
      <c r="DN117" s="360"/>
      <c r="DO117" s="360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4"/>
      <c r="ED117" s="74"/>
      <c r="EE117" s="18"/>
      <c r="EF117" s="359"/>
      <c r="EG117" s="360"/>
      <c r="EH117" s="360"/>
      <c r="EI117" s="360"/>
      <c r="EJ117" s="360"/>
      <c r="EK117" s="360"/>
      <c r="EL117" s="360"/>
      <c r="EM117" s="360"/>
      <c r="EN117" s="360"/>
      <c r="EO117" s="360"/>
      <c r="EP117" s="360"/>
      <c r="EQ117" s="360"/>
      <c r="ER117" s="360"/>
      <c r="ES117" s="360"/>
      <c r="ET117" s="360"/>
      <c r="EU117" s="360"/>
      <c r="EV117" s="360"/>
      <c r="EW117" s="360"/>
      <c r="EX117" s="360"/>
      <c r="EY117" s="360"/>
      <c r="EZ117" s="360"/>
      <c r="FA117" s="360"/>
      <c r="FB117" s="360"/>
      <c r="FC117" s="360"/>
      <c r="FD117" s="1416"/>
      <c r="FE117" s="308"/>
      <c r="FF117" s="300"/>
      <c r="FG117" s="300"/>
      <c r="FH117" s="300"/>
      <c r="FO117" s="7"/>
    </row>
    <row r="118" spans="1:171" ht="14.25" hidden="1" customHeight="1" outlineLevel="1">
      <c r="A118" s="7"/>
      <c r="B118" s="673"/>
      <c r="C118" s="23"/>
      <c r="D118" s="282"/>
      <c r="E118" s="282"/>
      <c r="F118" s="282"/>
      <c r="G118" s="283"/>
      <c r="H118" s="282"/>
      <c r="I118" s="282"/>
      <c r="J118" s="282"/>
      <c r="K118" s="283"/>
      <c r="L118" s="282"/>
      <c r="M118" s="282"/>
      <c r="N118" s="282"/>
      <c r="O118" s="283"/>
      <c r="P118" s="282"/>
      <c r="Q118" s="282"/>
      <c r="R118" s="282"/>
      <c r="S118" s="283"/>
      <c r="T118" s="282"/>
      <c r="U118" s="282"/>
      <c r="V118" s="282"/>
      <c r="W118" s="283"/>
      <c r="X118" s="282"/>
      <c r="Y118" s="282"/>
      <c r="Z118" s="282"/>
      <c r="AA118" s="283"/>
      <c r="AB118" s="282"/>
      <c r="AC118" s="282"/>
      <c r="AD118" s="282"/>
      <c r="AE118" s="283"/>
      <c r="AF118" s="282"/>
      <c r="AG118" s="282"/>
      <c r="AH118" s="282"/>
      <c r="AI118" s="283"/>
      <c r="AJ118" s="282"/>
      <c r="AK118" s="282"/>
      <c r="AL118" s="282"/>
      <c r="AM118" s="283"/>
      <c r="AN118" s="282"/>
      <c r="AO118" s="282"/>
      <c r="AP118" s="282"/>
      <c r="AQ118" s="283"/>
      <c r="AR118" s="282"/>
      <c r="AS118" s="282"/>
      <c r="AT118" s="282"/>
      <c r="AU118" s="283"/>
      <c r="AV118" s="282"/>
      <c r="AW118" s="282"/>
      <c r="AX118" s="282"/>
      <c r="AY118" s="283"/>
      <c r="AZ118" s="282"/>
      <c r="BA118" s="282"/>
      <c r="BB118" s="282"/>
      <c r="BC118" s="283"/>
      <c r="BD118" s="282"/>
      <c r="BE118" s="282"/>
      <c r="BF118" s="282"/>
      <c r="BG118" s="283"/>
      <c r="BH118" s="282"/>
      <c r="BI118" s="282"/>
      <c r="BJ118" s="282"/>
      <c r="BK118" s="283"/>
      <c r="BL118" s="282"/>
      <c r="BM118" s="282"/>
      <c r="BN118" s="282"/>
      <c r="BO118" s="283"/>
      <c r="BP118" s="282"/>
      <c r="BQ118" s="282"/>
      <c r="BR118" s="282"/>
      <c r="BS118" s="283"/>
      <c r="BT118" s="282"/>
      <c r="BU118" s="282"/>
      <c r="BV118" s="282"/>
      <c r="BW118" s="283"/>
      <c r="BX118" s="282"/>
      <c r="BY118" s="282"/>
      <c r="BZ118" s="282"/>
      <c r="CA118" s="283"/>
      <c r="CB118" s="282"/>
      <c r="CC118" s="282"/>
      <c r="CD118" s="41"/>
      <c r="CE118" s="283"/>
      <c r="CF118" s="282"/>
      <c r="CG118" s="282"/>
      <c r="CH118" s="41"/>
      <c r="CI118" s="283"/>
      <c r="CJ118" s="282"/>
      <c r="CK118" s="282"/>
      <c r="CL118" s="41"/>
      <c r="CM118" s="283"/>
      <c r="CN118" s="282"/>
      <c r="CO118" s="282"/>
      <c r="CP118" s="41"/>
      <c r="CQ118" s="42"/>
      <c r="CR118" s="282"/>
      <c r="CS118" s="41"/>
      <c r="CT118" s="41"/>
      <c r="CU118" s="42"/>
      <c r="CV118" s="282"/>
      <c r="CW118" s="41"/>
      <c r="CX118" s="41"/>
      <c r="CY118" s="42"/>
      <c r="CZ118" s="282"/>
      <c r="DA118" s="41"/>
      <c r="DB118" s="41"/>
      <c r="DC118" s="42"/>
      <c r="DD118" s="18"/>
      <c r="DE118" s="355"/>
      <c r="DF118" s="355"/>
      <c r="DG118" s="355"/>
      <c r="DH118" s="355"/>
      <c r="DI118" s="355"/>
      <c r="DJ118" s="355"/>
      <c r="DK118" s="355"/>
      <c r="DL118" s="355"/>
      <c r="DM118" s="355"/>
      <c r="DN118" s="355"/>
      <c r="DO118" s="355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2"/>
      <c r="ED118" s="42"/>
      <c r="EE118" s="18"/>
      <c r="EF118" s="354"/>
      <c r="EG118" s="355"/>
      <c r="EH118" s="355"/>
      <c r="EI118" s="355"/>
      <c r="EJ118" s="355"/>
      <c r="EK118" s="355"/>
      <c r="EL118" s="355"/>
      <c r="EM118" s="355"/>
      <c r="EN118" s="355"/>
      <c r="EO118" s="355"/>
      <c r="EP118" s="355"/>
      <c r="EQ118" s="355"/>
      <c r="ER118" s="355"/>
      <c r="ES118" s="355"/>
      <c r="ET118" s="355"/>
      <c r="EU118" s="355"/>
      <c r="EV118" s="355"/>
      <c r="EW118" s="355"/>
      <c r="EX118" s="355"/>
      <c r="EY118" s="355"/>
      <c r="EZ118" s="355"/>
      <c r="FA118" s="355"/>
      <c r="FB118" s="355"/>
      <c r="FC118" s="355"/>
      <c r="FD118" s="1181"/>
      <c r="FE118" s="308"/>
      <c r="FF118" s="300"/>
      <c r="FG118" s="300"/>
      <c r="FH118" s="300"/>
      <c r="FO118" s="7"/>
    </row>
    <row r="119" spans="1:171" ht="14.25" hidden="1" customHeight="1" outlineLevel="1">
      <c r="A119" s="7"/>
      <c r="B119" s="673" t="s">
        <v>275</v>
      </c>
      <c r="C119" s="23"/>
      <c r="D119" s="286">
        <v>408.4</v>
      </c>
      <c r="E119" s="286">
        <v>410.4</v>
      </c>
      <c r="F119" s="286">
        <v>412</v>
      </c>
      <c r="G119" s="287">
        <v>412.8</v>
      </c>
      <c r="H119" s="286">
        <v>414</v>
      </c>
      <c r="I119" s="286">
        <v>415.4</v>
      </c>
      <c r="J119" s="286">
        <v>417.2</v>
      </c>
      <c r="K119" s="287">
        <v>417.6</v>
      </c>
      <c r="L119" s="286">
        <v>418.6</v>
      </c>
      <c r="M119" s="286">
        <v>420</v>
      </c>
      <c r="N119" s="286">
        <v>421</v>
      </c>
      <c r="O119" s="287">
        <v>422.6</v>
      </c>
      <c r="P119" s="286">
        <v>423.2</v>
      </c>
      <c r="Q119" s="286">
        <v>425.2</v>
      </c>
      <c r="R119" s="286">
        <v>426</v>
      </c>
      <c r="S119" s="287">
        <v>427</v>
      </c>
      <c r="T119" s="286">
        <v>494.6</v>
      </c>
      <c r="U119" s="286">
        <v>532</v>
      </c>
      <c r="V119" s="286">
        <v>532.79999999999995</v>
      </c>
      <c r="W119" s="287">
        <v>536</v>
      </c>
      <c r="X119" s="286">
        <v>539.79999999999995</v>
      </c>
      <c r="Y119" s="286">
        <v>545.4</v>
      </c>
      <c r="Z119" s="286">
        <v>553.1</v>
      </c>
      <c r="AA119" s="287">
        <v>567.29999999999995</v>
      </c>
      <c r="AB119" s="286">
        <v>593</v>
      </c>
      <c r="AC119" s="286">
        <v>595.29999999999995</v>
      </c>
      <c r="AD119" s="286">
        <v>596.9</v>
      </c>
      <c r="AE119" s="287">
        <v>598.4</v>
      </c>
      <c r="AF119" s="286">
        <v>599.9</v>
      </c>
      <c r="AG119" s="286">
        <v>601.1</v>
      </c>
      <c r="AH119" s="286">
        <v>602.1</v>
      </c>
      <c r="AI119" s="287">
        <v>602.9</v>
      </c>
      <c r="AJ119" s="286">
        <v>606.5</v>
      </c>
      <c r="AK119" s="286">
        <v>607.6</v>
      </c>
      <c r="AL119" s="286">
        <v>608.70000000000005</v>
      </c>
      <c r="AM119" s="287">
        <v>609.9</v>
      </c>
      <c r="AN119" s="286">
        <v>609.1</v>
      </c>
      <c r="AO119" s="286">
        <v>609.5</v>
      </c>
      <c r="AP119" s="286">
        <v>610.6</v>
      </c>
      <c r="AQ119" s="287">
        <v>611.5</v>
      </c>
      <c r="AR119" s="286">
        <v>612.70000000000005</v>
      </c>
      <c r="AS119" s="286">
        <v>613.79999999999995</v>
      </c>
      <c r="AT119" s="286">
        <v>614.9</v>
      </c>
      <c r="AU119" s="287">
        <v>616.20000000000005</v>
      </c>
      <c r="AV119" s="286">
        <v>618.4</v>
      </c>
      <c r="AW119" s="286">
        <v>675.6</v>
      </c>
      <c r="AX119" s="286">
        <v>678.5</v>
      </c>
      <c r="AY119" s="287">
        <v>749.4</v>
      </c>
      <c r="AZ119" s="286">
        <v>754.5</v>
      </c>
      <c r="BA119" s="286">
        <v>755.8</v>
      </c>
      <c r="BB119" s="286">
        <v>769.9</v>
      </c>
      <c r="BC119" s="287">
        <v>770.9</v>
      </c>
      <c r="BD119" s="286">
        <v>771.9</v>
      </c>
      <c r="BE119" s="286">
        <v>772.4</v>
      </c>
      <c r="BF119" s="286">
        <v>772.8</v>
      </c>
      <c r="BG119" s="287">
        <v>772.9</v>
      </c>
      <c r="BH119" s="286">
        <v>773.3</v>
      </c>
      <c r="BI119" s="286">
        <v>773.9</v>
      </c>
      <c r="BJ119" s="286">
        <v>813.3</v>
      </c>
      <c r="BK119" s="287">
        <v>844.3</v>
      </c>
      <c r="BL119" s="286">
        <v>846.3</v>
      </c>
      <c r="BM119" s="286">
        <v>847.6</v>
      </c>
      <c r="BN119" s="286">
        <v>885.4</v>
      </c>
      <c r="BO119" s="287">
        <v>970</v>
      </c>
      <c r="BP119" s="286">
        <v>972.9</v>
      </c>
      <c r="BQ119" s="286">
        <v>988.1</v>
      </c>
      <c r="BR119" s="286">
        <v>998.9</v>
      </c>
      <c r="BS119" s="287">
        <v>999.2</v>
      </c>
      <c r="BT119" s="286">
        <v>972.9</v>
      </c>
      <c r="BU119" s="286">
        <v>982.8</v>
      </c>
      <c r="BV119" s="286">
        <f>+BV111</f>
        <v>987.3</v>
      </c>
      <c r="BW119" s="287">
        <f>+BW111</f>
        <v>991.2</v>
      </c>
      <c r="BX119" s="286">
        <f>+BX111</f>
        <v>1013.7</v>
      </c>
      <c r="BY119" s="286">
        <f>BY111</f>
        <v>1016</v>
      </c>
      <c r="BZ119" s="286">
        <f t="shared" ref="BZ119:CI119" si="881">+BZ111</f>
        <v>1046.5999999999999</v>
      </c>
      <c r="CA119" s="287">
        <f t="shared" si="881"/>
        <v>1129.4000000000001</v>
      </c>
      <c r="CB119" s="27">
        <f t="shared" si="881"/>
        <v>1196</v>
      </c>
      <c r="CC119" s="286">
        <f>CC111</f>
        <v>1201</v>
      </c>
      <c r="CD119" s="27">
        <f t="shared" si="881"/>
        <v>1190</v>
      </c>
      <c r="CE119" s="287">
        <f>+CE111</f>
        <v>1203</v>
      </c>
      <c r="CF119" s="27">
        <f t="shared" si="881"/>
        <v>1195</v>
      </c>
      <c r="CG119" s="286">
        <f t="shared" si="881"/>
        <v>1190</v>
      </c>
      <c r="CH119" s="27">
        <f t="shared" si="881"/>
        <v>1170</v>
      </c>
      <c r="CI119" s="287">
        <f t="shared" si="881"/>
        <v>1124</v>
      </c>
      <c r="CJ119" s="27">
        <f t="shared" ref="CJ119:CQ119" si="882">+CJ111</f>
        <v>1085</v>
      </c>
      <c r="CK119" s="286">
        <f t="shared" si="882"/>
        <v>1036</v>
      </c>
      <c r="CL119" s="27">
        <f t="shared" si="882"/>
        <v>1036</v>
      </c>
      <c r="CM119" s="287">
        <f t="shared" si="882"/>
        <v>1037</v>
      </c>
      <c r="CN119" s="27">
        <f t="shared" ref="CN119:CO119" si="883">+CN111</f>
        <v>1091</v>
      </c>
      <c r="CO119" s="286">
        <f t="shared" si="883"/>
        <v>1160</v>
      </c>
      <c r="CP119" s="27">
        <f t="shared" si="882"/>
        <v>1177</v>
      </c>
      <c r="CQ119" s="28">
        <f t="shared" si="882"/>
        <v>1187</v>
      </c>
      <c r="CR119" s="27">
        <f t="shared" ref="CR119:CU119" si="884">+CR111</f>
        <v>1225</v>
      </c>
      <c r="CS119" s="27">
        <f t="shared" si="884"/>
        <v>1238</v>
      </c>
      <c r="CT119" s="27">
        <f t="shared" si="884"/>
        <v>1248</v>
      </c>
      <c r="CU119" s="28">
        <f t="shared" si="884"/>
        <v>1257</v>
      </c>
      <c r="CV119" s="27">
        <f t="shared" ref="CV119:CY119" si="885">+CV111</f>
        <v>1266</v>
      </c>
      <c r="CW119" s="27">
        <f t="shared" si="885"/>
        <v>1275</v>
      </c>
      <c r="CX119" s="27">
        <f t="shared" si="885"/>
        <v>1284</v>
      </c>
      <c r="CY119" s="28">
        <f t="shared" si="885"/>
        <v>1293</v>
      </c>
      <c r="CZ119" s="27">
        <f t="shared" ref="CZ119:DC119" si="886">+CZ111</f>
        <v>1302</v>
      </c>
      <c r="DA119" s="27">
        <f t="shared" si="886"/>
        <v>1311</v>
      </c>
      <c r="DB119" s="27">
        <f t="shared" si="886"/>
        <v>1320</v>
      </c>
      <c r="DC119" s="28">
        <f t="shared" si="886"/>
        <v>1329</v>
      </c>
      <c r="DD119" s="18"/>
      <c r="DE119" s="362">
        <f t="shared" ref="DE119:DY119" si="887">BO119</f>
        <v>970</v>
      </c>
      <c r="DF119" s="362">
        <f t="shared" si="887"/>
        <v>972.9</v>
      </c>
      <c r="DG119" s="362">
        <f t="shared" si="887"/>
        <v>988.1</v>
      </c>
      <c r="DH119" s="362">
        <f t="shared" si="887"/>
        <v>998.9</v>
      </c>
      <c r="DI119" s="362">
        <f t="shared" si="887"/>
        <v>999.2</v>
      </c>
      <c r="DJ119" s="362">
        <f t="shared" si="887"/>
        <v>972.9</v>
      </c>
      <c r="DK119" s="362">
        <f t="shared" si="887"/>
        <v>982.8</v>
      </c>
      <c r="DL119" s="362">
        <f t="shared" si="887"/>
        <v>987.3</v>
      </c>
      <c r="DM119" s="362">
        <f t="shared" si="887"/>
        <v>991.2</v>
      </c>
      <c r="DN119" s="362">
        <f t="shared" si="887"/>
        <v>1013.7</v>
      </c>
      <c r="DO119" s="362">
        <f t="shared" si="887"/>
        <v>1016</v>
      </c>
      <c r="DP119" s="71">
        <f t="shared" si="887"/>
        <v>1046.5999999999999</v>
      </c>
      <c r="DQ119" s="71">
        <f t="shared" si="887"/>
        <v>1129.4000000000001</v>
      </c>
      <c r="DR119" s="71">
        <f t="shared" si="887"/>
        <v>1196</v>
      </c>
      <c r="DS119" s="71">
        <f t="shared" si="887"/>
        <v>1201</v>
      </c>
      <c r="DT119" s="71">
        <f t="shared" si="887"/>
        <v>1190</v>
      </c>
      <c r="DU119" s="71">
        <f t="shared" si="887"/>
        <v>1203</v>
      </c>
      <c r="DV119" s="71">
        <f t="shared" si="887"/>
        <v>1195</v>
      </c>
      <c r="DW119" s="71">
        <f t="shared" si="887"/>
        <v>1190</v>
      </c>
      <c r="DX119" s="71">
        <f t="shared" si="887"/>
        <v>1170</v>
      </c>
      <c r="DY119" s="71">
        <f t="shared" si="887"/>
        <v>1124</v>
      </c>
      <c r="DZ119" s="71">
        <f>CM119</f>
        <v>1037</v>
      </c>
      <c r="EA119" s="71">
        <f>CQ119</f>
        <v>1187</v>
      </c>
      <c r="EB119" s="71">
        <f>+EB111</f>
        <v>1242</v>
      </c>
      <c r="EC119" s="72">
        <f>+EC111</f>
        <v>1279.5</v>
      </c>
      <c r="ED119" s="72">
        <f>+ED111</f>
        <v>1315.5</v>
      </c>
      <c r="EE119" s="18"/>
      <c r="EF119" s="361">
        <f>H119</f>
        <v>414</v>
      </c>
      <c r="EG119" s="362">
        <f>L119</f>
        <v>418.6</v>
      </c>
      <c r="EH119" s="362">
        <f>P119</f>
        <v>423.2</v>
      </c>
      <c r="EI119" s="362">
        <f>T119</f>
        <v>494.6</v>
      </c>
      <c r="EJ119" s="362">
        <f>X119</f>
        <v>539.79999999999995</v>
      </c>
      <c r="EK119" s="362">
        <f>AB119</f>
        <v>593</v>
      </c>
      <c r="EL119" s="362">
        <f>AF119</f>
        <v>599.9</v>
      </c>
      <c r="EM119" s="362">
        <f>AJ119</f>
        <v>606.5</v>
      </c>
      <c r="EN119" s="362">
        <f>AN119</f>
        <v>609.1</v>
      </c>
      <c r="EO119" s="362">
        <f>AR119</f>
        <v>612.70000000000005</v>
      </c>
      <c r="EP119" s="362">
        <f>AV119</f>
        <v>618.4</v>
      </c>
      <c r="EQ119" s="362">
        <f>AZ119</f>
        <v>754.5</v>
      </c>
      <c r="ER119" s="362">
        <f>BD119</f>
        <v>771.9</v>
      </c>
      <c r="ES119" s="362">
        <f>BH119</f>
        <v>773.3</v>
      </c>
      <c r="ET119" s="362">
        <f>BL119</f>
        <v>846.3</v>
      </c>
      <c r="EU119" s="362">
        <f>BP119</f>
        <v>972.9</v>
      </c>
      <c r="EV119" s="362">
        <f>BT119</f>
        <v>972.9</v>
      </c>
      <c r="EW119" s="362">
        <f>BX119</f>
        <v>1013.7</v>
      </c>
      <c r="EX119" s="362">
        <f>CB119</f>
        <v>1196</v>
      </c>
      <c r="EY119" s="362">
        <f>CF119</f>
        <v>1195</v>
      </c>
      <c r="EZ119" s="362">
        <f>CJ119</f>
        <v>1085</v>
      </c>
      <c r="FA119" s="362">
        <f>CN119</f>
        <v>1091</v>
      </c>
      <c r="FB119" s="362">
        <f>CR119</f>
        <v>1225</v>
      </c>
      <c r="FC119" s="362">
        <f>CV119</f>
        <v>1266</v>
      </c>
      <c r="FD119" s="1417">
        <f>CZ119</f>
        <v>1302</v>
      </c>
      <c r="FE119" s="308"/>
      <c r="FF119" s="300"/>
      <c r="FG119" s="300"/>
      <c r="FH119" s="300"/>
      <c r="FO119" s="7"/>
    </row>
    <row r="120" spans="1:171" ht="14.25" hidden="1" customHeight="1" outlineLevel="1">
      <c r="A120" s="7"/>
      <c r="B120" s="673"/>
      <c r="C120" s="23"/>
      <c r="D120" s="288"/>
      <c r="E120" s="288"/>
      <c r="F120" s="288"/>
      <c r="G120" s="289"/>
      <c r="H120" s="288"/>
      <c r="I120" s="288"/>
      <c r="J120" s="288"/>
      <c r="K120" s="289"/>
      <c r="L120" s="288"/>
      <c r="M120" s="288"/>
      <c r="N120" s="288"/>
      <c r="O120" s="289"/>
      <c r="P120" s="288"/>
      <c r="Q120" s="288"/>
      <c r="R120" s="288"/>
      <c r="S120" s="289"/>
      <c r="T120" s="288"/>
      <c r="U120" s="288"/>
      <c r="V120" s="288"/>
      <c r="W120" s="289"/>
      <c r="X120" s="288"/>
      <c r="Y120" s="288"/>
      <c r="Z120" s="288"/>
      <c r="AA120" s="289"/>
      <c r="AB120" s="288"/>
      <c r="AC120" s="288"/>
      <c r="AD120" s="288"/>
      <c r="AE120" s="289"/>
      <c r="AF120" s="288"/>
      <c r="AG120" s="288"/>
      <c r="AH120" s="288"/>
      <c r="AI120" s="289"/>
      <c r="AJ120" s="288"/>
      <c r="AK120" s="288"/>
      <c r="AL120" s="288"/>
      <c r="AM120" s="289"/>
      <c r="AN120" s="288"/>
      <c r="AO120" s="288"/>
      <c r="AP120" s="288"/>
      <c r="AQ120" s="289"/>
      <c r="AR120" s="288"/>
      <c r="AS120" s="288"/>
      <c r="AT120" s="288"/>
      <c r="AU120" s="289"/>
      <c r="AV120" s="288"/>
      <c r="AW120" s="288"/>
      <c r="AX120" s="288"/>
      <c r="AY120" s="289"/>
      <c r="AZ120" s="288"/>
      <c r="BA120" s="288"/>
      <c r="BB120" s="288"/>
      <c r="BC120" s="289"/>
      <c r="BD120" s="288"/>
      <c r="BE120" s="288"/>
      <c r="BF120" s="288"/>
      <c r="BG120" s="289"/>
      <c r="BH120" s="288"/>
      <c r="BI120" s="288"/>
      <c r="BJ120" s="288"/>
      <c r="BK120" s="289"/>
      <c r="BL120" s="288"/>
      <c r="BM120" s="288"/>
      <c r="BN120" s="288"/>
      <c r="BO120" s="289"/>
      <c r="BP120" s="288"/>
      <c r="BQ120" s="288"/>
      <c r="BR120" s="288"/>
      <c r="BS120" s="289"/>
      <c r="BT120" s="288"/>
      <c r="BU120" s="288"/>
      <c r="BV120" s="288"/>
      <c r="BW120" s="289"/>
      <c r="BX120" s="288"/>
      <c r="BY120" s="288"/>
      <c r="BZ120" s="288"/>
      <c r="CA120" s="289"/>
      <c r="CB120" s="75"/>
      <c r="CC120" s="288"/>
      <c r="CD120" s="75"/>
      <c r="CE120" s="289"/>
      <c r="CF120" s="75"/>
      <c r="CG120" s="288"/>
      <c r="CH120" s="75"/>
      <c r="CI120" s="289"/>
      <c r="CJ120" s="75"/>
      <c r="CK120" s="288"/>
      <c r="CL120" s="75"/>
      <c r="CM120" s="289"/>
      <c r="CN120" s="75"/>
      <c r="CO120" s="288"/>
      <c r="CP120" s="75"/>
      <c r="CQ120" s="76"/>
      <c r="CR120" s="75"/>
      <c r="CS120" s="75"/>
      <c r="CT120" s="75"/>
      <c r="CU120" s="76"/>
      <c r="CV120" s="75"/>
      <c r="CW120" s="75"/>
      <c r="CX120" s="75"/>
      <c r="CY120" s="76"/>
      <c r="CZ120" s="75"/>
      <c r="DA120" s="75"/>
      <c r="DB120" s="75"/>
      <c r="DC120" s="76"/>
      <c r="DD120" s="18"/>
      <c r="DE120" s="355"/>
      <c r="DF120" s="355"/>
      <c r="DG120" s="355"/>
      <c r="DH120" s="355"/>
      <c r="DI120" s="355"/>
      <c r="DJ120" s="355"/>
      <c r="DK120" s="355"/>
      <c r="DL120" s="355"/>
      <c r="DM120" s="355"/>
      <c r="DN120" s="355"/>
      <c r="DO120" s="355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2"/>
      <c r="ED120" s="42"/>
      <c r="EE120" s="18"/>
      <c r="EF120" s="50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355"/>
      <c r="ER120" s="355"/>
      <c r="ES120" s="355"/>
      <c r="ET120" s="355"/>
      <c r="EU120" s="355"/>
      <c r="EV120" s="355"/>
      <c r="EW120" s="355"/>
      <c r="EX120" s="355"/>
      <c r="EY120" s="355"/>
      <c r="EZ120" s="355"/>
      <c r="FA120" s="355"/>
      <c r="FB120" s="355"/>
      <c r="FC120" s="355"/>
      <c r="FD120" s="1181"/>
      <c r="FE120" s="308"/>
      <c r="FF120" s="300"/>
      <c r="FG120" s="300"/>
      <c r="FH120" s="300"/>
      <c r="FO120" s="7"/>
    </row>
    <row r="121" spans="1:171" ht="14.25" hidden="1" customHeight="1" outlineLevel="1">
      <c r="A121" s="10"/>
      <c r="B121" s="673"/>
      <c r="C121" s="23"/>
      <c r="D121" s="284"/>
      <c r="E121" s="284"/>
      <c r="F121" s="284"/>
      <c r="G121" s="285"/>
      <c r="H121" s="284"/>
      <c r="I121" s="284"/>
      <c r="J121" s="284"/>
      <c r="K121" s="285"/>
      <c r="L121" s="284"/>
      <c r="M121" s="284"/>
      <c r="N121" s="284"/>
      <c r="O121" s="285"/>
      <c r="P121" s="284"/>
      <c r="Q121" s="284"/>
      <c r="R121" s="284"/>
      <c r="S121" s="285"/>
      <c r="T121" s="284"/>
      <c r="U121" s="284"/>
      <c r="V121" s="284"/>
      <c r="W121" s="285"/>
      <c r="X121" s="284"/>
      <c r="Y121" s="284"/>
      <c r="Z121" s="284"/>
      <c r="AA121" s="285"/>
      <c r="AB121" s="284"/>
      <c r="AC121" s="284"/>
      <c r="AD121" s="284"/>
      <c r="AE121" s="285"/>
      <c r="AF121" s="284"/>
      <c r="AG121" s="284"/>
      <c r="AH121" s="284"/>
      <c r="AI121" s="285"/>
      <c r="AJ121" s="284"/>
      <c r="AK121" s="284"/>
      <c r="AL121" s="284"/>
      <c r="AM121" s="285"/>
      <c r="AN121" s="284"/>
      <c r="AO121" s="284"/>
      <c r="AP121" s="284"/>
      <c r="AQ121" s="285"/>
      <c r="AR121" s="284"/>
      <c r="AS121" s="284"/>
      <c r="AT121" s="284"/>
      <c r="AU121" s="285"/>
      <c r="AV121" s="284"/>
      <c r="AW121" s="284"/>
      <c r="AX121" s="284"/>
      <c r="AY121" s="285"/>
      <c r="AZ121" s="284"/>
      <c r="BA121" s="284"/>
      <c r="BB121" s="284"/>
      <c r="BC121" s="285"/>
      <c r="BD121" s="284"/>
      <c r="BE121" s="284"/>
      <c r="BF121" s="284"/>
      <c r="BG121" s="285"/>
      <c r="BH121" s="284"/>
      <c r="BI121" s="284"/>
      <c r="BJ121" s="284"/>
      <c r="BK121" s="285"/>
      <c r="BL121" s="284"/>
      <c r="BM121" s="284"/>
      <c r="BN121" s="284"/>
      <c r="BO121" s="285"/>
      <c r="BP121" s="284"/>
      <c r="BQ121" s="284"/>
      <c r="BR121" s="284"/>
      <c r="BS121" s="285"/>
      <c r="BT121" s="284"/>
      <c r="BU121" s="284"/>
      <c r="BV121" s="284"/>
      <c r="BW121" s="285"/>
      <c r="BX121" s="284"/>
      <c r="BY121" s="284"/>
      <c r="BZ121" s="284"/>
      <c r="CA121" s="285"/>
      <c r="CB121" s="69"/>
      <c r="CC121" s="284"/>
      <c r="CD121" s="69"/>
      <c r="CE121" s="285"/>
      <c r="CF121" s="69"/>
      <c r="CG121" s="284"/>
      <c r="CH121" s="69"/>
      <c r="CI121" s="285"/>
      <c r="CJ121" s="69"/>
      <c r="CK121" s="284"/>
      <c r="CL121" s="69"/>
      <c r="CM121" s="285"/>
      <c r="CN121" s="69"/>
      <c r="CO121" s="284"/>
      <c r="CP121" s="69"/>
      <c r="CQ121" s="70"/>
      <c r="CR121" s="69"/>
      <c r="CS121" s="69"/>
      <c r="CT121" s="69"/>
      <c r="CU121" s="70"/>
      <c r="CV121" s="69"/>
      <c r="CW121" s="69"/>
      <c r="CX121" s="69"/>
      <c r="CY121" s="70"/>
      <c r="CZ121" s="69"/>
      <c r="DA121" s="69"/>
      <c r="DB121" s="69"/>
      <c r="DC121" s="70"/>
      <c r="DD121" s="18"/>
      <c r="DE121" s="352"/>
      <c r="DF121" s="352"/>
      <c r="DG121" s="352"/>
      <c r="DH121" s="352"/>
      <c r="DI121" s="352"/>
      <c r="DJ121" s="352"/>
      <c r="DK121" s="352"/>
      <c r="DL121" s="352"/>
      <c r="DM121" s="352"/>
      <c r="DN121" s="352"/>
      <c r="DO121" s="352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8"/>
      <c r="ED121" s="28"/>
      <c r="EE121" s="18"/>
      <c r="EF121" s="29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352"/>
      <c r="ER121" s="352"/>
      <c r="ES121" s="352"/>
      <c r="ET121" s="352"/>
      <c r="EU121" s="352"/>
      <c r="EV121" s="352"/>
      <c r="EW121" s="352"/>
      <c r="EX121" s="352"/>
      <c r="EY121" s="352"/>
      <c r="EZ121" s="352"/>
      <c r="FA121" s="352"/>
      <c r="FB121" s="352"/>
      <c r="FC121" s="352"/>
      <c r="FD121" s="1177"/>
      <c r="FE121" s="308"/>
      <c r="FF121" s="300"/>
      <c r="FG121" s="300"/>
      <c r="FH121" s="300"/>
      <c r="FO121" s="7"/>
    </row>
    <row r="122" spans="1:171" ht="14.25" hidden="1" customHeight="1" outlineLevel="1">
      <c r="A122" s="7"/>
      <c r="B122" s="673"/>
      <c r="C122" s="23"/>
      <c r="D122" s="286"/>
      <c r="E122" s="286"/>
      <c r="F122" s="286"/>
      <c r="G122" s="287"/>
      <c r="H122" s="286"/>
      <c r="I122" s="286"/>
      <c r="J122" s="286"/>
      <c r="K122" s="287"/>
      <c r="L122" s="286"/>
      <c r="M122" s="286"/>
      <c r="N122" s="286"/>
      <c r="O122" s="287"/>
      <c r="P122" s="286"/>
      <c r="Q122" s="286"/>
      <c r="R122" s="286"/>
      <c r="S122" s="287"/>
      <c r="T122" s="286"/>
      <c r="U122" s="286"/>
      <c r="V122" s="286"/>
      <c r="W122" s="287"/>
      <c r="X122" s="286"/>
      <c r="Y122" s="286"/>
      <c r="Z122" s="286"/>
      <c r="AA122" s="287"/>
      <c r="AB122" s="286"/>
      <c r="AC122" s="286"/>
      <c r="AD122" s="286"/>
      <c r="AE122" s="287"/>
      <c r="AF122" s="286"/>
      <c r="AG122" s="286"/>
      <c r="AH122" s="286"/>
      <c r="AI122" s="287"/>
      <c r="AJ122" s="286"/>
      <c r="AK122" s="286"/>
      <c r="AL122" s="286"/>
      <c r="AM122" s="287"/>
      <c r="AN122" s="286"/>
      <c r="AO122" s="286"/>
      <c r="AP122" s="286"/>
      <c r="AQ122" s="287"/>
      <c r="AR122" s="286"/>
      <c r="AS122" s="286"/>
      <c r="AT122" s="286"/>
      <c r="AU122" s="287"/>
      <c r="AV122" s="286"/>
      <c r="AW122" s="286"/>
      <c r="AX122" s="286"/>
      <c r="AY122" s="287"/>
      <c r="AZ122" s="286"/>
      <c r="BA122" s="286"/>
      <c r="BB122" s="286"/>
      <c r="BC122" s="287"/>
      <c r="BD122" s="286"/>
      <c r="BE122" s="286"/>
      <c r="BF122" s="286"/>
      <c r="BG122" s="287"/>
      <c r="BH122" s="286"/>
      <c r="BI122" s="286"/>
      <c r="BJ122" s="286"/>
      <c r="BK122" s="287"/>
      <c r="BL122" s="286"/>
      <c r="BM122" s="286"/>
      <c r="BN122" s="286"/>
      <c r="BO122" s="287"/>
      <c r="BP122" s="286"/>
      <c r="BQ122" s="286"/>
      <c r="BR122" s="286"/>
      <c r="BS122" s="287"/>
      <c r="BT122" s="286"/>
      <c r="BU122" s="286"/>
      <c r="BV122" s="286"/>
      <c r="BW122" s="287"/>
      <c r="BX122" s="286"/>
      <c r="BY122" s="286"/>
      <c r="BZ122" s="286"/>
      <c r="CA122" s="287"/>
      <c r="CB122" s="27"/>
      <c r="CC122" s="286"/>
      <c r="CD122" s="27"/>
      <c r="CE122" s="287"/>
      <c r="CF122" s="27"/>
      <c r="CG122" s="286"/>
      <c r="CH122" s="27"/>
      <c r="CI122" s="287"/>
      <c r="CJ122" s="27"/>
      <c r="CK122" s="286"/>
      <c r="CL122" s="27"/>
      <c r="CM122" s="287"/>
      <c r="CN122" s="27"/>
      <c r="CO122" s="286"/>
      <c r="CP122" s="27"/>
      <c r="CQ122" s="28"/>
      <c r="CR122" s="27"/>
      <c r="CS122" s="27"/>
      <c r="CT122" s="27"/>
      <c r="CU122" s="28"/>
      <c r="CV122" s="27"/>
      <c r="CW122" s="27"/>
      <c r="CX122" s="27"/>
      <c r="CY122" s="28"/>
      <c r="CZ122" s="27"/>
      <c r="DA122" s="27"/>
      <c r="DB122" s="27"/>
      <c r="DC122" s="28"/>
      <c r="DD122" s="18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7"/>
      <c r="ED122" s="67"/>
      <c r="EE122" s="18"/>
      <c r="EF122" s="65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363"/>
      <c r="ER122" s="363"/>
      <c r="ES122" s="363"/>
      <c r="ET122" s="363"/>
      <c r="EU122" s="363"/>
      <c r="EV122" s="363"/>
      <c r="EW122" s="363"/>
      <c r="EX122" s="363"/>
      <c r="EY122" s="363"/>
      <c r="EZ122" s="363"/>
      <c r="FA122" s="363"/>
      <c r="FB122" s="363"/>
      <c r="FC122" s="363"/>
      <c r="FD122" s="364"/>
      <c r="FE122" s="308"/>
      <c r="FF122" s="300"/>
      <c r="FG122" s="300"/>
      <c r="FH122" s="300"/>
      <c r="FO122" s="7"/>
    </row>
    <row r="123" spans="1:171" ht="14.25" hidden="1" customHeight="1" outlineLevel="1">
      <c r="A123" s="7"/>
      <c r="B123" s="543"/>
      <c r="C123" s="31"/>
      <c r="D123" s="1210"/>
      <c r="E123" s="1210"/>
      <c r="F123" s="1210"/>
      <c r="G123" s="291"/>
      <c r="H123" s="1210"/>
      <c r="I123" s="1210"/>
      <c r="J123" s="1210"/>
      <c r="K123" s="291"/>
      <c r="L123" s="1210"/>
      <c r="M123" s="1210"/>
      <c r="N123" s="1210"/>
      <c r="O123" s="291"/>
      <c r="P123" s="1210"/>
      <c r="Q123" s="1210"/>
      <c r="R123" s="1210"/>
      <c r="S123" s="291"/>
      <c r="T123" s="1210"/>
      <c r="U123" s="1210"/>
      <c r="V123" s="1210"/>
      <c r="W123" s="291"/>
      <c r="X123" s="1210"/>
      <c r="Y123" s="1210"/>
      <c r="Z123" s="1210"/>
      <c r="AA123" s="291"/>
      <c r="AB123" s="1210"/>
      <c r="AC123" s="1210"/>
      <c r="AD123" s="1210"/>
      <c r="AE123" s="291"/>
      <c r="AF123" s="1210"/>
      <c r="AG123" s="1210"/>
      <c r="AH123" s="1210"/>
      <c r="AI123" s="291"/>
      <c r="AJ123" s="1210"/>
      <c r="AK123" s="1210"/>
      <c r="AL123" s="1210"/>
      <c r="AM123" s="291"/>
      <c r="AN123" s="1210"/>
      <c r="AO123" s="1210"/>
      <c r="AP123" s="1210"/>
      <c r="AQ123" s="291"/>
      <c r="AR123" s="1210"/>
      <c r="AS123" s="1210"/>
      <c r="AT123" s="1210"/>
      <c r="AU123" s="291"/>
      <c r="AV123" s="1210"/>
      <c r="AW123" s="1210"/>
      <c r="AX123" s="1210"/>
      <c r="AY123" s="291"/>
      <c r="AZ123" s="1210"/>
      <c r="BA123" s="1210"/>
      <c r="BB123" s="1210"/>
      <c r="BC123" s="291"/>
      <c r="BD123" s="1210"/>
      <c r="BE123" s="1210"/>
      <c r="BF123" s="1210"/>
      <c r="BG123" s="291"/>
      <c r="BH123" s="1210"/>
      <c r="BI123" s="1210"/>
      <c r="BJ123" s="1210"/>
      <c r="BK123" s="291"/>
      <c r="BL123" s="1210"/>
      <c r="BM123" s="1210"/>
      <c r="BN123" s="1210"/>
      <c r="BO123" s="291"/>
      <c r="BP123" s="1210"/>
      <c r="BQ123" s="1210"/>
      <c r="BR123" s="1210"/>
      <c r="BS123" s="291"/>
      <c r="BT123" s="1210"/>
      <c r="BU123" s="1210"/>
      <c r="BV123" s="1210"/>
      <c r="BW123" s="291"/>
      <c r="BX123" s="290"/>
      <c r="BY123" s="290"/>
      <c r="BZ123" s="290"/>
      <c r="CA123" s="291"/>
      <c r="CB123" s="32"/>
      <c r="CC123" s="290"/>
      <c r="CD123" s="32"/>
      <c r="CE123" s="291"/>
      <c r="CF123" s="32"/>
      <c r="CG123" s="290"/>
      <c r="CH123" s="32"/>
      <c r="CI123" s="291"/>
      <c r="CJ123" s="32"/>
      <c r="CK123" s="290"/>
      <c r="CL123" s="32"/>
      <c r="CM123" s="291"/>
      <c r="CN123" s="32"/>
      <c r="CO123" s="1210"/>
      <c r="CP123" s="32"/>
      <c r="CQ123" s="33"/>
      <c r="CR123" s="1209"/>
      <c r="CS123" s="32"/>
      <c r="CT123" s="32"/>
      <c r="CU123" s="33"/>
      <c r="CV123" s="1209"/>
      <c r="CW123" s="1209"/>
      <c r="CX123" s="1209"/>
      <c r="CY123" s="33"/>
      <c r="CZ123" s="1209"/>
      <c r="DA123" s="1209"/>
      <c r="DB123" s="1209"/>
      <c r="DC123" s="33"/>
      <c r="DD123" s="18"/>
      <c r="DE123" s="79"/>
      <c r="DF123" s="79"/>
      <c r="DG123" s="79"/>
      <c r="DH123" s="79"/>
      <c r="DI123" s="79"/>
      <c r="DJ123" s="79"/>
      <c r="DK123" s="79"/>
      <c r="DL123" s="79"/>
      <c r="DM123" s="79"/>
      <c r="DN123" s="79"/>
      <c r="DO123" s="79"/>
      <c r="DP123" s="79"/>
      <c r="DQ123" s="79"/>
      <c r="DR123" s="79"/>
      <c r="DS123" s="79"/>
      <c r="DT123" s="1232"/>
      <c r="DU123" s="1232"/>
      <c r="DV123" s="1232"/>
      <c r="DW123" s="1232"/>
      <c r="DX123" s="1232"/>
      <c r="DY123" s="1232"/>
      <c r="DZ123" s="1232"/>
      <c r="EA123" s="77"/>
      <c r="EB123" s="1231"/>
      <c r="EC123" s="78"/>
      <c r="ED123" s="78"/>
      <c r="EE123" s="18"/>
      <c r="EF123" s="81"/>
      <c r="EG123" s="79"/>
      <c r="EH123" s="79"/>
      <c r="EI123" s="79"/>
      <c r="EJ123" s="79"/>
      <c r="EK123" s="79"/>
      <c r="EL123" s="79"/>
      <c r="EM123" s="79"/>
      <c r="EN123" s="79"/>
      <c r="EO123" s="79"/>
      <c r="EP123" s="79"/>
      <c r="EQ123" s="365"/>
      <c r="ER123" s="365"/>
      <c r="ES123" s="365"/>
      <c r="ET123" s="365"/>
      <c r="EU123" s="365"/>
      <c r="EV123" s="365"/>
      <c r="EW123" s="365"/>
      <c r="EX123" s="365"/>
      <c r="EY123" s="365"/>
      <c r="EZ123" s="365"/>
      <c r="FA123" s="365"/>
      <c r="FB123" s="365"/>
      <c r="FC123" s="365"/>
      <c r="FD123" s="1418"/>
      <c r="FE123" s="308"/>
      <c r="FF123" s="300"/>
      <c r="FG123" s="300"/>
      <c r="FH123" s="300"/>
      <c r="FO123" s="7"/>
    </row>
    <row r="124" spans="1:171" ht="14.25" hidden="1" customHeight="1" outlineLevel="1">
      <c r="A124" s="7"/>
      <c r="B124" s="673"/>
      <c r="C124" s="23"/>
      <c r="D124" s="282"/>
      <c r="E124" s="282"/>
      <c r="F124" s="282"/>
      <c r="G124" s="283"/>
      <c r="H124" s="282"/>
      <c r="I124" s="282"/>
      <c r="J124" s="282"/>
      <c r="K124" s="283"/>
      <c r="L124" s="282"/>
      <c r="M124" s="282"/>
      <c r="N124" s="282"/>
      <c r="O124" s="283"/>
      <c r="P124" s="282"/>
      <c r="Q124" s="282"/>
      <c r="R124" s="282"/>
      <c r="S124" s="283"/>
      <c r="T124" s="282"/>
      <c r="U124" s="282"/>
      <c r="V124" s="282"/>
      <c r="W124" s="283"/>
      <c r="X124" s="282"/>
      <c r="Y124" s="282"/>
      <c r="Z124" s="282"/>
      <c r="AA124" s="283"/>
      <c r="AB124" s="282"/>
      <c r="AC124" s="282"/>
      <c r="AD124" s="282"/>
      <c r="AE124" s="283"/>
      <c r="AF124" s="282"/>
      <c r="AG124" s="282"/>
      <c r="AH124" s="282"/>
      <c r="AI124" s="283"/>
      <c r="AJ124" s="282"/>
      <c r="AK124" s="282"/>
      <c r="AL124" s="282"/>
      <c r="AM124" s="283"/>
      <c r="AN124" s="282"/>
      <c r="AO124" s="282"/>
      <c r="AP124" s="282"/>
      <c r="AQ124" s="283"/>
      <c r="AR124" s="282"/>
      <c r="AS124" s="282"/>
      <c r="AT124" s="282"/>
      <c r="AU124" s="283"/>
      <c r="AV124" s="282"/>
      <c r="AW124" s="282"/>
      <c r="AX124" s="282"/>
      <c r="AY124" s="283"/>
      <c r="AZ124" s="282"/>
      <c r="BA124" s="282"/>
      <c r="BB124" s="282"/>
      <c r="BC124" s="283"/>
      <c r="BD124" s="282"/>
      <c r="BE124" s="282"/>
      <c r="BF124" s="282"/>
      <c r="BG124" s="283"/>
      <c r="BH124" s="282"/>
      <c r="BI124" s="282"/>
      <c r="BJ124" s="282"/>
      <c r="BK124" s="283"/>
      <c r="BL124" s="282"/>
      <c r="BM124" s="282"/>
      <c r="BN124" s="282"/>
      <c r="BO124" s="283"/>
      <c r="BP124" s="282"/>
      <c r="BQ124" s="282"/>
      <c r="BR124" s="282"/>
      <c r="BS124" s="283"/>
      <c r="BT124" s="282"/>
      <c r="BU124" s="282"/>
      <c r="BV124" s="282"/>
      <c r="BW124" s="283"/>
      <c r="BX124" s="282"/>
      <c r="BY124" s="282"/>
      <c r="BZ124" s="282"/>
      <c r="CA124" s="283"/>
      <c r="CB124" s="41"/>
      <c r="CC124" s="282"/>
      <c r="CD124" s="41"/>
      <c r="CE124" s="283"/>
      <c r="CF124" s="41"/>
      <c r="CG124" s="282"/>
      <c r="CH124" s="41"/>
      <c r="CI124" s="283"/>
      <c r="CJ124" s="41"/>
      <c r="CK124" s="282"/>
      <c r="CL124" s="41"/>
      <c r="CM124" s="283"/>
      <c r="CN124" s="41"/>
      <c r="CO124" s="282"/>
      <c r="CP124" s="41"/>
      <c r="CQ124" s="42"/>
      <c r="CR124" s="41"/>
      <c r="CS124" s="41"/>
      <c r="CT124" s="41"/>
      <c r="CU124" s="42"/>
      <c r="CV124" s="41"/>
      <c r="CW124" s="41"/>
      <c r="CX124" s="41"/>
      <c r="CY124" s="42"/>
      <c r="CZ124" s="41"/>
      <c r="DA124" s="41"/>
      <c r="DB124" s="41"/>
      <c r="DC124" s="42"/>
      <c r="DD124" s="18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2"/>
      <c r="ED124" s="42"/>
      <c r="EE124" s="18"/>
      <c r="EF124" s="50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2"/>
      <c r="FE124" s="308"/>
      <c r="FF124" s="300"/>
      <c r="FG124" s="300"/>
      <c r="FH124" s="300"/>
      <c r="FO124" s="7"/>
    </row>
    <row r="125" spans="1:171" ht="14.25" hidden="1" customHeight="1" outlineLevel="1">
      <c r="A125" s="7"/>
      <c r="B125" s="673" t="s">
        <v>276</v>
      </c>
      <c r="C125" s="23"/>
      <c r="D125" s="1211">
        <v>0.35</v>
      </c>
      <c r="E125" s="1211">
        <v>0.35</v>
      </c>
      <c r="F125" s="1211">
        <v>0.35</v>
      </c>
      <c r="G125" s="293">
        <v>0.35</v>
      </c>
      <c r="H125" s="1211">
        <v>0.35</v>
      </c>
      <c r="I125" s="1211">
        <v>0.35</v>
      </c>
      <c r="J125" s="1211">
        <v>0.35</v>
      </c>
      <c r="K125" s="293">
        <v>0.35</v>
      </c>
      <c r="L125" s="1211">
        <v>0.35</v>
      </c>
      <c r="M125" s="1211">
        <v>0.35</v>
      </c>
      <c r="N125" s="1211">
        <v>0.35</v>
      </c>
      <c r="O125" s="293">
        <v>0.35</v>
      </c>
      <c r="P125" s="1211">
        <v>0.35</v>
      </c>
      <c r="Q125" s="1211">
        <v>0.35</v>
      </c>
      <c r="R125" s="1211">
        <v>0.35</v>
      </c>
      <c r="S125" s="293">
        <v>0.35</v>
      </c>
      <c r="T125" s="1211">
        <v>0.35</v>
      </c>
      <c r="U125" s="1211">
        <v>0.35</v>
      </c>
      <c r="V125" s="1211">
        <v>0.35</v>
      </c>
      <c r="W125" s="293">
        <v>0.35</v>
      </c>
      <c r="X125" s="1211">
        <v>0.35</v>
      </c>
      <c r="Y125" s="1211">
        <v>0.35</v>
      </c>
      <c r="Z125" s="1211">
        <v>0.35</v>
      </c>
      <c r="AA125" s="293">
        <v>0.35</v>
      </c>
      <c r="AB125" s="1211">
        <v>0.35</v>
      </c>
      <c r="AC125" s="1211">
        <v>0.35</v>
      </c>
      <c r="AD125" s="1211">
        <v>0.35</v>
      </c>
      <c r="AE125" s="293">
        <v>0.35</v>
      </c>
      <c r="AF125" s="1211">
        <v>0.35</v>
      </c>
      <c r="AG125" s="1211">
        <v>0.35</v>
      </c>
      <c r="AH125" s="1211">
        <v>0.35</v>
      </c>
      <c r="AI125" s="293">
        <v>0.35</v>
      </c>
      <c r="AJ125" s="1211">
        <v>0.35</v>
      </c>
      <c r="AK125" s="1211">
        <v>0.35</v>
      </c>
      <c r="AL125" s="1211">
        <v>0.35</v>
      </c>
      <c r="AM125" s="293">
        <v>0.35</v>
      </c>
      <c r="AN125" s="1211">
        <v>0.35</v>
      </c>
      <c r="AO125" s="1211">
        <v>0.35</v>
      </c>
      <c r="AP125" s="1211">
        <v>0.35</v>
      </c>
      <c r="AQ125" s="293">
        <v>0.35</v>
      </c>
      <c r="AR125" s="1211">
        <v>0.35</v>
      </c>
      <c r="AS125" s="1211">
        <v>0.35</v>
      </c>
      <c r="AT125" s="1211">
        <v>0.35</v>
      </c>
      <c r="AU125" s="293">
        <v>0.35</v>
      </c>
      <c r="AV125" s="1211">
        <v>0.35</v>
      </c>
      <c r="AW125" s="1211">
        <v>0.35</v>
      </c>
      <c r="AX125" s="1211">
        <v>0.35</v>
      </c>
      <c r="AY125" s="293">
        <v>0.35</v>
      </c>
      <c r="AZ125" s="1211">
        <v>0.35</v>
      </c>
      <c r="BA125" s="1211">
        <v>0.35</v>
      </c>
      <c r="BB125" s="1211">
        <v>0.35</v>
      </c>
      <c r="BC125" s="293">
        <v>0.35</v>
      </c>
      <c r="BD125" s="1211">
        <v>0.35</v>
      </c>
      <c r="BE125" s="1211">
        <v>0.35</v>
      </c>
      <c r="BF125" s="1211">
        <v>0.35</v>
      </c>
      <c r="BG125" s="293">
        <v>0.35</v>
      </c>
      <c r="BH125" s="1211">
        <v>0.35</v>
      </c>
      <c r="BI125" s="1211">
        <v>0.35</v>
      </c>
      <c r="BJ125" s="1211">
        <v>0.35</v>
      </c>
      <c r="BK125" s="293">
        <v>0.35</v>
      </c>
      <c r="BL125" s="1211">
        <v>0.35</v>
      </c>
      <c r="BM125" s="1211">
        <v>0.35</v>
      </c>
      <c r="BN125" s="1211">
        <v>0.35</v>
      </c>
      <c r="BO125" s="293">
        <v>0.35</v>
      </c>
      <c r="BP125" s="1211">
        <v>0.35</v>
      </c>
      <c r="BQ125" s="1211">
        <v>0.35</v>
      </c>
      <c r="BR125" s="1211">
        <v>0.35</v>
      </c>
      <c r="BS125" s="293">
        <v>0.35</v>
      </c>
      <c r="BT125" s="1211">
        <v>0.35</v>
      </c>
      <c r="BU125" s="1211">
        <v>0.35</v>
      </c>
      <c r="BV125" s="1211">
        <v>0.35</v>
      </c>
      <c r="BW125" s="293">
        <v>0.35</v>
      </c>
      <c r="BX125" s="292">
        <v>0.35</v>
      </c>
      <c r="BY125" s="292">
        <v>0.35</v>
      </c>
      <c r="BZ125" s="292">
        <v>0.35</v>
      </c>
      <c r="CA125" s="293">
        <v>0.35</v>
      </c>
      <c r="CB125" s="79">
        <v>0.35</v>
      </c>
      <c r="CC125" s="292">
        <v>0.35</v>
      </c>
      <c r="CD125" s="79">
        <v>0.35</v>
      </c>
      <c r="CE125" s="293">
        <v>0.35</v>
      </c>
      <c r="CF125" s="79">
        <v>0.35</v>
      </c>
      <c r="CG125" s="292">
        <v>0.35</v>
      </c>
      <c r="CH125" s="79">
        <v>0.35</v>
      </c>
      <c r="CI125" s="293">
        <v>0.35</v>
      </c>
      <c r="CJ125" s="79">
        <v>0.35</v>
      </c>
      <c r="CK125" s="292">
        <v>0.35</v>
      </c>
      <c r="CL125" s="79">
        <v>0.35</v>
      </c>
      <c r="CM125" s="293">
        <v>0.35</v>
      </c>
      <c r="CN125" s="79">
        <v>0.35</v>
      </c>
      <c r="CO125" s="1211">
        <v>0.35</v>
      </c>
      <c r="CP125" s="79">
        <v>0.35</v>
      </c>
      <c r="CQ125" s="80">
        <v>0.35</v>
      </c>
      <c r="CR125" s="1232">
        <v>0.35</v>
      </c>
      <c r="CS125" s="79">
        <v>0.21</v>
      </c>
      <c r="CT125" s="79">
        <v>0.21</v>
      </c>
      <c r="CU125" s="80">
        <v>0.21</v>
      </c>
      <c r="CV125" s="1232">
        <v>0.21</v>
      </c>
      <c r="CW125" s="1232">
        <v>0.21</v>
      </c>
      <c r="CX125" s="1232">
        <v>0.21</v>
      </c>
      <c r="CY125" s="80">
        <v>0.21</v>
      </c>
      <c r="CZ125" s="1232">
        <v>0.21</v>
      </c>
      <c r="DA125" s="1232">
        <v>0.21</v>
      </c>
      <c r="DB125" s="1232">
        <v>0.21</v>
      </c>
      <c r="DC125" s="80">
        <v>0.21</v>
      </c>
      <c r="DD125" s="18"/>
      <c r="DE125" s="79">
        <v>0.35</v>
      </c>
      <c r="DF125" s="79">
        <v>0.35</v>
      </c>
      <c r="DG125" s="79">
        <v>0.35</v>
      </c>
      <c r="DH125" s="79">
        <v>0.35</v>
      </c>
      <c r="DI125" s="79">
        <v>0.35</v>
      </c>
      <c r="DJ125" s="79">
        <v>0.35</v>
      </c>
      <c r="DK125" s="79">
        <v>0.35</v>
      </c>
      <c r="DL125" s="79">
        <v>0.35</v>
      </c>
      <c r="DM125" s="79">
        <v>0.35</v>
      </c>
      <c r="DN125" s="79">
        <v>0.35</v>
      </c>
      <c r="DO125" s="79">
        <v>0.35</v>
      </c>
      <c r="DP125" s="79">
        <v>0.35</v>
      </c>
      <c r="DQ125" s="79">
        <v>0.35</v>
      </c>
      <c r="DR125" s="79">
        <v>0.35</v>
      </c>
      <c r="DS125" s="79">
        <v>0.35</v>
      </c>
      <c r="DT125" s="1232">
        <v>0.35</v>
      </c>
      <c r="DU125" s="1232">
        <v>0.35</v>
      </c>
      <c r="DV125" s="1232">
        <v>0.35</v>
      </c>
      <c r="DW125" s="1232">
        <v>0.35</v>
      </c>
      <c r="DX125" s="1232">
        <v>0.35</v>
      </c>
      <c r="DY125" s="1232">
        <v>0.35</v>
      </c>
      <c r="DZ125" s="1232">
        <v>0.35</v>
      </c>
      <c r="EA125" s="79">
        <v>0.35</v>
      </c>
      <c r="EB125" s="1232">
        <v>0.21</v>
      </c>
      <c r="EC125" s="80">
        <v>0.21</v>
      </c>
      <c r="ED125" s="80">
        <v>0.21</v>
      </c>
      <c r="EE125" s="18"/>
      <c r="EF125" s="81">
        <v>0.35</v>
      </c>
      <c r="EG125" s="79">
        <v>0.35</v>
      </c>
      <c r="EH125" s="79">
        <v>0.35</v>
      </c>
      <c r="EI125" s="79">
        <v>0.35</v>
      </c>
      <c r="EJ125" s="79">
        <v>0.35</v>
      </c>
      <c r="EK125" s="79">
        <v>0.35</v>
      </c>
      <c r="EL125" s="79">
        <v>0.35</v>
      </c>
      <c r="EM125" s="79">
        <v>0.35</v>
      </c>
      <c r="EN125" s="79">
        <v>0.35</v>
      </c>
      <c r="EO125" s="79">
        <v>0.35</v>
      </c>
      <c r="EP125" s="79">
        <v>0.35</v>
      </c>
      <c r="EQ125" s="79">
        <v>0.35</v>
      </c>
      <c r="ER125" s="79">
        <v>0.35</v>
      </c>
      <c r="ES125" s="79">
        <v>0.35</v>
      </c>
      <c r="ET125" s="1232">
        <v>0.35</v>
      </c>
      <c r="EU125" s="1232">
        <v>0.35</v>
      </c>
      <c r="EV125" s="79">
        <v>0.35</v>
      </c>
      <c r="EW125" s="79">
        <v>0.35</v>
      </c>
      <c r="EX125" s="79">
        <v>0.35</v>
      </c>
      <c r="EY125" s="79">
        <v>0.35</v>
      </c>
      <c r="EZ125" s="1232">
        <v>0.35</v>
      </c>
      <c r="FA125" s="1232">
        <v>0.35</v>
      </c>
      <c r="FB125" s="1232">
        <v>0.35</v>
      </c>
      <c r="FC125" s="1232">
        <v>0.21</v>
      </c>
      <c r="FD125" s="80">
        <v>0.21</v>
      </c>
      <c r="FE125" s="308"/>
      <c r="FF125" s="300"/>
      <c r="FG125" s="300"/>
      <c r="FH125" s="300"/>
      <c r="FO125" s="7"/>
    </row>
    <row r="126" spans="1:171" ht="14.25" hidden="1" customHeight="1" outlineLevel="1">
      <c r="A126" s="7"/>
      <c r="B126" s="543"/>
      <c r="C126" s="31"/>
      <c r="D126" s="282"/>
      <c r="E126" s="282"/>
      <c r="F126" s="282"/>
      <c r="G126" s="283"/>
      <c r="H126" s="282"/>
      <c r="I126" s="282"/>
      <c r="J126" s="282"/>
      <c r="K126" s="283"/>
      <c r="L126" s="282"/>
      <c r="M126" s="282"/>
      <c r="N126" s="282"/>
      <c r="O126" s="283"/>
      <c r="P126" s="282"/>
      <c r="Q126" s="282"/>
      <c r="R126" s="282"/>
      <c r="S126" s="283"/>
      <c r="T126" s="282"/>
      <c r="U126" s="282"/>
      <c r="V126" s="282"/>
      <c r="W126" s="283"/>
      <c r="X126" s="282"/>
      <c r="Y126" s="282"/>
      <c r="Z126" s="282"/>
      <c r="AA126" s="283"/>
      <c r="AB126" s="282"/>
      <c r="AC126" s="282"/>
      <c r="AD126" s="282"/>
      <c r="AE126" s="283"/>
      <c r="AF126" s="282"/>
      <c r="AG126" s="282"/>
      <c r="AH126" s="282"/>
      <c r="AI126" s="283"/>
      <c r="AJ126" s="282"/>
      <c r="AK126" s="282"/>
      <c r="AL126" s="282"/>
      <c r="AM126" s="283"/>
      <c r="AN126" s="282"/>
      <c r="AO126" s="282"/>
      <c r="AP126" s="282"/>
      <c r="AQ126" s="283"/>
      <c r="AR126" s="282"/>
      <c r="AS126" s="282"/>
      <c r="AT126" s="282"/>
      <c r="AU126" s="283"/>
      <c r="AV126" s="282"/>
      <c r="AW126" s="282"/>
      <c r="AX126" s="282"/>
      <c r="AY126" s="283"/>
      <c r="AZ126" s="282"/>
      <c r="BA126" s="282"/>
      <c r="BB126" s="282"/>
      <c r="BC126" s="283"/>
      <c r="BD126" s="282"/>
      <c r="BE126" s="282"/>
      <c r="BF126" s="282"/>
      <c r="BG126" s="283"/>
      <c r="BH126" s="282"/>
      <c r="BI126" s="282"/>
      <c r="BJ126" s="282"/>
      <c r="BK126" s="283"/>
      <c r="BL126" s="282"/>
      <c r="BM126" s="282"/>
      <c r="BN126" s="282"/>
      <c r="BO126" s="283"/>
      <c r="BP126" s="282"/>
      <c r="BQ126" s="282"/>
      <c r="BR126" s="282"/>
      <c r="BS126" s="283"/>
      <c r="BT126" s="282"/>
      <c r="BU126" s="282"/>
      <c r="BV126" s="282"/>
      <c r="BW126" s="283"/>
      <c r="BX126" s="282"/>
      <c r="BY126" s="282"/>
      <c r="BZ126" s="282"/>
      <c r="CA126" s="283"/>
      <c r="CB126" s="41"/>
      <c r="CC126" s="282"/>
      <c r="CD126" s="41"/>
      <c r="CE126" s="283"/>
      <c r="CF126" s="41"/>
      <c r="CG126" s="282"/>
      <c r="CH126" s="41"/>
      <c r="CI126" s="283"/>
      <c r="CJ126" s="41"/>
      <c r="CK126" s="282"/>
      <c r="CL126" s="41"/>
      <c r="CM126" s="283"/>
      <c r="CN126" s="41"/>
      <c r="CO126" s="282"/>
      <c r="CP126" s="41"/>
      <c r="CQ126" s="42"/>
      <c r="CR126" s="41"/>
      <c r="CS126" s="41"/>
      <c r="CT126" s="41"/>
      <c r="CU126" s="42"/>
      <c r="CV126" s="41"/>
      <c r="CW126" s="41"/>
      <c r="CX126" s="41"/>
      <c r="CY126" s="42"/>
      <c r="CZ126" s="41"/>
      <c r="DA126" s="41"/>
      <c r="DB126" s="41"/>
      <c r="DC126" s="42"/>
      <c r="DD126" s="18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2"/>
      <c r="ED126" s="1406"/>
      <c r="EE126" s="18"/>
      <c r="EF126" s="50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2"/>
      <c r="FE126" s="308"/>
      <c r="FF126" s="300"/>
      <c r="FG126" s="300"/>
      <c r="FH126" s="300"/>
      <c r="FO126" s="7"/>
    </row>
    <row r="127" spans="1:171" ht="14.25" hidden="1" customHeight="1" outlineLevel="1">
      <c r="A127" s="7"/>
      <c r="B127" s="673"/>
      <c r="C127" s="82"/>
      <c r="D127" s="294"/>
      <c r="E127" s="294"/>
      <c r="F127" s="294"/>
      <c r="G127" s="295"/>
      <c r="H127" s="294"/>
      <c r="I127" s="294"/>
      <c r="J127" s="294"/>
      <c r="K127" s="295"/>
      <c r="L127" s="294"/>
      <c r="M127" s="294"/>
      <c r="N127" s="294"/>
      <c r="O127" s="295"/>
      <c r="P127" s="294"/>
      <c r="Q127" s="294"/>
      <c r="R127" s="294"/>
      <c r="S127" s="295"/>
      <c r="T127" s="294"/>
      <c r="U127" s="294"/>
      <c r="V127" s="294"/>
      <c r="W127" s="295"/>
      <c r="X127" s="294"/>
      <c r="Y127" s="294"/>
      <c r="Z127" s="294"/>
      <c r="AA127" s="295"/>
      <c r="AB127" s="294"/>
      <c r="AC127" s="294"/>
      <c r="AD127" s="294"/>
      <c r="AE127" s="295"/>
      <c r="AF127" s="294"/>
      <c r="AG127" s="294"/>
      <c r="AH127" s="294"/>
      <c r="AI127" s="295"/>
      <c r="AJ127" s="294"/>
      <c r="AK127" s="294"/>
      <c r="AL127" s="294"/>
      <c r="AM127" s="295"/>
      <c r="AN127" s="294"/>
      <c r="AO127" s="294"/>
      <c r="AP127" s="294"/>
      <c r="AQ127" s="295"/>
      <c r="AR127" s="294"/>
      <c r="AS127" s="294"/>
      <c r="AT127" s="294"/>
      <c r="AU127" s="295"/>
      <c r="AV127" s="294"/>
      <c r="AW127" s="294"/>
      <c r="AX127" s="294"/>
      <c r="AY127" s="295"/>
      <c r="AZ127" s="294"/>
      <c r="BA127" s="294"/>
      <c r="BB127" s="294"/>
      <c r="BC127" s="295"/>
      <c r="BD127" s="294"/>
      <c r="BE127" s="294"/>
      <c r="BF127" s="294"/>
      <c r="BG127" s="295"/>
      <c r="BH127" s="294"/>
      <c r="BI127" s="294"/>
      <c r="BJ127" s="294"/>
      <c r="BK127" s="295"/>
      <c r="BL127" s="294"/>
      <c r="BM127" s="294"/>
      <c r="BN127" s="294"/>
      <c r="BO127" s="295"/>
      <c r="BP127" s="294"/>
      <c r="BQ127" s="294"/>
      <c r="BR127" s="294"/>
      <c r="BS127" s="295"/>
      <c r="BT127" s="294"/>
      <c r="BU127" s="294"/>
      <c r="BV127" s="294"/>
      <c r="BW127" s="295"/>
      <c r="BX127" s="294"/>
      <c r="BY127" s="294"/>
      <c r="BZ127" s="294"/>
      <c r="CA127" s="295"/>
      <c r="CB127" s="84"/>
      <c r="CC127" s="294"/>
      <c r="CD127" s="84"/>
      <c r="CE127" s="295"/>
      <c r="CF127" s="84"/>
      <c r="CG127" s="294"/>
      <c r="CH127" s="84"/>
      <c r="CI127" s="295"/>
      <c r="CJ127" s="84"/>
      <c r="CK127" s="294"/>
      <c r="CL127" s="84"/>
      <c r="CM127" s="295"/>
      <c r="CN127" s="84"/>
      <c r="CO127" s="294"/>
      <c r="CP127" s="84"/>
      <c r="CQ127" s="85"/>
      <c r="CR127" s="84"/>
      <c r="CS127" s="84"/>
      <c r="CT127" s="84"/>
      <c r="CU127" s="85"/>
      <c r="CV127" s="84"/>
      <c r="CW127" s="84"/>
      <c r="CX127" s="84"/>
      <c r="CY127" s="85"/>
      <c r="CZ127" s="84"/>
      <c r="DA127" s="84"/>
      <c r="DB127" s="84"/>
      <c r="DC127" s="85"/>
      <c r="DD127" s="18"/>
      <c r="DE127" s="84"/>
      <c r="DF127" s="84"/>
      <c r="DG127" s="84"/>
      <c r="DH127" s="84"/>
      <c r="DI127" s="84"/>
      <c r="DJ127" s="84"/>
      <c r="DK127" s="84"/>
      <c r="DL127" s="84"/>
      <c r="DM127" s="84"/>
      <c r="DN127" s="84"/>
      <c r="DO127" s="84"/>
      <c r="DP127" s="84"/>
      <c r="DQ127" s="84"/>
      <c r="DR127" s="84"/>
      <c r="DS127" s="84"/>
      <c r="DT127" s="84"/>
      <c r="DU127" s="84"/>
      <c r="DV127" s="84"/>
      <c r="DW127" s="84"/>
      <c r="DX127" s="84"/>
      <c r="DY127" s="84"/>
      <c r="DZ127" s="84"/>
      <c r="EA127" s="84"/>
      <c r="EB127" s="84"/>
      <c r="EC127" s="85"/>
      <c r="ED127" s="1412"/>
      <c r="EE127" s="18"/>
      <c r="EF127" s="83"/>
      <c r="EG127" s="84"/>
      <c r="EH127" s="84"/>
      <c r="EI127" s="84"/>
      <c r="EJ127" s="84"/>
      <c r="EK127" s="84"/>
      <c r="EL127" s="84"/>
      <c r="EM127" s="84"/>
      <c r="EN127" s="84"/>
      <c r="EO127" s="84"/>
      <c r="EP127" s="84"/>
      <c r="EQ127" s="84"/>
      <c r="ER127" s="84"/>
      <c r="ES127" s="84"/>
      <c r="ET127" s="84"/>
      <c r="EU127" s="84"/>
      <c r="EV127" s="84"/>
      <c r="EW127" s="84"/>
      <c r="EX127" s="84"/>
      <c r="EY127" s="84"/>
      <c r="EZ127" s="84"/>
      <c r="FA127" s="84"/>
      <c r="FB127" s="84"/>
      <c r="FC127" s="84"/>
      <c r="FD127" s="85"/>
      <c r="FE127" s="308"/>
      <c r="FF127" s="300"/>
      <c r="FG127" s="300"/>
      <c r="FH127" s="300"/>
      <c r="FO127" s="7"/>
    </row>
    <row r="128" spans="1:171" ht="14.25" hidden="1" customHeight="1" outlineLevel="1">
      <c r="A128" s="7"/>
      <c r="B128" s="678"/>
      <c r="C128" s="86"/>
      <c r="D128" s="296"/>
      <c r="E128" s="296"/>
      <c r="F128" s="296"/>
      <c r="G128" s="297"/>
      <c r="H128" s="296"/>
      <c r="I128" s="296"/>
      <c r="J128" s="296"/>
      <c r="K128" s="297"/>
      <c r="L128" s="296"/>
      <c r="M128" s="296"/>
      <c r="N128" s="296"/>
      <c r="O128" s="297"/>
      <c r="P128" s="296"/>
      <c r="Q128" s="296"/>
      <c r="R128" s="296"/>
      <c r="S128" s="297"/>
      <c r="T128" s="296"/>
      <c r="U128" s="296"/>
      <c r="V128" s="296"/>
      <c r="W128" s="297"/>
      <c r="X128" s="296"/>
      <c r="Y128" s="296"/>
      <c r="Z128" s="296"/>
      <c r="AA128" s="297"/>
      <c r="AB128" s="296"/>
      <c r="AC128" s="296"/>
      <c r="AD128" s="296"/>
      <c r="AE128" s="297"/>
      <c r="AF128" s="296"/>
      <c r="AG128" s="296"/>
      <c r="AH128" s="296"/>
      <c r="AI128" s="297"/>
      <c r="AJ128" s="296"/>
      <c r="AK128" s="296"/>
      <c r="AL128" s="296"/>
      <c r="AM128" s="297"/>
      <c r="AN128" s="296"/>
      <c r="AO128" s="296"/>
      <c r="AP128" s="296"/>
      <c r="AQ128" s="297"/>
      <c r="AR128" s="296"/>
      <c r="AS128" s="296"/>
      <c r="AT128" s="296"/>
      <c r="AU128" s="297"/>
      <c r="AV128" s="296"/>
      <c r="AW128" s="296"/>
      <c r="AX128" s="296"/>
      <c r="AY128" s="297"/>
      <c r="AZ128" s="296"/>
      <c r="BA128" s="296"/>
      <c r="BB128" s="296"/>
      <c r="BC128" s="297"/>
      <c r="BD128" s="296"/>
      <c r="BE128" s="296"/>
      <c r="BF128" s="296"/>
      <c r="BG128" s="297"/>
      <c r="BH128" s="296"/>
      <c r="BI128" s="296"/>
      <c r="BJ128" s="296"/>
      <c r="BK128" s="297"/>
      <c r="BL128" s="296"/>
      <c r="BM128" s="296"/>
      <c r="BN128" s="296"/>
      <c r="BO128" s="297"/>
      <c r="BP128" s="296"/>
      <c r="BQ128" s="296"/>
      <c r="BR128" s="296"/>
      <c r="BS128" s="297"/>
      <c r="BT128" s="296"/>
      <c r="BU128" s="296"/>
      <c r="BV128" s="296"/>
      <c r="BW128" s="297"/>
      <c r="BX128" s="296"/>
      <c r="BY128" s="296"/>
      <c r="BZ128" s="296"/>
      <c r="CA128" s="297"/>
      <c r="CB128" s="88"/>
      <c r="CC128" s="296"/>
      <c r="CD128" s="88"/>
      <c r="CE128" s="297"/>
      <c r="CF128" s="88"/>
      <c r="CG128" s="296"/>
      <c r="CH128" s="88"/>
      <c r="CI128" s="297"/>
      <c r="CJ128" s="88"/>
      <c r="CK128" s="296"/>
      <c r="CL128" s="88"/>
      <c r="CM128" s="297"/>
      <c r="CN128" s="88"/>
      <c r="CO128" s="296"/>
      <c r="CP128" s="88"/>
      <c r="CQ128" s="89"/>
      <c r="CR128" s="88"/>
      <c r="CS128" s="88"/>
      <c r="CT128" s="88"/>
      <c r="CU128" s="89"/>
      <c r="CV128" s="88"/>
      <c r="CW128" s="88"/>
      <c r="CX128" s="88"/>
      <c r="CY128" s="89"/>
      <c r="CZ128" s="88"/>
      <c r="DA128" s="88"/>
      <c r="DB128" s="88"/>
      <c r="DC128" s="89"/>
      <c r="DD128" s="18"/>
      <c r="DE128" s="88"/>
      <c r="DF128" s="88"/>
      <c r="DG128" s="88"/>
      <c r="DH128" s="88"/>
      <c r="DI128" s="88"/>
      <c r="DJ128" s="88"/>
      <c r="DK128" s="88"/>
      <c r="DL128" s="88"/>
      <c r="DM128" s="88"/>
      <c r="DN128" s="88"/>
      <c r="DO128" s="88"/>
      <c r="DP128" s="88"/>
      <c r="DQ128" s="88"/>
      <c r="DR128" s="88"/>
      <c r="DS128" s="88"/>
      <c r="DT128" s="88"/>
      <c r="DU128" s="88"/>
      <c r="DV128" s="88"/>
      <c r="DW128" s="88"/>
      <c r="DX128" s="88"/>
      <c r="DY128" s="88"/>
      <c r="DZ128" s="88"/>
      <c r="EA128" s="88"/>
      <c r="EB128" s="88"/>
      <c r="EC128" s="89"/>
      <c r="ED128" s="1413"/>
      <c r="EE128" s="18"/>
      <c r="EF128" s="87"/>
      <c r="EG128" s="88"/>
      <c r="EH128" s="88"/>
      <c r="EI128" s="88"/>
      <c r="EJ128" s="88"/>
      <c r="EK128" s="88"/>
      <c r="EL128" s="88"/>
      <c r="EM128" s="88"/>
      <c r="EN128" s="88"/>
      <c r="EO128" s="88"/>
      <c r="EP128" s="88"/>
      <c r="EQ128" s="88"/>
      <c r="ER128" s="88"/>
      <c r="ES128" s="88"/>
      <c r="ET128" s="88"/>
      <c r="EU128" s="88"/>
      <c r="EV128" s="88"/>
      <c r="EW128" s="88"/>
      <c r="EX128" s="88"/>
      <c r="EY128" s="88"/>
      <c r="EZ128" s="88"/>
      <c r="FA128" s="88"/>
      <c r="FB128" s="88"/>
      <c r="FC128" s="88"/>
      <c r="FD128" s="89"/>
      <c r="FE128" s="308"/>
      <c r="FF128" s="300"/>
      <c r="FG128" s="300"/>
      <c r="FH128" s="300"/>
      <c r="FO128" s="7"/>
    </row>
    <row r="129" spans="1:171" ht="14.25" hidden="1" customHeight="1" outlineLevel="1" collapsed="1">
      <c r="A129" s="7"/>
      <c r="B129" s="679"/>
      <c r="C129" s="276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  <c r="AL129" s="312"/>
      <c r="AM129" s="312"/>
      <c r="AN129" s="312"/>
      <c r="AO129" s="312"/>
      <c r="AP129" s="312"/>
      <c r="AQ129" s="312"/>
      <c r="AR129" s="312"/>
      <c r="AS129" s="312"/>
      <c r="AT129" s="312"/>
      <c r="AU129" s="312"/>
      <c r="AV129" s="312"/>
      <c r="AW129" s="312"/>
      <c r="AX129" s="312"/>
      <c r="AY129" s="312"/>
      <c r="AZ129" s="312"/>
      <c r="BA129" s="312"/>
      <c r="BB129" s="312"/>
      <c r="BC129" s="312"/>
      <c r="BD129" s="312"/>
      <c r="BE129" s="312"/>
      <c r="BF129" s="312"/>
      <c r="BG129" s="312"/>
      <c r="BH129" s="312"/>
      <c r="BI129" s="312"/>
      <c r="BJ129" s="312"/>
      <c r="BK129" s="312"/>
      <c r="BL129" s="312"/>
      <c r="BM129" s="312"/>
      <c r="BN129" s="312"/>
      <c r="BO129" s="312"/>
      <c r="BP129" s="312"/>
      <c r="BQ129" s="312"/>
      <c r="BR129" s="312"/>
      <c r="BS129" s="312"/>
      <c r="BT129" s="312"/>
      <c r="BU129" s="312"/>
      <c r="BV129" s="312"/>
      <c r="BW129" s="312"/>
      <c r="BX129" s="312"/>
      <c r="BY129" s="312"/>
      <c r="BZ129" s="312"/>
      <c r="CA129" s="312"/>
      <c r="CB129" s="276"/>
      <c r="CC129" s="312"/>
      <c r="CD129" s="276"/>
      <c r="CE129" s="312"/>
      <c r="CF129" s="276"/>
      <c r="CG129" s="312"/>
      <c r="CH129" s="276"/>
      <c r="CI129" s="312"/>
      <c r="CJ129" s="276"/>
      <c r="CK129" s="312"/>
      <c r="CL129" s="276"/>
      <c r="CM129" s="312"/>
      <c r="CN129" s="276"/>
      <c r="CO129" s="312"/>
      <c r="CP129" s="276"/>
      <c r="CQ129" s="276"/>
      <c r="CR129" s="276"/>
      <c r="CS129" s="276"/>
      <c r="CT129" s="276"/>
      <c r="CU129" s="276"/>
      <c r="CV129" s="276"/>
      <c r="CW129" s="276"/>
      <c r="CX129" s="276"/>
      <c r="CY129" s="276"/>
      <c r="CZ129" s="276"/>
      <c r="DA129" s="276"/>
      <c r="DB129" s="276"/>
      <c r="DC129" s="276"/>
      <c r="DD129" s="7"/>
      <c r="DE129" s="276"/>
      <c r="DF129" s="276"/>
      <c r="DG129" s="276"/>
      <c r="DH129" s="276"/>
      <c r="DI129" s="276"/>
      <c r="DJ129" s="276"/>
      <c r="DK129" s="276"/>
      <c r="DL129" s="276"/>
      <c r="DM129" s="276"/>
      <c r="DN129" s="276"/>
      <c r="DO129" s="276"/>
      <c r="DP129" s="276"/>
      <c r="DQ129" s="276"/>
      <c r="DR129" s="276"/>
      <c r="DS129" s="276"/>
      <c r="DT129" s="276"/>
      <c r="DU129" s="276"/>
      <c r="DV129" s="276"/>
      <c r="DW129" s="276"/>
      <c r="DX129" s="276"/>
      <c r="DY129" s="276"/>
      <c r="DZ129" s="276"/>
      <c r="EA129" s="276"/>
      <c r="EB129" s="276"/>
      <c r="EC129" s="276"/>
      <c r="ED129" s="276"/>
      <c r="EE129" s="13"/>
      <c r="EF129" s="276"/>
      <c r="EG129" s="276"/>
      <c r="EH129" s="276"/>
      <c r="EI129" s="276"/>
      <c r="EJ129" s="276"/>
      <c r="EK129" s="276"/>
      <c r="EL129" s="276"/>
      <c r="EM129" s="276"/>
      <c r="EN129" s="276"/>
      <c r="EO129" s="276"/>
      <c r="EP129" s="276"/>
      <c r="EQ129" s="276"/>
      <c r="ER129" s="276"/>
      <c r="ES129" s="276"/>
      <c r="ET129" s="276"/>
      <c r="EU129" s="276"/>
      <c r="EV129" s="276"/>
      <c r="EW129" s="276"/>
      <c r="EX129" s="276"/>
      <c r="EY129" s="276"/>
      <c r="EZ129" s="276"/>
      <c r="FA129" s="276"/>
      <c r="FB129" s="276"/>
      <c r="FC129" s="13"/>
      <c r="FD129" s="276"/>
      <c r="FO129" s="7"/>
    </row>
    <row r="130" spans="1:171" ht="14.25" hidden="1" customHeight="1" outlineLevel="1">
      <c r="A130" s="7"/>
      <c r="B130" s="541"/>
      <c r="C130" s="13"/>
      <c r="D130" s="317"/>
      <c r="E130" s="317"/>
      <c r="F130" s="317"/>
      <c r="G130" s="317"/>
      <c r="H130" s="317"/>
      <c r="I130" s="317"/>
      <c r="J130" s="317"/>
      <c r="K130" s="317"/>
      <c r="L130" s="317"/>
      <c r="M130" s="317"/>
      <c r="N130" s="317"/>
      <c r="O130" s="317"/>
      <c r="P130" s="317"/>
      <c r="Q130" s="317"/>
      <c r="R130" s="317"/>
      <c r="S130" s="317"/>
      <c r="T130" s="317"/>
      <c r="U130" s="317"/>
      <c r="V130" s="317"/>
      <c r="W130" s="317"/>
      <c r="X130" s="317"/>
      <c r="Y130" s="317"/>
      <c r="Z130" s="317"/>
      <c r="AA130" s="317"/>
      <c r="AB130" s="317"/>
      <c r="AC130" s="317"/>
      <c r="AD130" s="317"/>
      <c r="AE130" s="317"/>
      <c r="AF130" s="317"/>
      <c r="AG130" s="317"/>
      <c r="AH130" s="317"/>
      <c r="AI130" s="317"/>
      <c r="AJ130" s="317"/>
      <c r="AK130" s="317"/>
      <c r="AL130" s="317"/>
      <c r="AM130" s="317"/>
      <c r="AN130" s="317"/>
      <c r="AO130" s="317"/>
      <c r="AP130" s="317"/>
      <c r="AQ130" s="317"/>
      <c r="AR130" s="317"/>
      <c r="AS130" s="317"/>
      <c r="AT130" s="317"/>
      <c r="AU130" s="317"/>
      <c r="AV130" s="317"/>
      <c r="AW130" s="317"/>
      <c r="AX130" s="317"/>
      <c r="AY130" s="317"/>
      <c r="AZ130" s="317"/>
      <c r="BA130" s="317"/>
      <c r="BB130" s="317"/>
      <c r="BC130" s="317"/>
      <c r="BD130" s="317"/>
      <c r="BE130" s="317"/>
      <c r="BF130" s="317"/>
      <c r="BG130" s="317"/>
      <c r="BH130" s="317"/>
      <c r="BI130" s="317"/>
      <c r="BJ130" s="317"/>
      <c r="BK130" s="317"/>
      <c r="BL130" s="317"/>
      <c r="BM130" s="317"/>
      <c r="BN130" s="317"/>
      <c r="BO130" s="317"/>
      <c r="BP130" s="317"/>
      <c r="BQ130" s="317"/>
      <c r="BR130" s="317"/>
      <c r="BS130" s="317"/>
      <c r="BT130" s="317"/>
      <c r="BU130" s="317"/>
      <c r="BV130" s="317"/>
      <c r="BW130" s="317"/>
      <c r="BX130" s="317"/>
      <c r="BY130" s="317"/>
      <c r="BZ130" s="317"/>
      <c r="CA130" s="317"/>
      <c r="CB130" s="13"/>
      <c r="CC130" s="317"/>
      <c r="CD130" s="13"/>
      <c r="CE130" s="317"/>
      <c r="CF130" s="13"/>
      <c r="CG130" s="317"/>
      <c r="CH130" s="13"/>
      <c r="CI130" s="317"/>
      <c r="CJ130" s="13"/>
      <c r="CK130" s="317"/>
      <c r="CL130" s="13"/>
      <c r="CM130" s="317"/>
      <c r="CN130" s="13"/>
      <c r="CO130" s="317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7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O130" s="7"/>
    </row>
    <row r="131" spans="1:171" ht="14.25" hidden="1" customHeight="1" outlineLevel="1">
      <c r="A131" s="7"/>
      <c r="B131" s="542" t="s">
        <v>416</v>
      </c>
      <c r="C131" s="456"/>
      <c r="D131" s="1318"/>
      <c r="E131" s="1319"/>
      <c r="F131" s="1319"/>
      <c r="G131" s="1320"/>
      <c r="H131" s="1318"/>
      <c r="I131" s="1319"/>
      <c r="J131" s="1319"/>
      <c r="K131" s="1320"/>
      <c r="L131" s="1318"/>
      <c r="M131" s="1319"/>
      <c r="N131" s="1319"/>
      <c r="O131" s="1320"/>
      <c r="P131" s="1318"/>
      <c r="Q131" s="1319"/>
      <c r="R131" s="1319"/>
      <c r="S131" s="1320"/>
      <c r="T131" s="1318"/>
      <c r="U131" s="1319"/>
      <c r="V131" s="1319"/>
      <c r="W131" s="1320"/>
      <c r="X131" s="1318"/>
      <c r="Y131" s="1319"/>
      <c r="Z131" s="1319"/>
      <c r="AA131" s="1320"/>
      <c r="AB131" s="1318"/>
      <c r="AC131" s="1319"/>
      <c r="AD131" s="1319"/>
      <c r="AE131" s="1320"/>
      <c r="AF131" s="1318"/>
      <c r="AG131" s="1319"/>
      <c r="AH131" s="1319"/>
      <c r="AI131" s="1320"/>
      <c r="AJ131" s="1318"/>
      <c r="AK131" s="1319"/>
      <c r="AL131" s="1319"/>
      <c r="AM131" s="1320"/>
      <c r="AN131" s="1318"/>
      <c r="AO131" s="1319"/>
      <c r="AP131" s="1319"/>
      <c r="AQ131" s="1320"/>
      <c r="AR131" s="1318"/>
      <c r="AS131" s="1319"/>
      <c r="AT131" s="1319"/>
      <c r="AU131" s="1320"/>
      <c r="AV131" s="1318"/>
      <c r="AW131" s="1319"/>
      <c r="AX131" s="1319"/>
      <c r="AY131" s="1320"/>
      <c r="AZ131" s="1318"/>
      <c r="BA131" s="1319"/>
      <c r="BB131" s="1319"/>
      <c r="BC131" s="1320"/>
      <c r="BD131" s="1318"/>
      <c r="BE131" s="1319"/>
      <c r="BF131" s="1319"/>
      <c r="BG131" s="1320"/>
      <c r="BH131" s="1318"/>
      <c r="BI131" s="1319"/>
      <c r="BJ131" s="1319"/>
      <c r="BK131" s="1320"/>
      <c r="BL131" s="1318"/>
      <c r="BM131" s="1319"/>
      <c r="BN131" s="1319"/>
      <c r="BO131" s="1320"/>
      <c r="BP131" s="1318"/>
      <c r="BQ131" s="1319"/>
      <c r="BR131" s="1319"/>
      <c r="BS131" s="1320"/>
      <c r="BT131" s="1318"/>
      <c r="BU131" s="1319"/>
      <c r="BV131" s="1319"/>
      <c r="BW131" s="1320"/>
      <c r="BX131" s="15" t="str">
        <f t="shared" ref="BX131:CU131" si="888">+BX6</f>
        <v>F1Q13A</v>
      </c>
      <c r="BY131" s="16" t="str">
        <f t="shared" si="888"/>
        <v>F2Q13A</v>
      </c>
      <c r="BZ131" s="16" t="str">
        <f t="shared" si="888"/>
        <v>F3Q13</v>
      </c>
      <c r="CA131" s="17" t="str">
        <f t="shared" si="888"/>
        <v>F4Q13</v>
      </c>
      <c r="CB131" s="15" t="str">
        <f t="shared" si="888"/>
        <v>F1Q14</v>
      </c>
      <c r="CC131" s="16" t="str">
        <f t="shared" si="888"/>
        <v>F2Q14A</v>
      </c>
      <c r="CD131" s="16" t="str">
        <f t="shared" si="888"/>
        <v>F3Q14A</v>
      </c>
      <c r="CE131" s="17" t="str">
        <f t="shared" si="888"/>
        <v>F4Q14</v>
      </c>
      <c r="CF131" s="15" t="str">
        <f t="shared" si="888"/>
        <v>F1Q15A</v>
      </c>
      <c r="CG131" s="16" t="str">
        <f t="shared" si="888"/>
        <v>F2Q15A</v>
      </c>
      <c r="CH131" s="16" t="str">
        <f t="shared" si="888"/>
        <v>F3Q15A</v>
      </c>
      <c r="CI131" s="17" t="str">
        <f t="shared" si="888"/>
        <v>F4Q15A</v>
      </c>
      <c r="CJ131" s="15" t="str">
        <f t="shared" si="888"/>
        <v>F1Q16A</v>
      </c>
      <c r="CK131" s="16" t="str">
        <f t="shared" si="888"/>
        <v>F2Q16A</v>
      </c>
      <c r="CL131" s="16" t="str">
        <f t="shared" si="888"/>
        <v>F3Q16A</v>
      </c>
      <c r="CM131" s="17" t="str">
        <f t="shared" ref="CM131:CO131" si="889">+CM6</f>
        <v>F4Q16A</v>
      </c>
      <c r="CN131" s="15" t="str">
        <f t="shared" si="889"/>
        <v>F1Q17A</v>
      </c>
      <c r="CO131" s="1208" t="str">
        <f t="shared" si="889"/>
        <v>F2Q17A</v>
      </c>
      <c r="CP131" s="16" t="str">
        <f t="shared" si="888"/>
        <v>F3Q17A</v>
      </c>
      <c r="CQ131" s="17" t="str">
        <f t="shared" si="888"/>
        <v>F4Q17A</v>
      </c>
      <c r="CR131" s="1318" t="str">
        <f t="shared" si="888"/>
        <v>F1Q18A</v>
      </c>
      <c r="CS131" s="16" t="str">
        <f t="shared" si="888"/>
        <v>F2Q18A</v>
      </c>
      <c r="CT131" s="16" t="str">
        <f t="shared" si="888"/>
        <v>F3Q18E</v>
      </c>
      <c r="CU131" s="17" t="str">
        <f t="shared" si="888"/>
        <v>F4Q18E</v>
      </c>
      <c r="CV131" s="1318" t="str">
        <f t="shared" ref="CV131:CY131" si="890">+CV6</f>
        <v>F1Q19E</v>
      </c>
      <c r="CW131" s="1319" t="str">
        <f t="shared" si="890"/>
        <v>F2Q19E</v>
      </c>
      <c r="CX131" s="1319" t="str">
        <f t="shared" si="890"/>
        <v>F3Q19E</v>
      </c>
      <c r="CY131" s="1320" t="str">
        <f t="shared" si="890"/>
        <v>F4Q19E</v>
      </c>
      <c r="CZ131" s="1318" t="str">
        <f t="shared" ref="CZ131:DC131" si="891">+CZ6</f>
        <v>F1Q20E</v>
      </c>
      <c r="DA131" s="1319" t="str">
        <f t="shared" si="891"/>
        <v>F2Q20E</v>
      </c>
      <c r="DB131" s="1319" t="str">
        <f t="shared" si="891"/>
        <v>F3Q20E</v>
      </c>
      <c r="DC131" s="1320" t="str">
        <f t="shared" si="891"/>
        <v>F4Q20E</v>
      </c>
      <c r="DD131" s="1425"/>
      <c r="DE131" s="407" t="str">
        <f t="shared" ref="DE131:DY131" si="892">+DE6</f>
        <v>FY1995A</v>
      </c>
      <c r="DF131" s="408" t="str">
        <f t="shared" si="892"/>
        <v>FY1996A</v>
      </c>
      <c r="DG131" s="16" t="str">
        <f t="shared" si="892"/>
        <v>FY1997A</v>
      </c>
      <c r="DH131" s="16" t="str">
        <f t="shared" si="892"/>
        <v>FY1998A</v>
      </c>
      <c r="DI131" s="16" t="str">
        <f t="shared" si="892"/>
        <v>FY1999A</v>
      </c>
      <c r="DJ131" s="16" t="str">
        <f t="shared" si="892"/>
        <v>FY2000A</v>
      </c>
      <c r="DK131" s="16" t="str">
        <f t="shared" si="892"/>
        <v>FY2001A</v>
      </c>
      <c r="DL131" s="16" t="str">
        <f t="shared" si="892"/>
        <v>FY2002A</v>
      </c>
      <c r="DM131" s="16" t="str">
        <f t="shared" si="892"/>
        <v>FY2003A</v>
      </c>
      <c r="DN131" s="16" t="str">
        <f t="shared" si="892"/>
        <v>FY2004A</v>
      </c>
      <c r="DO131" s="16" t="str">
        <f t="shared" si="892"/>
        <v>FY2005A</v>
      </c>
      <c r="DP131" s="16" t="str">
        <f t="shared" si="892"/>
        <v>FY2006A</v>
      </c>
      <c r="DQ131" s="16" t="str">
        <f t="shared" si="892"/>
        <v>FY2007A</v>
      </c>
      <c r="DR131" s="16" t="str">
        <f t="shared" si="892"/>
        <v>FY2008A</v>
      </c>
      <c r="DS131" s="16" t="str">
        <f t="shared" si="892"/>
        <v>FY2009A</v>
      </c>
      <c r="DT131" s="1319" t="str">
        <f t="shared" si="892"/>
        <v>FY2010A</v>
      </c>
      <c r="DU131" s="1319" t="str">
        <f t="shared" si="892"/>
        <v>FY2011A</v>
      </c>
      <c r="DV131" s="1319" t="str">
        <f t="shared" si="892"/>
        <v>FY2012A</v>
      </c>
      <c r="DW131" s="1319" t="str">
        <f t="shared" si="892"/>
        <v>FY2013A</v>
      </c>
      <c r="DX131" s="1319" t="str">
        <f t="shared" si="892"/>
        <v>FY2014A</v>
      </c>
      <c r="DY131" s="1319" t="str">
        <f t="shared" si="892"/>
        <v>FY2015A</v>
      </c>
      <c r="DZ131" s="1319" t="s">
        <v>176</v>
      </c>
      <c r="EA131" s="16" t="s">
        <v>177</v>
      </c>
      <c r="EB131" s="1319" t="s">
        <v>178</v>
      </c>
      <c r="EC131" s="1320" t="s">
        <v>179</v>
      </c>
      <c r="ED131" s="19" t="s">
        <v>180</v>
      </c>
      <c r="EE131" s="18"/>
      <c r="EF131" s="406"/>
      <c r="EG131" s="404"/>
      <c r="EH131" s="404"/>
      <c r="EI131" s="404"/>
      <c r="EJ131" s="404"/>
      <c r="EK131" s="404"/>
      <c r="EL131" s="404"/>
      <c r="EM131" s="404"/>
      <c r="EN131" s="404"/>
      <c r="EO131" s="404"/>
      <c r="EP131" s="404"/>
      <c r="EQ131" s="404"/>
      <c r="ER131" s="404"/>
      <c r="ES131" s="404"/>
      <c r="ET131" s="404"/>
      <c r="EU131" s="404" t="str">
        <f>+EU4</f>
        <v>CY2010</v>
      </c>
      <c r="EV131" s="404" t="str">
        <f>+EV4</f>
        <v>CY2011</v>
      </c>
      <c r="EW131" s="404" t="str">
        <f>+EW4</f>
        <v>CY2012</v>
      </c>
      <c r="EX131" s="16" t="str">
        <f>+EX4</f>
        <v>CY2013</v>
      </c>
      <c r="EY131" s="404" t="str">
        <f>+EY4</f>
        <v>CY2014</v>
      </c>
      <c r="EZ131" s="404" t="s">
        <v>560</v>
      </c>
      <c r="FA131" s="404" t="s">
        <v>561</v>
      </c>
      <c r="FB131" s="1134" t="s">
        <v>574</v>
      </c>
      <c r="FC131" s="1134" t="s">
        <v>602</v>
      </c>
      <c r="FD131" s="1157" t="s">
        <v>602</v>
      </c>
      <c r="FE131" s="300"/>
      <c r="FF131" s="300"/>
      <c r="FG131" s="300"/>
      <c r="FH131" s="300"/>
      <c r="FO131" s="7"/>
    </row>
    <row r="132" spans="1:171" s="749" customFormat="1" ht="14.25" hidden="1" customHeight="1" outlineLevel="1">
      <c r="A132" s="737"/>
      <c r="B132" s="833" t="str">
        <f>+B97</f>
        <v>Net Income Attributable to Micron (GAAP)</v>
      </c>
      <c r="C132" s="738"/>
      <c r="D132" s="739"/>
      <c r="E132" s="739"/>
      <c r="F132" s="739"/>
      <c r="G132" s="740"/>
      <c r="H132" s="739"/>
      <c r="I132" s="739"/>
      <c r="J132" s="739"/>
      <c r="K132" s="740"/>
      <c r="L132" s="739"/>
      <c r="M132" s="739"/>
      <c r="N132" s="739"/>
      <c r="O132" s="740"/>
      <c r="P132" s="739"/>
      <c r="Q132" s="739"/>
      <c r="R132" s="739"/>
      <c r="S132" s="740"/>
      <c r="T132" s="739"/>
      <c r="U132" s="739"/>
      <c r="V132" s="739"/>
      <c r="W132" s="740"/>
      <c r="X132" s="739"/>
      <c r="Y132" s="739"/>
      <c r="Z132" s="739"/>
      <c r="AA132" s="740"/>
      <c r="AB132" s="739"/>
      <c r="AC132" s="739"/>
      <c r="AD132" s="739"/>
      <c r="AE132" s="740"/>
      <c r="AF132" s="739"/>
      <c r="AG132" s="739"/>
      <c r="AH132" s="739"/>
      <c r="AI132" s="740"/>
      <c r="AJ132" s="739"/>
      <c r="AK132" s="739"/>
      <c r="AL132" s="739"/>
      <c r="AM132" s="740"/>
      <c r="AN132" s="739"/>
      <c r="AO132" s="739"/>
      <c r="AP132" s="739"/>
      <c r="AQ132" s="740"/>
      <c r="AR132" s="739"/>
      <c r="AS132" s="739"/>
      <c r="AT132" s="739"/>
      <c r="AU132" s="740"/>
      <c r="AV132" s="739"/>
      <c r="AW132" s="739"/>
      <c r="AX132" s="739"/>
      <c r="AY132" s="740"/>
      <c r="AZ132" s="739"/>
      <c r="BA132" s="739"/>
      <c r="BB132" s="739"/>
      <c r="BC132" s="740"/>
      <c r="BD132" s="739"/>
      <c r="BE132" s="739"/>
      <c r="BF132" s="739"/>
      <c r="BG132" s="740"/>
      <c r="BH132" s="739"/>
      <c r="BI132" s="739"/>
      <c r="BJ132" s="739"/>
      <c r="BK132" s="740"/>
      <c r="BL132" s="739"/>
      <c r="BM132" s="739"/>
      <c r="BN132" s="739"/>
      <c r="BO132" s="740"/>
      <c r="BP132" s="739"/>
      <c r="BQ132" s="739"/>
      <c r="BR132" s="739"/>
      <c r="BS132" s="740"/>
      <c r="BT132" s="739"/>
      <c r="BU132" s="739"/>
      <c r="BV132" s="739"/>
      <c r="BW132" s="740"/>
      <c r="BX132" s="739"/>
      <c r="BY132" s="739"/>
      <c r="BZ132" s="739"/>
      <c r="CA132" s="740"/>
      <c r="CB132" s="807">
        <f t="shared" ref="CB132:CQ132" si="893">+CB97</f>
        <v>358</v>
      </c>
      <c r="CC132" s="808">
        <f t="shared" si="893"/>
        <v>731</v>
      </c>
      <c r="CD132" s="808">
        <f t="shared" si="893"/>
        <v>806</v>
      </c>
      <c r="CE132" s="740">
        <f t="shared" si="893"/>
        <v>1150</v>
      </c>
      <c r="CF132" s="807">
        <f t="shared" si="893"/>
        <v>1003</v>
      </c>
      <c r="CG132" s="808">
        <f t="shared" si="893"/>
        <v>934</v>
      </c>
      <c r="CH132" s="808">
        <f t="shared" si="893"/>
        <v>491</v>
      </c>
      <c r="CI132" s="740">
        <f t="shared" si="893"/>
        <v>471</v>
      </c>
      <c r="CJ132" s="807">
        <f t="shared" si="893"/>
        <v>206</v>
      </c>
      <c r="CK132" s="808">
        <f t="shared" si="893"/>
        <v>-97</v>
      </c>
      <c r="CL132" s="808">
        <f t="shared" si="893"/>
        <v>-215</v>
      </c>
      <c r="CM132" s="740">
        <f t="shared" ref="CM132" si="894">+CM97</f>
        <v>-170</v>
      </c>
      <c r="CN132" s="807">
        <f>+CN97</f>
        <v>180</v>
      </c>
      <c r="CO132" s="808">
        <f t="shared" ref="CO132" si="895">+CO97</f>
        <v>894</v>
      </c>
      <c r="CP132" s="808">
        <f t="shared" si="893"/>
        <v>1647</v>
      </c>
      <c r="CQ132" s="809">
        <f t="shared" si="893"/>
        <v>2368</v>
      </c>
      <c r="CR132" s="807">
        <f t="shared" ref="CR132:CU132" si="896">+CR97</f>
        <v>2678</v>
      </c>
      <c r="CS132" s="808">
        <f t="shared" si="896"/>
        <v>3302</v>
      </c>
      <c r="CT132" s="808">
        <f t="shared" si="896"/>
        <v>3522.2096053387108</v>
      </c>
      <c r="CU132" s="809">
        <f t="shared" si="896"/>
        <v>3466.2660006003762</v>
      </c>
      <c r="CV132" s="807">
        <f t="shared" ref="CV132:CY132" si="897">+CV97</f>
        <v>2766.9864124111864</v>
      </c>
      <c r="CW132" s="808">
        <f t="shared" si="897"/>
        <v>2320.9252198045269</v>
      </c>
      <c r="CX132" s="808">
        <f t="shared" si="897"/>
        <v>1888.0719806037869</v>
      </c>
      <c r="CY132" s="809">
        <f t="shared" si="897"/>
        <v>1660.1994273413607</v>
      </c>
      <c r="CZ132" s="807">
        <f t="shared" ref="CZ132:DC132" si="898">+CZ97</f>
        <v>1485.7809555562255</v>
      </c>
      <c r="DA132" s="808">
        <f t="shared" si="898"/>
        <v>1352.5726544938814</v>
      </c>
      <c r="DB132" s="808">
        <f t="shared" si="898"/>
        <v>1291.1874698997005</v>
      </c>
      <c r="DC132" s="809">
        <f t="shared" si="898"/>
        <v>1251.2791318465074</v>
      </c>
      <c r="DD132" s="743"/>
      <c r="DE132" s="744"/>
      <c r="DF132" s="744"/>
      <c r="DG132" s="744"/>
      <c r="DH132" s="744"/>
      <c r="DI132" s="744"/>
      <c r="DJ132" s="744"/>
      <c r="DK132" s="744"/>
      <c r="DL132" s="744"/>
      <c r="DM132" s="744"/>
      <c r="DN132" s="744"/>
      <c r="DO132" s="744"/>
      <c r="DP132" s="745"/>
      <c r="DQ132" s="745"/>
      <c r="DR132" s="745"/>
      <c r="DS132" s="745"/>
      <c r="DT132" s="745"/>
      <c r="DU132" s="745"/>
      <c r="DV132" s="745"/>
      <c r="DW132" s="745"/>
      <c r="DX132" s="745"/>
      <c r="DY132" s="745"/>
      <c r="DZ132" s="745"/>
      <c r="EA132" s="745"/>
      <c r="EB132" s="745"/>
      <c r="EC132" s="738"/>
      <c r="ED132" s="1407"/>
      <c r="EE132" s="743"/>
      <c r="EF132" s="747"/>
      <c r="EG132" s="745"/>
      <c r="EH132" s="745"/>
      <c r="EI132" s="745"/>
      <c r="EJ132" s="745"/>
      <c r="EK132" s="745"/>
      <c r="EL132" s="745"/>
      <c r="EM132" s="745"/>
      <c r="EN132" s="745"/>
      <c r="EO132" s="745"/>
      <c r="EP132" s="745"/>
      <c r="EQ132" s="745"/>
      <c r="ER132" s="745"/>
      <c r="ES132" s="745"/>
      <c r="ET132" s="745"/>
      <c r="EU132" s="745"/>
      <c r="EV132" s="745"/>
      <c r="EW132" s="745"/>
      <c r="EX132" s="746"/>
      <c r="EY132" s="745"/>
      <c r="EZ132" s="745"/>
      <c r="FA132" s="745"/>
      <c r="FB132" s="746"/>
      <c r="FC132" s="746"/>
      <c r="FD132" s="746"/>
      <c r="FE132" s="748"/>
      <c r="FF132" s="1295"/>
      <c r="FG132" s="1295"/>
      <c r="FH132" s="1295"/>
      <c r="FI132"/>
      <c r="FJ132"/>
      <c r="FK132"/>
      <c r="FL132"/>
      <c r="FM132"/>
      <c r="FN132"/>
      <c r="FO132" s="737"/>
    </row>
    <row r="133" spans="1:171" s="749" customFormat="1" ht="14.25" hidden="1" customHeight="1" outlineLevel="1">
      <c r="A133" s="737"/>
      <c r="B133" s="834" t="s">
        <v>417</v>
      </c>
      <c r="C133" s="751"/>
      <c r="D133" s="752"/>
      <c r="E133" s="752"/>
      <c r="F133" s="752"/>
      <c r="G133" s="754"/>
      <c r="H133" s="752"/>
      <c r="I133" s="752"/>
      <c r="J133" s="752"/>
      <c r="K133" s="754"/>
      <c r="L133" s="752"/>
      <c r="M133" s="752"/>
      <c r="N133" s="752"/>
      <c r="O133" s="754"/>
      <c r="P133" s="752"/>
      <c r="Q133" s="752"/>
      <c r="R133" s="752"/>
      <c r="S133" s="754"/>
      <c r="T133" s="752"/>
      <c r="U133" s="752"/>
      <c r="V133" s="752"/>
      <c r="W133" s="754"/>
      <c r="X133" s="752"/>
      <c r="Y133" s="752"/>
      <c r="Z133" s="752"/>
      <c r="AA133" s="754"/>
      <c r="AB133" s="752"/>
      <c r="AC133" s="752"/>
      <c r="AD133" s="752"/>
      <c r="AE133" s="754"/>
      <c r="AF133" s="752"/>
      <c r="AG133" s="752"/>
      <c r="AH133" s="752"/>
      <c r="AI133" s="754"/>
      <c r="AJ133" s="752"/>
      <c r="AK133" s="752"/>
      <c r="AL133" s="752"/>
      <c r="AM133" s="754"/>
      <c r="AN133" s="752"/>
      <c r="AO133" s="752"/>
      <c r="AP133" s="752"/>
      <c r="AQ133" s="754"/>
      <c r="AR133" s="752"/>
      <c r="AS133" s="752"/>
      <c r="AT133" s="752"/>
      <c r="AU133" s="754"/>
      <c r="AV133" s="752"/>
      <c r="AW133" s="752"/>
      <c r="AX133" s="752"/>
      <c r="AY133" s="754"/>
      <c r="AZ133" s="752"/>
      <c r="BA133" s="752"/>
      <c r="BB133" s="752"/>
      <c r="BC133" s="754"/>
      <c r="BD133" s="752"/>
      <c r="BE133" s="752"/>
      <c r="BF133" s="752"/>
      <c r="BG133" s="754"/>
      <c r="BH133" s="752"/>
      <c r="BI133" s="752"/>
      <c r="BJ133" s="752"/>
      <c r="BK133" s="754"/>
      <c r="BL133" s="752"/>
      <c r="BM133" s="752"/>
      <c r="BN133" s="752"/>
      <c r="BO133" s="754"/>
      <c r="BP133" s="752"/>
      <c r="BQ133" s="752"/>
      <c r="BR133" s="752"/>
      <c r="BS133" s="754"/>
      <c r="BT133" s="752"/>
      <c r="BU133" s="752"/>
      <c r="BV133" s="752"/>
      <c r="BW133" s="754"/>
      <c r="BX133" s="752"/>
      <c r="BY133" s="752"/>
      <c r="BZ133" s="752"/>
      <c r="CA133" s="754"/>
      <c r="CC133" s="752"/>
      <c r="CD133" s="752"/>
      <c r="CE133" s="754"/>
      <c r="CG133" s="752"/>
      <c r="CH133" s="752"/>
      <c r="CI133" s="754"/>
      <c r="CK133" s="752"/>
      <c r="CL133" s="752"/>
      <c r="CM133" s="754"/>
      <c r="CO133" s="752"/>
      <c r="CP133" s="752"/>
      <c r="CQ133" s="755"/>
      <c r="CS133" s="752"/>
      <c r="CT133" s="752"/>
      <c r="CU133" s="755"/>
      <c r="CW133" s="752"/>
      <c r="CX133" s="752"/>
      <c r="CY133" s="755"/>
      <c r="DA133" s="752"/>
      <c r="DB133" s="752"/>
      <c r="DC133" s="755"/>
      <c r="DD133" s="743"/>
      <c r="DE133" s="756"/>
      <c r="DF133" s="756"/>
      <c r="DG133" s="756"/>
      <c r="DH133" s="756"/>
      <c r="DI133" s="756"/>
      <c r="DJ133" s="756"/>
      <c r="DK133" s="756"/>
      <c r="DL133" s="756"/>
      <c r="DM133" s="756"/>
      <c r="DN133" s="756"/>
      <c r="DO133" s="756"/>
      <c r="DP133" s="746"/>
      <c r="DQ133" s="746"/>
      <c r="DR133" s="746"/>
      <c r="DS133" s="746"/>
      <c r="DT133" s="746"/>
      <c r="DU133" s="746"/>
      <c r="DV133" s="746"/>
      <c r="DW133" s="746"/>
      <c r="DX133" s="746"/>
      <c r="DY133" s="746"/>
      <c r="DZ133" s="746"/>
      <c r="EA133" s="746"/>
      <c r="EB133" s="746"/>
      <c r="EC133" s="751"/>
      <c r="ED133" s="763"/>
      <c r="EE133" s="743"/>
      <c r="EF133" s="757"/>
      <c r="EG133" s="746"/>
      <c r="EH133" s="746"/>
      <c r="EI133" s="746"/>
      <c r="EJ133" s="746"/>
      <c r="EK133" s="746"/>
      <c r="EL133" s="746"/>
      <c r="EM133" s="746"/>
      <c r="EN133" s="746"/>
      <c r="EO133" s="746"/>
      <c r="EP133" s="746"/>
      <c r="EQ133" s="746"/>
      <c r="ER133" s="746"/>
      <c r="ES133" s="746"/>
      <c r="ET133" s="746"/>
      <c r="EU133" s="746"/>
      <c r="EV133" s="746"/>
      <c r="EW133" s="746"/>
      <c r="EX133" s="746"/>
      <c r="EY133" s="746"/>
      <c r="EZ133" s="746"/>
      <c r="FA133" s="746"/>
      <c r="FB133" s="746"/>
      <c r="FC133" s="746"/>
      <c r="FD133" s="746"/>
      <c r="FE133" s="748"/>
      <c r="FF133" s="1295"/>
      <c r="FG133" s="1295"/>
      <c r="FH133" s="1295"/>
      <c r="FI133"/>
      <c r="FJ133"/>
      <c r="FK133"/>
      <c r="FL133"/>
      <c r="FM133"/>
      <c r="FN133"/>
      <c r="FO133" s="737"/>
    </row>
    <row r="134" spans="1:171" s="749" customFormat="1" ht="14.25" hidden="1" customHeight="1" outlineLevel="1">
      <c r="A134" s="737"/>
      <c r="B134" s="448" t="s">
        <v>159</v>
      </c>
      <c r="C134" s="751"/>
      <c r="D134" s="752"/>
      <c r="E134" s="752"/>
      <c r="F134" s="752"/>
      <c r="G134" s="754"/>
      <c r="H134" s="752"/>
      <c r="I134" s="752"/>
      <c r="J134" s="752"/>
      <c r="K134" s="754"/>
      <c r="L134" s="752"/>
      <c r="M134" s="752"/>
      <c r="N134" s="752"/>
      <c r="O134" s="754"/>
      <c r="P134" s="752"/>
      <c r="Q134" s="752"/>
      <c r="R134" s="752"/>
      <c r="S134" s="754"/>
      <c r="T134" s="752"/>
      <c r="U134" s="752"/>
      <c r="V134" s="752"/>
      <c r="W134" s="754"/>
      <c r="X134" s="752"/>
      <c r="Y134" s="752"/>
      <c r="Z134" s="752"/>
      <c r="AA134" s="754"/>
      <c r="AB134" s="752"/>
      <c r="AC134" s="752"/>
      <c r="AD134" s="752"/>
      <c r="AE134" s="754"/>
      <c r="AF134" s="752"/>
      <c r="AG134" s="752"/>
      <c r="AH134" s="752"/>
      <c r="AI134" s="754"/>
      <c r="AJ134" s="752"/>
      <c r="AK134" s="752"/>
      <c r="AL134" s="752"/>
      <c r="AM134" s="754"/>
      <c r="AN134" s="752"/>
      <c r="AO134" s="752"/>
      <c r="AP134" s="752"/>
      <c r="AQ134" s="754"/>
      <c r="AR134" s="752"/>
      <c r="AS134" s="752"/>
      <c r="AT134" s="752"/>
      <c r="AU134" s="754"/>
      <c r="AV134" s="752"/>
      <c r="AW134" s="752"/>
      <c r="AX134" s="752"/>
      <c r="AY134" s="754"/>
      <c r="AZ134" s="752"/>
      <c r="BA134" s="752"/>
      <c r="BB134" s="752"/>
      <c r="BC134" s="754"/>
      <c r="BD134" s="752"/>
      <c r="BE134" s="752"/>
      <c r="BF134" s="752"/>
      <c r="BG134" s="754"/>
      <c r="BH134" s="752"/>
      <c r="BI134" s="752"/>
      <c r="BJ134" s="752"/>
      <c r="BK134" s="754"/>
      <c r="BL134" s="752"/>
      <c r="BM134" s="752"/>
      <c r="BN134" s="752"/>
      <c r="BO134" s="754"/>
      <c r="BP134" s="752"/>
      <c r="BQ134" s="752"/>
      <c r="BR134" s="752"/>
      <c r="BS134" s="754"/>
      <c r="BT134" s="752"/>
      <c r="BU134" s="752"/>
      <c r="BV134" s="752"/>
      <c r="BW134" s="754"/>
      <c r="BX134" s="752"/>
      <c r="BY134" s="752"/>
      <c r="BZ134" s="752"/>
      <c r="CA134" s="754"/>
      <c r="CB134" s="750">
        <f t="shared" ref="CB134:CI134" si="899">+SUM(CB135:CB137)</f>
        <v>341</v>
      </c>
      <c r="CC134" s="759">
        <f t="shared" si="899"/>
        <v>54</v>
      </c>
      <c r="CD134" s="759">
        <f t="shared" si="899"/>
        <v>9</v>
      </c>
      <c r="CE134" s="754">
        <f t="shared" si="899"/>
        <v>22</v>
      </c>
      <c r="CF134" s="750">
        <f t="shared" si="899"/>
        <v>11</v>
      </c>
      <c r="CG134" s="759">
        <f t="shared" si="899"/>
        <v>1</v>
      </c>
      <c r="CH134" s="759">
        <f>+SUM(CH135:CH137)</f>
        <v>1</v>
      </c>
      <c r="CI134" s="754">
        <f t="shared" si="899"/>
        <v>0</v>
      </c>
      <c r="CJ134" s="750">
        <f t="shared" ref="CJ134:CR134" si="900">+SUM(CJ135:CJ137)</f>
        <v>15</v>
      </c>
      <c r="CK134" s="759">
        <f t="shared" si="900"/>
        <v>1</v>
      </c>
      <c r="CL134" s="759">
        <f t="shared" si="900"/>
        <v>0</v>
      </c>
      <c r="CM134" s="754">
        <f t="shared" ref="CM134:CO134" si="901">+SUM(CM135:CM137)</f>
        <v>51</v>
      </c>
      <c r="CN134" s="750">
        <f t="shared" si="901"/>
        <v>45</v>
      </c>
      <c r="CO134" s="759">
        <f t="shared" si="901"/>
        <v>64</v>
      </c>
      <c r="CP134" s="759">
        <f t="shared" si="900"/>
        <v>48</v>
      </c>
      <c r="CQ134" s="758">
        <f t="shared" si="900"/>
        <v>38</v>
      </c>
      <c r="CR134" s="750">
        <f t="shared" si="900"/>
        <v>6</v>
      </c>
      <c r="CS134" s="759">
        <f t="shared" ref="CS134" si="902">+SUM(CS135:CS137)</f>
        <v>7</v>
      </c>
      <c r="CT134" s="759">
        <f t="shared" ref="CT134:CU134" si="903">+SUM(CT135:CT137)</f>
        <v>0</v>
      </c>
      <c r="CU134" s="758">
        <f t="shared" si="903"/>
        <v>0</v>
      </c>
      <c r="CV134" s="750">
        <f t="shared" ref="CV134:CY134" si="904">+SUM(CV135:CV137)</f>
        <v>0</v>
      </c>
      <c r="CW134" s="759">
        <f t="shared" si="904"/>
        <v>0</v>
      </c>
      <c r="CX134" s="759">
        <f t="shared" si="904"/>
        <v>0</v>
      </c>
      <c r="CY134" s="758">
        <f t="shared" si="904"/>
        <v>0</v>
      </c>
      <c r="CZ134" s="750">
        <f t="shared" ref="CZ134:DC134" si="905">+SUM(CZ135:CZ137)</f>
        <v>0</v>
      </c>
      <c r="DA134" s="759">
        <f t="shared" si="905"/>
        <v>0</v>
      </c>
      <c r="DB134" s="759">
        <f t="shared" si="905"/>
        <v>0</v>
      </c>
      <c r="DC134" s="758">
        <f t="shared" si="905"/>
        <v>0</v>
      </c>
      <c r="DD134" s="743"/>
      <c r="DE134" s="756"/>
      <c r="DF134" s="756"/>
      <c r="DG134" s="756"/>
      <c r="DH134" s="756"/>
      <c r="DI134" s="756"/>
      <c r="DJ134" s="756"/>
      <c r="DK134" s="756"/>
      <c r="DL134" s="756"/>
      <c r="DM134" s="756"/>
      <c r="DN134" s="756"/>
      <c r="DO134" s="756"/>
      <c r="DP134" s="746"/>
      <c r="DQ134" s="746"/>
      <c r="DR134" s="746"/>
      <c r="DS134" s="746"/>
      <c r="DT134" s="746"/>
      <c r="DU134" s="746"/>
      <c r="DV134" s="746"/>
      <c r="DW134" s="746"/>
      <c r="DX134" s="746"/>
      <c r="DY134" s="746"/>
      <c r="DZ134" s="746"/>
      <c r="EA134" s="746"/>
      <c r="EB134" s="746"/>
      <c r="EC134" s="751"/>
      <c r="ED134" s="763"/>
      <c r="EE134" s="743"/>
      <c r="EF134" s="746"/>
      <c r="EG134" s="746"/>
      <c r="EH134" s="746"/>
      <c r="EI134" s="746"/>
      <c r="EJ134" s="746"/>
      <c r="EK134" s="746"/>
      <c r="EL134" s="746"/>
      <c r="EM134" s="746"/>
      <c r="EN134" s="746"/>
      <c r="EO134" s="746"/>
      <c r="EP134" s="746"/>
      <c r="EQ134" s="746"/>
      <c r="ER134" s="746"/>
      <c r="ES134" s="746"/>
      <c r="ET134" s="746"/>
      <c r="EU134" s="746"/>
      <c r="EV134" s="746"/>
      <c r="EW134" s="746"/>
      <c r="EX134" s="746"/>
      <c r="EY134" s="746"/>
      <c r="EZ134" s="746"/>
      <c r="FA134" s="746"/>
      <c r="FB134" s="746"/>
      <c r="FC134" s="746"/>
      <c r="FD134" s="746"/>
      <c r="FE134" s="748"/>
      <c r="FF134" s="1295"/>
      <c r="FG134" s="1295"/>
      <c r="FH134" s="1295"/>
      <c r="FI134"/>
      <c r="FJ134"/>
      <c r="FK134"/>
      <c r="FL134"/>
      <c r="FM134"/>
      <c r="FN134"/>
      <c r="FO134" s="737"/>
    </row>
    <row r="135" spans="1:171" s="749" customFormat="1" ht="14.25" hidden="1" customHeight="1" outlineLevel="1">
      <c r="A135" s="737"/>
      <c r="B135" s="835" t="s">
        <v>418</v>
      </c>
      <c r="C135" s="751"/>
      <c r="D135" s="752"/>
      <c r="E135" s="752"/>
      <c r="F135" s="752"/>
      <c r="G135" s="754"/>
      <c r="H135" s="752"/>
      <c r="I135" s="752"/>
      <c r="J135" s="752"/>
      <c r="K135" s="754"/>
      <c r="L135" s="752"/>
      <c r="M135" s="752"/>
      <c r="N135" s="752"/>
      <c r="O135" s="754"/>
      <c r="P135" s="752"/>
      <c r="Q135" s="752"/>
      <c r="R135" s="752"/>
      <c r="S135" s="754"/>
      <c r="T135" s="752"/>
      <c r="U135" s="752"/>
      <c r="V135" s="752"/>
      <c r="W135" s="754"/>
      <c r="X135" s="752"/>
      <c r="Y135" s="752"/>
      <c r="Z135" s="752"/>
      <c r="AA135" s="754"/>
      <c r="AB135" s="752"/>
      <c r="AC135" s="752"/>
      <c r="AD135" s="752"/>
      <c r="AE135" s="754"/>
      <c r="AF135" s="752"/>
      <c r="AG135" s="752"/>
      <c r="AH135" s="752"/>
      <c r="AI135" s="754"/>
      <c r="AJ135" s="752"/>
      <c r="AK135" s="752"/>
      <c r="AL135" s="752"/>
      <c r="AM135" s="754"/>
      <c r="AN135" s="752"/>
      <c r="AO135" s="752"/>
      <c r="AP135" s="752"/>
      <c r="AQ135" s="754"/>
      <c r="AR135" s="752"/>
      <c r="AS135" s="752"/>
      <c r="AT135" s="752"/>
      <c r="AU135" s="754"/>
      <c r="AV135" s="752"/>
      <c r="AW135" s="752"/>
      <c r="AX135" s="752"/>
      <c r="AY135" s="754"/>
      <c r="AZ135" s="752"/>
      <c r="BA135" s="752"/>
      <c r="BB135" s="752"/>
      <c r="BC135" s="754"/>
      <c r="BD135" s="752"/>
      <c r="BE135" s="752"/>
      <c r="BF135" s="752"/>
      <c r="BG135" s="754"/>
      <c r="BH135" s="752"/>
      <c r="BI135" s="752"/>
      <c r="BJ135" s="752"/>
      <c r="BK135" s="754"/>
      <c r="BL135" s="752"/>
      <c r="BM135" s="752"/>
      <c r="BN135" s="752"/>
      <c r="BO135" s="754"/>
      <c r="BP135" s="752"/>
      <c r="BQ135" s="752"/>
      <c r="BR135" s="752"/>
      <c r="BS135" s="754"/>
      <c r="BT135" s="752"/>
      <c r="BU135" s="752"/>
      <c r="BV135" s="752"/>
      <c r="BW135" s="754"/>
      <c r="BX135" s="752"/>
      <c r="BY135" s="752"/>
      <c r="BZ135" s="752"/>
      <c r="CA135" s="754"/>
      <c r="CB135" s="752">
        <v>111</v>
      </c>
      <c r="CC135" s="752">
        <v>42</v>
      </c>
      <c r="CD135" s="752">
        <v>0</v>
      </c>
      <c r="CE135" s="754">
        <v>0</v>
      </c>
      <c r="CF135" s="752">
        <v>0</v>
      </c>
      <c r="CG135" s="752">
        <v>0</v>
      </c>
      <c r="CH135" s="752">
        <v>0</v>
      </c>
      <c r="CI135" s="754">
        <v>0</v>
      </c>
      <c r="CJ135" s="752">
        <v>0</v>
      </c>
      <c r="CK135" s="752">
        <v>0</v>
      </c>
      <c r="CL135" s="752">
        <v>0</v>
      </c>
      <c r="CM135" s="754">
        <v>0</v>
      </c>
      <c r="CN135" s="752">
        <v>0</v>
      </c>
      <c r="CO135" s="752">
        <v>60</v>
      </c>
      <c r="CP135" s="752">
        <v>36</v>
      </c>
      <c r="CQ135" s="796">
        <v>11</v>
      </c>
      <c r="CR135" s="752">
        <v>0</v>
      </c>
      <c r="CS135" s="752">
        <v>0</v>
      </c>
      <c r="CT135" s="752">
        <v>0</v>
      </c>
      <c r="CU135" s="796">
        <v>0</v>
      </c>
      <c r="CV135" s="752">
        <v>0</v>
      </c>
      <c r="CW135" s="752">
        <v>0</v>
      </c>
      <c r="CX135" s="752">
        <v>0</v>
      </c>
      <c r="CY135" s="796">
        <v>0</v>
      </c>
      <c r="CZ135" s="752">
        <v>0</v>
      </c>
      <c r="DA135" s="752">
        <v>0</v>
      </c>
      <c r="DB135" s="752">
        <v>0</v>
      </c>
      <c r="DC135" s="796">
        <v>0</v>
      </c>
      <c r="DD135" s="743"/>
      <c r="DE135" s="756"/>
      <c r="DF135" s="756"/>
      <c r="DG135" s="756"/>
      <c r="DH135" s="756"/>
      <c r="DI135" s="756"/>
      <c r="DJ135" s="756"/>
      <c r="DK135" s="756"/>
      <c r="DL135" s="756"/>
      <c r="DM135" s="756"/>
      <c r="DN135" s="756"/>
      <c r="DO135" s="756"/>
      <c r="DP135" s="746"/>
      <c r="DQ135" s="746"/>
      <c r="DR135" s="746"/>
      <c r="DS135" s="746"/>
      <c r="DT135" s="746"/>
      <c r="DU135" s="746"/>
      <c r="DV135" s="746"/>
      <c r="DW135" s="746"/>
      <c r="DX135" s="746"/>
      <c r="DY135" s="746"/>
      <c r="DZ135" s="746"/>
      <c r="EA135" s="746"/>
      <c r="EB135" s="746"/>
      <c r="EC135" s="751"/>
      <c r="ED135" s="763"/>
      <c r="EE135" s="743"/>
      <c r="EF135" s="746"/>
      <c r="EG135" s="746"/>
      <c r="EH135" s="746"/>
      <c r="EI135" s="746"/>
      <c r="EJ135" s="746"/>
      <c r="EK135" s="746"/>
      <c r="EL135" s="746"/>
      <c r="EM135" s="746"/>
      <c r="EN135" s="746"/>
      <c r="EO135" s="746"/>
      <c r="EP135" s="746"/>
      <c r="EQ135" s="746"/>
      <c r="ER135" s="746"/>
      <c r="ES135" s="746"/>
      <c r="ET135" s="746"/>
      <c r="EU135" s="746"/>
      <c r="EV135" s="746"/>
      <c r="EW135" s="746"/>
      <c r="EX135" s="746"/>
      <c r="EY135" s="746"/>
      <c r="EZ135" s="746"/>
      <c r="FA135" s="746"/>
      <c r="FB135" s="746"/>
      <c r="FC135" s="746"/>
      <c r="FD135" s="746"/>
      <c r="FE135" s="748"/>
      <c r="FF135" s="1295"/>
      <c r="FG135" s="1295"/>
      <c r="FH135" s="1295"/>
      <c r="FI135"/>
      <c r="FJ135"/>
      <c r="FK135"/>
      <c r="FL135"/>
      <c r="FM135"/>
      <c r="FN135"/>
      <c r="FO135" s="737"/>
    </row>
    <row r="136" spans="1:171" s="761" customFormat="1" ht="14.25" hidden="1" customHeight="1" outlineLevel="1">
      <c r="A136" s="737"/>
      <c r="B136" s="835" t="s">
        <v>419</v>
      </c>
      <c r="C136" s="751"/>
      <c r="D136" s="746"/>
      <c r="E136" s="746"/>
      <c r="F136" s="746"/>
      <c r="G136" s="751"/>
      <c r="H136" s="746"/>
      <c r="I136" s="746"/>
      <c r="J136" s="746"/>
      <c r="K136" s="751"/>
      <c r="L136" s="746"/>
      <c r="M136" s="746"/>
      <c r="N136" s="746"/>
      <c r="O136" s="751"/>
      <c r="P136" s="746"/>
      <c r="Q136" s="746"/>
      <c r="R136" s="746"/>
      <c r="S136" s="751"/>
      <c r="T136" s="746"/>
      <c r="U136" s="746"/>
      <c r="V136" s="746"/>
      <c r="W136" s="751"/>
      <c r="X136" s="746"/>
      <c r="Y136" s="746"/>
      <c r="Z136" s="746"/>
      <c r="AA136" s="751"/>
      <c r="AB136" s="746"/>
      <c r="AC136" s="746"/>
      <c r="AD136" s="746"/>
      <c r="AE136" s="751"/>
      <c r="AF136" s="746"/>
      <c r="AG136" s="746"/>
      <c r="AH136" s="746"/>
      <c r="AI136" s="751"/>
      <c r="AJ136" s="746"/>
      <c r="AK136" s="746"/>
      <c r="AL136" s="746"/>
      <c r="AM136" s="751"/>
      <c r="AN136" s="746"/>
      <c r="AO136" s="746"/>
      <c r="AP136" s="746"/>
      <c r="AQ136" s="751"/>
      <c r="AR136" s="746"/>
      <c r="AS136" s="746"/>
      <c r="AT136" s="746"/>
      <c r="AU136" s="751"/>
      <c r="AV136" s="746"/>
      <c r="AW136" s="746"/>
      <c r="AX136" s="746"/>
      <c r="AY136" s="751"/>
      <c r="AZ136" s="746"/>
      <c r="BA136" s="746"/>
      <c r="BB136" s="746"/>
      <c r="BC136" s="751"/>
      <c r="BD136" s="746"/>
      <c r="BE136" s="746"/>
      <c r="BF136" s="746"/>
      <c r="BG136" s="751"/>
      <c r="BH136" s="746"/>
      <c r="BI136" s="746"/>
      <c r="BJ136" s="746"/>
      <c r="BK136" s="751"/>
      <c r="BL136" s="746"/>
      <c r="BM136" s="746"/>
      <c r="BN136" s="746"/>
      <c r="BO136" s="751"/>
      <c r="BP136" s="746"/>
      <c r="BQ136" s="746"/>
      <c r="BR136" s="746"/>
      <c r="BS136" s="751"/>
      <c r="BT136" s="746"/>
      <c r="BU136" s="746"/>
      <c r="BV136" s="746"/>
      <c r="BW136" s="751"/>
      <c r="BX136" s="746"/>
      <c r="BY136" s="746"/>
      <c r="BZ136" s="746"/>
      <c r="CA136" s="751"/>
      <c r="CB136" s="752">
        <v>233</v>
      </c>
      <c r="CC136" s="752">
        <v>0</v>
      </c>
      <c r="CD136" s="752">
        <v>0</v>
      </c>
      <c r="CE136" s="751">
        <v>0</v>
      </c>
      <c r="CF136" s="752">
        <v>0</v>
      </c>
      <c r="CG136" s="752">
        <v>0</v>
      </c>
      <c r="CH136" s="752">
        <v>0</v>
      </c>
      <c r="CI136" s="751">
        <v>0</v>
      </c>
      <c r="CJ136" s="752">
        <v>0</v>
      </c>
      <c r="CK136" s="752">
        <v>0</v>
      </c>
      <c r="CL136" s="752">
        <v>0</v>
      </c>
      <c r="CM136" s="751">
        <v>0</v>
      </c>
      <c r="CN136" s="752">
        <v>0</v>
      </c>
      <c r="CO136" s="752">
        <v>0</v>
      </c>
      <c r="CP136" s="752">
        <v>0</v>
      </c>
      <c r="CQ136" s="796">
        <v>0</v>
      </c>
      <c r="CR136" s="752">
        <v>0</v>
      </c>
      <c r="CS136" s="752">
        <v>0</v>
      </c>
      <c r="CT136" s="752">
        <v>0</v>
      </c>
      <c r="CU136" s="796">
        <v>0</v>
      </c>
      <c r="CV136" s="752">
        <v>0</v>
      </c>
      <c r="CW136" s="752">
        <v>0</v>
      </c>
      <c r="CX136" s="752">
        <v>0</v>
      </c>
      <c r="CY136" s="796">
        <v>0</v>
      </c>
      <c r="CZ136" s="752">
        <v>0</v>
      </c>
      <c r="DA136" s="752">
        <v>0</v>
      </c>
      <c r="DB136" s="752">
        <v>0</v>
      </c>
      <c r="DC136" s="796">
        <v>0</v>
      </c>
      <c r="DD136" s="743"/>
      <c r="DE136" s="756"/>
      <c r="DF136" s="756"/>
      <c r="DG136" s="756"/>
      <c r="DH136" s="756"/>
      <c r="DI136" s="756"/>
      <c r="DJ136" s="756"/>
      <c r="DK136" s="756"/>
      <c r="DL136" s="756"/>
      <c r="DM136" s="756"/>
      <c r="DN136" s="756"/>
      <c r="DO136" s="756"/>
      <c r="DP136" s="746"/>
      <c r="DQ136" s="746"/>
      <c r="DR136" s="746"/>
      <c r="DS136" s="746"/>
      <c r="DT136" s="746"/>
      <c r="DU136" s="746"/>
      <c r="DV136" s="746"/>
      <c r="DW136" s="746"/>
      <c r="DX136" s="746"/>
      <c r="DY136" s="746"/>
      <c r="DZ136" s="746"/>
      <c r="EA136" s="746"/>
      <c r="EB136" s="746"/>
      <c r="EC136" s="751"/>
      <c r="ED136" s="763"/>
      <c r="EE136" s="743"/>
      <c r="EF136" s="757"/>
      <c r="EG136" s="746"/>
      <c r="EH136" s="746"/>
      <c r="EI136" s="746"/>
      <c r="EJ136" s="746"/>
      <c r="EK136" s="746"/>
      <c r="EL136" s="746"/>
      <c r="EM136" s="746"/>
      <c r="EN136" s="746"/>
      <c r="EO136" s="746"/>
      <c r="EP136" s="746"/>
      <c r="EQ136" s="746"/>
      <c r="ER136" s="746"/>
      <c r="ES136" s="746"/>
      <c r="ET136" s="746"/>
      <c r="EU136" s="746"/>
      <c r="EV136" s="746"/>
      <c r="EW136" s="746"/>
      <c r="EX136" s="746"/>
      <c r="EY136" s="746"/>
      <c r="EZ136" s="746"/>
      <c r="FA136" s="746"/>
      <c r="FB136" s="746"/>
      <c r="FC136" s="746"/>
      <c r="FD136" s="746"/>
      <c r="FE136" s="760"/>
      <c r="FF136" s="1296"/>
      <c r="FG136" s="1296"/>
      <c r="FH136" s="1296"/>
      <c r="FI136"/>
      <c r="FJ136"/>
      <c r="FK136"/>
      <c r="FL136"/>
      <c r="FM136"/>
      <c r="FN136"/>
      <c r="FO136" s="737"/>
    </row>
    <row r="137" spans="1:171" s="765" customFormat="1" ht="14.25" hidden="1" customHeight="1" outlineLevel="1">
      <c r="A137" s="762"/>
      <c r="B137" s="835" t="s">
        <v>420</v>
      </c>
      <c r="C137" s="751"/>
      <c r="D137" s="746"/>
      <c r="E137" s="746"/>
      <c r="F137" s="746"/>
      <c r="G137" s="751"/>
      <c r="H137" s="746"/>
      <c r="I137" s="746"/>
      <c r="J137" s="746"/>
      <c r="K137" s="751"/>
      <c r="L137" s="746"/>
      <c r="M137" s="746"/>
      <c r="N137" s="746"/>
      <c r="O137" s="751"/>
      <c r="P137" s="746"/>
      <c r="Q137" s="746"/>
      <c r="R137" s="746"/>
      <c r="S137" s="751"/>
      <c r="T137" s="746"/>
      <c r="U137" s="746"/>
      <c r="V137" s="746"/>
      <c r="W137" s="751"/>
      <c r="X137" s="746"/>
      <c r="Y137" s="746"/>
      <c r="Z137" s="746"/>
      <c r="AA137" s="751"/>
      <c r="AB137" s="746"/>
      <c r="AC137" s="746"/>
      <c r="AD137" s="746"/>
      <c r="AE137" s="751"/>
      <c r="AF137" s="746"/>
      <c r="AG137" s="746"/>
      <c r="AH137" s="746"/>
      <c r="AI137" s="751"/>
      <c r="AJ137" s="746"/>
      <c r="AK137" s="746"/>
      <c r="AL137" s="746"/>
      <c r="AM137" s="751"/>
      <c r="AN137" s="746"/>
      <c r="AO137" s="746"/>
      <c r="AP137" s="746"/>
      <c r="AQ137" s="751"/>
      <c r="AR137" s="746"/>
      <c r="AS137" s="746"/>
      <c r="AT137" s="746"/>
      <c r="AU137" s="751"/>
      <c r="AV137" s="746"/>
      <c r="AW137" s="746"/>
      <c r="AX137" s="746"/>
      <c r="AY137" s="751"/>
      <c r="AZ137" s="746"/>
      <c r="BA137" s="746"/>
      <c r="BB137" s="746"/>
      <c r="BC137" s="751"/>
      <c r="BD137" s="746"/>
      <c r="BE137" s="746"/>
      <c r="BF137" s="746"/>
      <c r="BG137" s="751"/>
      <c r="BH137" s="746"/>
      <c r="BI137" s="746"/>
      <c r="BJ137" s="746"/>
      <c r="BK137" s="751"/>
      <c r="BL137" s="746"/>
      <c r="BM137" s="746"/>
      <c r="BN137" s="746"/>
      <c r="BO137" s="751"/>
      <c r="BP137" s="746"/>
      <c r="BQ137" s="746"/>
      <c r="BR137" s="746"/>
      <c r="BS137" s="751"/>
      <c r="BT137" s="746"/>
      <c r="BU137" s="746"/>
      <c r="BV137" s="746"/>
      <c r="BW137" s="751"/>
      <c r="BX137" s="746"/>
      <c r="BY137" s="746"/>
      <c r="BZ137" s="746"/>
      <c r="CA137" s="751"/>
      <c r="CB137" s="752">
        <v>-3</v>
      </c>
      <c r="CC137" s="752">
        <v>12</v>
      </c>
      <c r="CD137" s="752">
        <v>9</v>
      </c>
      <c r="CE137" s="751">
        <v>22</v>
      </c>
      <c r="CF137" s="752">
        <v>11</v>
      </c>
      <c r="CG137" s="752">
        <v>1</v>
      </c>
      <c r="CH137" s="752">
        <v>1</v>
      </c>
      <c r="CI137" s="751">
        <v>0</v>
      </c>
      <c r="CJ137" s="752">
        <v>15</v>
      </c>
      <c r="CK137" s="752">
        <v>1</v>
      </c>
      <c r="CL137" s="752">
        <v>0</v>
      </c>
      <c r="CM137" s="751">
        <v>51</v>
      </c>
      <c r="CN137" s="752">
        <v>45</v>
      </c>
      <c r="CO137" s="752">
        <v>4</v>
      </c>
      <c r="CP137" s="752">
        <v>12</v>
      </c>
      <c r="CQ137" s="796">
        <v>27</v>
      </c>
      <c r="CR137" s="752">
        <v>6</v>
      </c>
      <c r="CS137" s="752">
        <v>7</v>
      </c>
      <c r="CT137" s="752"/>
      <c r="CU137" s="796"/>
      <c r="CV137" s="752"/>
      <c r="CW137" s="752"/>
      <c r="CX137" s="752"/>
      <c r="CY137" s="796"/>
      <c r="CZ137" s="752"/>
      <c r="DA137" s="752"/>
      <c r="DB137" s="752"/>
      <c r="DC137" s="796"/>
      <c r="DD137" s="763"/>
      <c r="DE137" s="746"/>
      <c r="DF137" s="746"/>
      <c r="DG137" s="746"/>
      <c r="DH137" s="746"/>
      <c r="DI137" s="746"/>
      <c r="DJ137" s="746"/>
      <c r="DK137" s="746"/>
      <c r="DL137" s="746"/>
      <c r="DM137" s="746"/>
      <c r="DN137" s="746"/>
      <c r="DO137" s="746"/>
      <c r="DP137" s="746"/>
      <c r="DQ137" s="746"/>
      <c r="DR137" s="746"/>
      <c r="DS137" s="746"/>
      <c r="DT137" s="746"/>
      <c r="DU137" s="746"/>
      <c r="DV137" s="746"/>
      <c r="DW137" s="746"/>
      <c r="DX137" s="746"/>
      <c r="DY137" s="746"/>
      <c r="DZ137" s="746"/>
      <c r="EA137" s="746"/>
      <c r="EB137" s="746"/>
      <c r="EC137" s="751"/>
      <c r="ED137" s="763"/>
      <c r="EE137" s="743"/>
      <c r="EF137" s="757"/>
      <c r="EG137" s="746"/>
      <c r="EH137" s="746"/>
      <c r="EI137" s="746"/>
      <c r="EJ137" s="746"/>
      <c r="EK137" s="746"/>
      <c r="EL137" s="746"/>
      <c r="EM137" s="746"/>
      <c r="EN137" s="746"/>
      <c r="EO137" s="746"/>
      <c r="EP137" s="746"/>
      <c r="EQ137" s="746"/>
      <c r="ER137" s="746"/>
      <c r="ES137" s="746"/>
      <c r="ET137" s="746"/>
      <c r="EU137" s="746"/>
      <c r="EV137" s="746"/>
      <c r="EW137" s="746"/>
      <c r="EX137" s="746"/>
      <c r="EY137" s="746"/>
      <c r="EZ137" s="746"/>
      <c r="FA137" s="746"/>
      <c r="FB137" s="746"/>
      <c r="FC137" s="746"/>
      <c r="FD137" s="746"/>
      <c r="FE137" s="764"/>
      <c r="FF137" s="1403"/>
      <c r="FG137" s="1403"/>
      <c r="FH137" s="1403"/>
      <c r="FI137"/>
      <c r="FJ137"/>
      <c r="FK137"/>
      <c r="FL137"/>
      <c r="FM137"/>
      <c r="FN137"/>
      <c r="FO137" s="762"/>
    </row>
    <row r="138" spans="1:171" s="765" customFormat="1" ht="14.25" hidden="1" customHeight="1" outlineLevel="1">
      <c r="A138" s="762"/>
      <c r="B138" s="675" t="s">
        <v>134</v>
      </c>
      <c r="C138" s="751"/>
      <c r="D138" s="746"/>
      <c r="E138" s="746"/>
      <c r="F138" s="746"/>
      <c r="G138" s="751"/>
      <c r="H138" s="746"/>
      <c r="I138" s="746"/>
      <c r="J138" s="746"/>
      <c r="K138" s="751"/>
      <c r="L138" s="746"/>
      <c r="M138" s="746"/>
      <c r="N138" s="746"/>
      <c r="O138" s="751"/>
      <c r="P138" s="746"/>
      <c r="Q138" s="746"/>
      <c r="R138" s="746"/>
      <c r="S138" s="751"/>
      <c r="T138" s="746"/>
      <c r="U138" s="746"/>
      <c r="V138" s="746"/>
      <c r="W138" s="751"/>
      <c r="X138" s="746"/>
      <c r="Y138" s="746"/>
      <c r="Z138" s="746"/>
      <c r="AA138" s="751"/>
      <c r="AB138" s="746"/>
      <c r="AC138" s="746"/>
      <c r="AD138" s="746"/>
      <c r="AE138" s="751"/>
      <c r="AF138" s="746"/>
      <c r="AG138" s="746"/>
      <c r="AH138" s="746"/>
      <c r="AI138" s="751"/>
      <c r="AJ138" s="746"/>
      <c r="AK138" s="746"/>
      <c r="AL138" s="746"/>
      <c r="AM138" s="751"/>
      <c r="AN138" s="746"/>
      <c r="AO138" s="746"/>
      <c r="AP138" s="746"/>
      <c r="AQ138" s="751"/>
      <c r="AR138" s="746"/>
      <c r="AS138" s="746"/>
      <c r="AT138" s="746"/>
      <c r="AU138" s="751"/>
      <c r="AV138" s="746"/>
      <c r="AW138" s="746"/>
      <c r="AX138" s="746"/>
      <c r="AY138" s="751"/>
      <c r="AZ138" s="746"/>
      <c r="BA138" s="746"/>
      <c r="BB138" s="746"/>
      <c r="BC138" s="751"/>
      <c r="BD138" s="746"/>
      <c r="BE138" s="746"/>
      <c r="BF138" s="746"/>
      <c r="BG138" s="751"/>
      <c r="BH138" s="746"/>
      <c r="BI138" s="746"/>
      <c r="BJ138" s="746"/>
      <c r="BK138" s="751"/>
      <c r="BL138" s="746"/>
      <c r="BM138" s="746"/>
      <c r="BN138" s="746"/>
      <c r="BO138" s="751"/>
      <c r="BP138" s="746"/>
      <c r="BQ138" s="746"/>
      <c r="BR138" s="746"/>
      <c r="BS138" s="751"/>
      <c r="BT138" s="746"/>
      <c r="BU138" s="746"/>
      <c r="BV138" s="746"/>
      <c r="BW138" s="751"/>
      <c r="BX138" s="746"/>
      <c r="BY138" s="746"/>
      <c r="BZ138" s="746"/>
      <c r="CA138" s="751"/>
      <c r="CB138" s="750">
        <f t="shared" ref="CB138:CK138" si="906">+SUM(CB139:CB146)</f>
        <v>98</v>
      </c>
      <c r="CC138" s="759">
        <f t="shared" si="906"/>
        <v>127</v>
      </c>
      <c r="CD138" s="759">
        <f t="shared" si="906"/>
        <v>21</v>
      </c>
      <c r="CE138" s="751">
        <f t="shared" si="906"/>
        <v>-126</v>
      </c>
      <c r="CF138" s="750">
        <f t="shared" si="906"/>
        <v>50</v>
      </c>
      <c r="CG138" s="759">
        <f t="shared" si="906"/>
        <v>6</v>
      </c>
      <c r="CH138" s="759">
        <f t="shared" si="906"/>
        <v>18</v>
      </c>
      <c r="CI138" s="751">
        <f t="shared" si="906"/>
        <v>-19</v>
      </c>
      <c r="CJ138" s="750">
        <f t="shared" si="906"/>
        <v>4</v>
      </c>
      <c r="CK138" s="759">
        <f t="shared" si="906"/>
        <v>5</v>
      </c>
      <c r="CL138" s="759">
        <f>+SUM(CL139:CL145)</f>
        <v>28</v>
      </c>
      <c r="CM138" s="751">
        <f t="shared" ref="CM138" si="907">+SUM(CM139:CM146)</f>
        <v>12</v>
      </c>
      <c r="CN138" s="759">
        <f>+SUM(CN139:CN147)</f>
        <v>14</v>
      </c>
      <c r="CO138" s="759">
        <f>+SUM(CO139:CO147)</f>
        <v>-34</v>
      </c>
      <c r="CP138" s="759">
        <f>+SUM(CP139:CP147)</f>
        <v>83</v>
      </c>
      <c r="CQ138" s="758">
        <f t="shared" ref="CQ138:CU138" si="908">+SUM(CQ139:CQ146)</f>
        <v>49</v>
      </c>
      <c r="CR138" s="759">
        <f>+SUM(CR139:CR147)</f>
        <v>204</v>
      </c>
      <c r="CS138" s="759">
        <f>+SUM(CS139:CS147)</f>
        <v>53</v>
      </c>
      <c r="CT138" s="759">
        <f t="shared" si="908"/>
        <v>0</v>
      </c>
      <c r="CU138" s="758">
        <f t="shared" si="908"/>
        <v>0</v>
      </c>
      <c r="CV138" s="750">
        <f t="shared" ref="CV138:CY138" si="909">+SUM(CV139:CV146)</f>
        <v>0</v>
      </c>
      <c r="CW138" s="759">
        <f t="shared" si="909"/>
        <v>0</v>
      </c>
      <c r="CX138" s="759">
        <f t="shared" si="909"/>
        <v>0</v>
      </c>
      <c r="CY138" s="758">
        <f t="shared" si="909"/>
        <v>0</v>
      </c>
      <c r="CZ138" s="750">
        <f t="shared" ref="CZ138:DC138" si="910">+SUM(CZ139:CZ146)</f>
        <v>0</v>
      </c>
      <c r="DA138" s="759">
        <f t="shared" si="910"/>
        <v>0</v>
      </c>
      <c r="DB138" s="759">
        <f t="shared" si="910"/>
        <v>0</v>
      </c>
      <c r="DC138" s="758">
        <f t="shared" si="910"/>
        <v>0</v>
      </c>
      <c r="DD138" s="763"/>
      <c r="DE138" s="746"/>
      <c r="DF138" s="746"/>
      <c r="DG138" s="746"/>
      <c r="DH138" s="746"/>
      <c r="DI138" s="746"/>
      <c r="DJ138" s="746"/>
      <c r="DK138" s="746"/>
      <c r="DL138" s="746"/>
      <c r="DM138" s="746"/>
      <c r="DN138" s="746"/>
      <c r="DO138" s="746"/>
      <c r="DP138" s="746"/>
      <c r="DQ138" s="746"/>
      <c r="DR138" s="746"/>
      <c r="DS138" s="746"/>
      <c r="DT138" s="746"/>
      <c r="DU138" s="746"/>
      <c r="DV138" s="746"/>
      <c r="DW138" s="746"/>
      <c r="DX138" s="746"/>
      <c r="DY138" s="746"/>
      <c r="DZ138" s="746"/>
      <c r="EA138" s="746"/>
      <c r="EB138" s="746"/>
      <c r="EC138" s="751"/>
      <c r="ED138" s="763"/>
      <c r="EE138" s="743"/>
      <c r="EF138" s="757"/>
      <c r="EG138" s="746"/>
      <c r="EH138" s="746"/>
      <c r="EI138" s="746"/>
      <c r="EJ138" s="746"/>
      <c r="EK138" s="746"/>
      <c r="EL138" s="746"/>
      <c r="EM138" s="746"/>
      <c r="EN138" s="746"/>
      <c r="EO138" s="746"/>
      <c r="EP138" s="746"/>
      <c r="EQ138" s="746"/>
      <c r="ER138" s="746"/>
      <c r="ES138" s="746"/>
      <c r="ET138" s="746"/>
      <c r="EU138" s="746"/>
      <c r="EV138" s="746"/>
      <c r="EW138" s="746"/>
      <c r="EX138" s="746"/>
      <c r="EY138" s="746"/>
      <c r="EZ138" s="746"/>
      <c r="FA138" s="746"/>
      <c r="FB138" s="746"/>
      <c r="FC138" s="746"/>
      <c r="FD138" s="746"/>
      <c r="FE138" s="764"/>
      <c r="FF138" s="1403"/>
      <c r="FG138" s="1403"/>
      <c r="FH138" s="1403"/>
      <c r="FI138"/>
      <c r="FJ138"/>
      <c r="FK138"/>
      <c r="FL138"/>
      <c r="FM138"/>
      <c r="FN138"/>
      <c r="FO138" s="762"/>
    </row>
    <row r="139" spans="1:171" ht="14.25" hidden="1" customHeight="1" outlineLevel="1">
      <c r="A139" s="7"/>
      <c r="B139" s="835" t="s">
        <v>422</v>
      </c>
      <c r="C139" s="23"/>
      <c r="D139" s="71"/>
      <c r="E139" s="284"/>
      <c r="F139" s="71"/>
      <c r="G139" s="72"/>
      <c r="H139" s="71"/>
      <c r="I139" s="284"/>
      <c r="J139" s="71"/>
      <c r="K139" s="72"/>
      <c r="L139" s="71"/>
      <c r="M139" s="284"/>
      <c r="N139" s="71"/>
      <c r="O139" s="72"/>
      <c r="P139" s="71"/>
      <c r="Q139" s="284"/>
      <c r="R139" s="71"/>
      <c r="S139" s="72"/>
      <c r="T139" s="71"/>
      <c r="U139" s="284"/>
      <c r="V139" s="71"/>
      <c r="W139" s="72"/>
      <c r="X139" s="71"/>
      <c r="Y139" s="284"/>
      <c r="Z139" s="71"/>
      <c r="AA139" s="72"/>
      <c r="AB139" s="71"/>
      <c r="AC139" s="284"/>
      <c r="AD139" s="71"/>
      <c r="AE139" s="72"/>
      <c r="AF139" s="71"/>
      <c r="AG139" s="284"/>
      <c r="AH139" s="71"/>
      <c r="AI139" s="72"/>
      <c r="AJ139" s="71"/>
      <c r="AK139" s="284"/>
      <c r="AL139" s="71"/>
      <c r="AM139" s="72"/>
      <c r="AN139" s="71"/>
      <c r="AO139" s="284"/>
      <c r="AP139" s="71"/>
      <c r="AQ139" s="72"/>
      <c r="AR139" s="71"/>
      <c r="AS139" s="284"/>
      <c r="AT139" s="71"/>
      <c r="AU139" s="72"/>
      <c r="AV139" s="71"/>
      <c r="AW139" s="284"/>
      <c r="AX139" s="71"/>
      <c r="AY139" s="72"/>
      <c r="AZ139" s="71"/>
      <c r="BA139" s="284"/>
      <c r="BB139" s="71"/>
      <c r="BC139" s="72"/>
      <c r="BD139" s="71"/>
      <c r="BE139" s="284"/>
      <c r="BF139" s="71"/>
      <c r="BG139" s="72"/>
      <c r="BH139" s="71"/>
      <c r="BI139" s="284"/>
      <c r="BJ139" s="71"/>
      <c r="BK139" s="72"/>
      <c r="BL139" s="71"/>
      <c r="BM139" s="284"/>
      <c r="BN139" s="71"/>
      <c r="BO139" s="72"/>
      <c r="BP139" s="71"/>
      <c r="BQ139" s="284"/>
      <c r="BR139" s="71"/>
      <c r="BS139" s="72"/>
      <c r="BT139" s="71"/>
      <c r="BU139" s="284"/>
      <c r="BV139" s="71"/>
      <c r="BW139" s="72"/>
      <c r="BX139" s="71"/>
      <c r="BY139" s="284"/>
      <c r="BZ139" s="71"/>
      <c r="CA139" s="72"/>
      <c r="CB139" s="752">
        <v>92</v>
      </c>
      <c r="CC139" s="752">
        <v>80</v>
      </c>
      <c r="CD139" s="752">
        <v>16</v>
      </c>
      <c r="CE139" s="72">
        <v>17</v>
      </c>
      <c r="CF139" s="752">
        <v>30</v>
      </c>
      <c r="CG139" s="752"/>
      <c r="CH139" s="752">
        <v>18</v>
      </c>
      <c r="CI139" s="72">
        <v>1</v>
      </c>
      <c r="CJ139" s="752">
        <v>1</v>
      </c>
      <c r="CK139" s="752">
        <v>0</v>
      </c>
      <c r="CL139" s="752">
        <v>3</v>
      </c>
      <c r="CM139" s="72">
        <v>1</v>
      </c>
      <c r="CN139" s="1220">
        <v>-1</v>
      </c>
      <c r="CO139" s="752">
        <v>0</v>
      </c>
      <c r="CP139" s="752">
        <v>61</v>
      </c>
      <c r="CQ139" s="796">
        <v>37</v>
      </c>
      <c r="CR139" s="1283">
        <v>195</v>
      </c>
      <c r="CS139" s="1283">
        <v>23</v>
      </c>
      <c r="CT139" s="752"/>
      <c r="CU139" s="796"/>
      <c r="CV139" s="752"/>
      <c r="CW139" s="752"/>
      <c r="CX139" s="752"/>
      <c r="CY139" s="796"/>
      <c r="CZ139" s="752"/>
      <c r="DA139" s="752"/>
      <c r="DB139" s="752"/>
      <c r="DC139" s="796"/>
      <c r="DD139" s="18"/>
      <c r="DE139" s="352"/>
      <c r="DF139" s="352"/>
      <c r="DG139" s="352"/>
      <c r="DH139" s="352"/>
      <c r="DI139" s="352"/>
      <c r="DJ139" s="352"/>
      <c r="DK139" s="352"/>
      <c r="DL139" s="352"/>
      <c r="DM139" s="352"/>
      <c r="DN139" s="352"/>
      <c r="DO139" s="352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8"/>
      <c r="ED139" s="1405"/>
      <c r="EE139" s="18"/>
      <c r="EF139" s="29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308"/>
      <c r="FF139" s="300"/>
      <c r="FG139" s="300"/>
      <c r="FH139" s="300"/>
      <c r="FO139" s="7"/>
    </row>
    <row r="140" spans="1:171" s="1152" customFormat="1" ht="14.25" hidden="1" customHeight="1" outlineLevel="1">
      <c r="A140" s="7"/>
      <c r="B140" s="835" t="s">
        <v>575</v>
      </c>
      <c r="C140" s="23"/>
      <c r="D140" s="71"/>
      <c r="E140" s="284"/>
      <c r="F140" s="71"/>
      <c r="G140" s="72"/>
      <c r="H140" s="71"/>
      <c r="I140" s="284"/>
      <c r="J140" s="71"/>
      <c r="K140" s="72"/>
      <c r="L140" s="71"/>
      <c r="M140" s="284"/>
      <c r="N140" s="71"/>
      <c r="O140" s="72"/>
      <c r="P140" s="71"/>
      <c r="Q140" s="284"/>
      <c r="R140" s="71"/>
      <c r="S140" s="72"/>
      <c r="T140" s="71"/>
      <c r="U140" s="284"/>
      <c r="V140" s="71"/>
      <c r="W140" s="72"/>
      <c r="X140" s="71"/>
      <c r="Y140" s="284"/>
      <c r="Z140" s="71"/>
      <c r="AA140" s="72"/>
      <c r="AB140" s="71"/>
      <c r="AC140" s="284"/>
      <c r="AD140" s="71"/>
      <c r="AE140" s="72"/>
      <c r="AF140" s="71"/>
      <c r="AG140" s="284"/>
      <c r="AH140" s="71"/>
      <c r="AI140" s="72"/>
      <c r="AJ140" s="71"/>
      <c r="AK140" s="284"/>
      <c r="AL140" s="71"/>
      <c r="AM140" s="72"/>
      <c r="AN140" s="71"/>
      <c r="AO140" s="284"/>
      <c r="AP140" s="71"/>
      <c r="AQ140" s="72"/>
      <c r="AR140" s="71"/>
      <c r="AS140" s="284"/>
      <c r="AT140" s="71"/>
      <c r="AU140" s="72"/>
      <c r="AV140" s="71"/>
      <c r="AW140" s="284"/>
      <c r="AX140" s="71"/>
      <c r="AY140" s="72"/>
      <c r="AZ140" s="71"/>
      <c r="BA140" s="284"/>
      <c r="BB140" s="71"/>
      <c r="BC140" s="72"/>
      <c r="BD140" s="71"/>
      <c r="BE140" s="284"/>
      <c r="BF140" s="71"/>
      <c r="BG140" s="72"/>
      <c r="BH140" s="71"/>
      <c r="BI140" s="284"/>
      <c r="BJ140" s="71"/>
      <c r="BK140" s="72"/>
      <c r="BL140" s="71"/>
      <c r="BM140" s="284"/>
      <c r="BN140" s="71"/>
      <c r="BO140" s="72"/>
      <c r="BP140" s="71"/>
      <c r="BQ140" s="284"/>
      <c r="BR140" s="71"/>
      <c r="BS140" s="72"/>
      <c r="BT140" s="71"/>
      <c r="BU140" s="284"/>
      <c r="BV140" s="71"/>
      <c r="BW140" s="72"/>
      <c r="BX140" s="71"/>
      <c r="BY140" s="284"/>
      <c r="BZ140" s="71"/>
      <c r="CA140" s="72"/>
      <c r="CB140" s="752"/>
      <c r="CC140" s="752"/>
      <c r="CD140" s="752"/>
      <c r="CE140" s="72"/>
      <c r="CF140" s="752"/>
      <c r="CG140" s="752"/>
      <c r="CH140" s="752"/>
      <c r="CI140" s="72"/>
      <c r="CJ140" s="752"/>
      <c r="CK140" s="752"/>
      <c r="CL140" s="752">
        <v>25</v>
      </c>
      <c r="CM140" s="72"/>
      <c r="CN140" s="1220"/>
      <c r="CO140" s="1283">
        <v>-71</v>
      </c>
      <c r="CP140" s="752">
        <v>0</v>
      </c>
      <c r="CQ140" s="796"/>
      <c r="CR140" s="1283"/>
      <c r="CS140" s="1283"/>
      <c r="CT140" s="752"/>
      <c r="CU140" s="796"/>
      <c r="CV140" s="752"/>
      <c r="CW140" s="752"/>
      <c r="CX140" s="752"/>
      <c r="CY140" s="796"/>
      <c r="CZ140" s="752"/>
      <c r="DA140" s="752"/>
      <c r="DB140" s="752"/>
      <c r="DC140" s="796"/>
      <c r="DD140" s="18"/>
      <c r="DE140" s="352"/>
      <c r="DF140" s="352"/>
      <c r="DG140" s="352"/>
      <c r="DH140" s="352"/>
      <c r="DI140" s="352"/>
      <c r="DJ140" s="352"/>
      <c r="DK140" s="352"/>
      <c r="DL140" s="352"/>
      <c r="DM140" s="352"/>
      <c r="DN140" s="352"/>
      <c r="DO140" s="352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8"/>
      <c r="ED140" s="1405"/>
      <c r="EE140" s="18"/>
      <c r="EF140" s="29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308"/>
      <c r="FF140" s="300"/>
      <c r="FG140" s="300"/>
      <c r="FH140" s="300"/>
      <c r="FI140"/>
      <c r="FJ140"/>
      <c r="FK140"/>
      <c r="FL140"/>
      <c r="FM140"/>
      <c r="FN140"/>
      <c r="FO140" s="7"/>
    </row>
    <row r="141" spans="1:171" ht="14.25" hidden="1" customHeight="1" outlineLevel="1">
      <c r="A141" s="7"/>
      <c r="B141" s="835" t="s">
        <v>436</v>
      </c>
      <c r="C141" s="23"/>
      <c r="D141" s="71"/>
      <c r="E141" s="284"/>
      <c r="F141" s="71"/>
      <c r="G141" s="72"/>
      <c r="H141" s="71"/>
      <c r="I141" s="284"/>
      <c r="J141" s="71"/>
      <c r="K141" s="72"/>
      <c r="L141" s="71"/>
      <c r="M141" s="284"/>
      <c r="N141" s="71"/>
      <c r="O141" s="72"/>
      <c r="P141" s="71"/>
      <c r="Q141" s="284"/>
      <c r="R141" s="71"/>
      <c r="S141" s="72"/>
      <c r="T141" s="71"/>
      <c r="U141" s="284"/>
      <c r="V141" s="71"/>
      <c r="W141" s="72"/>
      <c r="X141" s="71"/>
      <c r="Y141" s="284"/>
      <c r="Z141" s="71"/>
      <c r="AA141" s="72"/>
      <c r="AB141" s="71"/>
      <c r="AC141" s="284"/>
      <c r="AD141" s="71"/>
      <c r="AE141" s="72"/>
      <c r="AF141" s="71"/>
      <c r="AG141" s="284"/>
      <c r="AH141" s="71"/>
      <c r="AI141" s="72"/>
      <c r="AJ141" s="71"/>
      <c r="AK141" s="284"/>
      <c r="AL141" s="71"/>
      <c r="AM141" s="72"/>
      <c r="AN141" s="71"/>
      <c r="AO141" s="284"/>
      <c r="AP141" s="71"/>
      <c r="AQ141" s="72"/>
      <c r="AR141" s="71"/>
      <c r="AS141" s="284"/>
      <c r="AT141" s="71"/>
      <c r="AU141" s="72"/>
      <c r="AV141" s="71"/>
      <c r="AW141" s="284"/>
      <c r="AX141" s="71"/>
      <c r="AY141" s="72"/>
      <c r="AZ141" s="71"/>
      <c r="BA141" s="284"/>
      <c r="BB141" s="71"/>
      <c r="BC141" s="72"/>
      <c r="BD141" s="71"/>
      <c r="BE141" s="284"/>
      <c r="BF141" s="71"/>
      <c r="BG141" s="72"/>
      <c r="BH141" s="71"/>
      <c r="BI141" s="284"/>
      <c r="BJ141" s="71"/>
      <c r="BK141" s="72"/>
      <c r="BL141" s="71"/>
      <c r="BM141" s="284"/>
      <c r="BN141" s="71"/>
      <c r="BO141" s="72"/>
      <c r="BP141" s="71"/>
      <c r="BQ141" s="284"/>
      <c r="BR141" s="71"/>
      <c r="BS141" s="72"/>
      <c r="BT141" s="71"/>
      <c r="BU141" s="284"/>
      <c r="BV141" s="71"/>
      <c r="BW141" s="72"/>
      <c r="BX141" s="71"/>
      <c r="BY141" s="284"/>
      <c r="BZ141" s="71"/>
      <c r="CA141" s="72"/>
      <c r="CB141" s="752"/>
      <c r="CC141" s="752"/>
      <c r="CD141" s="752"/>
      <c r="CE141" s="72">
        <v>66</v>
      </c>
      <c r="CF141" s="752"/>
      <c r="CG141" s="752"/>
      <c r="CH141" s="752"/>
      <c r="CI141" s="72"/>
      <c r="CJ141" s="752"/>
      <c r="CK141" s="752"/>
      <c r="CL141" s="752"/>
      <c r="CM141" s="72"/>
      <c r="CN141" s="1220"/>
      <c r="CO141" s="752"/>
      <c r="CP141" s="752"/>
      <c r="CQ141" s="796"/>
      <c r="CR141" s="1283"/>
      <c r="CS141" s="1283"/>
      <c r="CT141" s="752"/>
      <c r="CU141" s="796"/>
      <c r="CV141" s="752"/>
      <c r="CW141" s="752"/>
      <c r="CX141" s="752"/>
      <c r="CY141" s="796"/>
      <c r="CZ141" s="752"/>
      <c r="DA141" s="752"/>
      <c r="DB141" s="752"/>
      <c r="DC141" s="796"/>
      <c r="DD141" s="18"/>
      <c r="DE141" s="352"/>
      <c r="DF141" s="352"/>
      <c r="DG141" s="352"/>
      <c r="DH141" s="352"/>
      <c r="DI141" s="352"/>
      <c r="DJ141" s="352"/>
      <c r="DK141" s="352"/>
      <c r="DL141" s="352"/>
      <c r="DM141" s="352"/>
      <c r="DN141" s="352"/>
      <c r="DO141" s="352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8"/>
      <c r="ED141" s="1405"/>
      <c r="EE141" s="18"/>
      <c r="EF141" s="29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308"/>
      <c r="FF141" s="300"/>
      <c r="FG141" s="300"/>
      <c r="FH141" s="300"/>
      <c r="FO141" s="7"/>
    </row>
    <row r="142" spans="1:171" ht="14.25" hidden="1" customHeight="1" outlineLevel="1">
      <c r="A142" s="7"/>
      <c r="B142" s="835" t="s">
        <v>548</v>
      </c>
      <c r="C142" s="31"/>
      <c r="D142" s="309"/>
      <c r="E142" s="309"/>
      <c r="F142" s="309"/>
      <c r="G142" s="310"/>
      <c r="H142" s="309"/>
      <c r="I142" s="309"/>
      <c r="J142" s="309"/>
      <c r="K142" s="310"/>
      <c r="L142" s="309"/>
      <c r="M142" s="309"/>
      <c r="N142" s="309"/>
      <c r="O142" s="310"/>
      <c r="P142" s="309"/>
      <c r="Q142" s="309"/>
      <c r="R142" s="309"/>
      <c r="S142" s="310"/>
      <c r="T142" s="309"/>
      <c r="U142" s="309"/>
      <c r="V142" s="309"/>
      <c r="W142" s="310"/>
      <c r="X142" s="309"/>
      <c r="Y142" s="309"/>
      <c r="Z142" s="309"/>
      <c r="AA142" s="310"/>
      <c r="AB142" s="309"/>
      <c r="AC142" s="309"/>
      <c r="AD142" s="309"/>
      <c r="AE142" s="310"/>
      <c r="AF142" s="309"/>
      <c r="AG142" s="309"/>
      <c r="AH142" s="309"/>
      <c r="AI142" s="310"/>
      <c r="AJ142" s="309"/>
      <c r="AK142" s="309"/>
      <c r="AL142" s="309"/>
      <c r="AM142" s="310"/>
      <c r="AN142" s="309"/>
      <c r="AO142" s="309"/>
      <c r="AP142" s="309"/>
      <c r="AQ142" s="310"/>
      <c r="AR142" s="309"/>
      <c r="AS142" s="309"/>
      <c r="AT142" s="309"/>
      <c r="AU142" s="310"/>
      <c r="AV142" s="309"/>
      <c r="AW142" s="309"/>
      <c r="AX142" s="309"/>
      <c r="AY142" s="310"/>
      <c r="AZ142" s="309"/>
      <c r="BA142" s="309"/>
      <c r="BB142" s="309"/>
      <c r="BC142" s="310"/>
      <c r="BD142" s="309"/>
      <c r="BE142" s="309"/>
      <c r="BF142" s="309"/>
      <c r="BG142" s="310"/>
      <c r="BH142" s="309"/>
      <c r="BI142" s="309"/>
      <c r="BJ142" s="309"/>
      <c r="BK142" s="310"/>
      <c r="BL142" s="309"/>
      <c r="BM142" s="309"/>
      <c r="BN142" s="309"/>
      <c r="BO142" s="310"/>
      <c r="BP142" s="309"/>
      <c r="BQ142" s="309"/>
      <c r="BR142" s="309"/>
      <c r="BS142" s="310"/>
      <c r="BT142" s="309"/>
      <c r="BU142" s="309"/>
      <c r="BV142" s="309"/>
      <c r="BW142" s="310"/>
      <c r="BX142" s="309"/>
      <c r="BY142" s="309"/>
      <c r="BZ142" s="309"/>
      <c r="CA142" s="310"/>
      <c r="CB142" s="752">
        <v>0</v>
      </c>
      <c r="CC142" s="752">
        <v>33</v>
      </c>
      <c r="CD142" s="752">
        <v>0</v>
      </c>
      <c r="CE142" s="310"/>
      <c r="CF142" s="752"/>
      <c r="CG142" s="752"/>
      <c r="CH142" s="752"/>
      <c r="CI142" s="310"/>
      <c r="CJ142" s="752"/>
      <c r="CK142" s="752"/>
      <c r="CL142" s="752"/>
      <c r="CM142" s="310"/>
      <c r="CN142" s="1220"/>
      <c r="CO142" s="752"/>
      <c r="CP142" s="752"/>
      <c r="CQ142" s="796"/>
      <c r="CR142" s="1283"/>
      <c r="CS142" s="1283"/>
      <c r="CT142" s="752"/>
      <c r="CU142" s="796"/>
      <c r="CV142" s="752"/>
      <c r="CW142" s="752"/>
      <c r="CX142" s="752"/>
      <c r="CY142" s="796"/>
      <c r="CZ142" s="752"/>
      <c r="DA142" s="752"/>
      <c r="DB142" s="752"/>
      <c r="DC142" s="796"/>
      <c r="DD142" s="18"/>
      <c r="DE142" s="360"/>
      <c r="DF142" s="360"/>
      <c r="DG142" s="360"/>
      <c r="DH142" s="360"/>
      <c r="DI142" s="360"/>
      <c r="DJ142" s="360"/>
      <c r="DK142" s="360"/>
      <c r="DL142" s="360"/>
      <c r="DM142" s="360"/>
      <c r="DN142" s="360"/>
      <c r="DO142" s="360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4"/>
      <c r="ED142" s="1409"/>
      <c r="EE142" s="18"/>
      <c r="EF142" s="359"/>
      <c r="EG142" s="360"/>
      <c r="EH142" s="360"/>
      <c r="EI142" s="360"/>
      <c r="EJ142" s="360"/>
      <c r="EK142" s="360"/>
      <c r="EL142" s="360"/>
      <c r="EM142" s="360"/>
      <c r="EN142" s="360"/>
      <c r="EO142" s="360"/>
      <c r="EP142" s="360"/>
      <c r="EQ142" s="360"/>
      <c r="ER142" s="360"/>
      <c r="ES142" s="360"/>
      <c r="ET142" s="360"/>
      <c r="EU142" s="360"/>
      <c r="EV142" s="360"/>
      <c r="EW142" s="360"/>
      <c r="EX142" s="360"/>
      <c r="EY142" s="360"/>
      <c r="EZ142" s="360"/>
      <c r="FA142" s="360"/>
      <c r="FB142" s="360"/>
      <c r="FC142" s="360"/>
      <c r="FD142" s="360"/>
      <c r="FE142" s="308"/>
      <c r="FF142" s="300"/>
      <c r="FG142" s="300"/>
      <c r="FH142" s="300"/>
      <c r="FO142" s="7"/>
    </row>
    <row r="143" spans="1:171" s="1080" customFormat="1" ht="14.25" hidden="1" customHeight="1" outlineLevel="1">
      <c r="A143" s="7"/>
      <c r="B143" s="835" t="s">
        <v>549</v>
      </c>
      <c r="C143" s="31"/>
      <c r="D143" s="309"/>
      <c r="E143" s="309"/>
      <c r="F143" s="309"/>
      <c r="G143" s="310"/>
      <c r="H143" s="309"/>
      <c r="I143" s="309"/>
      <c r="J143" s="309"/>
      <c r="K143" s="310"/>
      <c r="L143" s="309"/>
      <c r="M143" s="309"/>
      <c r="N143" s="309"/>
      <c r="O143" s="310"/>
      <c r="P143" s="309"/>
      <c r="Q143" s="309"/>
      <c r="R143" s="309"/>
      <c r="S143" s="310"/>
      <c r="T143" s="309"/>
      <c r="U143" s="309"/>
      <c r="V143" s="309"/>
      <c r="W143" s="310"/>
      <c r="X143" s="309"/>
      <c r="Y143" s="309"/>
      <c r="Z143" s="309"/>
      <c r="AA143" s="310"/>
      <c r="AB143" s="309"/>
      <c r="AC143" s="309"/>
      <c r="AD143" s="309"/>
      <c r="AE143" s="310"/>
      <c r="AF143" s="309"/>
      <c r="AG143" s="309"/>
      <c r="AH143" s="309"/>
      <c r="AI143" s="310"/>
      <c r="AJ143" s="309"/>
      <c r="AK143" s="309"/>
      <c r="AL143" s="309"/>
      <c r="AM143" s="310"/>
      <c r="AN143" s="309"/>
      <c r="AO143" s="309"/>
      <c r="AP143" s="309"/>
      <c r="AQ143" s="310"/>
      <c r="AR143" s="309"/>
      <c r="AS143" s="309"/>
      <c r="AT143" s="309"/>
      <c r="AU143" s="310"/>
      <c r="AV143" s="309"/>
      <c r="AW143" s="309"/>
      <c r="AX143" s="309"/>
      <c r="AY143" s="310"/>
      <c r="AZ143" s="309"/>
      <c r="BA143" s="309"/>
      <c r="BB143" s="309"/>
      <c r="BC143" s="310"/>
      <c r="BD143" s="309"/>
      <c r="BE143" s="309"/>
      <c r="BF143" s="309"/>
      <c r="BG143" s="310"/>
      <c r="BH143" s="309"/>
      <c r="BI143" s="309"/>
      <c r="BJ143" s="309"/>
      <c r="BK143" s="310"/>
      <c r="BL143" s="309"/>
      <c r="BM143" s="309"/>
      <c r="BN143" s="309"/>
      <c r="BO143" s="310"/>
      <c r="BP143" s="309"/>
      <c r="BQ143" s="309"/>
      <c r="BR143" s="309"/>
      <c r="BS143" s="310"/>
      <c r="BT143" s="309"/>
      <c r="BU143" s="309"/>
      <c r="BV143" s="309"/>
      <c r="BW143" s="310"/>
      <c r="BX143" s="309"/>
      <c r="BY143" s="309"/>
      <c r="BZ143" s="309"/>
      <c r="CA143" s="310"/>
      <c r="CB143" s="752"/>
      <c r="CC143" s="752"/>
      <c r="CD143" s="752"/>
      <c r="CE143" s="310"/>
      <c r="CF143" s="752"/>
      <c r="CG143" s="752"/>
      <c r="CH143" s="752"/>
      <c r="CI143" s="754">
        <v>-21</v>
      </c>
      <c r="CJ143" s="752"/>
      <c r="CK143" s="752"/>
      <c r="CL143" s="752"/>
      <c r="CM143" s="754">
        <v>0</v>
      </c>
      <c r="CN143" s="1220"/>
      <c r="CO143" s="752"/>
      <c r="CP143" s="752"/>
      <c r="CQ143" s="796"/>
      <c r="CR143" s="1283"/>
      <c r="CS143" s="1283"/>
      <c r="CT143" s="752"/>
      <c r="CU143" s="796"/>
      <c r="CV143" s="752"/>
      <c r="CW143" s="752"/>
      <c r="CX143" s="752"/>
      <c r="CY143" s="796"/>
      <c r="CZ143" s="752"/>
      <c r="DA143" s="752"/>
      <c r="DB143" s="752"/>
      <c r="DC143" s="796"/>
      <c r="DD143" s="18"/>
      <c r="DE143" s="360"/>
      <c r="DF143" s="360"/>
      <c r="DG143" s="360"/>
      <c r="DH143" s="360"/>
      <c r="DI143" s="360"/>
      <c r="DJ143" s="360"/>
      <c r="DK143" s="360"/>
      <c r="DL143" s="360"/>
      <c r="DM143" s="360"/>
      <c r="DN143" s="360"/>
      <c r="DO143" s="360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4"/>
      <c r="ED143" s="1409"/>
      <c r="EE143" s="18"/>
      <c r="EF143" s="359"/>
      <c r="EG143" s="360"/>
      <c r="EH143" s="360"/>
      <c r="EI143" s="360"/>
      <c r="EJ143" s="360"/>
      <c r="EK143" s="360"/>
      <c r="EL143" s="360"/>
      <c r="EM143" s="360"/>
      <c r="EN143" s="360"/>
      <c r="EO143" s="360"/>
      <c r="EP143" s="360"/>
      <c r="EQ143" s="360"/>
      <c r="ER143" s="360"/>
      <c r="ES143" s="360"/>
      <c r="ET143" s="360"/>
      <c r="EU143" s="360"/>
      <c r="EV143" s="360"/>
      <c r="EW143" s="360"/>
      <c r="EX143" s="360"/>
      <c r="EY143" s="360"/>
      <c r="EZ143" s="360"/>
      <c r="FA143" s="360"/>
      <c r="FB143" s="360"/>
      <c r="FC143" s="360"/>
      <c r="FD143" s="360"/>
      <c r="FE143" s="308"/>
      <c r="FF143" s="300"/>
      <c r="FG143" s="300"/>
      <c r="FH143" s="300"/>
      <c r="FI143"/>
      <c r="FJ143"/>
      <c r="FK143"/>
      <c r="FL143"/>
      <c r="FM143"/>
      <c r="FN143"/>
      <c r="FO143" s="7"/>
    </row>
    <row r="144" spans="1:171" ht="14.25" hidden="1" customHeight="1" outlineLevel="1">
      <c r="A144" s="7"/>
      <c r="B144" s="835" t="s">
        <v>432</v>
      </c>
      <c r="C144" s="31"/>
      <c r="D144" s="309"/>
      <c r="E144" s="309"/>
      <c r="F144" s="309"/>
      <c r="G144" s="310"/>
      <c r="H144" s="309"/>
      <c r="I144" s="309"/>
      <c r="J144" s="309"/>
      <c r="K144" s="310"/>
      <c r="L144" s="309"/>
      <c r="M144" s="309"/>
      <c r="N144" s="309"/>
      <c r="O144" s="310"/>
      <c r="P144" s="309"/>
      <c r="Q144" s="309"/>
      <c r="R144" s="309"/>
      <c r="S144" s="310"/>
      <c r="T144" s="309"/>
      <c r="U144" s="309"/>
      <c r="V144" s="309"/>
      <c r="W144" s="310"/>
      <c r="X144" s="309"/>
      <c r="Y144" s="309"/>
      <c r="Z144" s="309"/>
      <c r="AA144" s="310"/>
      <c r="AB144" s="309"/>
      <c r="AC144" s="309"/>
      <c r="AD144" s="309"/>
      <c r="AE144" s="310"/>
      <c r="AF144" s="309"/>
      <c r="AG144" s="309"/>
      <c r="AH144" s="309"/>
      <c r="AI144" s="310"/>
      <c r="AJ144" s="309"/>
      <c r="AK144" s="309"/>
      <c r="AL144" s="309"/>
      <c r="AM144" s="310"/>
      <c r="AN144" s="309"/>
      <c r="AO144" s="309"/>
      <c r="AP144" s="309"/>
      <c r="AQ144" s="310"/>
      <c r="AR144" s="309"/>
      <c r="AS144" s="309"/>
      <c r="AT144" s="309"/>
      <c r="AU144" s="310"/>
      <c r="AV144" s="309"/>
      <c r="AW144" s="309"/>
      <c r="AX144" s="309"/>
      <c r="AY144" s="310"/>
      <c r="AZ144" s="309"/>
      <c r="BA144" s="309"/>
      <c r="BB144" s="309"/>
      <c r="BC144" s="310"/>
      <c r="BD144" s="309"/>
      <c r="BE144" s="309"/>
      <c r="BF144" s="309"/>
      <c r="BG144" s="310"/>
      <c r="BH144" s="309"/>
      <c r="BI144" s="309"/>
      <c r="BJ144" s="309"/>
      <c r="BK144" s="310"/>
      <c r="BL144" s="309"/>
      <c r="BM144" s="309"/>
      <c r="BN144" s="309"/>
      <c r="BO144" s="310"/>
      <c r="BP144" s="309"/>
      <c r="BQ144" s="309"/>
      <c r="BR144" s="309"/>
      <c r="BS144" s="310"/>
      <c r="BT144" s="309"/>
      <c r="BU144" s="309"/>
      <c r="BV144" s="309"/>
      <c r="BW144" s="310"/>
      <c r="BX144" s="309"/>
      <c r="BY144" s="309"/>
      <c r="BZ144" s="309"/>
      <c r="CA144" s="310"/>
      <c r="CB144" s="752"/>
      <c r="CC144" s="752"/>
      <c r="CD144" s="752"/>
      <c r="CE144" s="310">
        <v>-93</v>
      </c>
      <c r="CF144" s="752"/>
      <c r="CG144" s="752"/>
      <c r="CH144" s="752"/>
      <c r="CI144" s="310"/>
      <c r="CJ144" s="752"/>
      <c r="CK144" s="752"/>
      <c r="CL144" s="752"/>
      <c r="CM144" s="310"/>
      <c r="CN144" s="1220"/>
      <c r="CO144" s="752"/>
      <c r="CP144" s="752"/>
      <c r="CQ144" s="796"/>
      <c r="CR144" s="1283"/>
      <c r="CS144" s="1283"/>
      <c r="CT144" s="752"/>
      <c r="CU144" s="796"/>
      <c r="CV144" s="752"/>
      <c r="CW144" s="752"/>
      <c r="CX144" s="752"/>
      <c r="CY144" s="796"/>
      <c r="CZ144" s="752"/>
      <c r="DA144" s="752"/>
      <c r="DB144" s="752"/>
      <c r="DC144" s="796"/>
      <c r="DD144" s="18"/>
      <c r="DE144" s="360"/>
      <c r="DF144" s="360"/>
      <c r="DG144" s="360"/>
      <c r="DH144" s="360"/>
      <c r="DI144" s="360"/>
      <c r="DJ144" s="360"/>
      <c r="DK144" s="360"/>
      <c r="DL144" s="360"/>
      <c r="DM144" s="360"/>
      <c r="DN144" s="360"/>
      <c r="DO144" s="360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4"/>
      <c r="ED144" s="1409"/>
      <c r="EE144" s="18"/>
      <c r="EF144" s="359"/>
      <c r="EG144" s="360"/>
      <c r="EH144" s="360"/>
      <c r="EI144" s="360"/>
      <c r="EJ144" s="360"/>
      <c r="EK144" s="360"/>
      <c r="EL144" s="360"/>
      <c r="EM144" s="360"/>
      <c r="EN144" s="360"/>
      <c r="EO144" s="360"/>
      <c r="EP144" s="360"/>
      <c r="EQ144" s="360"/>
      <c r="ER144" s="360"/>
      <c r="ES144" s="360"/>
      <c r="ET144" s="360"/>
      <c r="EU144" s="360"/>
      <c r="EV144" s="360"/>
      <c r="EW144" s="360"/>
      <c r="EX144" s="360"/>
      <c r="EY144" s="360"/>
      <c r="EZ144" s="360"/>
      <c r="FA144" s="360"/>
      <c r="FB144" s="360"/>
      <c r="FC144" s="360"/>
      <c r="FD144" s="360"/>
      <c r="FE144" s="308"/>
      <c r="FF144" s="300"/>
      <c r="FG144" s="300"/>
      <c r="FH144" s="300"/>
      <c r="FO144" s="7"/>
    </row>
    <row r="145" spans="1:171" ht="14.25" hidden="1" customHeight="1" outlineLevel="1">
      <c r="A145" s="7"/>
      <c r="B145" s="835" t="s">
        <v>431</v>
      </c>
      <c r="C145" s="31"/>
      <c r="D145" s="309"/>
      <c r="E145" s="309"/>
      <c r="F145" s="309"/>
      <c r="G145" s="310"/>
      <c r="H145" s="309"/>
      <c r="I145" s="309"/>
      <c r="J145" s="309"/>
      <c r="K145" s="310"/>
      <c r="L145" s="309"/>
      <c r="M145" s="309"/>
      <c r="N145" s="309"/>
      <c r="O145" s="310"/>
      <c r="P145" s="309"/>
      <c r="Q145" s="309"/>
      <c r="R145" s="309"/>
      <c r="S145" s="310"/>
      <c r="T145" s="309"/>
      <c r="U145" s="309"/>
      <c r="V145" s="309"/>
      <c r="W145" s="310"/>
      <c r="X145" s="309"/>
      <c r="Y145" s="309"/>
      <c r="Z145" s="309"/>
      <c r="AA145" s="310"/>
      <c r="AB145" s="309"/>
      <c r="AC145" s="309"/>
      <c r="AD145" s="309"/>
      <c r="AE145" s="310"/>
      <c r="AF145" s="309"/>
      <c r="AG145" s="309"/>
      <c r="AH145" s="309"/>
      <c r="AI145" s="310"/>
      <c r="AJ145" s="309"/>
      <c r="AK145" s="309"/>
      <c r="AL145" s="309"/>
      <c r="AM145" s="310"/>
      <c r="AN145" s="309"/>
      <c r="AO145" s="309"/>
      <c r="AP145" s="309"/>
      <c r="AQ145" s="310"/>
      <c r="AR145" s="309"/>
      <c r="AS145" s="309"/>
      <c r="AT145" s="309"/>
      <c r="AU145" s="310"/>
      <c r="AV145" s="309"/>
      <c r="AW145" s="309"/>
      <c r="AX145" s="309"/>
      <c r="AY145" s="310"/>
      <c r="AZ145" s="309"/>
      <c r="BA145" s="309"/>
      <c r="BB145" s="309"/>
      <c r="BC145" s="310"/>
      <c r="BD145" s="309"/>
      <c r="BE145" s="309"/>
      <c r="BF145" s="309"/>
      <c r="BG145" s="310"/>
      <c r="BH145" s="309"/>
      <c r="BI145" s="309"/>
      <c r="BJ145" s="309"/>
      <c r="BK145" s="310"/>
      <c r="BL145" s="309"/>
      <c r="BM145" s="309"/>
      <c r="BN145" s="309"/>
      <c r="BO145" s="310"/>
      <c r="BP145" s="309"/>
      <c r="BQ145" s="309"/>
      <c r="BR145" s="309"/>
      <c r="BS145" s="310"/>
      <c r="BT145" s="309"/>
      <c r="BU145" s="309"/>
      <c r="BV145" s="309"/>
      <c r="BW145" s="310"/>
      <c r="BX145" s="309"/>
      <c r="BY145" s="309"/>
      <c r="BZ145" s="309"/>
      <c r="CA145" s="310"/>
      <c r="CB145" s="752"/>
      <c r="CC145" s="752"/>
      <c r="CD145" s="752"/>
      <c r="CE145" s="310">
        <v>-119</v>
      </c>
      <c r="CF145" s="752">
        <v>-1</v>
      </c>
      <c r="CG145" s="752"/>
      <c r="CH145" s="752"/>
      <c r="CI145" s="310"/>
      <c r="CJ145" s="752">
        <v>0</v>
      </c>
      <c r="CK145" s="752"/>
      <c r="CL145" s="752"/>
      <c r="CM145" s="310"/>
      <c r="CN145" s="1220">
        <v>0</v>
      </c>
      <c r="CO145" s="752"/>
      <c r="CP145" s="752"/>
      <c r="CQ145" s="796"/>
      <c r="CR145" s="1283">
        <v>0</v>
      </c>
      <c r="CS145" s="1283">
        <v>0</v>
      </c>
      <c r="CT145" s="752"/>
      <c r="CU145" s="796"/>
      <c r="CV145" s="752"/>
      <c r="CW145" s="752"/>
      <c r="CX145" s="752"/>
      <c r="CY145" s="796"/>
      <c r="CZ145" s="752"/>
      <c r="DA145" s="752"/>
      <c r="DB145" s="752"/>
      <c r="DC145" s="796"/>
      <c r="DD145" s="18"/>
      <c r="DE145" s="360"/>
      <c r="DF145" s="360"/>
      <c r="DG145" s="360"/>
      <c r="DH145" s="360"/>
      <c r="DI145" s="360"/>
      <c r="DJ145" s="360"/>
      <c r="DK145" s="360"/>
      <c r="DL145" s="360"/>
      <c r="DM145" s="360"/>
      <c r="DN145" s="360"/>
      <c r="DO145" s="360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4"/>
      <c r="ED145" s="1409"/>
      <c r="EE145" s="18"/>
      <c r="EF145" s="359"/>
      <c r="EG145" s="360"/>
      <c r="EH145" s="360"/>
      <c r="EI145" s="360"/>
      <c r="EJ145" s="360"/>
      <c r="EK145" s="360"/>
      <c r="EL145" s="360"/>
      <c r="EM145" s="360"/>
      <c r="EN145" s="360"/>
      <c r="EO145" s="360"/>
      <c r="EP145" s="360"/>
      <c r="EQ145" s="360"/>
      <c r="ER145" s="360"/>
      <c r="ES145" s="360"/>
      <c r="ET145" s="360"/>
      <c r="EU145" s="360"/>
      <c r="EV145" s="360"/>
      <c r="EW145" s="360"/>
      <c r="EX145" s="360"/>
      <c r="EY145" s="360"/>
      <c r="EZ145" s="360"/>
      <c r="FA145" s="360"/>
      <c r="FB145" s="360"/>
      <c r="FC145" s="360"/>
      <c r="FD145" s="360"/>
      <c r="FE145" s="308"/>
      <c r="FF145" s="300"/>
      <c r="FG145" s="300"/>
      <c r="FH145" s="300"/>
      <c r="FO145" s="7"/>
    </row>
    <row r="146" spans="1:171" ht="14.25" hidden="1" customHeight="1" outlineLevel="1">
      <c r="A146" s="7"/>
      <c r="B146" s="835" t="s">
        <v>423</v>
      </c>
      <c r="C146" s="23"/>
      <c r="D146" s="282"/>
      <c r="E146" s="282"/>
      <c r="F146" s="282"/>
      <c r="G146" s="283"/>
      <c r="H146" s="282"/>
      <c r="I146" s="282"/>
      <c r="J146" s="282"/>
      <c r="K146" s="283"/>
      <c r="L146" s="282"/>
      <c r="M146" s="282"/>
      <c r="N146" s="282"/>
      <c r="O146" s="283"/>
      <c r="P146" s="282"/>
      <c r="Q146" s="282"/>
      <c r="R146" s="282"/>
      <c r="S146" s="283"/>
      <c r="T146" s="282"/>
      <c r="U146" s="282"/>
      <c r="V146" s="282"/>
      <c r="W146" s="283"/>
      <c r="X146" s="282"/>
      <c r="Y146" s="282"/>
      <c r="Z146" s="282"/>
      <c r="AA146" s="283"/>
      <c r="AB146" s="282"/>
      <c r="AC146" s="282"/>
      <c r="AD146" s="282"/>
      <c r="AE146" s="283"/>
      <c r="AF146" s="282"/>
      <c r="AG146" s="282"/>
      <c r="AH146" s="282"/>
      <c r="AI146" s="283"/>
      <c r="AJ146" s="282"/>
      <c r="AK146" s="282"/>
      <c r="AL146" s="282"/>
      <c r="AM146" s="283"/>
      <c r="AN146" s="282"/>
      <c r="AO146" s="282"/>
      <c r="AP146" s="282"/>
      <c r="AQ146" s="283"/>
      <c r="AR146" s="282"/>
      <c r="AS146" s="282"/>
      <c r="AT146" s="282"/>
      <c r="AU146" s="283"/>
      <c r="AV146" s="282"/>
      <c r="AW146" s="282"/>
      <c r="AX146" s="282"/>
      <c r="AY146" s="283"/>
      <c r="AZ146" s="282"/>
      <c r="BA146" s="282"/>
      <c r="BB146" s="282"/>
      <c r="BC146" s="283"/>
      <c r="BD146" s="282"/>
      <c r="BE146" s="282"/>
      <c r="BF146" s="282"/>
      <c r="BG146" s="283"/>
      <c r="BH146" s="282"/>
      <c r="BI146" s="282"/>
      <c r="BJ146" s="282"/>
      <c r="BK146" s="283"/>
      <c r="BL146" s="282"/>
      <c r="BM146" s="282"/>
      <c r="BN146" s="282"/>
      <c r="BO146" s="283"/>
      <c r="BP146" s="282"/>
      <c r="BQ146" s="282"/>
      <c r="BR146" s="282"/>
      <c r="BS146" s="283"/>
      <c r="BT146" s="282"/>
      <c r="BU146" s="282"/>
      <c r="BV146" s="282"/>
      <c r="BW146" s="283"/>
      <c r="BX146" s="282"/>
      <c r="BY146" s="282"/>
      <c r="BZ146" s="282"/>
      <c r="CA146" s="283"/>
      <c r="CB146" s="752">
        <v>6</v>
      </c>
      <c r="CC146" s="752">
        <f>14</f>
        <v>14</v>
      </c>
      <c r="CD146" s="752">
        <v>5</v>
      </c>
      <c r="CE146" s="283">
        <v>3</v>
      </c>
      <c r="CF146" s="752">
        <v>21</v>
      </c>
      <c r="CG146" s="752">
        <v>6</v>
      </c>
      <c r="CH146" s="752">
        <v>0</v>
      </c>
      <c r="CI146" s="283">
        <v>1</v>
      </c>
      <c r="CJ146" s="752">
        <v>3</v>
      </c>
      <c r="CK146" s="752">
        <v>5</v>
      </c>
      <c r="CL146" s="752">
        <v>5</v>
      </c>
      <c r="CM146" s="283">
        <v>11</v>
      </c>
      <c r="CN146" s="1220">
        <v>12</v>
      </c>
      <c r="CO146" s="752">
        <v>28</v>
      </c>
      <c r="CP146" s="752">
        <v>22</v>
      </c>
      <c r="CQ146" s="796">
        <v>12</v>
      </c>
      <c r="CR146" s="1283">
        <v>9</v>
      </c>
      <c r="CS146" s="1283">
        <v>27</v>
      </c>
      <c r="CT146" s="752"/>
      <c r="CU146" s="796"/>
      <c r="CV146" s="752"/>
      <c r="CW146" s="752"/>
      <c r="CX146" s="752"/>
      <c r="CY146" s="796"/>
      <c r="CZ146" s="752"/>
      <c r="DA146" s="752"/>
      <c r="DB146" s="752"/>
      <c r="DC146" s="796"/>
      <c r="DD146" s="18"/>
      <c r="DE146" s="355"/>
      <c r="DF146" s="355"/>
      <c r="DG146" s="355"/>
      <c r="DH146" s="355"/>
      <c r="DI146" s="355"/>
      <c r="DJ146" s="355"/>
      <c r="DK146" s="355"/>
      <c r="DL146" s="355"/>
      <c r="DM146" s="355"/>
      <c r="DN146" s="355"/>
      <c r="DO146" s="355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2"/>
      <c r="ED146" s="1406"/>
      <c r="EE146" s="18"/>
      <c r="EF146" s="354"/>
      <c r="EG146" s="355"/>
      <c r="EH146" s="355"/>
      <c r="EI146" s="355"/>
      <c r="EJ146" s="355"/>
      <c r="EK146" s="355"/>
      <c r="EL146" s="355"/>
      <c r="EM146" s="355"/>
      <c r="EN146" s="355"/>
      <c r="EO146" s="355"/>
      <c r="EP146" s="355"/>
      <c r="EQ146" s="355"/>
      <c r="ER146" s="355"/>
      <c r="ES146" s="355"/>
      <c r="ET146" s="355"/>
      <c r="EU146" s="355"/>
      <c r="EV146" s="355"/>
      <c r="EW146" s="355"/>
      <c r="EX146" s="355"/>
      <c r="EY146" s="355"/>
      <c r="EZ146" s="355"/>
      <c r="FA146" s="355"/>
      <c r="FB146" s="355"/>
      <c r="FC146" s="355"/>
      <c r="FD146" s="355"/>
      <c r="FE146" s="308"/>
      <c r="FF146" s="300"/>
      <c r="FG146" s="300"/>
      <c r="FH146" s="300"/>
      <c r="FO146" s="7"/>
    </row>
    <row r="147" spans="1:171" s="1152" customFormat="1" ht="14.25" hidden="1" customHeight="1" outlineLevel="1">
      <c r="A147" s="7"/>
      <c r="B147" s="835" t="s">
        <v>393</v>
      </c>
      <c r="C147" s="23"/>
      <c r="D147" s="282"/>
      <c r="E147" s="282"/>
      <c r="F147" s="282"/>
      <c r="G147" s="283"/>
      <c r="H147" s="282"/>
      <c r="I147" s="282"/>
      <c r="J147" s="282"/>
      <c r="K147" s="283"/>
      <c r="L147" s="282"/>
      <c r="M147" s="282"/>
      <c r="N147" s="282"/>
      <c r="O147" s="283"/>
      <c r="P147" s="282"/>
      <c r="Q147" s="282"/>
      <c r="R147" s="282"/>
      <c r="S147" s="283"/>
      <c r="T147" s="282"/>
      <c r="U147" s="282"/>
      <c r="V147" s="282"/>
      <c r="W147" s="283"/>
      <c r="X147" s="282"/>
      <c r="Y147" s="282"/>
      <c r="Z147" s="282"/>
      <c r="AA147" s="283"/>
      <c r="AB147" s="282"/>
      <c r="AC147" s="282"/>
      <c r="AD147" s="282"/>
      <c r="AE147" s="283"/>
      <c r="AF147" s="282"/>
      <c r="AG147" s="282"/>
      <c r="AH147" s="282"/>
      <c r="AI147" s="283"/>
      <c r="AJ147" s="282"/>
      <c r="AK147" s="282"/>
      <c r="AL147" s="282"/>
      <c r="AM147" s="283"/>
      <c r="AN147" s="282"/>
      <c r="AO147" s="282"/>
      <c r="AP147" s="282"/>
      <c r="AQ147" s="283"/>
      <c r="AR147" s="282"/>
      <c r="AS147" s="282"/>
      <c r="AT147" s="282"/>
      <c r="AU147" s="283"/>
      <c r="AV147" s="282"/>
      <c r="AW147" s="282"/>
      <c r="AX147" s="282"/>
      <c r="AY147" s="283"/>
      <c r="AZ147" s="282"/>
      <c r="BA147" s="282"/>
      <c r="BB147" s="282"/>
      <c r="BC147" s="283"/>
      <c r="BD147" s="282"/>
      <c r="BE147" s="282"/>
      <c r="BF147" s="282"/>
      <c r="BG147" s="283"/>
      <c r="BH147" s="282"/>
      <c r="BI147" s="282"/>
      <c r="BJ147" s="282"/>
      <c r="BK147" s="283"/>
      <c r="BL147" s="282"/>
      <c r="BM147" s="282"/>
      <c r="BN147" s="282"/>
      <c r="BO147" s="283"/>
      <c r="BP147" s="282"/>
      <c r="BQ147" s="282"/>
      <c r="BR147" s="282"/>
      <c r="BS147" s="283"/>
      <c r="BT147" s="282"/>
      <c r="BU147" s="282"/>
      <c r="BV147" s="282"/>
      <c r="BW147" s="283"/>
      <c r="BX147" s="282"/>
      <c r="BY147" s="282"/>
      <c r="BZ147" s="282"/>
      <c r="CA147" s="283"/>
      <c r="CB147" s="752"/>
      <c r="CC147" s="752"/>
      <c r="CD147" s="752"/>
      <c r="CE147" s="283"/>
      <c r="CF147" s="752"/>
      <c r="CG147" s="752"/>
      <c r="CH147" s="752"/>
      <c r="CI147" s="283"/>
      <c r="CJ147" s="752"/>
      <c r="CK147" s="752"/>
      <c r="CL147" s="752">
        <v>2</v>
      </c>
      <c r="CM147" s="283"/>
      <c r="CN147" s="1220">
        <v>3</v>
      </c>
      <c r="CO147" s="752">
        <f>-34-SUM(CO139:CO146)</f>
        <v>9</v>
      </c>
      <c r="CP147" s="752">
        <v>0</v>
      </c>
      <c r="CQ147" s="796"/>
      <c r="CR147" s="1283">
        <v>0</v>
      </c>
      <c r="CS147" s="1283">
        <v>3</v>
      </c>
      <c r="CT147" s="752"/>
      <c r="CU147" s="796"/>
      <c r="CV147" s="752"/>
      <c r="CW147" s="752"/>
      <c r="CX147" s="752"/>
      <c r="CY147" s="796"/>
      <c r="CZ147" s="752"/>
      <c r="DA147" s="752"/>
      <c r="DB147" s="752"/>
      <c r="DC147" s="796"/>
      <c r="DD147" s="18"/>
      <c r="DE147" s="355"/>
      <c r="DF147" s="355"/>
      <c r="DG147" s="355"/>
      <c r="DH147" s="355"/>
      <c r="DI147" s="355"/>
      <c r="DJ147" s="355"/>
      <c r="DK147" s="355"/>
      <c r="DL147" s="355"/>
      <c r="DM147" s="355"/>
      <c r="DN147" s="355"/>
      <c r="DO147" s="355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2"/>
      <c r="ED147" s="1406"/>
      <c r="EE147" s="18"/>
      <c r="EF147" s="354"/>
      <c r="EG147" s="355"/>
      <c r="EH147" s="355"/>
      <c r="EI147" s="355"/>
      <c r="EJ147" s="355"/>
      <c r="EK147" s="355"/>
      <c r="EL147" s="355"/>
      <c r="EM147" s="355"/>
      <c r="EN147" s="355"/>
      <c r="EO147" s="355"/>
      <c r="EP147" s="355"/>
      <c r="EQ147" s="355"/>
      <c r="ER147" s="355"/>
      <c r="ES147" s="355"/>
      <c r="ET147" s="355"/>
      <c r="EU147" s="355"/>
      <c r="EV147" s="355"/>
      <c r="EW147" s="355"/>
      <c r="EX147" s="355"/>
      <c r="EY147" s="355"/>
      <c r="EZ147" s="355"/>
      <c r="FA147" s="355"/>
      <c r="FB147" s="355"/>
      <c r="FC147" s="355"/>
      <c r="FD147" s="355"/>
      <c r="FE147" s="308"/>
      <c r="FF147" s="300"/>
      <c r="FG147" s="300"/>
      <c r="FH147" s="300"/>
      <c r="FI147"/>
      <c r="FJ147"/>
      <c r="FK147"/>
      <c r="FL147"/>
      <c r="FM147"/>
      <c r="FN147"/>
      <c r="FO147" s="7"/>
    </row>
    <row r="148" spans="1:171" s="652" customFormat="1" ht="14.25" hidden="1" customHeight="1" outlineLevel="1">
      <c r="A148" s="10"/>
      <c r="B148" s="835" t="s">
        <v>421</v>
      </c>
      <c r="C148" s="23"/>
      <c r="D148" s="71"/>
      <c r="E148" s="66"/>
      <c r="F148" s="71"/>
      <c r="G148" s="72"/>
      <c r="H148" s="71"/>
      <c r="I148" s="66"/>
      <c r="J148" s="71"/>
      <c r="K148" s="72"/>
      <c r="L148" s="71"/>
      <c r="M148" s="66"/>
      <c r="N148" s="71"/>
      <c r="O148" s="72"/>
      <c r="P148" s="71"/>
      <c r="Q148" s="66"/>
      <c r="R148" s="71"/>
      <c r="S148" s="72"/>
      <c r="T148" s="71"/>
      <c r="U148" s="66"/>
      <c r="V148" s="71"/>
      <c r="W148" s="72"/>
      <c r="X148" s="71"/>
      <c r="Y148" s="66"/>
      <c r="Z148" s="71"/>
      <c r="AA148" s="72"/>
      <c r="AB148" s="71"/>
      <c r="AC148" s="66"/>
      <c r="AD148" s="71"/>
      <c r="AE148" s="72"/>
      <c r="AF148" s="71"/>
      <c r="AG148" s="66"/>
      <c r="AH148" s="71"/>
      <c r="AI148" s="72"/>
      <c r="AJ148" s="71"/>
      <c r="AK148" s="66"/>
      <c r="AL148" s="71"/>
      <c r="AM148" s="72"/>
      <c r="AN148" s="71"/>
      <c r="AO148" s="66"/>
      <c r="AP148" s="71"/>
      <c r="AQ148" s="72"/>
      <c r="AR148" s="71"/>
      <c r="AS148" s="66"/>
      <c r="AT148" s="71"/>
      <c r="AU148" s="72"/>
      <c r="AV148" s="71"/>
      <c r="AW148" s="66"/>
      <c r="AX148" s="71"/>
      <c r="AY148" s="72"/>
      <c r="AZ148" s="71"/>
      <c r="BA148" s="66"/>
      <c r="BB148" s="71"/>
      <c r="BC148" s="72"/>
      <c r="BD148" s="71"/>
      <c r="BE148" s="66"/>
      <c r="BF148" s="71"/>
      <c r="BG148" s="72"/>
      <c r="BH148" s="71"/>
      <c r="BI148" s="66"/>
      <c r="BJ148" s="71"/>
      <c r="BK148" s="72"/>
      <c r="BL148" s="71"/>
      <c r="BM148" s="66"/>
      <c r="BN148" s="71"/>
      <c r="BO148" s="72"/>
      <c r="BP148" s="71"/>
      <c r="BQ148" s="66"/>
      <c r="BR148" s="71"/>
      <c r="BS148" s="72"/>
      <c r="BT148" s="71"/>
      <c r="BU148" s="66"/>
      <c r="BV148" s="71"/>
      <c r="BW148" s="72"/>
      <c r="BX148" s="71"/>
      <c r="BY148" s="66"/>
      <c r="BZ148" s="71"/>
      <c r="CA148" s="72"/>
      <c r="CB148" s="795">
        <v>50</v>
      </c>
      <c r="CC148" s="795">
        <v>44</v>
      </c>
      <c r="CD148" s="795">
        <v>36</v>
      </c>
      <c r="CE148" s="72">
        <v>37</v>
      </c>
      <c r="CF148" s="795">
        <v>38</v>
      </c>
      <c r="CG148" s="795">
        <v>33</v>
      </c>
      <c r="CH148" s="795">
        <v>34</v>
      </c>
      <c r="CI148" s="796">
        <v>33</v>
      </c>
      <c r="CJ148" s="795">
        <v>33</v>
      </c>
      <c r="CK148" s="795">
        <v>31</v>
      </c>
      <c r="CL148" s="795">
        <v>30</v>
      </c>
      <c r="CM148" s="796">
        <v>32</v>
      </c>
      <c r="CN148" s="1221">
        <v>32</v>
      </c>
      <c r="CO148" s="795">
        <v>31</v>
      </c>
      <c r="CP148" s="795">
        <v>30</v>
      </c>
      <c r="CQ148" s="796">
        <v>32</v>
      </c>
      <c r="CR148" s="1221">
        <v>29</v>
      </c>
      <c r="CS148" s="1221">
        <v>26</v>
      </c>
      <c r="CT148" s="795"/>
      <c r="CU148" s="796">
        <f>CT148</f>
        <v>0</v>
      </c>
      <c r="CV148" s="795">
        <f t="shared" ref="CV148:CY148" si="911">CU148</f>
        <v>0</v>
      </c>
      <c r="CW148" s="795">
        <f t="shared" si="911"/>
        <v>0</v>
      </c>
      <c r="CX148" s="795">
        <f t="shared" si="911"/>
        <v>0</v>
      </c>
      <c r="CY148" s="796">
        <f t="shared" si="911"/>
        <v>0</v>
      </c>
      <c r="CZ148" s="795">
        <f t="shared" ref="CZ148" si="912">CY148</f>
        <v>0</v>
      </c>
      <c r="DA148" s="795">
        <f t="shared" ref="DA148" si="913">CZ148</f>
        <v>0</v>
      </c>
      <c r="DB148" s="795">
        <f t="shared" ref="DB148" si="914">DA148</f>
        <v>0</v>
      </c>
      <c r="DC148" s="796">
        <f t="shared" ref="DC148" si="915">DB148</f>
        <v>0</v>
      </c>
      <c r="DD148" s="153"/>
      <c r="DE148" s="71"/>
      <c r="DF148" s="71"/>
      <c r="DG148" s="71"/>
      <c r="DH148" s="71"/>
      <c r="DI148" s="71"/>
      <c r="DJ148" s="71"/>
      <c r="DK148" s="71"/>
      <c r="DL148" s="71"/>
      <c r="DM148" s="71"/>
      <c r="DN148" s="71"/>
      <c r="DO148" s="71"/>
      <c r="DP148" s="71"/>
      <c r="DQ148" s="71"/>
      <c r="DR148" s="71"/>
      <c r="DS148" s="71"/>
      <c r="DT148" s="71"/>
      <c r="DU148" s="71"/>
      <c r="DV148" s="71"/>
      <c r="DW148" s="71"/>
      <c r="DX148" s="71"/>
      <c r="DY148" s="71"/>
      <c r="DZ148" s="71"/>
      <c r="EA148" s="71"/>
      <c r="EB148" s="71"/>
      <c r="EC148" s="72"/>
      <c r="ED148" s="1408"/>
      <c r="EE148" s="743"/>
      <c r="EF148" s="311"/>
      <c r="EG148" s="71"/>
      <c r="EH148" s="71"/>
      <c r="EI148" s="71"/>
      <c r="EJ148" s="71"/>
      <c r="EK148" s="71"/>
      <c r="EL148" s="71"/>
      <c r="EM148" s="71"/>
      <c r="EN148" s="71"/>
      <c r="EO148" s="71"/>
      <c r="EP148" s="71"/>
      <c r="EQ148" s="71"/>
      <c r="ER148" s="71"/>
      <c r="ES148" s="71"/>
      <c r="ET148" s="71"/>
      <c r="EU148" s="71"/>
      <c r="EV148" s="71"/>
      <c r="EW148" s="71"/>
      <c r="EX148" s="71"/>
      <c r="EY148" s="71"/>
      <c r="EZ148" s="71"/>
      <c r="FA148" s="71"/>
      <c r="FB148" s="71"/>
      <c r="FC148" s="71"/>
      <c r="FD148" s="71"/>
      <c r="FE148" s="651"/>
      <c r="FF148" s="736"/>
      <c r="FG148" s="736"/>
      <c r="FH148" s="736"/>
      <c r="FI148"/>
      <c r="FJ148"/>
      <c r="FK148"/>
      <c r="FL148"/>
      <c r="FM148"/>
      <c r="FN148"/>
      <c r="FO148" s="10"/>
    </row>
    <row r="149" spans="1:171" ht="14.25" hidden="1" customHeight="1" outlineLevel="1">
      <c r="A149" s="7"/>
      <c r="B149" s="675" t="s">
        <v>428</v>
      </c>
      <c r="C149" s="23"/>
      <c r="D149" s="282"/>
      <c r="E149" s="282"/>
      <c r="F149" s="282"/>
      <c r="G149" s="283"/>
      <c r="H149" s="282"/>
      <c r="I149" s="282"/>
      <c r="J149" s="282"/>
      <c r="K149" s="283"/>
      <c r="L149" s="282"/>
      <c r="M149" s="282"/>
      <c r="N149" s="282"/>
      <c r="O149" s="283"/>
      <c r="P149" s="282"/>
      <c r="Q149" s="282"/>
      <c r="R149" s="282"/>
      <c r="S149" s="283"/>
      <c r="T149" s="282"/>
      <c r="U149" s="282"/>
      <c r="V149" s="282"/>
      <c r="W149" s="283"/>
      <c r="X149" s="282"/>
      <c r="Y149" s="282"/>
      <c r="Z149" s="282"/>
      <c r="AA149" s="283"/>
      <c r="AB149" s="282"/>
      <c r="AC149" s="282"/>
      <c r="AD149" s="282"/>
      <c r="AE149" s="283"/>
      <c r="AF149" s="282"/>
      <c r="AG149" s="282"/>
      <c r="AH149" s="282"/>
      <c r="AI149" s="283"/>
      <c r="AJ149" s="282"/>
      <c r="AK149" s="282"/>
      <c r="AL149" s="282"/>
      <c r="AM149" s="283"/>
      <c r="AN149" s="282"/>
      <c r="AO149" s="282"/>
      <c r="AP149" s="282"/>
      <c r="AQ149" s="283"/>
      <c r="AR149" s="282"/>
      <c r="AS149" s="282"/>
      <c r="AT149" s="282"/>
      <c r="AU149" s="283"/>
      <c r="AV149" s="282"/>
      <c r="AW149" s="282"/>
      <c r="AX149" s="282"/>
      <c r="AY149" s="283"/>
      <c r="AZ149" s="282"/>
      <c r="BA149" s="282"/>
      <c r="BB149" s="282"/>
      <c r="BC149" s="283"/>
      <c r="BD149" s="282"/>
      <c r="BE149" s="282"/>
      <c r="BF149" s="282"/>
      <c r="BG149" s="283"/>
      <c r="BH149" s="282"/>
      <c r="BI149" s="282"/>
      <c r="BJ149" s="282"/>
      <c r="BK149" s="283"/>
      <c r="BL149" s="282"/>
      <c r="BM149" s="282"/>
      <c r="BN149" s="282"/>
      <c r="BO149" s="283"/>
      <c r="BP149" s="282"/>
      <c r="BQ149" s="282"/>
      <c r="BR149" s="282"/>
      <c r="BS149" s="283"/>
      <c r="BT149" s="282"/>
      <c r="BU149" s="282"/>
      <c r="BV149" s="282"/>
      <c r="BW149" s="283"/>
      <c r="BX149" s="282"/>
      <c r="BY149" s="282"/>
      <c r="BZ149" s="282"/>
      <c r="CA149" s="283"/>
      <c r="CB149" s="750">
        <f>+SUM(CB150:CB151)</f>
        <v>34</v>
      </c>
      <c r="CC149" s="759">
        <f>+SUM(CC150:CC151)</f>
        <v>33</v>
      </c>
      <c r="CD149" s="759">
        <f>+SUM(CD150:CD151)</f>
        <v>41</v>
      </c>
      <c r="CE149" s="283">
        <f>+SUM(CE150:CE151)</f>
        <v>-122</v>
      </c>
      <c r="CF149" s="750">
        <f>+SUM(CF150:CF152)</f>
        <v>36</v>
      </c>
      <c r="CG149" s="759">
        <f>+SUM(CG150:CG152)</f>
        <v>-33</v>
      </c>
      <c r="CH149" s="759">
        <f t="shared" ref="CH149:CL149" si="916">+SUM(CH150:CH152)</f>
        <v>76</v>
      </c>
      <c r="CI149" s="283">
        <f t="shared" si="916"/>
        <v>-86</v>
      </c>
      <c r="CJ149" s="759">
        <f>+SUM(CJ150:CJ152)</f>
        <v>-9</v>
      </c>
      <c r="CK149" s="759">
        <f t="shared" si="916"/>
        <v>12</v>
      </c>
      <c r="CL149" s="759">
        <f t="shared" si="916"/>
        <v>71</v>
      </c>
      <c r="CM149" s="283">
        <f t="shared" ref="CM149" si="917">+SUM(CM150:CM152)</f>
        <v>19</v>
      </c>
      <c r="CN149" s="759">
        <f>+SUM(CN150:CN152)</f>
        <v>13</v>
      </c>
      <c r="CO149" s="759">
        <f t="shared" ref="CO149" si="918">+SUM(CO150:CO152)</f>
        <v>7</v>
      </c>
      <c r="CP149" s="759">
        <f t="shared" ref="CP149:CQ149" si="919">+SUM(CP150:CP152)</f>
        <v>28</v>
      </c>
      <c r="CQ149" s="758">
        <f t="shared" si="919"/>
        <v>-107</v>
      </c>
      <c r="CR149" s="759">
        <f>+SUM(CR150:CR152)</f>
        <v>23</v>
      </c>
      <c r="CS149" s="759">
        <f>+SUM(CS150:CS153)</f>
        <v>44</v>
      </c>
      <c r="CT149" s="759">
        <f t="shared" ref="CT149:CU149" si="920">+SUM(CT150:CT152)</f>
        <v>0</v>
      </c>
      <c r="CU149" s="758">
        <f t="shared" si="920"/>
        <v>0</v>
      </c>
      <c r="CV149" s="750">
        <f t="shared" ref="CV149:CY149" si="921">+SUM(CV150:CV152)</f>
        <v>0</v>
      </c>
      <c r="CW149" s="759">
        <f t="shared" si="921"/>
        <v>0</v>
      </c>
      <c r="CX149" s="759">
        <f t="shared" si="921"/>
        <v>0</v>
      </c>
      <c r="CY149" s="758">
        <f t="shared" si="921"/>
        <v>0</v>
      </c>
      <c r="CZ149" s="750">
        <f t="shared" ref="CZ149:DC149" si="922">+SUM(CZ150:CZ152)</f>
        <v>0</v>
      </c>
      <c r="DA149" s="759">
        <f t="shared" si="922"/>
        <v>0</v>
      </c>
      <c r="DB149" s="759">
        <f t="shared" si="922"/>
        <v>0</v>
      </c>
      <c r="DC149" s="758">
        <f t="shared" si="922"/>
        <v>0</v>
      </c>
      <c r="DD149" s="18"/>
      <c r="DE149" s="355"/>
      <c r="DF149" s="355"/>
      <c r="DG149" s="355"/>
      <c r="DH149" s="355"/>
      <c r="DI149" s="355"/>
      <c r="DJ149" s="355"/>
      <c r="DK149" s="355"/>
      <c r="DL149" s="355"/>
      <c r="DM149" s="355"/>
      <c r="DN149" s="355"/>
      <c r="DO149" s="355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2"/>
      <c r="ED149" s="1406"/>
      <c r="EE149" s="18"/>
      <c r="EF149" s="354"/>
      <c r="EG149" s="355"/>
      <c r="EH149" s="355"/>
      <c r="EI149" s="355"/>
      <c r="EJ149" s="355"/>
      <c r="EK149" s="355"/>
      <c r="EL149" s="355"/>
      <c r="EM149" s="355"/>
      <c r="EN149" s="355"/>
      <c r="EO149" s="355"/>
      <c r="EP149" s="355"/>
      <c r="EQ149" s="355"/>
      <c r="ER149" s="355"/>
      <c r="ES149" s="355"/>
      <c r="ET149" s="355"/>
      <c r="EU149" s="355"/>
      <c r="EV149" s="355"/>
      <c r="EW149" s="355"/>
      <c r="EX149" s="355"/>
      <c r="EY149" s="355"/>
      <c r="EZ149" s="355"/>
      <c r="FA149" s="355"/>
      <c r="FB149" s="355"/>
      <c r="FC149" s="355"/>
      <c r="FD149" s="355"/>
      <c r="FE149" s="308"/>
      <c r="FF149" s="300"/>
      <c r="FG149" s="300"/>
      <c r="FH149" s="300"/>
      <c r="FO149" s="7"/>
    </row>
    <row r="150" spans="1:171" ht="14.25" hidden="1" customHeight="1" outlineLevel="1">
      <c r="A150" s="7"/>
      <c r="B150" s="835" t="s">
        <v>424</v>
      </c>
      <c r="C150" s="23"/>
      <c r="D150" s="286"/>
      <c r="E150" s="286"/>
      <c r="F150" s="286"/>
      <c r="G150" s="287"/>
      <c r="H150" s="286"/>
      <c r="I150" s="286"/>
      <c r="J150" s="286"/>
      <c r="K150" s="287"/>
      <c r="L150" s="286"/>
      <c r="M150" s="286"/>
      <c r="N150" s="286"/>
      <c r="O150" s="287"/>
      <c r="P150" s="286"/>
      <c r="Q150" s="286"/>
      <c r="R150" s="286"/>
      <c r="S150" s="287"/>
      <c r="T150" s="286"/>
      <c r="U150" s="286"/>
      <c r="V150" s="286"/>
      <c r="W150" s="287"/>
      <c r="X150" s="286"/>
      <c r="Y150" s="286"/>
      <c r="Z150" s="286"/>
      <c r="AA150" s="287"/>
      <c r="AB150" s="286"/>
      <c r="AC150" s="286"/>
      <c r="AD150" s="286"/>
      <c r="AE150" s="287"/>
      <c r="AF150" s="286"/>
      <c r="AG150" s="286"/>
      <c r="AH150" s="286"/>
      <c r="AI150" s="287"/>
      <c r="AJ150" s="286"/>
      <c r="AK150" s="286"/>
      <c r="AL150" s="286"/>
      <c r="AM150" s="287"/>
      <c r="AN150" s="286"/>
      <c r="AO150" s="286"/>
      <c r="AP150" s="286"/>
      <c r="AQ150" s="287"/>
      <c r="AR150" s="286"/>
      <c r="AS150" s="286"/>
      <c r="AT150" s="286"/>
      <c r="AU150" s="287"/>
      <c r="AV150" s="286"/>
      <c r="AW150" s="286"/>
      <c r="AX150" s="286"/>
      <c r="AY150" s="287"/>
      <c r="AZ150" s="286"/>
      <c r="BA150" s="286"/>
      <c r="BB150" s="286"/>
      <c r="BC150" s="287"/>
      <c r="BD150" s="286"/>
      <c r="BE150" s="286"/>
      <c r="BF150" s="286"/>
      <c r="BG150" s="287"/>
      <c r="BH150" s="286"/>
      <c r="BI150" s="286"/>
      <c r="BJ150" s="286"/>
      <c r="BK150" s="287"/>
      <c r="BL150" s="286"/>
      <c r="BM150" s="286"/>
      <c r="BN150" s="286"/>
      <c r="BO150" s="287"/>
      <c r="BP150" s="286"/>
      <c r="BQ150" s="286"/>
      <c r="BR150" s="286"/>
      <c r="BS150" s="287"/>
      <c r="BT150" s="286"/>
      <c r="BU150" s="286"/>
      <c r="BV150" s="286"/>
      <c r="BW150" s="287"/>
      <c r="BX150" s="286"/>
      <c r="BY150" s="286"/>
      <c r="BZ150" s="286"/>
      <c r="CA150" s="287"/>
      <c r="CB150" s="752">
        <v>-39</v>
      </c>
      <c r="CC150" s="752">
        <v>-22</v>
      </c>
      <c r="CD150" s="752">
        <v>-8</v>
      </c>
      <c r="CE150" s="754">
        <v>-4</v>
      </c>
      <c r="CF150" s="752">
        <v>-2</v>
      </c>
      <c r="CG150" s="752">
        <v>-1</v>
      </c>
      <c r="CH150" s="752">
        <v>-1</v>
      </c>
      <c r="CI150" s="754">
        <v>-13</v>
      </c>
      <c r="CJ150" s="752">
        <v>2</v>
      </c>
      <c r="CK150" s="752">
        <v>-1</v>
      </c>
      <c r="CL150" s="752">
        <f t="shared" ref="CL150:CU150" si="923">+CL78</f>
        <v>0</v>
      </c>
      <c r="CM150" s="754">
        <v>-1</v>
      </c>
      <c r="CN150" s="1217">
        <v>-2</v>
      </c>
      <c r="CO150" s="752">
        <v>7</v>
      </c>
      <c r="CP150" s="752">
        <v>28</v>
      </c>
      <c r="CQ150" s="846">
        <v>-107</v>
      </c>
      <c r="CR150" s="1283">
        <v>23</v>
      </c>
      <c r="CS150" s="1283">
        <v>-87</v>
      </c>
      <c r="CT150" s="752">
        <f t="shared" si="923"/>
        <v>0</v>
      </c>
      <c r="CU150" s="846">
        <f t="shared" si="923"/>
        <v>0</v>
      </c>
      <c r="CV150" s="752">
        <f t="shared" ref="CV150:CY150" si="924">+CV78</f>
        <v>0</v>
      </c>
      <c r="CW150" s="752">
        <f t="shared" si="924"/>
        <v>0</v>
      </c>
      <c r="CX150" s="752">
        <f t="shared" si="924"/>
        <v>0</v>
      </c>
      <c r="CY150" s="846">
        <f t="shared" si="924"/>
        <v>0</v>
      </c>
      <c r="CZ150" s="752">
        <f t="shared" ref="CZ150:DC150" si="925">+CZ78</f>
        <v>0</v>
      </c>
      <c r="DA150" s="752">
        <f t="shared" si="925"/>
        <v>0</v>
      </c>
      <c r="DB150" s="752">
        <f t="shared" si="925"/>
        <v>0</v>
      </c>
      <c r="DC150" s="846">
        <f t="shared" si="925"/>
        <v>0</v>
      </c>
      <c r="DD150" s="18"/>
      <c r="DE150" s="362"/>
      <c r="DF150" s="362"/>
      <c r="DG150" s="362"/>
      <c r="DH150" s="362"/>
      <c r="DI150" s="362"/>
      <c r="DJ150" s="362"/>
      <c r="DK150" s="362"/>
      <c r="DL150" s="362"/>
      <c r="DM150" s="362"/>
      <c r="DN150" s="362"/>
      <c r="DO150" s="362"/>
      <c r="DP150" s="71"/>
      <c r="DQ150" s="71"/>
      <c r="DR150" s="71"/>
      <c r="DS150" s="71"/>
      <c r="DT150" s="71"/>
      <c r="DU150" s="71"/>
      <c r="DV150" s="71"/>
      <c r="DW150" s="71"/>
      <c r="DX150" s="71"/>
      <c r="DY150" s="71"/>
      <c r="DZ150" s="71"/>
      <c r="EA150" s="71"/>
      <c r="EB150" s="71"/>
      <c r="EC150" s="72"/>
      <c r="ED150" s="1408"/>
      <c r="EE150" s="18"/>
      <c r="EF150" s="361"/>
      <c r="EG150" s="362"/>
      <c r="EH150" s="362"/>
      <c r="EI150" s="362"/>
      <c r="EJ150" s="362"/>
      <c r="EK150" s="362"/>
      <c r="EL150" s="362"/>
      <c r="EM150" s="362"/>
      <c r="EN150" s="362"/>
      <c r="EO150" s="362"/>
      <c r="EP150" s="362"/>
      <c r="EQ150" s="362"/>
      <c r="ER150" s="362"/>
      <c r="ES150" s="362"/>
      <c r="ET150" s="362"/>
      <c r="EU150" s="362"/>
      <c r="EV150" s="362"/>
      <c r="EW150" s="362"/>
      <c r="EX150" s="362"/>
      <c r="EY150" s="362"/>
      <c r="EZ150" s="362"/>
      <c r="FA150" s="362"/>
      <c r="FB150" s="362"/>
      <c r="FC150" s="362"/>
      <c r="FD150" s="362"/>
      <c r="FE150" s="308"/>
      <c r="FF150" s="300"/>
      <c r="FG150" s="300"/>
      <c r="FH150" s="300"/>
      <c r="FO150" s="7"/>
    </row>
    <row r="151" spans="1:171" ht="14.25" hidden="1" customHeight="1" outlineLevel="1">
      <c r="A151" s="7"/>
      <c r="B151" s="835" t="s">
        <v>425</v>
      </c>
      <c r="C151" s="23"/>
      <c r="D151" s="288"/>
      <c r="E151" s="288"/>
      <c r="F151" s="288"/>
      <c r="G151" s="289"/>
      <c r="H151" s="288"/>
      <c r="I151" s="288"/>
      <c r="J151" s="288"/>
      <c r="K151" s="289"/>
      <c r="L151" s="288"/>
      <c r="M151" s="288"/>
      <c r="N151" s="288"/>
      <c r="O151" s="289"/>
      <c r="P151" s="288"/>
      <c r="Q151" s="288"/>
      <c r="R151" s="288"/>
      <c r="S151" s="289"/>
      <c r="T151" s="288"/>
      <c r="U151" s="288"/>
      <c r="V151" s="288"/>
      <c r="W151" s="289"/>
      <c r="X151" s="288"/>
      <c r="Y151" s="288"/>
      <c r="Z151" s="288"/>
      <c r="AA151" s="289"/>
      <c r="AB151" s="288"/>
      <c r="AC151" s="288"/>
      <c r="AD151" s="288"/>
      <c r="AE151" s="289"/>
      <c r="AF151" s="288"/>
      <c r="AG151" s="288"/>
      <c r="AH151" s="288"/>
      <c r="AI151" s="289"/>
      <c r="AJ151" s="288"/>
      <c r="AK151" s="288"/>
      <c r="AL151" s="288"/>
      <c r="AM151" s="289"/>
      <c r="AN151" s="288"/>
      <c r="AO151" s="288"/>
      <c r="AP151" s="288"/>
      <c r="AQ151" s="289"/>
      <c r="AR151" s="288"/>
      <c r="AS151" s="288"/>
      <c r="AT151" s="288"/>
      <c r="AU151" s="289"/>
      <c r="AV151" s="288"/>
      <c r="AW151" s="288"/>
      <c r="AX151" s="288"/>
      <c r="AY151" s="289"/>
      <c r="AZ151" s="288"/>
      <c r="BA151" s="288"/>
      <c r="BB151" s="288"/>
      <c r="BC151" s="289"/>
      <c r="BD151" s="288"/>
      <c r="BE151" s="288"/>
      <c r="BF151" s="288"/>
      <c r="BG151" s="289"/>
      <c r="BH151" s="288"/>
      <c r="BI151" s="288"/>
      <c r="BJ151" s="288"/>
      <c r="BK151" s="289"/>
      <c r="BL151" s="288"/>
      <c r="BM151" s="288"/>
      <c r="BN151" s="288"/>
      <c r="BO151" s="289"/>
      <c r="BP151" s="288"/>
      <c r="BQ151" s="288"/>
      <c r="BR151" s="288"/>
      <c r="BS151" s="289"/>
      <c r="BT151" s="288"/>
      <c r="BU151" s="288"/>
      <c r="BV151" s="288"/>
      <c r="BW151" s="289"/>
      <c r="BX151" s="288"/>
      <c r="BY151" s="288"/>
      <c r="BZ151" s="288"/>
      <c r="CA151" s="289"/>
      <c r="CB151" s="752">
        <v>73</v>
      </c>
      <c r="CC151" s="752">
        <v>55</v>
      </c>
      <c r="CD151" s="752">
        <v>49</v>
      </c>
      <c r="CE151" s="899">
        <v>-118</v>
      </c>
      <c r="CF151" s="752">
        <v>38</v>
      </c>
      <c r="CG151" s="752">
        <v>33</v>
      </c>
      <c r="CH151" s="752">
        <f>22+45</f>
        <v>67</v>
      </c>
      <c r="CI151" s="899">
        <v>-58</v>
      </c>
      <c r="CJ151" s="752">
        <v>-41</v>
      </c>
      <c r="CK151" s="752">
        <v>0</v>
      </c>
      <c r="CL151" s="752">
        <v>0</v>
      </c>
      <c r="CM151" s="899">
        <v>20</v>
      </c>
      <c r="CN151" s="1217">
        <v>0</v>
      </c>
      <c r="CO151" s="752"/>
      <c r="CP151" s="752"/>
      <c r="CQ151" s="899"/>
      <c r="CR151" s="1283">
        <v>0</v>
      </c>
      <c r="CS151" s="1283">
        <v>0</v>
      </c>
      <c r="CT151" s="752"/>
      <c r="CU151" s="899"/>
      <c r="CV151" s="752"/>
      <c r="CW151" s="752"/>
      <c r="CX151" s="752"/>
      <c r="CY151" s="899"/>
      <c r="CZ151" s="752"/>
      <c r="DA151" s="752"/>
      <c r="DB151" s="752"/>
      <c r="DC151" s="899"/>
      <c r="DD151" s="18"/>
      <c r="DE151" s="355"/>
      <c r="DF151" s="355"/>
      <c r="DG151" s="355"/>
      <c r="DH151" s="355"/>
      <c r="DI151" s="355"/>
      <c r="DJ151" s="355"/>
      <c r="DK151" s="355"/>
      <c r="DL151" s="355"/>
      <c r="DM151" s="355"/>
      <c r="DN151" s="355"/>
      <c r="DO151" s="355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2"/>
      <c r="ED151" s="1406"/>
      <c r="EE151" s="18"/>
      <c r="EF151" s="50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355"/>
      <c r="ER151" s="355"/>
      <c r="ES151" s="355"/>
      <c r="ET151" s="355"/>
      <c r="EU151" s="355"/>
      <c r="EV151" s="355"/>
      <c r="EW151" s="355"/>
      <c r="EX151" s="355"/>
      <c r="EY151" s="355"/>
      <c r="EZ151" s="355"/>
      <c r="FA151" s="355"/>
      <c r="FB151" s="355"/>
      <c r="FC151" s="355"/>
      <c r="FD151" s="355"/>
      <c r="FE151" s="308"/>
      <c r="FF151" s="300"/>
      <c r="FG151" s="300"/>
      <c r="FH151" s="300"/>
      <c r="FO151" s="7"/>
    </row>
    <row r="152" spans="1:171" ht="14.25" hidden="1" customHeight="1" outlineLevel="1">
      <c r="A152" s="7"/>
      <c r="B152" s="835" t="s">
        <v>480</v>
      </c>
      <c r="C152" s="23"/>
      <c r="D152" s="288"/>
      <c r="E152" s="288"/>
      <c r="F152" s="288"/>
      <c r="G152" s="289"/>
      <c r="H152" s="288"/>
      <c r="I152" s="288"/>
      <c r="J152" s="288"/>
      <c r="K152" s="289"/>
      <c r="L152" s="288"/>
      <c r="M152" s="288"/>
      <c r="N152" s="288"/>
      <c r="O152" s="289"/>
      <c r="P152" s="288"/>
      <c r="Q152" s="288"/>
      <c r="R152" s="288"/>
      <c r="S152" s="289"/>
      <c r="T152" s="288"/>
      <c r="U152" s="288"/>
      <c r="V152" s="288"/>
      <c r="W152" s="289"/>
      <c r="X152" s="288"/>
      <c r="Y152" s="288"/>
      <c r="Z152" s="288"/>
      <c r="AA152" s="289"/>
      <c r="AB152" s="288"/>
      <c r="AC152" s="288"/>
      <c r="AD152" s="288"/>
      <c r="AE152" s="289"/>
      <c r="AF152" s="288"/>
      <c r="AG152" s="288"/>
      <c r="AH152" s="288"/>
      <c r="AI152" s="289"/>
      <c r="AJ152" s="288"/>
      <c r="AK152" s="288"/>
      <c r="AL152" s="288"/>
      <c r="AM152" s="289"/>
      <c r="AN152" s="288"/>
      <c r="AO152" s="288"/>
      <c r="AP152" s="288"/>
      <c r="AQ152" s="289"/>
      <c r="AR152" s="288"/>
      <c r="AS152" s="288"/>
      <c r="AT152" s="288"/>
      <c r="AU152" s="289"/>
      <c r="AV152" s="288"/>
      <c r="AW152" s="288"/>
      <c r="AX152" s="288"/>
      <c r="AY152" s="289"/>
      <c r="AZ152" s="288"/>
      <c r="BA152" s="288"/>
      <c r="BB152" s="288"/>
      <c r="BC152" s="289"/>
      <c r="BD152" s="288"/>
      <c r="BE152" s="288"/>
      <c r="BF152" s="288"/>
      <c r="BG152" s="289"/>
      <c r="BH152" s="288"/>
      <c r="BI152" s="288"/>
      <c r="BJ152" s="288"/>
      <c r="BK152" s="289"/>
      <c r="BL152" s="288"/>
      <c r="BM152" s="288"/>
      <c r="BN152" s="288"/>
      <c r="BO152" s="289"/>
      <c r="BP152" s="288"/>
      <c r="BQ152" s="288"/>
      <c r="BR152" s="288"/>
      <c r="BS152" s="289"/>
      <c r="BT152" s="288"/>
      <c r="BU152" s="288"/>
      <c r="BV152" s="288"/>
      <c r="BW152" s="289"/>
      <c r="BX152" s="288"/>
      <c r="BY152" s="288"/>
      <c r="BZ152" s="288"/>
      <c r="CA152" s="289"/>
      <c r="CB152" s="752"/>
      <c r="CC152" s="752"/>
      <c r="CD152" s="752"/>
      <c r="CE152" s="899"/>
      <c r="CF152" s="752"/>
      <c r="CG152" s="752">
        <v>-65</v>
      </c>
      <c r="CH152" s="752">
        <v>10</v>
      </c>
      <c r="CI152" s="899">
        <f>6-21</f>
        <v>-15</v>
      </c>
      <c r="CJ152" s="752">
        <v>30</v>
      </c>
      <c r="CK152" s="752">
        <v>13</v>
      </c>
      <c r="CL152" s="752">
        <v>71</v>
      </c>
      <c r="CM152" s="899">
        <v>0</v>
      </c>
      <c r="CN152" s="1217">
        <v>15</v>
      </c>
      <c r="CO152" s="752"/>
      <c r="CP152" s="752"/>
      <c r="CQ152" s="899"/>
      <c r="CR152" s="1283">
        <v>0</v>
      </c>
      <c r="CS152" s="1283">
        <v>0</v>
      </c>
      <c r="CT152" s="752"/>
      <c r="CU152" s="899"/>
      <c r="CV152" s="752"/>
      <c r="CW152" s="752"/>
      <c r="CX152" s="752"/>
      <c r="CY152" s="899"/>
      <c r="CZ152" s="752"/>
      <c r="DA152" s="752"/>
      <c r="DB152" s="752"/>
      <c r="DC152" s="899"/>
      <c r="DD152" s="18"/>
      <c r="DE152" s="355"/>
      <c r="DF152" s="355"/>
      <c r="DG152" s="355"/>
      <c r="DH152" s="355"/>
      <c r="DI152" s="355"/>
      <c r="DJ152" s="355"/>
      <c r="DK152" s="355"/>
      <c r="DL152" s="355"/>
      <c r="DM152" s="355"/>
      <c r="DN152" s="355"/>
      <c r="DO152" s="355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2"/>
      <c r="ED152" s="1406"/>
      <c r="EE152" s="18"/>
      <c r="EF152" s="50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355"/>
      <c r="ER152" s="355"/>
      <c r="ES152" s="355"/>
      <c r="ET152" s="355"/>
      <c r="EU152" s="355"/>
      <c r="EV152" s="355"/>
      <c r="EW152" s="355"/>
      <c r="EX152" s="355"/>
      <c r="EY152" s="355"/>
      <c r="EZ152" s="355"/>
      <c r="FA152" s="355"/>
      <c r="FB152" s="355"/>
      <c r="FC152" s="355"/>
      <c r="FD152" s="355"/>
      <c r="FE152" s="308"/>
      <c r="FF152" s="300"/>
      <c r="FG152" s="300"/>
      <c r="FH152" s="300"/>
      <c r="FO152" s="7"/>
    </row>
    <row r="153" spans="1:171" s="1440" customFormat="1" ht="14.25" hidden="1" customHeight="1" outlineLevel="1">
      <c r="A153" s="7"/>
      <c r="B153" s="835" t="s">
        <v>621</v>
      </c>
      <c r="C153" s="23"/>
      <c r="D153" s="288"/>
      <c r="E153" s="288"/>
      <c r="F153" s="288"/>
      <c r="G153" s="289"/>
      <c r="H153" s="288"/>
      <c r="I153" s="288"/>
      <c r="J153" s="288"/>
      <c r="K153" s="289"/>
      <c r="L153" s="288"/>
      <c r="M153" s="288"/>
      <c r="N153" s="288"/>
      <c r="O153" s="289"/>
      <c r="P153" s="288"/>
      <c r="Q153" s="288"/>
      <c r="R153" s="288"/>
      <c r="S153" s="289"/>
      <c r="T153" s="288"/>
      <c r="U153" s="288"/>
      <c r="V153" s="288"/>
      <c r="W153" s="289"/>
      <c r="X153" s="288"/>
      <c r="Y153" s="288"/>
      <c r="Z153" s="288"/>
      <c r="AA153" s="289"/>
      <c r="AB153" s="288"/>
      <c r="AC153" s="288"/>
      <c r="AD153" s="288"/>
      <c r="AE153" s="289"/>
      <c r="AF153" s="288"/>
      <c r="AG153" s="288"/>
      <c r="AH153" s="288"/>
      <c r="AI153" s="289"/>
      <c r="AJ153" s="288"/>
      <c r="AK153" s="288"/>
      <c r="AL153" s="288"/>
      <c r="AM153" s="289"/>
      <c r="AN153" s="288"/>
      <c r="AO153" s="288"/>
      <c r="AP153" s="288"/>
      <c r="AQ153" s="289"/>
      <c r="AR153" s="288"/>
      <c r="AS153" s="288"/>
      <c r="AT153" s="288"/>
      <c r="AU153" s="289"/>
      <c r="AV153" s="288"/>
      <c r="AW153" s="288"/>
      <c r="AX153" s="288"/>
      <c r="AY153" s="289"/>
      <c r="AZ153" s="288"/>
      <c r="BA153" s="288"/>
      <c r="BB153" s="288"/>
      <c r="BC153" s="289"/>
      <c r="BD153" s="288"/>
      <c r="BE153" s="288"/>
      <c r="BF153" s="288"/>
      <c r="BG153" s="289"/>
      <c r="BH153" s="288"/>
      <c r="BI153" s="288"/>
      <c r="BJ153" s="288"/>
      <c r="BK153" s="289"/>
      <c r="BL153" s="288"/>
      <c r="BM153" s="288"/>
      <c r="BN153" s="288"/>
      <c r="BO153" s="289"/>
      <c r="BP153" s="288"/>
      <c r="BQ153" s="288"/>
      <c r="BR153" s="288"/>
      <c r="BS153" s="289"/>
      <c r="BT153" s="288"/>
      <c r="BU153" s="288"/>
      <c r="BV153" s="288"/>
      <c r="BW153" s="289"/>
      <c r="BX153" s="288"/>
      <c r="BY153" s="288"/>
      <c r="BZ153" s="288"/>
      <c r="CA153" s="289"/>
      <c r="CB153" s="752"/>
      <c r="CC153" s="752"/>
      <c r="CD153" s="752"/>
      <c r="CE153" s="899"/>
      <c r="CF153" s="752"/>
      <c r="CG153" s="752"/>
      <c r="CH153" s="752"/>
      <c r="CI153" s="899"/>
      <c r="CJ153" s="752"/>
      <c r="CK153" s="752"/>
      <c r="CL153" s="752"/>
      <c r="CM153" s="899"/>
      <c r="CN153" s="1283"/>
      <c r="CO153" s="752"/>
      <c r="CP153" s="752"/>
      <c r="CQ153" s="899"/>
      <c r="CR153" s="1283"/>
      <c r="CS153" s="1283">
        <v>131</v>
      </c>
      <c r="CT153" s="752"/>
      <c r="CU153" s="899"/>
      <c r="CV153" s="752"/>
      <c r="CW153" s="752"/>
      <c r="CX153" s="752"/>
      <c r="CY153" s="899"/>
      <c r="CZ153" s="752"/>
      <c r="DA153" s="752"/>
      <c r="DB153" s="752"/>
      <c r="DC153" s="899"/>
      <c r="DD153" s="18"/>
      <c r="DE153" s="355"/>
      <c r="DF153" s="355"/>
      <c r="DG153" s="355"/>
      <c r="DH153" s="355"/>
      <c r="DI153" s="355"/>
      <c r="DJ153" s="355"/>
      <c r="DK153" s="355"/>
      <c r="DL153" s="355"/>
      <c r="DM153" s="355"/>
      <c r="DN153" s="355"/>
      <c r="DO153" s="355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2"/>
      <c r="ED153" s="1406"/>
      <c r="EE153" s="18"/>
      <c r="EF153" s="50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355"/>
      <c r="ER153" s="355"/>
      <c r="ES153" s="355"/>
      <c r="ET153" s="355"/>
      <c r="EU153" s="355"/>
      <c r="EV153" s="355"/>
      <c r="EW153" s="355"/>
      <c r="EX153" s="355"/>
      <c r="EY153" s="355"/>
      <c r="EZ153" s="355"/>
      <c r="FA153" s="355"/>
      <c r="FB153" s="355"/>
      <c r="FC153" s="355"/>
      <c r="FD153" s="355"/>
      <c r="FE153" s="308"/>
      <c r="FF153" s="300"/>
      <c r="FG153" s="300"/>
      <c r="FH153" s="300"/>
      <c r="FI153"/>
      <c r="FJ153"/>
      <c r="FK153"/>
      <c r="FL153"/>
      <c r="FM153"/>
      <c r="FN153"/>
      <c r="FO153" s="7"/>
    </row>
    <row r="154" spans="1:171" s="504" customFormat="1" ht="15" hidden="1" outlineLevel="1">
      <c r="A154" s="559"/>
      <c r="B154" s="836" t="s">
        <v>426</v>
      </c>
      <c r="C154" s="558"/>
      <c r="D154" s="837"/>
      <c r="E154" s="837"/>
      <c r="F154" s="837"/>
      <c r="G154" s="838"/>
      <c r="H154" s="837"/>
      <c r="I154" s="837"/>
      <c r="J154" s="837"/>
      <c r="K154" s="838"/>
      <c r="L154" s="837"/>
      <c r="M154" s="837"/>
      <c r="N154" s="837"/>
      <c r="O154" s="838"/>
      <c r="P154" s="837"/>
      <c r="Q154" s="837"/>
      <c r="R154" s="837"/>
      <c r="S154" s="838"/>
      <c r="T154" s="837"/>
      <c r="U154" s="837"/>
      <c r="V154" s="837"/>
      <c r="W154" s="838"/>
      <c r="X154" s="837"/>
      <c r="Y154" s="837"/>
      <c r="Z154" s="837"/>
      <c r="AA154" s="838"/>
      <c r="AB154" s="837"/>
      <c r="AC154" s="837"/>
      <c r="AD154" s="837"/>
      <c r="AE154" s="838"/>
      <c r="AF154" s="837"/>
      <c r="AG154" s="837"/>
      <c r="AH154" s="837"/>
      <c r="AI154" s="838"/>
      <c r="AJ154" s="837"/>
      <c r="AK154" s="837"/>
      <c r="AL154" s="837"/>
      <c r="AM154" s="838"/>
      <c r="AN154" s="837"/>
      <c r="AO154" s="837"/>
      <c r="AP154" s="837"/>
      <c r="AQ154" s="838"/>
      <c r="AR154" s="837"/>
      <c r="AS154" s="837"/>
      <c r="AT154" s="837"/>
      <c r="AU154" s="838"/>
      <c r="AV154" s="837"/>
      <c r="AW154" s="837"/>
      <c r="AX154" s="837"/>
      <c r="AY154" s="838"/>
      <c r="AZ154" s="837"/>
      <c r="BA154" s="837"/>
      <c r="BB154" s="837"/>
      <c r="BC154" s="838"/>
      <c r="BD154" s="837"/>
      <c r="BE154" s="837"/>
      <c r="BF154" s="837"/>
      <c r="BG154" s="838"/>
      <c r="BH154" s="837"/>
      <c r="BI154" s="837"/>
      <c r="BJ154" s="837"/>
      <c r="BK154" s="838"/>
      <c r="BL154" s="837"/>
      <c r="BM154" s="837"/>
      <c r="BN154" s="837"/>
      <c r="BO154" s="838"/>
      <c r="BP154" s="837"/>
      <c r="BQ154" s="837"/>
      <c r="BR154" s="837"/>
      <c r="BS154" s="838"/>
      <c r="BT154" s="837"/>
      <c r="BU154" s="837"/>
      <c r="BV154" s="837"/>
      <c r="BW154" s="838"/>
      <c r="BX154" s="837"/>
      <c r="BY154" s="837"/>
      <c r="BZ154" s="837"/>
      <c r="CA154" s="838"/>
      <c r="CB154" s="839">
        <f t="shared" ref="CB154:CK154" si="926">+CB134+CB138+CB149+CB148</f>
        <v>523</v>
      </c>
      <c r="CC154" s="840">
        <f t="shared" si="926"/>
        <v>258</v>
      </c>
      <c r="CD154" s="840">
        <f t="shared" si="926"/>
        <v>107</v>
      </c>
      <c r="CE154" s="838">
        <f t="shared" si="926"/>
        <v>-189</v>
      </c>
      <c r="CF154" s="839">
        <f t="shared" si="926"/>
        <v>135</v>
      </c>
      <c r="CG154" s="840">
        <f t="shared" si="926"/>
        <v>7</v>
      </c>
      <c r="CH154" s="840">
        <f t="shared" si="926"/>
        <v>129</v>
      </c>
      <c r="CI154" s="838">
        <f t="shared" si="926"/>
        <v>-72</v>
      </c>
      <c r="CJ154" s="839">
        <f t="shared" si="926"/>
        <v>43</v>
      </c>
      <c r="CK154" s="840">
        <f t="shared" si="926"/>
        <v>49</v>
      </c>
      <c r="CL154" s="840">
        <f>+CL134+CL138+CL149+CL148+CL146+CL147</f>
        <v>136</v>
      </c>
      <c r="CM154" s="838">
        <f>+CM134+CM138+CM149+CM148</f>
        <v>114</v>
      </c>
      <c r="CN154" s="839">
        <f>+CN134+CN138+CN149+CN148</f>
        <v>104</v>
      </c>
      <c r="CO154" s="840">
        <f t="shared" ref="CO154" si="927">+CO134+CO138+CO149+CO148</f>
        <v>68</v>
      </c>
      <c r="CP154" s="840">
        <f t="shared" ref="CP154:CU154" si="928">+CP134+CP138+CP149+CP148</f>
        <v>189</v>
      </c>
      <c r="CQ154" s="900">
        <f t="shared" si="928"/>
        <v>12</v>
      </c>
      <c r="CR154" s="839">
        <f>+CR134+CR138+CR149+CR148</f>
        <v>262</v>
      </c>
      <c r="CS154" s="840">
        <f>+CS134+CS138+CS149+CS148</f>
        <v>130</v>
      </c>
      <c r="CT154" s="840">
        <f t="shared" si="928"/>
        <v>0</v>
      </c>
      <c r="CU154" s="900">
        <f t="shared" si="928"/>
        <v>0</v>
      </c>
      <c r="CV154" s="839">
        <f t="shared" ref="CV154:CY154" si="929">+CV134+CV138+CV149+CV148</f>
        <v>0</v>
      </c>
      <c r="CW154" s="840">
        <f t="shared" si="929"/>
        <v>0</v>
      </c>
      <c r="CX154" s="840">
        <f t="shared" si="929"/>
        <v>0</v>
      </c>
      <c r="CY154" s="900">
        <f t="shared" si="929"/>
        <v>0</v>
      </c>
      <c r="CZ154" s="839">
        <f t="shared" ref="CZ154:DC154" si="930">+CZ134+CZ138+CZ149+CZ148</f>
        <v>0</v>
      </c>
      <c r="DA154" s="840">
        <f t="shared" si="930"/>
        <v>0</v>
      </c>
      <c r="DB154" s="840">
        <f t="shared" si="930"/>
        <v>0</v>
      </c>
      <c r="DC154" s="900">
        <f t="shared" si="930"/>
        <v>0</v>
      </c>
      <c r="DD154" s="518"/>
      <c r="DE154" s="553"/>
      <c r="DF154" s="553"/>
      <c r="DG154" s="553"/>
      <c r="DH154" s="553"/>
      <c r="DI154" s="553"/>
      <c r="DJ154" s="553"/>
      <c r="DK154" s="553"/>
      <c r="DL154" s="553"/>
      <c r="DM154" s="553"/>
      <c r="DN154" s="553"/>
      <c r="DO154" s="553"/>
      <c r="DP154" s="554"/>
      <c r="DQ154" s="554"/>
      <c r="DR154" s="554"/>
      <c r="DS154" s="554"/>
      <c r="DT154" s="554"/>
      <c r="DU154" s="554"/>
      <c r="DV154" s="554"/>
      <c r="DW154" s="554"/>
      <c r="DX154" s="554"/>
      <c r="DY154" s="554"/>
      <c r="DZ154" s="554"/>
      <c r="EA154" s="554"/>
      <c r="EB154" s="554"/>
      <c r="EC154" s="555"/>
      <c r="ED154" s="1414"/>
      <c r="EE154" s="518"/>
      <c r="EF154" s="556"/>
      <c r="EG154" s="554"/>
      <c r="EH154" s="554"/>
      <c r="EI154" s="554"/>
      <c r="EJ154" s="554"/>
      <c r="EK154" s="554"/>
      <c r="EL154" s="554"/>
      <c r="EM154" s="554"/>
      <c r="EN154" s="554"/>
      <c r="EO154" s="554"/>
      <c r="EP154" s="554"/>
      <c r="EQ154" s="553"/>
      <c r="ER154" s="553"/>
      <c r="ES154" s="553"/>
      <c r="ET154" s="553"/>
      <c r="EU154" s="553"/>
      <c r="EV154" s="553"/>
      <c r="EW154" s="553"/>
      <c r="EX154" s="553"/>
      <c r="EY154" s="553"/>
      <c r="EZ154" s="553"/>
      <c r="FA154" s="553"/>
      <c r="FB154" s="553"/>
      <c r="FC154" s="553"/>
      <c r="FD154" s="553"/>
      <c r="FE154" s="841"/>
      <c r="FF154" s="1402"/>
      <c r="FG154" s="1402"/>
      <c r="FH154" s="1402"/>
      <c r="FI154"/>
      <c r="FJ154"/>
      <c r="FK154"/>
      <c r="FL154"/>
      <c r="FM154"/>
      <c r="FN154"/>
      <c r="FO154" s="413"/>
    </row>
    <row r="155" spans="1:171" s="504" customFormat="1" ht="15" hidden="1" outlineLevel="1">
      <c r="A155" s="559"/>
      <c r="B155" s="836"/>
      <c r="C155" s="558"/>
      <c r="D155" s="837"/>
      <c r="E155" s="837"/>
      <c r="F155" s="837"/>
      <c r="G155" s="838"/>
      <c r="H155" s="837"/>
      <c r="I155" s="837"/>
      <c r="J155" s="837"/>
      <c r="K155" s="838"/>
      <c r="L155" s="837"/>
      <c r="M155" s="837"/>
      <c r="N155" s="837"/>
      <c r="O155" s="838"/>
      <c r="P155" s="837"/>
      <c r="Q155" s="837"/>
      <c r="R155" s="837"/>
      <c r="S155" s="838"/>
      <c r="T155" s="837"/>
      <c r="U155" s="837"/>
      <c r="V155" s="837"/>
      <c r="W155" s="838"/>
      <c r="X155" s="837"/>
      <c r="Y155" s="837"/>
      <c r="Z155" s="837"/>
      <c r="AA155" s="838"/>
      <c r="AB155" s="837"/>
      <c r="AC155" s="837"/>
      <c r="AD155" s="837"/>
      <c r="AE155" s="838"/>
      <c r="AF155" s="837"/>
      <c r="AG155" s="837"/>
      <c r="AH155" s="837"/>
      <c r="AI155" s="838"/>
      <c r="AJ155" s="837"/>
      <c r="AK155" s="837"/>
      <c r="AL155" s="837"/>
      <c r="AM155" s="838"/>
      <c r="AN155" s="837"/>
      <c r="AO155" s="837"/>
      <c r="AP155" s="837"/>
      <c r="AQ155" s="838"/>
      <c r="AR155" s="837"/>
      <c r="AS155" s="837"/>
      <c r="AT155" s="837"/>
      <c r="AU155" s="838"/>
      <c r="AV155" s="837"/>
      <c r="AW155" s="837"/>
      <c r="AX155" s="837"/>
      <c r="AY155" s="838"/>
      <c r="AZ155" s="837"/>
      <c r="BA155" s="837"/>
      <c r="BB155" s="837"/>
      <c r="BC155" s="838"/>
      <c r="BD155" s="837"/>
      <c r="BE155" s="837"/>
      <c r="BF155" s="837"/>
      <c r="BG155" s="838"/>
      <c r="BH155" s="837"/>
      <c r="BI155" s="837"/>
      <c r="BJ155" s="837"/>
      <c r="BK155" s="838"/>
      <c r="BL155" s="837"/>
      <c r="BM155" s="837"/>
      <c r="BN155" s="837"/>
      <c r="BO155" s="838"/>
      <c r="BP155" s="837"/>
      <c r="BQ155" s="837"/>
      <c r="BR155" s="837"/>
      <c r="BS155" s="838"/>
      <c r="BT155" s="837"/>
      <c r="BU155" s="837"/>
      <c r="BV155" s="837"/>
      <c r="BW155" s="838"/>
      <c r="BX155" s="837"/>
      <c r="BY155" s="837"/>
      <c r="BZ155" s="837"/>
      <c r="CA155" s="838"/>
      <c r="CB155" s="839"/>
      <c r="CC155" s="840"/>
      <c r="CD155" s="840"/>
      <c r="CE155" s="838"/>
      <c r="CF155" s="839"/>
      <c r="CG155" s="840"/>
      <c r="CH155" s="840"/>
      <c r="CI155" s="838"/>
      <c r="CJ155" s="839"/>
      <c r="CK155" s="840"/>
      <c r="CL155" s="840"/>
      <c r="CM155" s="838"/>
      <c r="CN155" s="839"/>
      <c r="CO155" s="840"/>
      <c r="CP155" s="840"/>
      <c r="CQ155" s="900"/>
      <c r="CR155" s="839"/>
      <c r="CS155" s="840"/>
      <c r="CT155" s="840"/>
      <c r="CU155" s="900"/>
      <c r="CV155" s="839"/>
      <c r="CW155" s="840"/>
      <c r="CX155" s="840"/>
      <c r="CY155" s="900"/>
      <c r="CZ155" s="839"/>
      <c r="DA155" s="840"/>
      <c r="DB155" s="840"/>
      <c r="DC155" s="900"/>
      <c r="DD155" s="518"/>
      <c r="DE155" s="553"/>
      <c r="DF155" s="553"/>
      <c r="DG155" s="553"/>
      <c r="DH155" s="553"/>
      <c r="DI155" s="553"/>
      <c r="DJ155" s="553"/>
      <c r="DK155" s="553"/>
      <c r="DL155" s="553"/>
      <c r="DM155" s="553"/>
      <c r="DN155" s="553"/>
      <c r="DO155" s="553"/>
      <c r="DP155" s="554"/>
      <c r="DQ155" s="554"/>
      <c r="DR155" s="554"/>
      <c r="DS155" s="554"/>
      <c r="DT155" s="554"/>
      <c r="DU155" s="554"/>
      <c r="DV155" s="554"/>
      <c r="DW155" s="554"/>
      <c r="DX155" s="554"/>
      <c r="DY155" s="554"/>
      <c r="DZ155" s="554"/>
      <c r="EA155" s="554"/>
      <c r="EB155" s="554"/>
      <c r="EC155" s="555"/>
      <c r="ED155" s="1414"/>
      <c r="EE155" s="518"/>
      <c r="EF155" s="556"/>
      <c r="EG155" s="554"/>
      <c r="EH155" s="554"/>
      <c r="EI155" s="554"/>
      <c r="EJ155" s="554"/>
      <c r="EK155" s="554"/>
      <c r="EL155" s="554"/>
      <c r="EM155" s="554"/>
      <c r="EN155" s="554"/>
      <c r="EO155" s="554"/>
      <c r="EP155" s="554"/>
      <c r="EQ155" s="553"/>
      <c r="ER155" s="553"/>
      <c r="ES155" s="553"/>
      <c r="ET155" s="553"/>
      <c r="EU155" s="553"/>
      <c r="EV155" s="553"/>
      <c r="EW155" s="553"/>
      <c r="EX155" s="553"/>
      <c r="EY155" s="553"/>
      <c r="EZ155" s="553"/>
      <c r="FA155" s="553"/>
      <c r="FB155" s="553"/>
      <c r="FC155" s="553"/>
      <c r="FD155" s="553"/>
      <c r="FE155" s="841"/>
      <c r="FF155" s="1402"/>
      <c r="FG155" s="1402"/>
      <c r="FH155" s="1402"/>
      <c r="FI155"/>
      <c r="FJ155"/>
      <c r="FK155"/>
      <c r="FL155"/>
      <c r="FM155"/>
      <c r="FN155"/>
      <c r="FO155" s="413"/>
    </row>
    <row r="156" spans="1:171" s="1218" customFormat="1" ht="15" hidden="1" outlineLevel="1">
      <c r="A156" s="559"/>
      <c r="B156" s="836" t="s">
        <v>393</v>
      </c>
      <c r="C156" s="558"/>
      <c r="D156" s="837"/>
      <c r="E156" s="837"/>
      <c r="F156" s="837"/>
      <c r="G156" s="838"/>
      <c r="H156" s="837"/>
      <c r="I156" s="837"/>
      <c r="J156" s="837"/>
      <c r="K156" s="838"/>
      <c r="L156" s="837"/>
      <c r="M156" s="837"/>
      <c r="N156" s="837"/>
      <c r="O156" s="838"/>
      <c r="P156" s="837"/>
      <c r="Q156" s="837"/>
      <c r="R156" s="837"/>
      <c r="S156" s="838"/>
      <c r="T156" s="837"/>
      <c r="U156" s="837"/>
      <c r="V156" s="837"/>
      <c r="W156" s="838"/>
      <c r="X156" s="837"/>
      <c r="Y156" s="837"/>
      <c r="Z156" s="837"/>
      <c r="AA156" s="838"/>
      <c r="AB156" s="837"/>
      <c r="AC156" s="837"/>
      <c r="AD156" s="837"/>
      <c r="AE156" s="838"/>
      <c r="AF156" s="837"/>
      <c r="AG156" s="837"/>
      <c r="AH156" s="837"/>
      <c r="AI156" s="838"/>
      <c r="AJ156" s="837"/>
      <c r="AK156" s="837"/>
      <c r="AL156" s="837"/>
      <c r="AM156" s="838"/>
      <c r="AN156" s="837"/>
      <c r="AO156" s="837"/>
      <c r="AP156" s="837"/>
      <c r="AQ156" s="838"/>
      <c r="AR156" s="837"/>
      <c r="AS156" s="837"/>
      <c r="AT156" s="837"/>
      <c r="AU156" s="838"/>
      <c r="AV156" s="837"/>
      <c r="AW156" s="837"/>
      <c r="AX156" s="837"/>
      <c r="AY156" s="838"/>
      <c r="AZ156" s="837"/>
      <c r="BA156" s="837"/>
      <c r="BB156" s="837"/>
      <c r="BC156" s="838"/>
      <c r="BD156" s="837"/>
      <c r="BE156" s="837"/>
      <c r="BF156" s="837"/>
      <c r="BG156" s="838"/>
      <c r="BH156" s="837"/>
      <c r="BI156" s="837"/>
      <c r="BJ156" s="837"/>
      <c r="BK156" s="838"/>
      <c r="BL156" s="837"/>
      <c r="BM156" s="837"/>
      <c r="BN156" s="837"/>
      <c r="BO156" s="838"/>
      <c r="BP156" s="837"/>
      <c r="BQ156" s="837"/>
      <c r="BR156" s="837"/>
      <c r="BS156" s="838"/>
      <c r="BT156" s="837"/>
      <c r="BU156" s="837"/>
      <c r="BV156" s="837"/>
      <c r="BW156" s="838"/>
      <c r="BX156" s="837"/>
      <c r="BY156" s="837"/>
      <c r="BZ156" s="837"/>
      <c r="CA156" s="838"/>
      <c r="CB156" s="839"/>
      <c r="CC156" s="840"/>
      <c r="CD156" s="840"/>
      <c r="CE156" s="838"/>
      <c r="CF156" s="839"/>
      <c r="CG156" s="840"/>
      <c r="CH156" s="840"/>
      <c r="CI156" s="838"/>
      <c r="CJ156" s="839"/>
      <c r="CK156" s="840"/>
      <c r="CL156" s="840"/>
      <c r="CM156" s="838"/>
      <c r="CN156" s="759">
        <f>155-CN157-CN154</f>
        <v>5</v>
      </c>
      <c r="CO156" s="759">
        <f>137-CO157-CO154</f>
        <v>14</v>
      </c>
      <c r="CP156" s="759">
        <f>249-CP157-CP154</f>
        <v>3</v>
      </c>
      <c r="CQ156" s="758">
        <v>6</v>
      </c>
      <c r="CR156" s="759">
        <f>2+1</f>
        <v>3</v>
      </c>
      <c r="CS156" s="759">
        <f>4+7</f>
        <v>11</v>
      </c>
      <c r="CT156" s="840"/>
      <c r="CU156" s="900"/>
      <c r="CV156" s="840"/>
      <c r="CW156" s="840"/>
      <c r="CX156" s="840"/>
      <c r="CY156" s="900"/>
      <c r="CZ156" s="840"/>
      <c r="DA156" s="840"/>
      <c r="DB156" s="840"/>
      <c r="DC156" s="900"/>
      <c r="DD156" s="518"/>
      <c r="DE156" s="553"/>
      <c r="DF156" s="553"/>
      <c r="DG156" s="553"/>
      <c r="DH156" s="553"/>
      <c r="DI156" s="553"/>
      <c r="DJ156" s="553"/>
      <c r="DK156" s="553"/>
      <c r="DL156" s="553"/>
      <c r="DM156" s="553"/>
      <c r="DN156" s="553"/>
      <c r="DO156" s="553"/>
      <c r="DP156" s="554"/>
      <c r="DQ156" s="554"/>
      <c r="DR156" s="554"/>
      <c r="DS156" s="554"/>
      <c r="DT156" s="554"/>
      <c r="DU156" s="554"/>
      <c r="DV156" s="554"/>
      <c r="DW156" s="554"/>
      <c r="DX156" s="554"/>
      <c r="DY156" s="554"/>
      <c r="DZ156" s="554"/>
      <c r="EA156" s="554"/>
      <c r="EB156" s="554"/>
      <c r="EC156" s="555"/>
      <c r="ED156" s="1414"/>
      <c r="EE156" s="518"/>
      <c r="EF156" s="556"/>
      <c r="EG156" s="554"/>
      <c r="EH156" s="554"/>
      <c r="EI156" s="554"/>
      <c r="EJ156" s="554"/>
      <c r="EK156" s="554"/>
      <c r="EL156" s="554"/>
      <c r="EM156" s="554"/>
      <c r="EN156" s="554"/>
      <c r="EO156" s="554"/>
      <c r="EP156" s="554"/>
      <c r="EQ156" s="553"/>
      <c r="ER156" s="553"/>
      <c r="ES156" s="553"/>
      <c r="ET156" s="553"/>
      <c r="EU156" s="553"/>
      <c r="EV156" s="553"/>
      <c r="EW156" s="553"/>
      <c r="EX156" s="553"/>
      <c r="EY156" s="553"/>
      <c r="EZ156" s="553"/>
      <c r="FA156" s="553"/>
      <c r="FB156" s="553"/>
      <c r="FC156" s="553"/>
      <c r="FD156" s="553"/>
      <c r="FE156" s="1219"/>
      <c r="FF156" s="1402"/>
      <c r="FG156" s="1402"/>
      <c r="FH156" s="1402"/>
      <c r="FI156"/>
      <c r="FJ156"/>
      <c r="FK156"/>
      <c r="FL156"/>
      <c r="FM156"/>
      <c r="FN156"/>
      <c r="FO156" s="413"/>
    </row>
    <row r="157" spans="1:171" s="1218" customFormat="1" ht="15" hidden="1" outlineLevel="1">
      <c r="A157" s="559"/>
      <c r="B157" s="836" t="s">
        <v>386</v>
      </c>
      <c r="C157" s="558"/>
      <c r="D157" s="837"/>
      <c r="E157" s="837"/>
      <c r="F157" s="837"/>
      <c r="G157" s="838"/>
      <c r="H157" s="837"/>
      <c r="I157" s="837"/>
      <c r="J157" s="837"/>
      <c r="K157" s="838"/>
      <c r="L157" s="837"/>
      <c r="M157" s="837"/>
      <c r="N157" s="837"/>
      <c r="O157" s="838"/>
      <c r="P157" s="837"/>
      <c r="Q157" s="837"/>
      <c r="R157" s="837"/>
      <c r="S157" s="838"/>
      <c r="T157" s="837"/>
      <c r="U157" s="837"/>
      <c r="V157" s="837"/>
      <c r="W157" s="838"/>
      <c r="X157" s="837"/>
      <c r="Y157" s="837"/>
      <c r="Z157" s="837"/>
      <c r="AA157" s="838"/>
      <c r="AB157" s="837"/>
      <c r="AC157" s="837"/>
      <c r="AD157" s="837"/>
      <c r="AE157" s="838"/>
      <c r="AF157" s="837"/>
      <c r="AG157" s="837"/>
      <c r="AH157" s="837"/>
      <c r="AI157" s="838"/>
      <c r="AJ157" s="837"/>
      <c r="AK157" s="837"/>
      <c r="AL157" s="837"/>
      <c r="AM157" s="838"/>
      <c r="AN157" s="837"/>
      <c r="AO157" s="837"/>
      <c r="AP157" s="837"/>
      <c r="AQ157" s="838"/>
      <c r="AR157" s="837"/>
      <c r="AS157" s="837"/>
      <c r="AT157" s="837"/>
      <c r="AU157" s="838"/>
      <c r="AV157" s="837"/>
      <c r="AW157" s="837"/>
      <c r="AX157" s="837"/>
      <c r="AY157" s="838"/>
      <c r="AZ157" s="837"/>
      <c r="BA157" s="837"/>
      <c r="BB157" s="837"/>
      <c r="BC157" s="838"/>
      <c r="BD157" s="837"/>
      <c r="BE157" s="837"/>
      <c r="BF157" s="837"/>
      <c r="BG157" s="838"/>
      <c r="BH157" s="837"/>
      <c r="BI157" s="837"/>
      <c r="BJ157" s="837"/>
      <c r="BK157" s="838"/>
      <c r="BL157" s="837"/>
      <c r="BM157" s="837"/>
      <c r="BN157" s="837"/>
      <c r="BO157" s="838"/>
      <c r="BP157" s="837"/>
      <c r="BQ157" s="837"/>
      <c r="BR157" s="837"/>
      <c r="BS157" s="838"/>
      <c r="BT157" s="837"/>
      <c r="BU157" s="837"/>
      <c r="BV157" s="837"/>
      <c r="BW157" s="838"/>
      <c r="BX157" s="837"/>
      <c r="BY157" s="837"/>
      <c r="BZ157" s="837"/>
      <c r="CA157" s="838"/>
      <c r="CB157" s="839"/>
      <c r="CC157" s="840"/>
      <c r="CD157" s="840"/>
      <c r="CE157" s="838"/>
      <c r="CF157" s="839"/>
      <c r="CG157" s="840"/>
      <c r="CH157" s="840"/>
      <c r="CI157" s="838"/>
      <c r="CJ157" s="839"/>
      <c r="CK157" s="840"/>
      <c r="CL157" s="840"/>
      <c r="CM157" s="838"/>
      <c r="CN157" s="759">
        <v>46</v>
      </c>
      <c r="CO157" s="759">
        <v>55</v>
      </c>
      <c r="CP157" s="759">
        <f>24+20+13</f>
        <v>57</v>
      </c>
      <c r="CQ157" s="758">
        <f>22+22+13</f>
        <v>57</v>
      </c>
      <c r="CR157" s="759">
        <f>20+18+13</f>
        <v>51</v>
      </c>
      <c r="CS157" s="759">
        <f>22+16+14</f>
        <v>52</v>
      </c>
      <c r="CT157" s="840"/>
      <c r="CU157" s="900"/>
      <c r="CV157" s="839"/>
      <c r="CW157" s="840"/>
      <c r="CX157" s="840"/>
      <c r="CY157" s="900"/>
      <c r="CZ157" s="839"/>
      <c r="DA157" s="840"/>
      <c r="DB157" s="840"/>
      <c r="DC157" s="900"/>
      <c r="DD157" s="518"/>
      <c r="DE157" s="553"/>
      <c r="DF157" s="553"/>
      <c r="DG157" s="553"/>
      <c r="DH157" s="553"/>
      <c r="DI157" s="553"/>
      <c r="DJ157" s="553"/>
      <c r="DK157" s="553"/>
      <c r="DL157" s="553"/>
      <c r="DM157" s="553"/>
      <c r="DN157" s="553"/>
      <c r="DO157" s="553"/>
      <c r="DP157" s="554"/>
      <c r="DQ157" s="554"/>
      <c r="DR157" s="554"/>
      <c r="DS157" s="554"/>
      <c r="DT157" s="554"/>
      <c r="DU157" s="554"/>
      <c r="DV157" s="554"/>
      <c r="DW157" s="554"/>
      <c r="DX157" s="554"/>
      <c r="DY157" s="554"/>
      <c r="DZ157" s="554"/>
      <c r="EA157" s="554"/>
      <c r="EB157" s="554"/>
      <c r="EC157" s="555"/>
      <c r="ED157" s="1414"/>
      <c r="EE157" s="518"/>
      <c r="EF157" s="556"/>
      <c r="EG157" s="554"/>
      <c r="EH157" s="554"/>
      <c r="EI157" s="554"/>
      <c r="EJ157" s="554"/>
      <c r="EK157" s="554"/>
      <c r="EL157" s="554"/>
      <c r="EM157" s="554"/>
      <c r="EN157" s="554"/>
      <c r="EO157" s="554"/>
      <c r="EP157" s="554"/>
      <c r="EQ157" s="553"/>
      <c r="ER157" s="553"/>
      <c r="ES157" s="553"/>
      <c r="ET157" s="553"/>
      <c r="EU157" s="553"/>
      <c r="EV157" s="553"/>
      <c r="EW157" s="553"/>
      <c r="EX157" s="553"/>
      <c r="EY157" s="553"/>
      <c r="EZ157" s="553"/>
      <c r="FA157" s="553"/>
      <c r="FB157" s="553"/>
      <c r="FC157" s="553"/>
      <c r="FD157" s="553"/>
      <c r="FE157" s="1219"/>
      <c r="FF157" s="1402"/>
      <c r="FG157" s="1402"/>
      <c r="FH157" s="1402"/>
      <c r="FI157"/>
      <c r="FJ157"/>
      <c r="FK157"/>
      <c r="FL157"/>
      <c r="FM157"/>
      <c r="FN157"/>
      <c r="FO157" s="413"/>
    </row>
    <row r="158" spans="1:171" ht="14.25" hidden="1" customHeight="1" outlineLevel="1">
      <c r="A158" s="7"/>
      <c r="B158" s="540" t="s">
        <v>427</v>
      </c>
      <c r="C158" s="23"/>
      <c r="D158" s="286"/>
      <c r="E158" s="286"/>
      <c r="F158" s="286"/>
      <c r="G158" s="287"/>
      <c r="H158" s="286"/>
      <c r="I158" s="286"/>
      <c r="J158" s="286"/>
      <c r="K158" s="287"/>
      <c r="L158" s="286"/>
      <c r="M158" s="286"/>
      <c r="N158" s="286"/>
      <c r="O158" s="287"/>
      <c r="P158" s="286"/>
      <c r="Q158" s="286"/>
      <c r="R158" s="286"/>
      <c r="S158" s="287"/>
      <c r="T158" s="286"/>
      <c r="U158" s="286"/>
      <c r="V158" s="286"/>
      <c r="W158" s="287"/>
      <c r="X158" s="286"/>
      <c r="Y158" s="286"/>
      <c r="Z158" s="286"/>
      <c r="AA158" s="287"/>
      <c r="AB158" s="286"/>
      <c r="AC158" s="286"/>
      <c r="AD158" s="286"/>
      <c r="AE158" s="287"/>
      <c r="AF158" s="286"/>
      <c r="AG158" s="286"/>
      <c r="AH158" s="286"/>
      <c r="AI158" s="287"/>
      <c r="AJ158" s="286"/>
      <c r="AK158" s="286"/>
      <c r="AL158" s="286"/>
      <c r="AM158" s="287"/>
      <c r="AN158" s="286"/>
      <c r="AO158" s="286"/>
      <c r="AP158" s="286"/>
      <c r="AQ158" s="287"/>
      <c r="AR158" s="286"/>
      <c r="AS158" s="286"/>
      <c r="AT158" s="286"/>
      <c r="AU158" s="287"/>
      <c r="AV158" s="286"/>
      <c r="AW158" s="286"/>
      <c r="AX158" s="286"/>
      <c r="AY158" s="287"/>
      <c r="AZ158" s="286"/>
      <c r="BA158" s="286"/>
      <c r="BB158" s="286"/>
      <c r="BC158" s="287"/>
      <c r="BD158" s="286"/>
      <c r="BE158" s="286"/>
      <c r="BF158" s="286"/>
      <c r="BG158" s="287"/>
      <c r="BH158" s="286"/>
      <c r="BI158" s="286"/>
      <c r="BJ158" s="286"/>
      <c r="BK158" s="287"/>
      <c r="BL158" s="286"/>
      <c r="BM158" s="286"/>
      <c r="BN158" s="286"/>
      <c r="BO158" s="287"/>
      <c r="BP158" s="286"/>
      <c r="BQ158" s="286"/>
      <c r="BR158" s="286"/>
      <c r="BS158" s="287"/>
      <c r="BT158" s="286"/>
      <c r="BU158" s="286"/>
      <c r="BV158" s="286"/>
      <c r="BW158" s="287"/>
      <c r="BX158" s="286"/>
      <c r="BY158" s="286"/>
      <c r="BZ158" s="286"/>
      <c r="CA158" s="287"/>
      <c r="CB158" s="807">
        <f t="shared" ref="CB158:CM158" si="931">+CB154+CB132</f>
        <v>881</v>
      </c>
      <c r="CC158" s="808">
        <f t="shared" si="931"/>
        <v>989</v>
      </c>
      <c r="CD158" s="808">
        <f t="shared" si="931"/>
        <v>913</v>
      </c>
      <c r="CE158" s="1081">
        <f t="shared" si="931"/>
        <v>961</v>
      </c>
      <c r="CF158" s="807">
        <f t="shared" si="931"/>
        <v>1138</v>
      </c>
      <c r="CG158" s="808">
        <f t="shared" si="931"/>
        <v>941</v>
      </c>
      <c r="CH158" s="808">
        <f t="shared" si="931"/>
        <v>620</v>
      </c>
      <c r="CI158" s="1081">
        <f t="shared" si="931"/>
        <v>399</v>
      </c>
      <c r="CJ158" s="807">
        <f t="shared" si="931"/>
        <v>249</v>
      </c>
      <c r="CK158" s="808">
        <f t="shared" si="931"/>
        <v>-48</v>
      </c>
      <c r="CL158" s="808">
        <f t="shared" si="931"/>
        <v>-79</v>
      </c>
      <c r="CM158" s="1081">
        <f t="shared" si="931"/>
        <v>-56</v>
      </c>
      <c r="CN158" s="807">
        <f>+CN154+CN132+CN157+CN156</f>
        <v>335</v>
      </c>
      <c r="CO158" s="808">
        <f>+CO154+CO132+CO157+CO156</f>
        <v>1031</v>
      </c>
      <c r="CP158" s="808">
        <f>+CP154+CP132+CP157+CP156</f>
        <v>1896</v>
      </c>
      <c r="CQ158" s="809">
        <f>+CQ154+CQ132+CQ156</f>
        <v>2386</v>
      </c>
      <c r="CR158" s="807">
        <f>+CR154+CR132+CR157+CR156</f>
        <v>2994</v>
      </c>
      <c r="CS158" s="808">
        <f>+CS154+CS132+CS157+CS156</f>
        <v>3495</v>
      </c>
      <c r="CT158" s="808">
        <f t="shared" ref="CT158:CU158" si="932">+CT154+CT132</f>
        <v>3522.2096053387108</v>
      </c>
      <c r="CU158" s="809">
        <f t="shared" si="932"/>
        <v>3466.2660006003762</v>
      </c>
      <c r="CV158" s="807">
        <f t="shared" ref="CV158:CY158" si="933">+CV154+CV132</f>
        <v>2766.9864124111864</v>
      </c>
      <c r="CW158" s="808">
        <f t="shared" si="933"/>
        <v>2320.9252198045269</v>
      </c>
      <c r="CX158" s="808">
        <f t="shared" si="933"/>
        <v>1888.0719806037869</v>
      </c>
      <c r="CY158" s="809">
        <f t="shared" si="933"/>
        <v>1660.1994273413607</v>
      </c>
      <c r="CZ158" s="807">
        <f t="shared" ref="CZ158:DC158" si="934">+CZ154+CZ132</f>
        <v>1485.7809555562255</v>
      </c>
      <c r="DA158" s="808">
        <f t="shared" si="934"/>
        <v>1352.5726544938814</v>
      </c>
      <c r="DB158" s="808">
        <f t="shared" si="934"/>
        <v>1291.1874698997005</v>
      </c>
      <c r="DC158" s="809">
        <f t="shared" si="934"/>
        <v>1251.2791318465074</v>
      </c>
      <c r="DD158" s="18"/>
      <c r="DE158" s="66"/>
      <c r="DF158" s="66"/>
      <c r="DG158" s="66"/>
      <c r="DH158" s="66"/>
      <c r="DI158" s="66"/>
      <c r="DJ158" s="66"/>
      <c r="DK158" s="66"/>
      <c r="DL158" s="66"/>
      <c r="DM158" s="66"/>
      <c r="DN158" s="66"/>
      <c r="DO158" s="66"/>
      <c r="DP158" s="66"/>
      <c r="DQ158" s="66"/>
      <c r="DR158" s="66"/>
      <c r="DS158" s="66"/>
      <c r="DT158" s="66"/>
      <c r="DU158" s="66"/>
      <c r="DV158" s="66"/>
      <c r="DW158" s="66"/>
      <c r="DX158" s="66"/>
      <c r="DY158" s="66"/>
      <c r="DZ158" s="66"/>
      <c r="EA158" s="66"/>
      <c r="EB158" s="66"/>
      <c r="EC158" s="67"/>
      <c r="ED158" s="1410"/>
      <c r="EE158" s="18"/>
      <c r="EF158" s="65"/>
      <c r="EG158" s="66"/>
      <c r="EH158" s="66"/>
      <c r="EI158" s="66"/>
      <c r="EJ158" s="66"/>
      <c r="EK158" s="66"/>
      <c r="EL158" s="66"/>
      <c r="EM158" s="66"/>
      <c r="EN158" s="66"/>
      <c r="EO158" s="66"/>
      <c r="EP158" s="66"/>
      <c r="EQ158" s="363"/>
      <c r="ER158" s="363"/>
      <c r="ES158" s="363"/>
      <c r="ET158" s="363"/>
      <c r="EU158" s="363"/>
      <c r="EV158" s="363"/>
      <c r="EW158" s="363"/>
      <c r="EX158" s="363"/>
      <c r="EY158" s="363"/>
      <c r="EZ158" s="363"/>
      <c r="FA158" s="363"/>
      <c r="FB158" s="363"/>
      <c r="FC158" s="363"/>
      <c r="FD158" s="363"/>
      <c r="FE158" s="308"/>
      <c r="FF158" s="300"/>
      <c r="FG158" s="300"/>
      <c r="FH158" s="300"/>
      <c r="FO158" s="7"/>
    </row>
    <row r="159" spans="1:171" s="832" customFormat="1" ht="14.25" hidden="1" customHeight="1" outlineLevel="1">
      <c r="A159" s="819"/>
      <c r="B159" s="820" t="s">
        <v>297</v>
      </c>
      <c r="C159" s="821"/>
      <c r="D159" s="1214"/>
      <c r="E159" s="1214"/>
      <c r="F159" s="1214"/>
      <c r="G159" s="825"/>
      <c r="H159" s="1214"/>
      <c r="I159" s="1214"/>
      <c r="J159" s="1214"/>
      <c r="K159" s="825"/>
      <c r="L159" s="1214"/>
      <c r="M159" s="1214"/>
      <c r="N159" s="1214"/>
      <c r="O159" s="825"/>
      <c r="P159" s="1214"/>
      <c r="Q159" s="1214"/>
      <c r="R159" s="1214"/>
      <c r="S159" s="825"/>
      <c r="T159" s="1214"/>
      <c r="U159" s="1214"/>
      <c r="V159" s="1214"/>
      <c r="W159" s="825"/>
      <c r="X159" s="1214"/>
      <c r="Y159" s="1214"/>
      <c r="Z159" s="1214"/>
      <c r="AA159" s="825"/>
      <c r="AB159" s="1214"/>
      <c r="AC159" s="1214"/>
      <c r="AD159" s="1214"/>
      <c r="AE159" s="825"/>
      <c r="AF159" s="1214"/>
      <c r="AG159" s="1214"/>
      <c r="AH159" s="1214"/>
      <c r="AI159" s="825"/>
      <c r="AJ159" s="1214"/>
      <c r="AK159" s="1214"/>
      <c r="AL159" s="1214"/>
      <c r="AM159" s="825"/>
      <c r="AN159" s="1214"/>
      <c r="AO159" s="1214"/>
      <c r="AP159" s="1214"/>
      <c r="AQ159" s="825"/>
      <c r="AR159" s="1214"/>
      <c r="AS159" s="1214"/>
      <c r="AT159" s="1214"/>
      <c r="AU159" s="825"/>
      <c r="AV159" s="1214"/>
      <c r="AW159" s="1214"/>
      <c r="AX159" s="1214"/>
      <c r="AY159" s="825"/>
      <c r="AZ159" s="1214"/>
      <c r="BA159" s="1214"/>
      <c r="BB159" s="1214"/>
      <c r="BC159" s="825"/>
      <c r="BD159" s="1214"/>
      <c r="BE159" s="1214"/>
      <c r="BF159" s="1214"/>
      <c r="BG159" s="825"/>
      <c r="BH159" s="1214"/>
      <c r="BI159" s="1214"/>
      <c r="BJ159" s="1214"/>
      <c r="BK159" s="825"/>
      <c r="BL159" s="1214"/>
      <c r="BM159" s="1214"/>
      <c r="BN159" s="1214"/>
      <c r="BO159" s="825"/>
      <c r="BP159" s="1214"/>
      <c r="BQ159" s="1214"/>
      <c r="BR159" s="1214"/>
      <c r="BS159" s="825"/>
      <c r="BT159" s="1214"/>
      <c r="BU159" s="1214"/>
      <c r="BV159" s="1214"/>
      <c r="BW159" s="825"/>
      <c r="BX159" s="824"/>
      <c r="BY159" s="824"/>
      <c r="BZ159" s="824"/>
      <c r="CA159" s="825"/>
      <c r="CB159" s="826" t="b">
        <f t="shared" ref="CB159:CL159" si="935">+CB158=CB98</f>
        <v>1</v>
      </c>
      <c r="CC159" s="824" t="b">
        <f t="shared" si="935"/>
        <v>1</v>
      </c>
      <c r="CD159" s="826" t="b">
        <f t="shared" si="935"/>
        <v>1</v>
      </c>
      <c r="CE159" s="825" t="b">
        <f t="shared" si="935"/>
        <v>1</v>
      </c>
      <c r="CF159" s="826" t="b">
        <f t="shared" si="935"/>
        <v>1</v>
      </c>
      <c r="CG159" s="824" t="b">
        <f t="shared" si="935"/>
        <v>1</v>
      </c>
      <c r="CH159" s="826" t="b">
        <f t="shared" si="935"/>
        <v>1</v>
      </c>
      <c r="CI159" s="825" t="b">
        <f t="shared" si="935"/>
        <v>1</v>
      </c>
      <c r="CJ159" s="826" t="b">
        <f t="shared" si="935"/>
        <v>1</v>
      </c>
      <c r="CK159" s="824" t="b">
        <f t="shared" si="935"/>
        <v>1</v>
      </c>
      <c r="CL159" s="826" t="b">
        <f t="shared" si="935"/>
        <v>1</v>
      </c>
      <c r="CM159" s="825" t="b">
        <f>+CM158=CM98</f>
        <v>1</v>
      </c>
      <c r="CN159" s="826" t="b">
        <f t="shared" ref="CN159:CO159" si="936">+CN158=CN98</f>
        <v>1</v>
      </c>
      <c r="CO159" s="1214" t="b">
        <f t="shared" si="936"/>
        <v>1</v>
      </c>
      <c r="CP159" s="826" t="b">
        <f t="shared" ref="CP159:CU159" si="937">+CP158=CP98</f>
        <v>1</v>
      </c>
      <c r="CQ159" s="827" t="b">
        <f>+CQ158=CQ98</f>
        <v>1</v>
      </c>
      <c r="CR159" s="826" t="b">
        <f t="shared" ref="CR159" si="938">+CR158=CR98</f>
        <v>1</v>
      </c>
      <c r="CS159" s="826" t="b">
        <f>+CS158=CS98</f>
        <v>1</v>
      </c>
      <c r="CT159" s="826" t="b">
        <f t="shared" si="937"/>
        <v>0</v>
      </c>
      <c r="CU159" s="827" t="b">
        <f t="shared" si="937"/>
        <v>0</v>
      </c>
      <c r="CV159" s="826" t="b">
        <f t="shared" ref="CV159:CY159" si="939">+CV158=CV98</f>
        <v>0</v>
      </c>
      <c r="CW159" s="1214" t="b">
        <f t="shared" si="939"/>
        <v>0</v>
      </c>
      <c r="CX159" s="826" t="b">
        <f t="shared" si="939"/>
        <v>0</v>
      </c>
      <c r="CY159" s="827" t="b">
        <f t="shared" si="939"/>
        <v>0</v>
      </c>
      <c r="CZ159" s="826" t="b">
        <f t="shared" ref="CZ159:DC159" si="940">+CZ158=CZ98</f>
        <v>0</v>
      </c>
      <c r="DA159" s="1214" t="b">
        <f t="shared" si="940"/>
        <v>0</v>
      </c>
      <c r="DB159" s="826" t="b">
        <f t="shared" si="940"/>
        <v>0</v>
      </c>
      <c r="DC159" s="827" t="b">
        <f t="shared" si="940"/>
        <v>0</v>
      </c>
      <c r="DD159" s="828"/>
      <c r="DE159" s="822"/>
      <c r="DF159" s="822"/>
      <c r="DG159" s="822"/>
      <c r="DH159" s="822"/>
      <c r="DI159" s="822"/>
      <c r="DJ159" s="822"/>
      <c r="DK159" s="822"/>
      <c r="DL159" s="822"/>
      <c r="DM159" s="822"/>
      <c r="DN159" s="822"/>
      <c r="DO159" s="822"/>
      <c r="DP159" s="822"/>
      <c r="DQ159" s="822"/>
      <c r="DR159" s="822"/>
      <c r="DS159" s="822"/>
      <c r="DT159" s="822"/>
      <c r="DU159" s="822"/>
      <c r="DV159" s="822"/>
      <c r="DW159" s="822"/>
      <c r="DX159" s="822"/>
      <c r="DY159" s="822"/>
      <c r="DZ159" s="822"/>
      <c r="EA159" s="822"/>
      <c r="EB159" s="822"/>
      <c r="EC159" s="823"/>
      <c r="ED159" s="1415"/>
      <c r="EE159" s="828"/>
      <c r="EF159" s="829"/>
      <c r="EG159" s="822"/>
      <c r="EH159" s="822"/>
      <c r="EI159" s="822"/>
      <c r="EJ159" s="822"/>
      <c r="EK159" s="822"/>
      <c r="EL159" s="822"/>
      <c r="EM159" s="822"/>
      <c r="EN159" s="822"/>
      <c r="EO159" s="822"/>
      <c r="EP159" s="822"/>
      <c r="EQ159" s="830"/>
      <c r="ER159" s="830"/>
      <c r="ES159" s="830"/>
      <c r="ET159" s="830"/>
      <c r="EU159" s="830"/>
      <c r="EV159" s="830"/>
      <c r="EW159" s="830"/>
      <c r="EX159" s="830"/>
      <c r="EY159" s="830"/>
      <c r="EZ159" s="830"/>
      <c r="FA159" s="830"/>
      <c r="FB159" s="830"/>
      <c r="FC159" s="830"/>
      <c r="FD159" s="830"/>
      <c r="FE159" s="831"/>
      <c r="FF159" s="1404"/>
      <c r="FG159" s="1404"/>
      <c r="FH159" s="1404"/>
      <c r="FI159"/>
      <c r="FJ159"/>
      <c r="FK159"/>
      <c r="FL159"/>
      <c r="FM159"/>
      <c r="FN159"/>
      <c r="FO159" s="819"/>
    </row>
    <row r="160" spans="1:171" ht="14.25" hidden="1" customHeight="1" outlineLevel="1">
      <c r="A160" s="7"/>
      <c r="B160" s="673"/>
      <c r="C160" s="23"/>
      <c r="D160" s="282"/>
      <c r="E160" s="282"/>
      <c r="F160" s="282"/>
      <c r="G160" s="283"/>
      <c r="H160" s="282"/>
      <c r="I160" s="282"/>
      <c r="J160" s="282"/>
      <c r="K160" s="283"/>
      <c r="L160" s="282"/>
      <c r="M160" s="282"/>
      <c r="N160" s="282"/>
      <c r="O160" s="283"/>
      <c r="P160" s="282"/>
      <c r="Q160" s="282"/>
      <c r="R160" s="282"/>
      <c r="S160" s="283"/>
      <c r="T160" s="282"/>
      <c r="U160" s="282"/>
      <c r="V160" s="282"/>
      <c r="W160" s="283"/>
      <c r="X160" s="282"/>
      <c r="Y160" s="282"/>
      <c r="Z160" s="282"/>
      <c r="AA160" s="283"/>
      <c r="AB160" s="282"/>
      <c r="AC160" s="282"/>
      <c r="AD160" s="282"/>
      <c r="AE160" s="283"/>
      <c r="AF160" s="282"/>
      <c r="AG160" s="282"/>
      <c r="AH160" s="282"/>
      <c r="AI160" s="283"/>
      <c r="AJ160" s="282"/>
      <c r="AK160" s="282"/>
      <c r="AL160" s="282"/>
      <c r="AM160" s="283"/>
      <c r="AN160" s="282"/>
      <c r="AO160" s="282"/>
      <c r="AP160" s="282"/>
      <c r="AQ160" s="283"/>
      <c r="AR160" s="282"/>
      <c r="AS160" s="282"/>
      <c r="AT160" s="282"/>
      <c r="AU160" s="283"/>
      <c r="AV160" s="282"/>
      <c r="AW160" s="282"/>
      <c r="AX160" s="282"/>
      <c r="AY160" s="283"/>
      <c r="AZ160" s="282"/>
      <c r="BA160" s="282"/>
      <c r="BB160" s="282"/>
      <c r="BC160" s="283"/>
      <c r="BD160" s="282"/>
      <c r="BE160" s="282"/>
      <c r="BF160" s="282"/>
      <c r="BG160" s="283"/>
      <c r="BH160" s="282"/>
      <c r="BI160" s="282"/>
      <c r="BJ160" s="282"/>
      <c r="BK160" s="283"/>
      <c r="BL160" s="282"/>
      <c r="BM160" s="282"/>
      <c r="BN160" s="282"/>
      <c r="BO160" s="283"/>
      <c r="BP160" s="282"/>
      <c r="BQ160" s="282"/>
      <c r="BR160" s="282"/>
      <c r="BS160" s="283"/>
      <c r="BT160" s="282"/>
      <c r="BU160" s="282"/>
      <c r="BV160" s="282"/>
      <c r="BW160" s="283"/>
      <c r="BX160" s="282"/>
      <c r="BY160" s="282"/>
      <c r="BZ160" s="282"/>
      <c r="CA160" s="283"/>
      <c r="CB160" s="41"/>
      <c r="CC160" s="282"/>
      <c r="CD160" s="41"/>
      <c r="CE160" s="283"/>
      <c r="CF160" s="41"/>
      <c r="CG160" s="282"/>
      <c r="CH160" s="41"/>
      <c r="CI160" s="283"/>
      <c r="CJ160" s="41"/>
      <c r="CK160" s="282"/>
      <c r="CL160" s="41"/>
      <c r="CM160" s="283"/>
      <c r="CN160" s="41"/>
      <c r="CO160" s="282"/>
      <c r="CP160" s="41"/>
      <c r="CQ160" s="42"/>
      <c r="CR160" s="41"/>
      <c r="CS160" s="282"/>
      <c r="CT160" s="41"/>
      <c r="CU160" s="42"/>
      <c r="CV160" s="41"/>
      <c r="CW160" s="282"/>
      <c r="CX160" s="41"/>
      <c r="CY160" s="42"/>
      <c r="CZ160" s="41"/>
      <c r="DA160" s="282"/>
      <c r="DB160" s="41"/>
      <c r="DC160" s="42"/>
      <c r="DD160" s="18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2"/>
      <c r="ED160" s="1406"/>
      <c r="EE160" s="18"/>
      <c r="EF160" s="50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308"/>
      <c r="FF160" s="300"/>
      <c r="FG160" s="300"/>
      <c r="FH160" s="300"/>
      <c r="FO160" s="7"/>
    </row>
    <row r="161" spans="1:171" ht="14.25" hidden="1" customHeight="1" outlineLevel="1">
      <c r="A161" s="7"/>
      <c r="B161" s="673"/>
      <c r="C161" s="23"/>
      <c r="D161" s="1211"/>
      <c r="E161" s="1211"/>
      <c r="F161" s="1211"/>
      <c r="G161" s="293"/>
      <c r="H161" s="1211"/>
      <c r="I161" s="1211"/>
      <c r="J161" s="1211"/>
      <c r="K161" s="293"/>
      <c r="L161" s="1211"/>
      <c r="M161" s="1211"/>
      <c r="N161" s="1211"/>
      <c r="O161" s="293"/>
      <c r="P161" s="1211"/>
      <c r="Q161" s="1211"/>
      <c r="R161" s="1211"/>
      <c r="S161" s="293"/>
      <c r="T161" s="1211"/>
      <c r="U161" s="1211"/>
      <c r="V161" s="1211"/>
      <c r="W161" s="293"/>
      <c r="X161" s="1211"/>
      <c r="Y161" s="1211"/>
      <c r="Z161" s="1211"/>
      <c r="AA161" s="293"/>
      <c r="AB161" s="1211"/>
      <c r="AC161" s="1211"/>
      <c r="AD161" s="1211"/>
      <c r="AE161" s="293"/>
      <c r="AF161" s="1211"/>
      <c r="AG161" s="1211"/>
      <c r="AH161" s="1211"/>
      <c r="AI161" s="293"/>
      <c r="AJ161" s="1211"/>
      <c r="AK161" s="1211"/>
      <c r="AL161" s="1211"/>
      <c r="AM161" s="293"/>
      <c r="AN161" s="1211"/>
      <c r="AO161" s="1211"/>
      <c r="AP161" s="1211"/>
      <c r="AQ161" s="293"/>
      <c r="AR161" s="1211"/>
      <c r="AS161" s="1211"/>
      <c r="AT161" s="1211"/>
      <c r="AU161" s="293"/>
      <c r="AV161" s="1211"/>
      <c r="AW161" s="1211"/>
      <c r="AX161" s="1211"/>
      <c r="AY161" s="293"/>
      <c r="AZ161" s="1211"/>
      <c r="BA161" s="1211"/>
      <c r="BB161" s="1211"/>
      <c r="BC161" s="293"/>
      <c r="BD161" s="1211"/>
      <c r="BE161" s="1211"/>
      <c r="BF161" s="1211"/>
      <c r="BG161" s="293"/>
      <c r="BH161" s="1211"/>
      <c r="BI161" s="1211"/>
      <c r="BJ161" s="1211"/>
      <c r="BK161" s="293"/>
      <c r="BL161" s="1211"/>
      <c r="BM161" s="1211"/>
      <c r="BN161" s="1211"/>
      <c r="BO161" s="293"/>
      <c r="BP161" s="1211"/>
      <c r="BQ161" s="1211"/>
      <c r="BR161" s="1211"/>
      <c r="BS161" s="293"/>
      <c r="BT161" s="1211"/>
      <c r="BU161" s="1211"/>
      <c r="BV161" s="1211"/>
      <c r="BW161" s="293"/>
      <c r="BX161" s="292"/>
      <c r="BY161" s="292"/>
      <c r="BZ161" s="292"/>
      <c r="CA161" s="293"/>
      <c r="CB161" s="79"/>
      <c r="CC161" s="292"/>
      <c r="CD161" s="79"/>
      <c r="CE161" s="293"/>
      <c r="CF161" s="79"/>
      <c r="CG161" s="292"/>
      <c r="CH161" s="79"/>
      <c r="CI161" s="293"/>
      <c r="CJ161" s="79"/>
      <c r="CK161" s="292"/>
      <c r="CL161" s="79"/>
      <c r="CM161" s="293"/>
      <c r="CN161" s="79"/>
      <c r="CO161" s="1211"/>
      <c r="CP161" s="79"/>
      <c r="CQ161" s="80"/>
      <c r="CR161" s="1232"/>
      <c r="CS161" s="1442"/>
      <c r="CT161" s="79"/>
      <c r="CU161" s="80"/>
      <c r="CV161" s="1232"/>
      <c r="CW161" s="1211"/>
      <c r="CX161" s="1232"/>
      <c r="CY161" s="80"/>
      <c r="CZ161" s="1232"/>
      <c r="DA161" s="1211"/>
      <c r="DB161" s="1232"/>
      <c r="DC161" s="80"/>
      <c r="DD161" s="18"/>
      <c r="DE161" s="79"/>
      <c r="DF161" s="79"/>
      <c r="DG161" s="79"/>
      <c r="DH161" s="79"/>
      <c r="DI161" s="79"/>
      <c r="DJ161" s="79"/>
      <c r="DK161" s="79"/>
      <c r="DL161" s="79"/>
      <c r="DM161" s="79"/>
      <c r="DN161" s="79"/>
      <c r="DO161" s="79"/>
      <c r="DP161" s="79"/>
      <c r="DQ161" s="79"/>
      <c r="DR161" s="79"/>
      <c r="DS161" s="79"/>
      <c r="DT161" s="1232"/>
      <c r="DU161" s="1232"/>
      <c r="DV161" s="1232"/>
      <c r="DW161" s="1232"/>
      <c r="DX161" s="1232"/>
      <c r="DY161" s="1232"/>
      <c r="DZ161" s="1232"/>
      <c r="EA161" s="79"/>
      <c r="EB161" s="1232"/>
      <c r="EC161" s="80"/>
      <c r="ED161" s="1411"/>
      <c r="EE161" s="18"/>
      <c r="EF161" s="81"/>
      <c r="EG161" s="79"/>
      <c r="EH161" s="79"/>
      <c r="EI161" s="79"/>
      <c r="EJ161" s="79"/>
      <c r="EK161" s="79"/>
      <c r="EL161" s="79"/>
      <c r="EM161" s="79"/>
      <c r="EN161" s="79"/>
      <c r="EO161" s="79"/>
      <c r="EP161" s="79"/>
      <c r="EQ161" s="79"/>
      <c r="ER161" s="79"/>
      <c r="ES161" s="79"/>
      <c r="ET161" s="1232"/>
      <c r="EU161" s="1232"/>
      <c r="EV161" s="79"/>
      <c r="EW161" s="79"/>
      <c r="EX161" s="79"/>
      <c r="EY161" s="79"/>
      <c r="EZ161" s="1232"/>
      <c r="FA161" s="1232"/>
      <c r="FB161" s="1232"/>
      <c r="FC161" s="1232"/>
      <c r="FD161" s="1232"/>
      <c r="FE161" s="308"/>
      <c r="FF161" s="300"/>
      <c r="FG161" s="300"/>
      <c r="FH161" s="300"/>
      <c r="FO161" s="7"/>
    </row>
    <row r="162" spans="1:171" ht="14.25" hidden="1" customHeight="1" outlineLevel="1">
      <c r="A162" s="7"/>
      <c r="B162" s="543"/>
      <c r="C162" s="31"/>
      <c r="D162" s="282"/>
      <c r="E162" s="282"/>
      <c r="F162" s="282"/>
      <c r="G162" s="283"/>
      <c r="H162" s="282"/>
      <c r="I162" s="282"/>
      <c r="J162" s="282"/>
      <c r="K162" s="283"/>
      <c r="L162" s="282"/>
      <c r="M162" s="282"/>
      <c r="N162" s="282"/>
      <c r="O162" s="283"/>
      <c r="P162" s="282"/>
      <c r="Q162" s="282"/>
      <c r="R162" s="282"/>
      <c r="S162" s="283"/>
      <c r="T162" s="282"/>
      <c r="U162" s="282"/>
      <c r="V162" s="282"/>
      <c r="W162" s="283"/>
      <c r="X162" s="282"/>
      <c r="Y162" s="282"/>
      <c r="Z162" s="282"/>
      <c r="AA162" s="283"/>
      <c r="AB162" s="282"/>
      <c r="AC162" s="282"/>
      <c r="AD162" s="282"/>
      <c r="AE162" s="283"/>
      <c r="AF162" s="282"/>
      <c r="AG162" s="282"/>
      <c r="AH162" s="282"/>
      <c r="AI162" s="283"/>
      <c r="AJ162" s="282"/>
      <c r="AK162" s="282"/>
      <c r="AL162" s="282"/>
      <c r="AM162" s="283"/>
      <c r="AN162" s="282"/>
      <c r="AO162" s="282"/>
      <c r="AP162" s="282"/>
      <c r="AQ162" s="283"/>
      <c r="AR162" s="282"/>
      <c r="AS162" s="282"/>
      <c r="AT162" s="282"/>
      <c r="AU162" s="283"/>
      <c r="AV162" s="282"/>
      <c r="AW162" s="282"/>
      <c r="AX162" s="282"/>
      <c r="AY162" s="283"/>
      <c r="AZ162" s="282"/>
      <c r="BA162" s="282"/>
      <c r="BB162" s="282"/>
      <c r="BC162" s="283"/>
      <c r="BD162" s="282"/>
      <c r="BE162" s="282"/>
      <c r="BF162" s="282"/>
      <c r="BG162" s="283"/>
      <c r="BH162" s="282"/>
      <c r="BI162" s="282"/>
      <c r="BJ162" s="282"/>
      <c r="BK162" s="283"/>
      <c r="BL162" s="282"/>
      <c r="BM162" s="282"/>
      <c r="BN162" s="282"/>
      <c r="BO162" s="283"/>
      <c r="BP162" s="282"/>
      <c r="BQ162" s="282"/>
      <c r="BR162" s="282"/>
      <c r="BS162" s="283"/>
      <c r="BT162" s="282"/>
      <c r="BU162" s="282"/>
      <c r="BV162" s="282"/>
      <c r="BW162" s="283"/>
      <c r="BX162" s="282"/>
      <c r="BY162" s="282"/>
      <c r="BZ162" s="282"/>
      <c r="CA162" s="283"/>
      <c r="CB162" s="41"/>
      <c r="CC162" s="282"/>
      <c r="CD162" s="41"/>
      <c r="CE162" s="283"/>
      <c r="CF162" s="41"/>
      <c r="CG162" s="282"/>
      <c r="CH162" s="41"/>
      <c r="CI162" s="283"/>
      <c r="CJ162" s="41"/>
      <c r="CK162" s="282"/>
      <c r="CL162" s="41"/>
      <c r="CM162" s="283"/>
      <c r="CN162" s="41"/>
      <c r="CO162" s="282"/>
      <c r="CP162" s="41"/>
      <c r="CQ162" s="42"/>
      <c r="CR162" s="41"/>
      <c r="CS162" s="282"/>
      <c r="CT162" s="41"/>
      <c r="CU162" s="42"/>
      <c r="CV162" s="41"/>
      <c r="CW162" s="282"/>
      <c r="CX162" s="41"/>
      <c r="CY162" s="42"/>
      <c r="CZ162" s="41"/>
      <c r="DA162" s="282"/>
      <c r="DB162" s="41"/>
      <c r="DC162" s="42"/>
      <c r="DD162" s="18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2"/>
      <c r="ED162" s="1406"/>
      <c r="EE162" s="18"/>
      <c r="EF162" s="50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308"/>
      <c r="FF162" s="300"/>
      <c r="FG162" s="300"/>
      <c r="FH162" s="300"/>
      <c r="FO162" s="7"/>
    </row>
    <row r="163" spans="1:171" ht="14.25" hidden="1" customHeight="1" outlineLevel="1">
      <c r="A163" s="7"/>
      <c r="B163" s="673"/>
      <c r="C163" s="82"/>
      <c r="D163" s="294"/>
      <c r="E163" s="294"/>
      <c r="F163" s="294"/>
      <c r="G163" s="295"/>
      <c r="H163" s="294"/>
      <c r="I163" s="294"/>
      <c r="J163" s="294"/>
      <c r="K163" s="295"/>
      <c r="L163" s="294"/>
      <c r="M163" s="294"/>
      <c r="N163" s="294"/>
      <c r="O163" s="295"/>
      <c r="P163" s="294"/>
      <c r="Q163" s="294"/>
      <c r="R163" s="294"/>
      <c r="S163" s="295"/>
      <c r="T163" s="294"/>
      <c r="U163" s="294"/>
      <c r="V163" s="294"/>
      <c r="W163" s="295"/>
      <c r="X163" s="294"/>
      <c r="Y163" s="294"/>
      <c r="Z163" s="294"/>
      <c r="AA163" s="295"/>
      <c r="AB163" s="294"/>
      <c r="AC163" s="294"/>
      <c r="AD163" s="294"/>
      <c r="AE163" s="295"/>
      <c r="AF163" s="294"/>
      <c r="AG163" s="294"/>
      <c r="AH163" s="294"/>
      <c r="AI163" s="295"/>
      <c r="AJ163" s="294"/>
      <c r="AK163" s="294"/>
      <c r="AL163" s="294"/>
      <c r="AM163" s="295"/>
      <c r="AN163" s="294"/>
      <c r="AO163" s="294"/>
      <c r="AP163" s="294"/>
      <c r="AQ163" s="295"/>
      <c r="AR163" s="294"/>
      <c r="AS163" s="294"/>
      <c r="AT163" s="294"/>
      <c r="AU163" s="295"/>
      <c r="AV163" s="294"/>
      <c r="AW163" s="294"/>
      <c r="AX163" s="294"/>
      <c r="AY163" s="295"/>
      <c r="AZ163" s="294"/>
      <c r="BA163" s="294"/>
      <c r="BB163" s="294"/>
      <c r="BC163" s="295"/>
      <c r="BD163" s="294"/>
      <c r="BE163" s="294"/>
      <c r="BF163" s="294"/>
      <c r="BG163" s="295"/>
      <c r="BH163" s="294"/>
      <c r="BI163" s="294"/>
      <c r="BJ163" s="294"/>
      <c r="BK163" s="295"/>
      <c r="BL163" s="294"/>
      <c r="BM163" s="294"/>
      <c r="BN163" s="294"/>
      <c r="BO163" s="295"/>
      <c r="BP163" s="294"/>
      <c r="BQ163" s="294"/>
      <c r="BR163" s="294"/>
      <c r="BS163" s="295"/>
      <c r="BT163" s="294"/>
      <c r="BU163" s="294"/>
      <c r="BV163" s="294"/>
      <c r="BW163" s="295"/>
      <c r="BX163" s="294"/>
      <c r="BY163" s="294"/>
      <c r="BZ163" s="294"/>
      <c r="CA163" s="295"/>
      <c r="CB163" s="84"/>
      <c r="CC163" s="294"/>
      <c r="CD163" s="84"/>
      <c r="CE163" s="295"/>
      <c r="CF163" s="84"/>
      <c r="CG163" s="294"/>
      <c r="CH163" s="84"/>
      <c r="CI163" s="295"/>
      <c r="CJ163" s="84"/>
      <c r="CK163" s="294"/>
      <c r="CL163" s="84"/>
      <c r="CM163" s="295"/>
      <c r="CN163" s="84"/>
      <c r="CO163" s="294"/>
      <c r="CP163" s="84"/>
      <c r="CQ163" s="85"/>
      <c r="CR163" s="84"/>
      <c r="CS163" s="294"/>
      <c r="CT163" s="84"/>
      <c r="CU163" s="85"/>
      <c r="CV163" s="84"/>
      <c r="CW163" s="294"/>
      <c r="CX163" s="84"/>
      <c r="CY163" s="85"/>
      <c r="CZ163" s="84"/>
      <c r="DA163" s="294"/>
      <c r="DB163" s="84"/>
      <c r="DC163" s="85"/>
      <c r="DD163" s="18"/>
      <c r="DE163" s="84"/>
      <c r="DF163" s="84"/>
      <c r="DG163" s="84"/>
      <c r="DH163" s="84"/>
      <c r="DI163" s="84"/>
      <c r="DJ163" s="84"/>
      <c r="DK163" s="84"/>
      <c r="DL163" s="84"/>
      <c r="DM163" s="84"/>
      <c r="DN163" s="84"/>
      <c r="DO163" s="84"/>
      <c r="DP163" s="84"/>
      <c r="DQ163" s="84"/>
      <c r="DR163" s="84"/>
      <c r="DS163" s="84"/>
      <c r="DT163" s="84"/>
      <c r="DU163" s="84"/>
      <c r="DV163" s="84"/>
      <c r="DW163" s="84"/>
      <c r="DX163" s="84"/>
      <c r="DY163" s="84"/>
      <c r="DZ163" s="84"/>
      <c r="EA163" s="84"/>
      <c r="EB163" s="84"/>
      <c r="EC163" s="85"/>
      <c r="ED163" s="1412"/>
      <c r="EE163" s="18"/>
      <c r="EF163" s="83"/>
      <c r="EG163" s="84"/>
      <c r="EH163" s="84"/>
      <c r="EI163" s="84"/>
      <c r="EJ163" s="84"/>
      <c r="EK163" s="84"/>
      <c r="EL163" s="84"/>
      <c r="EM163" s="84"/>
      <c r="EN163" s="84"/>
      <c r="EO163" s="84"/>
      <c r="EP163" s="84"/>
      <c r="EQ163" s="84"/>
      <c r="ER163" s="84"/>
      <c r="ES163" s="84"/>
      <c r="ET163" s="84"/>
      <c r="EU163" s="84"/>
      <c r="EV163" s="84"/>
      <c r="EW163" s="84"/>
      <c r="EX163" s="84"/>
      <c r="EY163" s="84"/>
      <c r="EZ163" s="84"/>
      <c r="FA163" s="84"/>
      <c r="FB163" s="84"/>
      <c r="FC163" s="84"/>
      <c r="FD163" s="84"/>
      <c r="FE163" s="308"/>
      <c r="FF163" s="300"/>
      <c r="FG163" s="300"/>
      <c r="FH163" s="300"/>
      <c r="FO163" s="7"/>
    </row>
    <row r="164" spans="1:171" ht="14.25" hidden="1" customHeight="1" outlineLevel="1">
      <c r="A164" s="7"/>
      <c r="B164" s="678"/>
      <c r="C164" s="86"/>
      <c r="D164" s="296"/>
      <c r="E164" s="296"/>
      <c r="F164" s="296"/>
      <c r="G164" s="297"/>
      <c r="H164" s="296"/>
      <c r="I164" s="296"/>
      <c r="J164" s="296"/>
      <c r="K164" s="297"/>
      <c r="L164" s="296"/>
      <c r="M164" s="296"/>
      <c r="N164" s="296"/>
      <c r="O164" s="297"/>
      <c r="P164" s="296"/>
      <c r="Q164" s="296"/>
      <c r="R164" s="296"/>
      <c r="S164" s="297"/>
      <c r="T164" s="296"/>
      <c r="U164" s="296"/>
      <c r="V164" s="296"/>
      <c r="W164" s="297"/>
      <c r="X164" s="296"/>
      <c r="Y164" s="296"/>
      <c r="Z164" s="296"/>
      <c r="AA164" s="297"/>
      <c r="AB164" s="296"/>
      <c r="AC164" s="296"/>
      <c r="AD164" s="296"/>
      <c r="AE164" s="297"/>
      <c r="AF164" s="296"/>
      <c r="AG164" s="296"/>
      <c r="AH164" s="296"/>
      <c r="AI164" s="297"/>
      <c r="AJ164" s="296"/>
      <c r="AK164" s="296"/>
      <c r="AL164" s="296"/>
      <c r="AM164" s="297"/>
      <c r="AN164" s="296"/>
      <c r="AO164" s="296"/>
      <c r="AP164" s="296"/>
      <c r="AQ164" s="297"/>
      <c r="AR164" s="296"/>
      <c r="AS164" s="296"/>
      <c r="AT164" s="296"/>
      <c r="AU164" s="297"/>
      <c r="AV164" s="296"/>
      <c r="AW164" s="296"/>
      <c r="AX164" s="296"/>
      <c r="AY164" s="297"/>
      <c r="AZ164" s="296"/>
      <c r="BA164" s="296"/>
      <c r="BB164" s="296"/>
      <c r="BC164" s="297"/>
      <c r="BD164" s="296"/>
      <c r="BE164" s="296"/>
      <c r="BF164" s="296"/>
      <c r="BG164" s="297"/>
      <c r="BH164" s="296"/>
      <c r="BI164" s="296"/>
      <c r="BJ164" s="296"/>
      <c r="BK164" s="297"/>
      <c r="BL164" s="296"/>
      <c r="BM164" s="296"/>
      <c r="BN164" s="296"/>
      <c r="BO164" s="297"/>
      <c r="BP164" s="296"/>
      <c r="BQ164" s="296"/>
      <c r="BR164" s="296"/>
      <c r="BS164" s="297"/>
      <c r="BT164" s="296"/>
      <c r="BU164" s="296"/>
      <c r="BV164" s="296"/>
      <c r="BW164" s="297"/>
      <c r="BX164" s="296"/>
      <c r="BY164" s="296"/>
      <c r="BZ164" s="296"/>
      <c r="CA164" s="297"/>
      <c r="CB164" s="88"/>
      <c r="CC164" s="296"/>
      <c r="CD164" s="88"/>
      <c r="CE164" s="297"/>
      <c r="CF164" s="88"/>
      <c r="CG164" s="296"/>
      <c r="CH164" s="88"/>
      <c r="CI164" s="297"/>
      <c r="CJ164" s="88"/>
      <c r="CK164" s="296"/>
      <c r="CL164" s="88"/>
      <c r="CM164" s="297"/>
      <c r="CN164" s="88"/>
      <c r="CO164" s="296"/>
      <c r="CP164" s="88"/>
      <c r="CQ164" s="89"/>
      <c r="CR164" s="88"/>
      <c r="CS164" s="296"/>
      <c r="CT164" s="88"/>
      <c r="CU164" s="89"/>
      <c r="CV164" s="88"/>
      <c r="CW164" s="296"/>
      <c r="CX164" s="88"/>
      <c r="CY164" s="89"/>
      <c r="CZ164" s="88"/>
      <c r="DA164" s="296"/>
      <c r="DB164" s="88"/>
      <c r="DC164" s="89"/>
      <c r="DD164" s="18"/>
      <c r="DE164" s="88"/>
      <c r="DF164" s="88"/>
      <c r="DG164" s="88"/>
      <c r="DH164" s="88"/>
      <c r="DI164" s="88"/>
      <c r="DJ164" s="88"/>
      <c r="DK164" s="88"/>
      <c r="DL164" s="88"/>
      <c r="DM164" s="88"/>
      <c r="DN164" s="88"/>
      <c r="DO164" s="88"/>
      <c r="DP164" s="88"/>
      <c r="DQ164" s="88"/>
      <c r="DR164" s="88"/>
      <c r="DS164" s="88"/>
      <c r="DT164" s="88"/>
      <c r="DU164" s="88"/>
      <c r="DV164" s="88"/>
      <c r="DW164" s="88"/>
      <c r="DX164" s="88"/>
      <c r="DY164" s="88"/>
      <c r="DZ164" s="88"/>
      <c r="EA164" s="88"/>
      <c r="EB164" s="88"/>
      <c r="EC164" s="89"/>
      <c r="ED164" s="1413"/>
      <c r="EE164" s="18"/>
      <c r="EF164" s="87"/>
      <c r="EG164" s="88"/>
      <c r="EH164" s="88"/>
      <c r="EI164" s="88"/>
      <c r="EJ164" s="88"/>
      <c r="EK164" s="88"/>
      <c r="EL164" s="88"/>
      <c r="EM164" s="88"/>
      <c r="EN164" s="88"/>
      <c r="EO164" s="88"/>
      <c r="EP164" s="88"/>
      <c r="EQ164" s="88"/>
      <c r="ER164" s="88"/>
      <c r="ES164" s="88"/>
      <c r="ET164" s="88"/>
      <c r="EU164" s="88"/>
      <c r="EV164" s="88"/>
      <c r="EW164" s="88"/>
      <c r="EX164" s="88"/>
      <c r="EY164" s="88"/>
      <c r="EZ164" s="88"/>
      <c r="FA164" s="88"/>
      <c r="FB164" s="88"/>
      <c r="FC164" s="88"/>
      <c r="FD164" s="88"/>
      <c r="FE164" s="308"/>
      <c r="FF164" s="300"/>
      <c r="FG164" s="300"/>
      <c r="FH164" s="300"/>
      <c r="FO164" s="7"/>
    </row>
    <row r="165" spans="1:171" s="300" customFormat="1" ht="14.25" hidden="1" customHeight="1" outlineLevel="1">
      <c r="A165" s="13"/>
      <c r="B165" s="680"/>
      <c r="C165" s="13"/>
      <c r="D165" s="317"/>
      <c r="E165" s="317"/>
      <c r="F165" s="317"/>
      <c r="G165" s="317"/>
      <c r="H165" s="317"/>
      <c r="I165" s="317"/>
      <c r="J165" s="317"/>
      <c r="K165" s="317"/>
      <c r="L165" s="317"/>
      <c r="M165" s="317"/>
      <c r="N165" s="317"/>
      <c r="O165" s="317"/>
      <c r="P165" s="317"/>
      <c r="Q165" s="317"/>
      <c r="R165" s="317"/>
      <c r="S165" s="317"/>
      <c r="T165" s="317"/>
      <c r="U165" s="317"/>
      <c r="V165" s="317"/>
      <c r="W165" s="317"/>
      <c r="X165" s="317"/>
      <c r="Y165" s="317"/>
      <c r="Z165" s="317"/>
      <c r="AA165" s="317"/>
      <c r="AB165" s="317"/>
      <c r="AC165" s="317"/>
      <c r="AD165" s="317"/>
      <c r="AE165" s="317"/>
      <c r="AF165" s="317"/>
      <c r="AG165" s="317"/>
      <c r="AH165" s="317"/>
      <c r="AI165" s="317"/>
      <c r="AJ165" s="317"/>
      <c r="AK165" s="317"/>
      <c r="AL165" s="317"/>
      <c r="AM165" s="317"/>
      <c r="AN165" s="317"/>
      <c r="AO165" s="317"/>
      <c r="AP165" s="317"/>
      <c r="AQ165" s="317"/>
      <c r="AR165" s="317"/>
      <c r="AS165" s="317"/>
      <c r="AT165" s="317"/>
      <c r="AU165" s="317"/>
      <c r="AV165" s="317"/>
      <c r="AW165" s="317"/>
      <c r="AX165" s="317"/>
      <c r="AY165" s="317"/>
      <c r="AZ165" s="317"/>
      <c r="BA165" s="317"/>
      <c r="BB165" s="317"/>
      <c r="BC165" s="317"/>
      <c r="BD165" s="317"/>
      <c r="BE165" s="317"/>
      <c r="BF165" s="317"/>
      <c r="BG165" s="317"/>
      <c r="BH165" s="317"/>
      <c r="BI165" s="317"/>
      <c r="BJ165" s="317"/>
      <c r="BK165" s="317"/>
      <c r="BL165" s="317"/>
      <c r="BM165" s="317"/>
      <c r="BN165" s="317"/>
      <c r="BO165" s="317"/>
      <c r="BP165" s="317"/>
      <c r="BQ165" s="317"/>
      <c r="BR165" s="317"/>
      <c r="BS165" s="317"/>
      <c r="BT165" s="317"/>
      <c r="BU165" s="317"/>
      <c r="BV165" s="317"/>
      <c r="BW165" s="317"/>
      <c r="BX165" s="317"/>
      <c r="BY165" s="317"/>
      <c r="BZ165" s="317"/>
      <c r="CA165" s="317"/>
      <c r="CB165" s="13"/>
      <c r="CC165" s="317"/>
      <c r="CD165" s="13"/>
      <c r="CE165" s="317"/>
      <c r="CF165" s="13"/>
      <c r="CG165" s="317"/>
      <c r="CH165" s="13"/>
      <c r="CI165" s="317"/>
      <c r="CJ165" s="13"/>
      <c r="CK165" s="317"/>
      <c r="CL165" s="13"/>
      <c r="CM165" s="13"/>
      <c r="CN165" s="13"/>
      <c r="CO165" s="317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/>
      <c r="FF165" s="1395"/>
      <c r="FG165" s="1395"/>
      <c r="FH165" s="1395"/>
      <c r="FI165"/>
      <c r="FJ165"/>
      <c r="FK165"/>
      <c r="FL165"/>
      <c r="FM165"/>
      <c r="FN165"/>
      <c r="FO165" s="13"/>
    </row>
    <row r="166" spans="1:171" s="300" customFormat="1" ht="14.25" hidden="1" customHeight="1" outlineLevel="1">
      <c r="A166" s="13"/>
      <c r="B166" s="541"/>
      <c r="C166" s="13"/>
      <c r="D166" s="317"/>
      <c r="E166" s="317"/>
      <c r="F166" s="317"/>
      <c r="G166" s="317"/>
      <c r="H166" s="317"/>
      <c r="I166" s="317"/>
      <c r="J166" s="317"/>
      <c r="K166" s="317"/>
      <c r="L166" s="317"/>
      <c r="M166" s="317"/>
      <c r="N166" s="317"/>
      <c r="O166" s="317"/>
      <c r="P166" s="317"/>
      <c r="Q166" s="317"/>
      <c r="R166" s="317"/>
      <c r="S166" s="317"/>
      <c r="T166" s="317"/>
      <c r="U166" s="317"/>
      <c r="V166" s="317"/>
      <c r="W166" s="317"/>
      <c r="X166" s="317"/>
      <c r="Y166" s="317"/>
      <c r="Z166" s="317"/>
      <c r="AA166" s="317"/>
      <c r="AB166" s="317"/>
      <c r="AC166" s="317"/>
      <c r="AD166" s="317"/>
      <c r="AE166" s="317"/>
      <c r="AF166" s="317"/>
      <c r="AG166" s="317"/>
      <c r="AH166" s="317"/>
      <c r="AI166" s="317"/>
      <c r="AJ166" s="317"/>
      <c r="AK166" s="317"/>
      <c r="AL166" s="317"/>
      <c r="AM166" s="317"/>
      <c r="AN166" s="317"/>
      <c r="AO166" s="317"/>
      <c r="AP166" s="317"/>
      <c r="AQ166" s="317"/>
      <c r="AR166" s="317"/>
      <c r="AS166" s="317"/>
      <c r="AT166" s="317"/>
      <c r="AU166" s="317"/>
      <c r="AV166" s="317"/>
      <c r="AW166" s="317"/>
      <c r="AX166" s="317"/>
      <c r="AY166" s="317"/>
      <c r="AZ166" s="317"/>
      <c r="BA166" s="317"/>
      <c r="BB166" s="317"/>
      <c r="BC166" s="317"/>
      <c r="BD166" s="317"/>
      <c r="BE166" s="317"/>
      <c r="BF166" s="317"/>
      <c r="BG166" s="317"/>
      <c r="BH166" s="317"/>
      <c r="BI166" s="317"/>
      <c r="BJ166" s="317"/>
      <c r="BK166" s="317"/>
      <c r="BL166" s="317"/>
      <c r="BM166" s="317"/>
      <c r="BN166" s="317"/>
      <c r="BO166" s="317"/>
      <c r="BP166" s="317"/>
      <c r="BQ166" s="317"/>
      <c r="BR166" s="317"/>
      <c r="BS166" s="317"/>
      <c r="BT166" s="317"/>
      <c r="BU166" s="317"/>
      <c r="BV166" s="317"/>
      <c r="BW166" s="317"/>
      <c r="BX166" s="317"/>
      <c r="BY166" s="317"/>
      <c r="BZ166" s="317"/>
      <c r="CA166" s="317"/>
      <c r="CB166" s="13"/>
      <c r="CC166" s="317"/>
      <c r="CD166" s="13"/>
      <c r="CE166" s="317"/>
      <c r="CF166" s="13"/>
      <c r="CG166" s="317"/>
      <c r="CH166" s="13"/>
      <c r="CI166" s="317"/>
      <c r="CJ166" s="13"/>
      <c r="CK166" s="317"/>
      <c r="CL166" s="13"/>
      <c r="CM166" s="13"/>
      <c r="CN166" s="13"/>
      <c r="CO166" s="317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/>
      <c r="FF166" s="1395"/>
      <c r="FG166" s="1395"/>
      <c r="FH166" s="1395"/>
      <c r="FI166"/>
      <c r="FJ166"/>
      <c r="FK166"/>
      <c r="FL166"/>
      <c r="FM166"/>
      <c r="FN166"/>
      <c r="FO166" s="13"/>
    </row>
    <row r="167" spans="1:171" s="300" customFormat="1" ht="14.25" hidden="1" customHeight="1" outlineLevel="2">
      <c r="A167" s="13"/>
      <c r="B167" s="541"/>
      <c r="C167" s="13"/>
      <c r="D167" s="317"/>
      <c r="E167" s="317"/>
      <c r="F167" s="317"/>
      <c r="G167" s="317"/>
      <c r="H167" s="317"/>
      <c r="I167" s="317"/>
      <c r="J167" s="317"/>
      <c r="K167" s="317"/>
      <c r="L167" s="317"/>
      <c r="M167" s="317"/>
      <c r="N167" s="317"/>
      <c r="O167" s="317"/>
      <c r="P167" s="317"/>
      <c r="Q167" s="317"/>
      <c r="R167" s="317"/>
      <c r="S167" s="317"/>
      <c r="T167" s="317"/>
      <c r="U167" s="317"/>
      <c r="V167" s="317"/>
      <c r="W167" s="317"/>
      <c r="X167" s="317"/>
      <c r="Y167" s="317"/>
      <c r="Z167" s="317"/>
      <c r="AA167" s="317"/>
      <c r="AB167" s="317"/>
      <c r="AC167" s="317"/>
      <c r="AD167" s="317"/>
      <c r="AE167" s="317"/>
      <c r="AF167" s="317"/>
      <c r="AG167" s="317"/>
      <c r="AH167" s="317"/>
      <c r="AI167" s="317"/>
      <c r="AJ167" s="317"/>
      <c r="AK167" s="317"/>
      <c r="AL167" s="317"/>
      <c r="AM167" s="317"/>
      <c r="AN167" s="317"/>
      <c r="AO167" s="317"/>
      <c r="AP167" s="317"/>
      <c r="AQ167" s="317"/>
      <c r="AR167" s="317"/>
      <c r="AS167" s="317"/>
      <c r="AT167" s="317"/>
      <c r="AU167" s="317"/>
      <c r="AV167" s="317"/>
      <c r="AW167" s="317"/>
      <c r="AX167" s="317"/>
      <c r="AY167" s="317"/>
      <c r="AZ167" s="317"/>
      <c r="BA167" s="317"/>
      <c r="BB167" s="317"/>
      <c r="BC167" s="317"/>
      <c r="BD167" s="317"/>
      <c r="BE167" s="317"/>
      <c r="BF167" s="317"/>
      <c r="BG167" s="317"/>
      <c r="BH167" s="317"/>
      <c r="BI167" s="317"/>
      <c r="BJ167" s="317"/>
      <c r="BK167" s="317"/>
      <c r="BL167" s="317"/>
      <c r="BM167" s="317"/>
      <c r="BN167" s="317"/>
      <c r="BO167" s="317"/>
      <c r="BP167" s="317"/>
      <c r="BQ167" s="317"/>
      <c r="BR167" s="317"/>
      <c r="BS167" s="317"/>
      <c r="BT167" s="317"/>
      <c r="BU167" s="317"/>
      <c r="BV167" s="317"/>
      <c r="BW167" s="317"/>
      <c r="BX167" s="317"/>
      <c r="BY167" s="317"/>
      <c r="BZ167" s="317"/>
      <c r="CA167" s="317"/>
      <c r="CB167" s="13"/>
      <c r="CC167" s="317"/>
      <c r="CD167" s="13"/>
      <c r="CE167" s="317"/>
      <c r="CF167" s="13"/>
      <c r="CG167" s="317"/>
      <c r="CH167" s="13"/>
      <c r="CI167" s="317"/>
      <c r="CJ167" s="13"/>
      <c r="CK167" s="317"/>
      <c r="CL167" s="13"/>
      <c r="CM167" s="13"/>
      <c r="CN167" s="13"/>
      <c r="CO167" s="317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/>
      <c r="FF167" s="1395"/>
      <c r="FG167" s="1395"/>
      <c r="FH167" s="1395"/>
      <c r="FI167"/>
      <c r="FJ167"/>
      <c r="FK167"/>
      <c r="FL167"/>
      <c r="FM167"/>
      <c r="FN167"/>
      <c r="FO167" s="13"/>
    </row>
    <row r="168" spans="1:171" s="300" customFormat="1" ht="14.25" hidden="1" customHeight="1" outlineLevel="1">
      <c r="A168" s="13"/>
      <c r="B168" s="541"/>
      <c r="C168" s="13"/>
      <c r="D168" s="317"/>
      <c r="E168" s="317"/>
      <c r="F168" s="317"/>
      <c r="G168" s="317"/>
      <c r="H168" s="317"/>
      <c r="I168" s="317"/>
      <c r="J168" s="317"/>
      <c r="K168" s="317"/>
      <c r="L168" s="317"/>
      <c r="M168" s="317"/>
      <c r="N168" s="317"/>
      <c r="O168" s="317"/>
      <c r="P168" s="317"/>
      <c r="Q168" s="317"/>
      <c r="R168" s="317"/>
      <c r="S168" s="317"/>
      <c r="T168" s="317"/>
      <c r="U168" s="317"/>
      <c r="V168" s="317"/>
      <c r="W168" s="317"/>
      <c r="X168" s="317"/>
      <c r="Y168" s="317"/>
      <c r="Z168" s="317"/>
      <c r="AA168" s="317"/>
      <c r="AB168" s="317"/>
      <c r="AC168" s="317"/>
      <c r="AD168" s="317"/>
      <c r="AE168" s="317"/>
      <c r="AF168" s="317"/>
      <c r="AG168" s="317"/>
      <c r="AH168" s="317"/>
      <c r="AI168" s="317"/>
      <c r="AJ168" s="317"/>
      <c r="AK168" s="317"/>
      <c r="AL168" s="317"/>
      <c r="AM168" s="317"/>
      <c r="AN168" s="317"/>
      <c r="AO168" s="317"/>
      <c r="AP168" s="317"/>
      <c r="AQ168" s="317"/>
      <c r="AR168" s="317"/>
      <c r="AS168" s="317"/>
      <c r="AT168" s="317"/>
      <c r="AU168" s="317"/>
      <c r="AV168" s="317"/>
      <c r="AW168" s="317"/>
      <c r="AX168" s="317"/>
      <c r="AY168" s="317"/>
      <c r="AZ168" s="317"/>
      <c r="BA168" s="317"/>
      <c r="BB168" s="317"/>
      <c r="BC168" s="317"/>
      <c r="BD168" s="317"/>
      <c r="BE168" s="317"/>
      <c r="BF168" s="317"/>
      <c r="BG168" s="317"/>
      <c r="BH168" s="317"/>
      <c r="BI168" s="317"/>
      <c r="BJ168" s="317"/>
      <c r="BK168" s="317"/>
      <c r="BL168" s="317"/>
      <c r="BM168" s="317"/>
      <c r="BN168" s="317"/>
      <c r="BO168" s="317"/>
      <c r="BP168" s="317"/>
      <c r="BQ168" s="317"/>
      <c r="BR168" s="317"/>
      <c r="BS168" s="317"/>
      <c r="BT168" s="317"/>
      <c r="BU168" s="317"/>
      <c r="BV168" s="317"/>
      <c r="BW168" s="317"/>
      <c r="BX168" s="317"/>
      <c r="BY168" s="317"/>
      <c r="BZ168" s="317"/>
      <c r="CA168" s="317"/>
      <c r="CB168" s="13"/>
      <c r="CC168" s="317"/>
      <c r="CD168" s="13"/>
      <c r="CE168" s="317"/>
      <c r="CF168" s="13"/>
      <c r="CG168" s="317"/>
      <c r="CH168" s="13"/>
      <c r="CI168" s="317"/>
      <c r="CJ168" s="13"/>
      <c r="CK168" s="317"/>
      <c r="CL168" s="13"/>
      <c r="CM168" s="13"/>
      <c r="CN168" s="13"/>
      <c r="CO168" s="317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/>
      <c r="FF168" s="1395"/>
      <c r="FG168" s="1395"/>
      <c r="FH168" s="1395"/>
      <c r="FI168"/>
      <c r="FJ168"/>
      <c r="FK168"/>
      <c r="FL168"/>
      <c r="FM168"/>
      <c r="FN168"/>
      <c r="FO168" s="13"/>
    </row>
    <row r="169" spans="1:171" s="300" customFormat="1" ht="14.25" hidden="1" customHeight="1" outlineLevel="1">
      <c r="A169" s="13"/>
      <c r="B169" s="541"/>
      <c r="C169" s="13"/>
      <c r="D169" s="317"/>
      <c r="E169" s="317"/>
      <c r="F169" s="317"/>
      <c r="G169" s="317"/>
      <c r="H169" s="317"/>
      <c r="I169" s="317"/>
      <c r="J169" s="317"/>
      <c r="K169" s="317"/>
      <c r="L169" s="317"/>
      <c r="M169" s="317"/>
      <c r="N169" s="317"/>
      <c r="O169" s="317"/>
      <c r="P169" s="317"/>
      <c r="Q169" s="317"/>
      <c r="R169" s="317"/>
      <c r="S169" s="317"/>
      <c r="T169" s="317"/>
      <c r="U169" s="317"/>
      <c r="V169" s="317"/>
      <c r="W169" s="317"/>
      <c r="X169" s="317"/>
      <c r="Y169" s="317"/>
      <c r="Z169" s="317"/>
      <c r="AA169" s="317"/>
      <c r="AB169" s="317"/>
      <c r="AC169" s="317"/>
      <c r="AD169" s="317"/>
      <c r="AE169" s="317"/>
      <c r="AF169" s="317"/>
      <c r="AG169" s="317"/>
      <c r="AH169" s="317"/>
      <c r="AI169" s="317"/>
      <c r="AJ169" s="317"/>
      <c r="AK169" s="317"/>
      <c r="AL169" s="317"/>
      <c r="AM169" s="317"/>
      <c r="AN169" s="317"/>
      <c r="AO169" s="317"/>
      <c r="AP169" s="317"/>
      <c r="AQ169" s="317"/>
      <c r="AR169" s="317"/>
      <c r="AS169" s="317"/>
      <c r="AT169" s="317"/>
      <c r="AU169" s="317"/>
      <c r="AV169" s="317"/>
      <c r="AW169" s="317"/>
      <c r="AX169" s="317"/>
      <c r="AY169" s="317"/>
      <c r="AZ169" s="317"/>
      <c r="BA169" s="317"/>
      <c r="BB169" s="317"/>
      <c r="BC169" s="317"/>
      <c r="BD169" s="317"/>
      <c r="BE169" s="317"/>
      <c r="BF169" s="317"/>
      <c r="BG169" s="317"/>
      <c r="BH169" s="317"/>
      <c r="BI169" s="317"/>
      <c r="BJ169" s="317"/>
      <c r="BK169" s="317"/>
      <c r="BL169" s="317"/>
      <c r="BM169" s="317"/>
      <c r="BN169" s="317"/>
      <c r="BO169" s="317"/>
      <c r="BP169" s="317"/>
      <c r="BQ169" s="317"/>
      <c r="BR169" s="317"/>
      <c r="BS169" s="317"/>
      <c r="BT169" s="317"/>
      <c r="BU169" s="317"/>
      <c r="BV169" s="317"/>
      <c r="BW169" s="317"/>
      <c r="BX169" s="317"/>
      <c r="BY169" s="317"/>
      <c r="BZ169" s="317"/>
      <c r="CA169" s="317"/>
      <c r="CB169" s="13"/>
      <c r="CC169" s="317"/>
      <c r="CD169" s="13"/>
      <c r="CE169" s="317"/>
      <c r="CF169" s="13"/>
      <c r="CG169" s="317"/>
      <c r="CH169" s="13"/>
      <c r="CI169" s="317"/>
      <c r="CJ169" s="13"/>
      <c r="CK169" s="317"/>
      <c r="CL169" s="13"/>
      <c r="CM169" s="13"/>
      <c r="CN169" s="13"/>
      <c r="CO169" s="317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/>
      <c r="FF169" s="1395"/>
      <c r="FG169" s="1395"/>
      <c r="FH169" s="1395"/>
      <c r="FI169"/>
      <c r="FJ169"/>
      <c r="FK169"/>
      <c r="FL169"/>
      <c r="FM169"/>
      <c r="FN169"/>
      <c r="FO169" s="13"/>
    </row>
    <row r="170" spans="1:171" ht="14.25" hidden="1" customHeight="1" outlineLevel="1">
      <c r="A170" s="7"/>
      <c r="B170" s="681"/>
      <c r="C170" s="7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7"/>
      <c r="CC170" s="10"/>
      <c r="CD170" s="7"/>
      <c r="CE170" s="10"/>
      <c r="CF170" s="7"/>
      <c r="CG170" s="10"/>
      <c r="CH170" s="7"/>
      <c r="CI170" s="10"/>
      <c r="CJ170" s="7"/>
      <c r="CK170" s="10"/>
      <c r="CL170" s="7"/>
      <c r="CM170" s="7"/>
      <c r="CN170" s="7"/>
      <c r="CO170" s="10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13"/>
      <c r="EF170" s="13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13"/>
      <c r="EY170" s="7"/>
      <c r="EZ170" s="7"/>
      <c r="FA170" s="7"/>
      <c r="FB170" s="13"/>
      <c r="FC170" s="13"/>
      <c r="FD170" s="13"/>
      <c r="FO170" s="7"/>
    </row>
    <row r="171" spans="1:171" ht="14.25" hidden="1" customHeight="1" outlineLevel="1">
      <c r="B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CI171"/>
      <c r="CJ171"/>
      <c r="CK171"/>
      <c r="CL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T171"/>
      <c r="DU171"/>
      <c r="DV171"/>
      <c r="DW171"/>
      <c r="DX171"/>
      <c r="DY171"/>
      <c r="DZ171"/>
      <c r="EA171"/>
      <c r="EB171"/>
      <c r="EE171"/>
      <c r="ET171"/>
      <c r="EU171"/>
      <c r="EY171"/>
      <c r="EZ171"/>
      <c r="FA171"/>
      <c r="FB171"/>
      <c r="FC171"/>
      <c r="FD171"/>
      <c r="FF171"/>
      <c r="FG171"/>
      <c r="FH171"/>
    </row>
    <row r="172" spans="1:171" ht="14.25" hidden="1" customHeight="1" outlineLevel="1">
      <c r="A172" s="7"/>
      <c r="B172" s="546" t="s">
        <v>277</v>
      </c>
      <c r="C172" s="90"/>
      <c r="D172" s="91" t="s">
        <v>284</v>
      </c>
      <c r="E172" s="91" t="s">
        <v>284</v>
      </c>
      <c r="F172" s="91" t="s">
        <v>284</v>
      </c>
      <c r="G172" s="91" t="s">
        <v>284</v>
      </c>
      <c r="H172" s="91" t="s">
        <v>284</v>
      </c>
      <c r="I172" s="91" t="s">
        <v>284</v>
      </c>
      <c r="J172" s="91" t="s">
        <v>284</v>
      </c>
      <c r="K172" s="91" t="s">
        <v>284</v>
      </c>
      <c r="L172" s="91" t="e">
        <f t="shared" ref="L172:AU172" si="941">VLOOKUP(L171,ValidDateTable,4,FALSE)</f>
        <v>#NAME?</v>
      </c>
      <c r="M172" s="91" t="e">
        <f t="shared" si="941"/>
        <v>#NAME?</v>
      </c>
      <c r="N172" s="91" t="e">
        <f t="shared" si="941"/>
        <v>#NAME?</v>
      </c>
      <c r="O172" s="91" t="e">
        <f t="shared" si="941"/>
        <v>#NAME?</v>
      </c>
      <c r="P172" s="91" t="e">
        <f t="shared" si="941"/>
        <v>#NAME?</v>
      </c>
      <c r="Q172" s="91" t="e">
        <f t="shared" si="941"/>
        <v>#NAME?</v>
      </c>
      <c r="R172" s="91" t="e">
        <f t="shared" si="941"/>
        <v>#NAME?</v>
      </c>
      <c r="S172" s="91" t="e">
        <f t="shared" si="941"/>
        <v>#NAME?</v>
      </c>
      <c r="T172" s="91" t="e">
        <f t="shared" si="941"/>
        <v>#NAME?</v>
      </c>
      <c r="U172" s="91" t="e">
        <f t="shared" si="941"/>
        <v>#NAME?</v>
      </c>
      <c r="V172" s="91" t="e">
        <f t="shared" si="941"/>
        <v>#NAME?</v>
      </c>
      <c r="W172" s="91" t="e">
        <f t="shared" si="941"/>
        <v>#NAME?</v>
      </c>
      <c r="X172" s="91" t="e">
        <f>VLOOKUP(X171,ValidDateTable,4,FALSE)</f>
        <v>#NAME?</v>
      </c>
      <c r="Y172" s="91" t="e">
        <f>VLOOKUP(Y171,ValidDateTable,4,FALSE)</f>
        <v>#NAME?</v>
      </c>
      <c r="Z172" s="91" t="e">
        <f>VLOOKUP(Z171,ValidDateTable,4,FALSE)</f>
        <v>#NAME?</v>
      </c>
      <c r="AA172" s="91" t="e">
        <f>VLOOKUP(AA171,ValidDateTable,4,FALSE)</f>
        <v>#NAME?</v>
      </c>
      <c r="AB172" s="91" t="e">
        <f t="shared" si="941"/>
        <v>#NAME?</v>
      </c>
      <c r="AC172" s="91" t="e">
        <f t="shared" si="941"/>
        <v>#NAME?</v>
      </c>
      <c r="AD172" s="91" t="e">
        <f t="shared" si="941"/>
        <v>#NAME?</v>
      </c>
      <c r="AE172" s="91" t="e">
        <f t="shared" si="941"/>
        <v>#NAME?</v>
      </c>
      <c r="AF172" s="91" t="e">
        <f t="shared" si="941"/>
        <v>#NAME?</v>
      </c>
      <c r="AG172" s="91" t="e">
        <f t="shared" si="941"/>
        <v>#NAME?</v>
      </c>
      <c r="AH172" s="91" t="e">
        <f t="shared" si="941"/>
        <v>#NAME?</v>
      </c>
      <c r="AI172" s="91" t="e">
        <f t="shared" si="941"/>
        <v>#NAME?</v>
      </c>
      <c r="AJ172" s="91" t="e">
        <f t="shared" si="941"/>
        <v>#NAME?</v>
      </c>
      <c r="AK172" s="91" t="e">
        <f t="shared" si="941"/>
        <v>#NAME?</v>
      </c>
      <c r="AL172" s="91" t="e">
        <f t="shared" si="941"/>
        <v>#NAME?</v>
      </c>
      <c r="AM172" s="91" t="e">
        <f t="shared" si="941"/>
        <v>#NAME?</v>
      </c>
      <c r="AN172" s="91" t="e">
        <f t="shared" si="941"/>
        <v>#NAME?</v>
      </c>
      <c r="AO172" s="91" t="e">
        <f t="shared" si="941"/>
        <v>#NAME?</v>
      </c>
      <c r="AP172" s="91" t="e">
        <f t="shared" si="941"/>
        <v>#NAME?</v>
      </c>
      <c r="AQ172" s="91" t="e">
        <f t="shared" si="941"/>
        <v>#NAME?</v>
      </c>
      <c r="AR172" s="91" t="e">
        <f t="shared" si="941"/>
        <v>#NAME?</v>
      </c>
      <c r="AS172" s="91" t="e">
        <f t="shared" si="941"/>
        <v>#NAME?</v>
      </c>
      <c r="AT172" s="91" t="e">
        <f t="shared" si="941"/>
        <v>#NAME?</v>
      </c>
      <c r="AU172" s="91" t="e">
        <f t="shared" si="941"/>
        <v>#NAME?</v>
      </c>
      <c r="AV172" s="91" t="e">
        <f t="shared" ref="AV172:CM172" si="942">VLOOKUP(AV171,ValidDateTable,4,FALSE)</f>
        <v>#NAME?</v>
      </c>
      <c r="AW172" s="91" t="e">
        <f t="shared" si="942"/>
        <v>#NAME?</v>
      </c>
      <c r="AX172" s="91" t="e">
        <f t="shared" si="942"/>
        <v>#NAME?</v>
      </c>
      <c r="AY172" s="91" t="e">
        <f t="shared" si="942"/>
        <v>#NAME?</v>
      </c>
      <c r="AZ172" s="91" t="e">
        <f t="shared" si="942"/>
        <v>#NAME?</v>
      </c>
      <c r="BA172" s="91" t="e">
        <f t="shared" si="942"/>
        <v>#NAME?</v>
      </c>
      <c r="BB172" s="91" t="e">
        <f t="shared" si="942"/>
        <v>#NAME?</v>
      </c>
      <c r="BC172" s="91" t="e">
        <f t="shared" si="942"/>
        <v>#NAME?</v>
      </c>
      <c r="BD172" s="91" t="e">
        <f t="shared" si="942"/>
        <v>#NAME?</v>
      </c>
      <c r="BE172" s="91" t="e">
        <f t="shared" si="942"/>
        <v>#NAME?</v>
      </c>
      <c r="BF172" s="91" t="e">
        <f t="shared" si="942"/>
        <v>#NAME?</v>
      </c>
      <c r="BG172" s="91" t="e">
        <f t="shared" si="942"/>
        <v>#NAME?</v>
      </c>
      <c r="BH172" s="91" t="e">
        <f t="shared" si="942"/>
        <v>#NAME?</v>
      </c>
      <c r="BI172" s="91" t="e">
        <f t="shared" si="942"/>
        <v>#NAME?</v>
      </c>
      <c r="BJ172" s="91" t="e">
        <f t="shared" si="942"/>
        <v>#NAME?</v>
      </c>
      <c r="BK172" s="91" t="e">
        <f t="shared" si="942"/>
        <v>#NAME?</v>
      </c>
      <c r="BL172" s="91" t="e">
        <f t="shared" si="942"/>
        <v>#NAME?</v>
      </c>
      <c r="BM172" s="91" t="e">
        <f t="shared" si="942"/>
        <v>#NAME?</v>
      </c>
      <c r="BN172" s="91" t="e">
        <f t="shared" si="942"/>
        <v>#NAME?</v>
      </c>
      <c r="BO172" s="91" t="e">
        <f t="shared" si="942"/>
        <v>#NAME?</v>
      </c>
      <c r="BP172" s="91" t="e">
        <f t="shared" si="942"/>
        <v>#NAME?</v>
      </c>
      <c r="BQ172" s="91" t="e">
        <f t="shared" si="942"/>
        <v>#NAME?</v>
      </c>
      <c r="BR172" s="91" t="e">
        <f t="shared" si="942"/>
        <v>#NAME?</v>
      </c>
      <c r="BS172" s="91" t="e">
        <f t="shared" si="942"/>
        <v>#NAME?</v>
      </c>
      <c r="BT172" s="91" t="e">
        <f t="shared" si="942"/>
        <v>#NAME?</v>
      </c>
      <c r="BU172" s="91" t="e">
        <f t="shared" si="942"/>
        <v>#NAME?</v>
      </c>
      <c r="BV172" s="91" t="e">
        <f t="shared" si="942"/>
        <v>#NAME?</v>
      </c>
      <c r="BW172" s="91" t="e">
        <f t="shared" si="942"/>
        <v>#NAME?</v>
      </c>
      <c r="BX172" s="91" t="e">
        <f t="shared" si="942"/>
        <v>#NAME?</v>
      </c>
      <c r="BY172" s="91" t="e">
        <f t="shared" si="942"/>
        <v>#NAME?</v>
      </c>
      <c r="BZ172" s="91" t="e">
        <f>VLOOKUP(BZ171,ValidDateTable,4,FALSE)</f>
        <v>#NAME?</v>
      </c>
      <c r="CA172" s="91" t="e">
        <f t="shared" si="942"/>
        <v>#NAME?</v>
      </c>
      <c r="CB172" s="91" t="s">
        <v>284</v>
      </c>
      <c r="CC172" s="91" t="e">
        <f>VLOOKUP(CC171,ValidDateTable,4,FALSE)</f>
        <v>#NAME?</v>
      </c>
      <c r="CD172" s="91" t="e">
        <f t="shared" si="942"/>
        <v>#NAME?</v>
      </c>
      <c r="CE172" s="91" t="e">
        <f t="shared" si="942"/>
        <v>#NAME?</v>
      </c>
      <c r="CF172" s="91" t="e">
        <f t="shared" si="942"/>
        <v>#NAME?</v>
      </c>
      <c r="CG172" s="91" t="e">
        <f t="shared" si="942"/>
        <v>#NAME?</v>
      </c>
      <c r="CH172" s="91" t="e">
        <f t="shared" si="942"/>
        <v>#NAME?</v>
      </c>
      <c r="CI172" s="91" t="e">
        <f t="shared" si="942"/>
        <v>#NAME?</v>
      </c>
      <c r="CJ172" s="91" t="e">
        <f t="shared" si="942"/>
        <v>#NAME?</v>
      </c>
      <c r="CK172" s="91" t="e">
        <f t="shared" si="942"/>
        <v>#NAME?</v>
      </c>
      <c r="CL172" s="91" t="e">
        <f t="shared" si="942"/>
        <v>#NAME?</v>
      </c>
      <c r="CM172" s="91" t="e">
        <f t="shared" si="942"/>
        <v>#NAME?</v>
      </c>
      <c r="CN172" s="91" t="e">
        <f t="shared" ref="CN172:CQ172" si="943">VLOOKUP(CN171,ValidDateTable,4,FALSE)</f>
        <v>#NAME?</v>
      </c>
      <c r="CO172" s="91" t="e">
        <f t="shared" si="943"/>
        <v>#NAME?</v>
      </c>
      <c r="CP172" s="91" t="e">
        <f t="shared" si="943"/>
        <v>#NAME?</v>
      </c>
      <c r="CQ172" s="91" t="e">
        <f t="shared" si="943"/>
        <v>#NAME?</v>
      </c>
      <c r="CR172" s="91" t="e">
        <f t="shared" ref="CR172:CU172" si="944">VLOOKUP(CR171,ValidDateTable,4,FALSE)</f>
        <v>#NAME?</v>
      </c>
      <c r="CS172" s="91" t="e">
        <f t="shared" si="944"/>
        <v>#NAME?</v>
      </c>
      <c r="CT172" s="91" t="e">
        <f t="shared" si="944"/>
        <v>#NAME?</v>
      </c>
      <c r="CU172" s="91" t="e">
        <f t="shared" si="944"/>
        <v>#NAME?</v>
      </c>
      <c r="CV172" s="91" t="e">
        <f t="shared" ref="CV172:CY172" si="945">VLOOKUP(CV171,ValidDateTable,4,FALSE)</f>
        <v>#NAME?</v>
      </c>
      <c r="CW172" s="91" t="e">
        <f t="shared" si="945"/>
        <v>#NAME?</v>
      </c>
      <c r="CX172" s="91" t="e">
        <f t="shared" si="945"/>
        <v>#NAME?</v>
      </c>
      <c r="CY172" s="91" t="e">
        <f t="shared" si="945"/>
        <v>#NAME?</v>
      </c>
      <c r="CZ172" s="91" t="e">
        <f t="shared" ref="CZ172:DC172" si="946">VLOOKUP(CZ171,ValidDateTable,4,FALSE)</f>
        <v>#NAME?</v>
      </c>
      <c r="DA172" s="91" t="e">
        <f t="shared" si="946"/>
        <v>#NAME?</v>
      </c>
      <c r="DB172" s="91" t="e">
        <f t="shared" si="946"/>
        <v>#NAME?</v>
      </c>
      <c r="DC172" s="91" t="e">
        <f t="shared" si="946"/>
        <v>#NAME?</v>
      </c>
      <c r="DD172" s="7"/>
      <c r="DE172" s="13" t="s">
        <v>284</v>
      </c>
      <c r="DF172" s="13" t="s">
        <v>284</v>
      </c>
      <c r="DG172" s="13" t="e">
        <f t="shared" ref="DG172:DN172" si="947">VLOOKUP(DG171,ValidDateTable,4,FALSE)</f>
        <v>#NAME?</v>
      </c>
      <c r="DH172" s="13" t="e">
        <f t="shared" si="947"/>
        <v>#NAME?</v>
      </c>
      <c r="DI172" s="13" t="e">
        <f t="shared" si="947"/>
        <v>#NAME?</v>
      </c>
      <c r="DJ172" s="13" t="e">
        <f t="shared" si="947"/>
        <v>#NAME?</v>
      </c>
      <c r="DK172" s="13" t="e">
        <f t="shared" si="947"/>
        <v>#NAME?</v>
      </c>
      <c r="DL172" s="13" t="e">
        <f t="shared" si="947"/>
        <v>#NAME?</v>
      </c>
      <c r="DM172" s="13" t="e">
        <f t="shared" si="947"/>
        <v>#NAME?</v>
      </c>
      <c r="DN172" s="13" t="e">
        <f t="shared" si="947"/>
        <v>#NAME?</v>
      </c>
      <c r="DO172" s="13" t="e">
        <f t="shared" ref="DO172:EA172" si="948">VLOOKUP(DO171,ValidDateTable,4,FALSE)</f>
        <v>#NAME?</v>
      </c>
      <c r="DP172" s="13" t="e">
        <f t="shared" si="948"/>
        <v>#NAME?</v>
      </c>
      <c r="DQ172" s="7" t="e">
        <f t="shared" si="948"/>
        <v>#NAME?</v>
      </c>
      <c r="DR172" s="7" t="e">
        <f t="shared" si="948"/>
        <v>#NAME?</v>
      </c>
      <c r="DS172" s="7" t="e">
        <f t="shared" si="948"/>
        <v>#NAME?</v>
      </c>
      <c r="DT172" s="7" t="e">
        <f t="shared" si="948"/>
        <v>#NAME?</v>
      </c>
      <c r="DU172" s="7" t="e">
        <f t="shared" si="948"/>
        <v>#NAME?</v>
      </c>
      <c r="DV172" s="7" t="e">
        <f t="shared" si="948"/>
        <v>#NAME?</v>
      </c>
      <c r="DW172" s="7" t="e">
        <f t="shared" si="948"/>
        <v>#NAME?</v>
      </c>
      <c r="DX172" s="7" t="e">
        <f t="shared" si="948"/>
        <v>#NAME?</v>
      </c>
      <c r="DY172" s="7" t="e">
        <f t="shared" si="948"/>
        <v>#NAME?</v>
      </c>
      <c r="DZ172" s="7" t="e">
        <f t="shared" si="948"/>
        <v>#NAME?</v>
      </c>
      <c r="EA172" s="7" t="e">
        <f t="shared" si="948"/>
        <v>#NAME?</v>
      </c>
      <c r="EB172" s="7" t="e">
        <f t="shared" ref="EB172:EC172" si="949">VLOOKUP(EB171,ValidDateTable,4,FALSE)</f>
        <v>#NAME?</v>
      </c>
      <c r="EC172" s="7" t="e">
        <f t="shared" si="949"/>
        <v>#NAME?</v>
      </c>
      <c r="ED172" s="7" t="e">
        <f t="shared" ref="ED172" si="950">VLOOKUP(ED171,ValidDateTable,4,FALSE)</f>
        <v>#NAME?</v>
      </c>
      <c r="EE172" s="13"/>
      <c r="EF172" s="13" t="str">
        <f t="shared" ref="EF172:EO172" si="951">DF172</f>
        <v>A</v>
      </c>
      <c r="EG172" s="13" t="e">
        <f t="shared" si="951"/>
        <v>#NAME?</v>
      </c>
      <c r="EH172" s="13" t="e">
        <f t="shared" si="951"/>
        <v>#NAME?</v>
      </c>
      <c r="EI172" s="13" t="e">
        <f t="shared" si="951"/>
        <v>#NAME?</v>
      </c>
      <c r="EJ172" s="13" t="e">
        <f t="shared" si="951"/>
        <v>#NAME?</v>
      </c>
      <c r="EK172" s="13" t="e">
        <f t="shared" si="951"/>
        <v>#NAME?</v>
      </c>
      <c r="EL172" s="13" t="e">
        <f t="shared" si="951"/>
        <v>#NAME?</v>
      </c>
      <c r="EM172" s="13" t="e">
        <f t="shared" si="951"/>
        <v>#NAME?</v>
      </c>
      <c r="EN172" s="13" t="e">
        <f t="shared" si="951"/>
        <v>#NAME?</v>
      </c>
      <c r="EO172" s="13" t="e">
        <f t="shared" si="951"/>
        <v>#NAME?</v>
      </c>
      <c r="EP172" s="13" t="e">
        <f t="shared" ref="EP172:EU172" si="952">DP172</f>
        <v>#NAME?</v>
      </c>
      <c r="EQ172" s="13" t="e">
        <f t="shared" si="952"/>
        <v>#NAME?</v>
      </c>
      <c r="ER172" s="13" t="e">
        <f t="shared" si="952"/>
        <v>#NAME?</v>
      </c>
      <c r="ES172" s="13" t="e">
        <f t="shared" si="952"/>
        <v>#NAME?</v>
      </c>
      <c r="ET172" s="13" t="e">
        <f t="shared" si="952"/>
        <v>#NAME?</v>
      </c>
      <c r="EU172" s="13" t="e">
        <f t="shared" si="952"/>
        <v>#NAME?</v>
      </c>
      <c r="EV172" s="13" t="s">
        <v>284</v>
      </c>
      <c r="EW172" s="13" t="e">
        <f>DW172</f>
        <v>#NAME?</v>
      </c>
      <c r="EX172" s="13" t="e">
        <f>DX172</f>
        <v>#NAME?</v>
      </c>
      <c r="EY172" s="13" t="e">
        <f>DY172</f>
        <v>#NAME?</v>
      </c>
      <c r="EZ172" s="13" t="s">
        <v>284</v>
      </c>
      <c r="FA172" s="13" t="e">
        <f t="shared" ref="FA172:FD172" si="953">EA172</f>
        <v>#NAME?</v>
      </c>
      <c r="FB172" s="13" t="e">
        <f t="shared" si="953"/>
        <v>#NAME?</v>
      </c>
      <c r="FC172" s="13" t="e">
        <f t="shared" si="953"/>
        <v>#NAME?</v>
      </c>
      <c r="FD172" s="13" t="e">
        <f t="shared" si="953"/>
        <v>#NAME?</v>
      </c>
      <c r="FO172" s="7"/>
    </row>
    <row r="173" spans="1:171" ht="14.25" hidden="1" customHeight="1" outlineLevel="1">
      <c r="A173" s="7"/>
      <c r="B173" s="546" t="s">
        <v>278</v>
      </c>
      <c r="C173" s="90"/>
      <c r="D173" s="7">
        <v>1995</v>
      </c>
      <c r="E173" s="7">
        <v>1995</v>
      </c>
      <c r="F173" s="7">
        <v>1995</v>
      </c>
      <c r="G173" s="7">
        <v>1995</v>
      </c>
      <c r="H173" s="7">
        <v>1996</v>
      </c>
      <c r="I173" s="7">
        <v>1996</v>
      </c>
      <c r="J173" s="7">
        <v>1996</v>
      </c>
      <c r="K173" s="7">
        <v>1996</v>
      </c>
      <c r="L173" s="7" t="str">
        <f t="shared" ref="L173:AP173" si="954">MID(L171, 1, 4)</f>
        <v/>
      </c>
      <c r="M173" s="7" t="str">
        <f t="shared" si="954"/>
        <v/>
      </c>
      <c r="N173" s="7" t="str">
        <f t="shared" si="954"/>
        <v/>
      </c>
      <c r="O173" s="7" t="str">
        <f t="shared" si="954"/>
        <v/>
      </c>
      <c r="P173" s="7" t="str">
        <f t="shared" si="954"/>
        <v/>
      </c>
      <c r="Q173" s="7" t="str">
        <f t="shared" si="954"/>
        <v/>
      </c>
      <c r="R173" s="7" t="str">
        <f t="shared" si="954"/>
        <v/>
      </c>
      <c r="S173" s="7" t="str">
        <f t="shared" si="954"/>
        <v/>
      </c>
      <c r="T173" s="7" t="str">
        <f t="shared" si="954"/>
        <v/>
      </c>
      <c r="U173" s="7" t="str">
        <f t="shared" si="954"/>
        <v/>
      </c>
      <c r="V173" s="7" t="str">
        <f t="shared" si="954"/>
        <v/>
      </c>
      <c r="W173" s="7" t="str">
        <f t="shared" si="954"/>
        <v/>
      </c>
      <c r="X173" s="7" t="str">
        <f t="shared" si="954"/>
        <v/>
      </c>
      <c r="Y173" s="7" t="str">
        <f t="shared" si="954"/>
        <v/>
      </c>
      <c r="Z173" s="7" t="str">
        <f t="shared" si="954"/>
        <v/>
      </c>
      <c r="AA173" s="7" t="str">
        <f t="shared" si="954"/>
        <v/>
      </c>
      <c r="AB173" s="7" t="str">
        <f t="shared" si="954"/>
        <v/>
      </c>
      <c r="AC173" s="7" t="str">
        <f t="shared" si="954"/>
        <v/>
      </c>
      <c r="AD173" s="7" t="str">
        <f t="shared" si="954"/>
        <v/>
      </c>
      <c r="AE173" s="7" t="str">
        <f t="shared" si="954"/>
        <v/>
      </c>
      <c r="AF173" s="7" t="str">
        <f t="shared" si="954"/>
        <v/>
      </c>
      <c r="AG173" s="7" t="str">
        <f t="shared" si="954"/>
        <v/>
      </c>
      <c r="AH173" s="7" t="str">
        <f t="shared" si="954"/>
        <v/>
      </c>
      <c r="AI173" s="7" t="str">
        <f t="shared" si="954"/>
        <v/>
      </c>
      <c r="AJ173" s="7" t="str">
        <f t="shared" si="954"/>
        <v/>
      </c>
      <c r="AK173" s="7" t="str">
        <f t="shared" si="954"/>
        <v/>
      </c>
      <c r="AL173" s="7" t="str">
        <f t="shared" si="954"/>
        <v/>
      </c>
      <c r="AM173" s="7" t="str">
        <f t="shared" si="954"/>
        <v/>
      </c>
      <c r="AN173" s="7" t="str">
        <f t="shared" si="954"/>
        <v/>
      </c>
      <c r="AO173" s="7" t="str">
        <f t="shared" si="954"/>
        <v/>
      </c>
      <c r="AP173" s="7" t="str">
        <f t="shared" si="954"/>
        <v/>
      </c>
      <c r="AQ173" s="7" t="str">
        <f>MID(AQ171, 1, 4)</f>
        <v/>
      </c>
      <c r="AR173" s="7">
        <v>2005</v>
      </c>
      <c r="AS173" s="7">
        <v>2005</v>
      </c>
      <c r="AT173" s="7">
        <v>2005</v>
      </c>
      <c r="AU173" s="7">
        <v>2005</v>
      </c>
      <c r="AV173" s="7">
        <v>2006</v>
      </c>
      <c r="AW173" s="7">
        <v>2006</v>
      </c>
      <c r="AX173" s="7">
        <v>2006</v>
      </c>
      <c r="AY173" s="7">
        <v>2006</v>
      </c>
      <c r="AZ173" s="7">
        <v>2007</v>
      </c>
      <c r="BA173" s="7">
        <v>2007</v>
      </c>
      <c r="BB173" s="7">
        <v>2007</v>
      </c>
      <c r="BC173" s="7">
        <v>2007</v>
      </c>
      <c r="BD173" s="7">
        <v>2008</v>
      </c>
      <c r="BE173" s="7">
        <v>2008</v>
      </c>
      <c r="BF173" s="7">
        <v>2008</v>
      </c>
      <c r="BG173" s="7">
        <v>2008</v>
      </c>
      <c r="BH173" s="7">
        <v>2009</v>
      </c>
      <c r="BI173" s="7">
        <v>2009</v>
      </c>
      <c r="BJ173" s="7">
        <v>2009</v>
      </c>
      <c r="BK173" s="7">
        <v>2009</v>
      </c>
      <c r="BL173" s="7">
        <v>2010</v>
      </c>
      <c r="BM173" s="7">
        <v>2010</v>
      </c>
      <c r="BN173" s="7">
        <v>2010</v>
      </c>
      <c r="BO173" s="7">
        <v>2010</v>
      </c>
      <c r="BP173" s="7">
        <v>2011</v>
      </c>
      <c r="BQ173" s="7">
        <v>2011</v>
      </c>
      <c r="BR173" s="7">
        <v>2011</v>
      </c>
      <c r="BS173" s="7">
        <v>2011</v>
      </c>
      <c r="BT173" s="7">
        <v>2012</v>
      </c>
      <c r="BU173" s="7">
        <v>2012</v>
      </c>
      <c r="BV173" s="7">
        <v>2012</v>
      </c>
      <c r="BW173" s="7">
        <v>2012</v>
      </c>
      <c r="BX173" s="7">
        <v>2013</v>
      </c>
      <c r="BY173" s="7">
        <v>2013</v>
      </c>
      <c r="BZ173" s="7">
        <v>2013</v>
      </c>
      <c r="CA173" s="7">
        <v>2013</v>
      </c>
      <c r="CB173" s="7">
        <v>2014</v>
      </c>
      <c r="CC173" s="7">
        <v>2014</v>
      </c>
      <c r="CD173" s="7">
        <v>2014</v>
      </c>
      <c r="CE173" s="7">
        <v>2014</v>
      </c>
      <c r="CF173" s="7">
        <v>2015</v>
      </c>
      <c r="CG173" s="7">
        <v>2015</v>
      </c>
      <c r="CH173" s="7">
        <v>2015</v>
      </c>
      <c r="CI173" s="7">
        <v>2015</v>
      </c>
      <c r="CJ173" s="7">
        <v>2016</v>
      </c>
      <c r="CK173" s="7">
        <v>2016</v>
      </c>
      <c r="CL173" s="7">
        <v>2016</v>
      </c>
      <c r="CM173" s="7">
        <v>2016</v>
      </c>
      <c r="CN173" s="7">
        <v>2017</v>
      </c>
      <c r="CO173" s="7">
        <v>2017</v>
      </c>
      <c r="CP173" s="7">
        <v>2017</v>
      </c>
      <c r="CQ173" s="7">
        <v>2017</v>
      </c>
      <c r="CR173" s="7">
        <v>2018</v>
      </c>
      <c r="CS173" s="7">
        <v>2018</v>
      </c>
      <c r="CT173" s="7">
        <v>2018</v>
      </c>
      <c r="CU173" s="7">
        <v>2018</v>
      </c>
      <c r="CV173" s="7">
        <v>2019</v>
      </c>
      <c r="CW173" s="7">
        <v>2019</v>
      </c>
      <c r="CX173" s="7">
        <v>2019</v>
      </c>
      <c r="CY173" s="7">
        <v>2019</v>
      </c>
      <c r="CZ173" s="7">
        <v>2020</v>
      </c>
      <c r="DA173" s="7">
        <v>2020</v>
      </c>
      <c r="DB173" s="7">
        <v>2020</v>
      </c>
      <c r="DC173" s="7">
        <v>2020</v>
      </c>
      <c r="DD173" s="7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13"/>
      <c r="EF173" s="13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13"/>
      <c r="EY173" s="7"/>
      <c r="EZ173" s="7"/>
      <c r="FA173" s="7"/>
      <c r="FB173" s="7"/>
      <c r="FC173" s="7"/>
      <c r="FD173" s="7"/>
      <c r="FO173" s="7"/>
    </row>
    <row r="174" spans="1:171" ht="14.25" hidden="1" customHeight="1" outlineLevel="1">
      <c r="A174" s="7"/>
      <c r="B174" s="546" t="s">
        <v>280</v>
      </c>
      <c r="C174" s="90"/>
      <c r="D174" s="10">
        <v>1</v>
      </c>
      <c r="E174" s="10">
        <v>2</v>
      </c>
      <c r="F174" s="10">
        <v>3</v>
      </c>
      <c r="G174" s="10">
        <v>4</v>
      </c>
      <c r="H174" s="10">
        <v>1</v>
      </c>
      <c r="I174" s="10">
        <v>2</v>
      </c>
      <c r="J174" s="10">
        <v>3</v>
      </c>
      <c r="K174" s="10">
        <v>4</v>
      </c>
      <c r="L174" s="10" t="str">
        <f t="shared" ref="L174:AP174" si="955">MID(L171, 7, 1)</f>
        <v/>
      </c>
      <c r="M174" s="10" t="str">
        <f t="shared" si="955"/>
        <v/>
      </c>
      <c r="N174" s="10" t="str">
        <f t="shared" si="955"/>
        <v/>
      </c>
      <c r="O174" s="10" t="str">
        <f t="shared" si="955"/>
        <v/>
      </c>
      <c r="P174" s="10" t="str">
        <f t="shared" si="955"/>
        <v/>
      </c>
      <c r="Q174" s="10" t="str">
        <f t="shared" si="955"/>
        <v/>
      </c>
      <c r="R174" s="10" t="str">
        <f t="shared" si="955"/>
        <v/>
      </c>
      <c r="S174" s="10" t="str">
        <f t="shared" si="955"/>
        <v/>
      </c>
      <c r="T174" s="10" t="str">
        <f t="shared" si="955"/>
        <v/>
      </c>
      <c r="U174" s="10" t="str">
        <f t="shared" si="955"/>
        <v/>
      </c>
      <c r="V174" s="10" t="str">
        <f t="shared" si="955"/>
        <v/>
      </c>
      <c r="W174" s="10" t="str">
        <f t="shared" si="955"/>
        <v/>
      </c>
      <c r="X174" s="10" t="str">
        <f t="shared" si="955"/>
        <v/>
      </c>
      <c r="Y174" s="10" t="str">
        <f t="shared" si="955"/>
        <v/>
      </c>
      <c r="Z174" s="10" t="str">
        <f t="shared" si="955"/>
        <v/>
      </c>
      <c r="AA174" s="10" t="str">
        <f t="shared" si="955"/>
        <v/>
      </c>
      <c r="AB174" s="10" t="str">
        <f t="shared" si="955"/>
        <v/>
      </c>
      <c r="AC174" s="10" t="str">
        <f t="shared" si="955"/>
        <v/>
      </c>
      <c r="AD174" s="10" t="str">
        <f t="shared" si="955"/>
        <v/>
      </c>
      <c r="AE174" s="10" t="str">
        <f t="shared" si="955"/>
        <v/>
      </c>
      <c r="AF174" s="10" t="str">
        <f t="shared" si="955"/>
        <v/>
      </c>
      <c r="AG174" s="10" t="str">
        <f t="shared" si="955"/>
        <v/>
      </c>
      <c r="AH174" s="10" t="str">
        <f t="shared" si="955"/>
        <v/>
      </c>
      <c r="AI174" s="10" t="str">
        <f t="shared" si="955"/>
        <v/>
      </c>
      <c r="AJ174" s="10" t="str">
        <f t="shared" si="955"/>
        <v/>
      </c>
      <c r="AK174" s="10" t="str">
        <f t="shared" si="955"/>
        <v/>
      </c>
      <c r="AL174" s="10" t="str">
        <f t="shared" si="955"/>
        <v/>
      </c>
      <c r="AM174" s="10" t="str">
        <f t="shared" si="955"/>
        <v/>
      </c>
      <c r="AN174" s="10" t="str">
        <f t="shared" si="955"/>
        <v/>
      </c>
      <c r="AO174" s="10" t="str">
        <f t="shared" si="955"/>
        <v/>
      </c>
      <c r="AP174" s="10" t="str">
        <f t="shared" si="955"/>
        <v/>
      </c>
      <c r="AQ174" s="10" t="str">
        <f>MID(AQ171, 7, 1)</f>
        <v/>
      </c>
      <c r="AR174" s="10">
        <v>1</v>
      </c>
      <c r="AS174" s="10">
        <v>2</v>
      </c>
      <c r="AT174" s="10">
        <v>3</v>
      </c>
      <c r="AU174" s="10">
        <v>4</v>
      </c>
      <c r="AV174" s="10">
        <v>1</v>
      </c>
      <c r="AW174" s="10">
        <v>2</v>
      </c>
      <c r="AX174" s="10">
        <v>3</v>
      </c>
      <c r="AY174" s="10">
        <v>4</v>
      </c>
      <c r="AZ174" s="10">
        <v>1</v>
      </c>
      <c r="BA174" s="10">
        <v>2</v>
      </c>
      <c r="BB174" s="10">
        <v>3</v>
      </c>
      <c r="BC174" s="10">
        <v>4</v>
      </c>
      <c r="BD174" s="10">
        <v>1</v>
      </c>
      <c r="BE174" s="10">
        <v>2</v>
      </c>
      <c r="BF174" s="10">
        <v>3</v>
      </c>
      <c r="BG174" s="10">
        <v>4</v>
      </c>
      <c r="BH174" s="10">
        <v>1</v>
      </c>
      <c r="BI174" s="10">
        <v>2</v>
      </c>
      <c r="BJ174" s="10">
        <v>3</v>
      </c>
      <c r="BK174" s="10">
        <v>4</v>
      </c>
      <c r="BL174" s="10">
        <v>1</v>
      </c>
      <c r="BM174" s="10">
        <v>2</v>
      </c>
      <c r="BN174" s="10">
        <v>3</v>
      </c>
      <c r="BO174" s="10">
        <v>4</v>
      </c>
      <c r="BP174" s="10">
        <v>1</v>
      </c>
      <c r="BQ174" s="10">
        <v>2</v>
      </c>
      <c r="BR174" s="10">
        <v>3</v>
      </c>
      <c r="BS174" s="10">
        <v>4</v>
      </c>
      <c r="BT174" s="10">
        <v>1</v>
      </c>
      <c r="BU174" s="10">
        <v>2</v>
      </c>
      <c r="BV174" s="10">
        <v>3</v>
      </c>
      <c r="BW174" s="10">
        <v>4</v>
      </c>
      <c r="BX174" s="10">
        <v>1</v>
      </c>
      <c r="BY174" s="10">
        <v>2</v>
      </c>
      <c r="BZ174" s="10">
        <v>3</v>
      </c>
      <c r="CA174" s="10">
        <v>4</v>
      </c>
      <c r="CB174" s="7">
        <v>1</v>
      </c>
      <c r="CC174" s="10">
        <v>2</v>
      </c>
      <c r="CD174" s="7">
        <v>3</v>
      </c>
      <c r="CE174" s="10">
        <v>4</v>
      </c>
      <c r="CF174" s="7">
        <v>1</v>
      </c>
      <c r="CG174" s="10">
        <v>2</v>
      </c>
      <c r="CH174" s="7">
        <v>3</v>
      </c>
      <c r="CI174" s="10">
        <v>4</v>
      </c>
      <c r="CJ174" s="7">
        <v>1</v>
      </c>
      <c r="CK174" s="10">
        <v>2</v>
      </c>
      <c r="CL174" s="7">
        <v>3</v>
      </c>
      <c r="CM174" s="7">
        <v>4</v>
      </c>
      <c r="CN174" s="7">
        <v>1</v>
      </c>
      <c r="CO174" s="10">
        <v>2</v>
      </c>
      <c r="CP174" s="7">
        <v>3</v>
      </c>
      <c r="CQ174" s="7">
        <v>4</v>
      </c>
      <c r="CR174" s="7">
        <v>1</v>
      </c>
      <c r="CS174" s="7">
        <v>2</v>
      </c>
      <c r="CT174" s="7">
        <v>3</v>
      </c>
      <c r="CU174" s="7">
        <v>4</v>
      </c>
      <c r="CV174" s="7">
        <v>1</v>
      </c>
      <c r="CW174" s="7">
        <v>2</v>
      </c>
      <c r="CX174" s="7">
        <v>3</v>
      </c>
      <c r="CY174" s="7">
        <v>4</v>
      </c>
      <c r="CZ174" s="7">
        <v>1</v>
      </c>
      <c r="DA174" s="7">
        <v>2</v>
      </c>
      <c r="DB174" s="7">
        <v>3</v>
      </c>
      <c r="DC174" s="7">
        <v>4</v>
      </c>
      <c r="DD174" s="7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13"/>
      <c r="EF174" s="13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13"/>
      <c r="EY174" s="7"/>
      <c r="EZ174" s="7"/>
      <c r="FA174" s="7"/>
      <c r="FB174" s="7"/>
      <c r="FC174" s="7"/>
      <c r="FD174" s="7"/>
      <c r="FO174" s="7"/>
    </row>
    <row r="175" spans="1:171" ht="14.25" hidden="1" customHeight="1" outlineLevel="1">
      <c r="A175" s="7"/>
      <c r="B175" s="546" t="s">
        <v>281</v>
      </c>
      <c r="C175" s="90"/>
      <c r="D175" s="10">
        <v>1994</v>
      </c>
      <c r="E175" s="10">
        <v>1995</v>
      </c>
      <c r="F175" s="10">
        <v>1995</v>
      </c>
      <c r="G175" s="7">
        <v>1995</v>
      </c>
      <c r="H175" s="10">
        <v>1995</v>
      </c>
      <c r="I175" s="10">
        <v>1996</v>
      </c>
      <c r="J175" s="10">
        <v>1996</v>
      </c>
      <c r="K175" s="7">
        <v>1996</v>
      </c>
      <c r="L175" s="10">
        <f t="shared" ref="L175:BO175" si="956">K173</f>
        <v>1996</v>
      </c>
      <c r="M175" s="10" t="str">
        <f t="shared" si="956"/>
        <v/>
      </c>
      <c r="N175" s="10" t="str">
        <f t="shared" si="956"/>
        <v/>
      </c>
      <c r="O175" s="7" t="str">
        <f t="shared" si="956"/>
        <v/>
      </c>
      <c r="P175" s="10" t="str">
        <f t="shared" si="956"/>
        <v/>
      </c>
      <c r="Q175" s="10" t="str">
        <f t="shared" si="956"/>
        <v/>
      </c>
      <c r="R175" s="10" t="str">
        <f t="shared" si="956"/>
        <v/>
      </c>
      <c r="S175" s="7" t="str">
        <f t="shared" si="956"/>
        <v/>
      </c>
      <c r="T175" s="10" t="str">
        <f t="shared" si="956"/>
        <v/>
      </c>
      <c r="U175" s="10" t="str">
        <f t="shared" si="956"/>
        <v/>
      </c>
      <c r="V175" s="10" t="str">
        <f t="shared" si="956"/>
        <v/>
      </c>
      <c r="W175" s="7" t="str">
        <f t="shared" si="956"/>
        <v/>
      </c>
      <c r="X175" s="10" t="str">
        <f t="shared" ref="X175:AB176" si="957">S173</f>
        <v/>
      </c>
      <c r="Y175" s="10" t="str">
        <f t="shared" si="957"/>
        <v/>
      </c>
      <c r="Z175" s="10" t="str">
        <f t="shared" si="957"/>
        <v/>
      </c>
      <c r="AA175" s="7" t="str">
        <f t="shared" si="957"/>
        <v/>
      </c>
      <c r="AB175" s="10" t="str">
        <f t="shared" si="957"/>
        <v/>
      </c>
      <c r="AC175" s="10" t="str">
        <f t="shared" si="956"/>
        <v/>
      </c>
      <c r="AD175" s="10" t="str">
        <f t="shared" si="956"/>
        <v/>
      </c>
      <c r="AE175" s="7" t="str">
        <f t="shared" si="956"/>
        <v/>
      </c>
      <c r="AF175" s="10" t="str">
        <f t="shared" si="956"/>
        <v/>
      </c>
      <c r="AG175" s="10" t="str">
        <f t="shared" si="956"/>
        <v/>
      </c>
      <c r="AH175" s="10" t="str">
        <f t="shared" si="956"/>
        <v/>
      </c>
      <c r="AI175" s="7" t="str">
        <f t="shared" si="956"/>
        <v/>
      </c>
      <c r="AJ175" s="10" t="str">
        <f t="shared" si="956"/>
        <v/>
      </c>
      <c r="AK175" s="10" t="str">
        <f t="shared" si="956"/>
        <v/>
      </c>
      <c r="AL175" s="10" t="str">
        <f t="shared" si="956"/>
        <v/>
      </c>
      <c r="AM175" s="7" t="str">
        <f t="shared" si="956"/>
        <v/>
      </c>
      <c r="AN175" s="10" t="str">
        <f t="shared" si="956"/>
        <v/>
      </c>
      <c r="AO175" s="10" t="str">
        <f t="shared" si="956"/>
        <v/>
      </c>
      <c r="AP175" s="10" t="str">
        <f t="shared" si="956"/>
        <v/>
      </c>
      <c r="AQ175" s="7" t="str">
        <f t="shared" si="956"/>
        <v/>
      </c>
      <c r="AR175" s="10" t="str">
        <f t="shared" si="956"/>
        <v/>
      </c>
      <c r="AS175" s="10">
        <f t="shared" si="956"/>
        <v>2005</v>
      </c>
      <c r="AT175" s="10">
        <f t="shared" si="956"/>
        <v>2005</v>
      </c>
      <c r="AU175" s="7">
        <f t="shared" si="956"/>
        <v>2005</v>
      </c>
      <c r="AV175" s="10">
        <f t="shared" si="956"/>
        <v>2005</v>
      </c>
      <c r="AW175" s="10">
        <f t="shared" si="956"/>
        <v>2006</v>
      </c>
      <c r="AX175" s="10">
        <f t="shared" si="956"/>
        <v>2006</v>
      </c>
      <c r="AY175" s="7">
        <f t="shared" si="956"/>
        <v>2006</v>
      </c>
      <c r="AZ175" s="10">
        <f t="shared" si="956"/>
        <v>2006</v>
      </c>
      <c r="BA175" s="10">
        <f t="shared" si="956"/>
        <v>2007</v>
      </c>
      <c r="BB175" s="10">
        <f t="shared" si="956"/>
        <v>2007</v>
      </c>
      <c r="BC175" s="7">
        <f t="shared" si="956"/>
        <v>2007</v>
      </c>
      <c r="BD175" s="10">
        <f t="shared" si="956"/>
        <v>2007</v>
      </c>
      <c r="BE175" s="10">
        <f t="shared" si="956"/>
        <v>2008</v>
      </c>
      <c r="BF175" s="10">
        <f t="shared" si="956"/>
        <v>2008</v>
      </c>
      <c r="BG175" s="7">
        <f t="shared" si="956"/>
        <v>2008</v>
      </c>
      <c r="BH175" s="10">
        <f t="shared" si="956"/>
        <v>2008</v>
      </c>
      <c r="BI175" s="10">
        <f t="shared" si="956"/>
        <v>2009</v>
      </c>
      <c r="BJ175" s="10">
        <f t="shared" si="956"/>
        <v>2009</v>
      </c>
      <c r="BK175" s="7">
        <f t="shared" si="956"/>
        <v>2009</v>
      </c>
      <c r="BL175" s="10">
        <f t="shared" si="956"/>
        <v>2009</v>
      </c>
      <c r="BM175" s="10">
        <f t="shared" si="956"/>
        <v>2010</v>
      </c>
      <c r="BN175" s="10">
        <f t="shared" si="956"/>
        <v>2010</v>
      </c>
      <c r="BO175" s="7">
        <f t="shared" si="956"/>
        <v>2010</v>
      </c>
      <c r="BP175" s="10">
        <f t="shared" ref="BP175:BW175" si="958">BO173</f>
        <v>2010</v>
      </c>
      <c r="BQ175" s="10">
        <f t="shared" si="958"/>
        <v>2011</v>
      </c>
      <c r="BR175" s="10">
        <f t="shared" si="958"/>
        <v>2011</v>
      </c>
      <c r="BS175" s="7">
        <f t="shared" si="958"/>
        <v>2011</v>
      </c>
      <c r="BT175" s="10">
        <f t="shared" si="958"/>
        <v>2011</v>
      </c>
      <c r="BU175" s="10">
        <f t="shared" si="958"/>
        <v>2012</v>
      </c>
      <c r="BV175" s="10">
        <f t="shared" si="958"/>
        <v>2012</v>
      </c>
      <c r="BW175" s="7">
        <f t="shared" si="958"/>
        <v>2012</v>
      </c>
      <c r="BX175" s="10">
        <v>2012</v>
      </c>
      <c r="BY175" s="10">
        <v>2013</v>
      </c>
      <c r="BZ175" s="10">
        <v>2013</v>
      </c>
      <c r="CA175" s="7">
        <v>2013</v>
      </c>
      <c r="CB175" s="7">
        <v>2013</v>
      </c>
      <c r="CC175" s="10">
        <v>2014</v>
      </c>
      <c r="CD175" s="7">
        <v>2014</v>
      </c>
      <c r="CE175" s="7">
        <v>2014</v>
      </c>
      <c r="CF175" s="7">
        <v>2014</v>
      </c>
      <c r="CG175" s="10">
        <v>2015</v>
      </c>
      <c r="CH175" s="7">
        <v>2015</v>
      </c>
      <c r="CI175" s="7">
        <v>2015</v>
      </c>
      <c r="CJ175" s="7">
        <v>2015</v>
      </c>
      <c r="CK175" s="10">
        <v>2016</v>
      </c>
      <c r="CL175" s="7">
        <v>2016</v>
      </c>
      <c r="CM175" s="7">
        <v>2016</v>
      </c>
      <c r="CN175" s="7">
        <v>2016</v>
      </c>
      <c r="CO175" s="10">
        <v>2017</v>
      </c>
      <c r="CP175" s="7">
        <v>2017</v>
      </c>
      <c r="CQ175" s="7">
        <v>2017</v>
      </c>
      <c r="CR175" s="7">
        <v>2017</v>
      </c>
      <c r="CS175" s="7">
        <v>2018</v>
      </c>
      <c r="CT175" s="7">
        <v>2018</v>
      </c>
      <c r="CU175" s="7">
        <v>2018</v>
      </c>
      <c r="CV175" s="7">
        <v>2018</v>
      </c>
      <c r="CW175" s="7">
        <v>2019</v>
      </c>
      <c r="CX175" s="7">
        <v>2019</v>
      </c>
      <c r="CY175" s="7">
        <v>2019</v>
      </c>
      <c r="CZ175" s="7">
        <v>2019</v>
      </c>
      <c r="DA175" s="7">
        <v>2020</v>
      </c>
      <c r="DB175" s="7">
        <v>2020</v>
      </c>
      <c r="DC175" s="7">
        <v>2020</v>
      </c>
      <c r="DD175" s="7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13"/>
      <c r="EF175" s="7">
        <v>1995</v>
      </c>
      <c r="EG175" s="7">
        <v>1996</v>
      </c>
      <c r="EH175" s="7">
        <v>1997</v>
      </c>
      <c r="EI175" s="7">
        <v>1998</v>
      </c>
      <c r="EJ175" s="7">
        <v>1999</v>
      </c>
      <c r="EK175" s="7">
        <v>2000</v>
      </c>
      <c r="EL175" s="7">
        <v>2001</v>
      </c>
      <c r="EM175" s="7">
        <v>2002</v>
      </c>
      <c r="EN175" s="7">
        <v>2003</v>
      </c>
      <c r="EO175" s="7">
        <v>2004</v>
      </c>
      <c r="EP175" s="7">
        <v>2005</v>
      </c>
      <c r="EQ175" s="7">
        <v>2006</v>
      </c>
      <c r="ER175" s="7">
        <v>2007</v>
      </c>
      <c r="ES175" s="7">
        <v>2008</v>
      </c>
      <c r="ET175" s="7">
        <v>2009</v>
      </c>
      <c r="EU175" s="7">
        <v>2010</v>
      </c>
      <c r="EV175" s="7">
        <v>2011</v>
      </c>
      <c r="EW175" s="7">
        <v>2012</v>
      </c>
      <c r="EX175" s="13">
        <v>2013</v>
      </c>
      <c r="EY175" s="7">
        <v>2014</v>
      </c>
      <c r="EZ175" s="7">
        <v>2015</v>
      </c>
      <c r="FA175" s="7">
        <v>2016</v>
      </c>
      <c r="FB175" s="7">
        <v>2017</v>
      </c>
      <c r="FC175" s="7">
        <v>2018</v>
      </c>
      <c r="FD175" s="7">
        <v>2019</v>
      </c>
      <c r="FO175" s="7"/>
    </row>
    <row r="176" spans="1:171" ht="14.25" hidden="1" customHeight="1" outlineLevel="1">
      <c r="A176" s="7"/>
      <c r="B176" s="546" t="s">
        <v>282</v>
      </c>
      <c r="C176" s="90"/>
      <c r="D176" s="366">
        <v>4</v>
      </c>
      <c r="E176" s="366">
        <v>1</v>
      </c>
      <c r="F176" s="366">
        <v>2</v>
      </c>
      <c r="G176" s="366">
        <v>3</v>
      </c>
      <c r="H176" s="366">
        <v>4</v>
      </c>
      <c r="I176" s="366">
        <v>1</v>
      </c>
      <c r="J176" s="366">
        <v>2</v>
      </c>
      <c r="K176" s="366">
        <v>3</v>
      </c>
      <c r="L176" s="366">
        <f>K174</f>
        <v>4</v>
      </c>
      <c r="M176" s="366" t="e">
        <f>M174-1</f>
        <v>#VALUE!</v>
      </c>
      <c r="N176" s="366" t="e">
        <f>N174-1</f>
        <v>#VALUE!</v>
      </c>
      <c r="O176" s="366" t="e">
        <f>O174-1</f>
        <v>#VALUE!</v>
      </c>
      <c r="P176" s="366" t="str">
        <f>O174</f>
        <v/>
      </c>
      <c r="Q176" s="366" t="e">
        <f>Q174-1</f>
        <v>#VALUE!</v>
      </c>
      <c r="R176" s="366" t="e">
        <f>R174-1</f>
        <v>#VALUE!</v>
      </c>
      <c r="S176" s="366" t="e">
        <f>S174-1</f>
        <v>#VALUE!</v>
      </c>
      <c r="T176" s="366" t="str">
        <f>S174</f>
        <v/>
      </c>
      <c r="U176" s="366" t="e">
        <f>U174-1</f>
        <v>#VALUE!</v>
      </c>
      <c r="V176" s="366" t="e">
        <f>V174-1</f>
        <v>#VALUE!</v>
      </c>
      <c r="W176" s="366" t="e">
        <f>W174-1</f>
        <v>#VALUE!</v>
      </c>
      <c r="X176" s="366" t="str">
        <f t="shared" si="957"/>
        <v/>
      </c>
      <c r="Y176" s="366" t="str">
        <f t="shared" si="957"/>
        <v/>
      </c>
      <c r="Z176" s="366" t="str">
        <f t="shared" si="957"/>
        <v/>
      </c>
      <c r="AA176" s="366" t="str">
        <f t="shared" si="957"/>
        <v/>
      </c>
      <c r="AB176" s="366" t="str">
        <f t="shared" si="957"/>
        <v/>
      </c>
      <c r="AC176" s="366" t="e">
        <f>AC174-1</f>
        <v>#VALUE!</v>
      </c>
      <c r="AD176" s="366" t="e">
        <f>AD174-1</f>
        <v>#VALUE!</v>
      </c>
      <c r="AE176" s="366" t="e">
        <f>AE174-1</f>
        <v>#VALUE!</v>
      </c>
      <c r="AF176" s="366" t="str">
        <f>AE174</f>
        <v/>
      </c>
      <c r="AG176" s="366" t="e">
        <f>AG174-1</f>
        <v>#VALUE!</v>
      </c>
      <c r="AH176" s="366" t="e">
        <f>AH174-1</f>
        <v>#VALUE!</v>
      </c>
      <c r="AI176" s="366" t="e">
        <f>AI174-1</f>
        <v>#VALUE!</v>
      </c>
      <c r="AJ176" s="366" t="str">
        <f>AI174</f>
        <v/>
      </c>
      <c r="AK176" s="366" t="e">
        <f>AK174-1</f>
        <v>#VALUE!</v>
      </c>
      <c r="AL176" s="366" t="e">
        <f>AL174-1</f>
        <v>#VALUE!</v>
      </c>
      <c r="AM176" s="366" t="e">
        <f>AM174-1</f>
        <v>#VALUE!</v>
      </c>
      <c r="AN176" s="366" t="str">
        <f>AM174</f>
        <v/>
      </c>
      <c r="AO176" s="366" t="e">
        <f>AO174-1</f>
        <v>#VALUE!</v>
      </c>
      <c r="AP176" s="366" t="e">
        <f>AP174-1</f>
        <v>#VALUE!</v>
      </c>
      <c r="AQ176" s="366" t="e">
        <f>AQ174-1</f>
        <v>#VALUE!</v>
      </c>
      <c r="AR176" s="366" t="str">
        <f>AQ174</f>
        <v/>
      </c>
      <c r="AS176" s="366">
        <f>AS174-1</f>
        <v>1</v>
      </c>
      <c r="AT176" s="366">
        <f>AT174-1</f>
        <v>2</v>
      </c>
      <c r="AU176" s="366">
        <f>AU174-1</f>
        <v>3</v>
      </c>
      <c r="AV176" s="366">
        <f>AU174</f>
        <v>4</v>
      </c>
      <c r="AW176" s="366">
        <f>AW174-1</f>
        <v>1</v>
      </c>
      <c r="AX176" s="366">
        <f>AX174-1</f>
        <v>2</v>
      </c>
      <c r="AY176" s="366">
        <f>AY174-1</f>
        <v>3</v>
      </c>
      <c r="AZ176" s="366">
        <f>AY174</f>
        <v>4</v>
      </c>
      <c r="BA176" s="366">
        <f>BA174-1</f>
        <v>1</v>
      </c>
      <c r="BB176" s="366">
        <f>BB174-1</f>
        <v>2</v>
      </c>
      <c r="BC176" s="366">
        <f>BC174-1</f>
        <v>3</v>
      </c>
      <c r="BD176" s="366">
        <f>BC174</f>
        <v>4</v>
      </c>
      <c r="BE176" s="366">
        <f>BE174-1</f>
        <v>1</v>
      </c>
      <c r="BF176" s="366">
        <f>BF174-1</f>
        <v>2</v>
      </c>
      <c r="BG176" s="366">
        <f>BG174-1</f>
        <v>3</v>
      </c>
      <c r="BH176" s="366">
        <f>BG174</f>
        <v>4</v>
      </c>
      <c r="BI176" s="366">
        <f>BI174-1</f>
        <v>1</v>
      </c>
      <c r="BJ176" s="366">
        <f>BJ174-1</f>
        <v>2</v>
      </c>
      <c r="BK176" s="366">
        <f>BK174-1</f>
        <v>3</v>
      </c>
      <c r="BL176" s="366">
        <f>BK174</f>
        <v>4</v>
      </c>
      <c r="BM176" s="366">
        <f>BM174-1</f>
        <v>1</v>
      </c>
      <c r="BN176" s="366">
        <f>BN174-1</f>
        <v>2</v>
      </c>
      <c r="BO176" s="366">
        <f>BO174-1</f>
        <v>3</v>
      </c>
      <c r="BP176" s="366">
        <f>BO174</f>
        <v>4</v>
      </c>
      <c r="BQ176" s="366">
        <f>BQ174-1</f>
        <v>1</v>
      </c>
      <c r="BR176" s="366">
        <f>BR174-1</f>
        <v>2</v>
      </c>
      <c r="BS176" s="366">
        <f>BS174-1</f>
        <v>3</v>
      </c>
      <c r="BT176" s="366">
        <f>BS174</f>
        <v>4</v>
      </c>
      <c r="BU176" s="366">
        <f>BU174-1</f>
        <v>1</v>
      </c>
      <c r="BV176" s="366">
        <f>BV174-1</f>
        <v>2</v>
      </c>
      <c r="BW176" s="366">
        <f>BW174-1</f>
        <v>3</v>
      </c>
      <c r="BX176" s="366">
        <f>BW174</f>
        <v>4</v>
      </c>
      <c r="BY176" s="366">
        <f>BY174-1</f>
        <v>1</v>
      </c>
      <c r="BZ176" s="366">
        <f>BZ174-1</f>
        <v>2</v>
      </c>
      <c r="CA176" s="366">
        <f>CA174-1</f>
        <v>3</v>
      </c>
      <c r="CB176" s="366">
        <f>CA174</f>
        <v>4</v>
      </c>
      <c r="CC176" s="366">
        <f>CC174-1</f>
        <v>1</v>
      </c>
      <c r="CD176" s="366">
        <f>CD174-1</f>
        <v>2</v>
      </c>
      <c r="CE176" s="366">
        <f>CE174-1</f>
        <v>3</v>
      </c>
      <c r="CF176" s="366">
        <f>CE174</f>
        <v>4</v>
      </c>
      <c r="CG176" s="366">
        <f>CG174-1</f>
        <v>1</v>
      </c>
      <c r="CH176" s="366">
        <f>CH174-1</f>
        <v>2</v>
      </c>
      <c r="CI176" s="366">
        <f>CI174-1</f>
        <v>3</v>
      </c>
      <c r="CJ176" s="366">
        <f>CI174</f>
        <v>4</v>
      </c>
      <c r="CK176" s="366">
        <f>CK174-1</f>
        <v>1</v>
      </c>
      <c r="CL176" s="366">
        <f>CL174-1</f>
        <v>2</v>
      </c>
      <c r="CM176" s="366">
        <f>CM174-1</f>
        <v>3</v>
      </c>
      <c r="CN176" s="366">
        <f>CM174</f>
        <v>4</v>
      </c>
      <c r="CO176" s="366">
        <f>CO174-1</f>
        <v>1</v>
      </c>
      <c r="CP176" s="366">
        <f>CP174-1</f>
        <v>2</v>
      </c>
      <c r="CQ176" s="366">
        <f>CQ174-1</f>
        <v>3</v>
      </c>
      <c r="CR176" s="366">
        <f>CQ174</f>
        <v>4</v>
      </c>
      <c r="CS176" s="366">
        <f>CS174-1</f>
        <v>1</v>
      </c>
      <c r="CT176" s="366">
        <f>CT174-1</f>
        <v>2</v>
      </c>
      <c r="CU176" s="366">
        <f>CU174-1</f>
        <v>3</v>
      </c>
      <c r="CV176" s="366">
        <f>CU174</f>
        <v>4</v>
      </c>
      <c r="CW176" s="366">
        <f>CW174-1</f>
        <v>1</v>
      </c>
      <c r="CX176" s="366">
        <f>CX174-1</f>
        <v>2</v>
      </c>
      <c r="CY176" s="366">
        <f>CY174-1</f>
        <v>3</v>
      </c>
      <c r="CZ176" s="366">
        <f>CY174</f>
        <v>4</v>
      </c>
      <c r="DA176" s="366">
        <f>DA174-1</f>
        <v>1</v>
      </c>
      <c r="DB176" s="366">
        <f>DB174-1</f>
        <v>2</v>
      </c>
      <c r="DC176" s="366">
        <f>DC174-1</f>
        <v>3</v>
      </c>
      <c r="DD176" s="366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13"/>
      <c r="EF176" s="13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13"/>
      <c r="EY176" s="7"/>
      <c r="EZ176" s="7"/>
      <c r="FA176" s="7"/>
      <c r="FB176" s="13"/>
      <c r="FC176" s="13"/>
      <c r="FD176" s="13"/>
      <c r="FO176" s="7"/>
    </row>
    <row r="177" spans="1:171" ht="14.25" hidden="1" customHeight="1" outlineLevel="1">
      <c r="A177" s="1"/>
      <c r="B177" s="671"/>
      <c r="C177" s="1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1"/>
      <c r="CC177" s="4"/>
      <c r="CD177" s="1"/>
      <c r="CE177" s="4"/>
      <c r="CF177" s="1"/>
      <c r="CG177" s="4"/>
      <c r="CH177" s="1"/>
      <c r="CI177" s="4"/>
      <c r="CJ177" s="1"/>
      <c r="CK177" s="4"/>
      <c r="CL177" s="1"/>
      <c r="CM177" s="1"/>
      <c r="CN177" s="1"/>
      <c r="CO177" s="4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76"/>
      <c r="DF177" s="176"/>
      <c r="DG177" s="176"/>
      <c r="DH177" s="176"/>
      <c r="DI177" s="176"/>
      <c r="DJ177" s="176"/>
      <c r="DK177" s="176"/>
      <c r="DL177" s="176"/>
      <c r="DM177" s="176"/>
      <c r="DN177" s="176"/>
      <c r="DO177" s="176"/>
      <c r="DP177" s="176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76"/>
      <c r="EF177" s="176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76"/>
      <c r="EY177" s="1"/>
      <c r="EZ177" s="1"/>
      <c r="FA177" s="1"/>
      <c r="FB177" s="176"/>
      <c r="FC177" s="176"/>
      <c r="FD177" s="176"/>
      <c r="FO177" s="1"/>
    </row>
    <row r="178" spans="1:171" ht="14.25" customHeight="1" collapsed="1">
      <c r="EX178" s="300"/>
      <c r="FB178" s="300"/>
      <c r="FC178" s="300"/>
      <c r="FD178" s="300"/>
    </row>
    <row r="179" spans="1:171" ht="14.25" customHeight="1">
      <c r="EX179" s="300"/>
      <c r="FB179" s="300"/>
      <c r="FC179" s="300"/>
      <c r="FD179" s="300"/>
    </row>
    <row r="180" spans="1:171" ht="14.25" customHeight="1">
      <c r="B180"/>
      <c r="ED180">
        <v>3.7484562919547844</v>
      </c>
      <c r="EX180" s="300"/>
      <c r="FB180" s="300"/>
      <c r="FC180" s="300"/>
      <c r="FD180" s="300"/>
    </row>
    <row r="181" spans="1:171" ht="14.25" customHeight="1">
      <c r="B181"/>
      <c r="ED181">
        <v>3.750653352308853</v>
      </c>
    </row>
    <row r="182" spans="1:171" ht="14.25" customHeight="1">
      <c r="ED182">
        <v>3.9901848280373642</v>
      </c>
    </row>
    <row r="183" spans="1:171" ht="14.25" customHeight="1">
      <c r="ED183" t="s">
        <v>617</v>
      </c>
    </row>
    <row r="184" spans="1:171" ht="14.25" customHeight="1">
      <c r="ED184">
        <v>3.8186264242799264</v>
      </c>
    </row>
    <row r="256" spans="2:155" ht="14.25" customHeight="1">
      <c r="B256"/>
      <c r="CI256"/>
      <c r="CJ256"/>
      <c r="CK256"/>
      <c r="CL256"/>
      <c r="CN256"/>
      <c r="CO256" s="1207">
        <v>-335544.32000000001</v>
      </c>
      <c r="CP256"/>
      <c r="CQ256"/>
      <c r="CS256"/>
      <c r="CT256"/>
      <c r="CU256"/>
      <c r="EA256"/>
      <c r="EE256"/>
      <c r="EY256"/>
    </row>
  </sheetData>
  <phoneticPr fontId="23" type="noConversion"/>
  <pageMargins left="0" right="0" top="0" bottom="0" header="0" footer="0"/>
  <pageSetup paperSize="5" scale="83" orientation="landscape" r:id="rId1"/>
  <headerFooter alignWithMargins="0"/>
  <ignoredErrors>
    <ignoredError sqref="FO39 B170:C170 B197:C252 BY166:BY170 EO191:EY196 B191:CB196 EF58:EY59 DO191:ED196 D197:CB335 FE94 CF58:CI59 BV74 EF105:ET105 BU110:BV111 BU32:BV32 Y72:BV72 CF72:CI72 BU62:BV64 FO97:FP97 DE72:DY72 BU119 BU74:BU75 FO90:FP90 FE90 BU24:BV24 BT75 DE21:DZ22 EF21:EY22 DE59:DZ59 E58:BV59 E72:V72 D59 C165 BZ129:CB129 CF21:CI22 FO102:FP102 BZ124:CB124 DE105:DT105 D105:BS105 D21:BX22 B129:BX129 D165:BX170 B124:BX124 BU105:BX105 BZ165:BZ170 BZ173:BZ174 FE97 FE102 CA165:CA170 DD165:ED170 CB165:CB170 CB173:CB190 DD191:DE196 CD124 FP39:FP40 FO94:FP94 DD124:EB124 CF124:CI124 CD129:CI129 CD165:CI170 DE58:DY58 DD173:ED179 DD172:DZ172 EB21 EB58:EB59 FO108:FP111 FE108:FE111 DD129:EB129 DD197:ED335 EF72:EY72 EF172:EU172 EW172:EY172 EF165:EY170 EF124:EY124 EF173:EY190 EF129:EY129 EF197:EY335 BY176:BY190 BZ176:BZ190 CD176:CI335 CE175:CF175 CI175 B126:BX126 B125:C125 BZ126:CB126 CD126 CF126:CI126 DD126:EB126 DD125 EF126:EY126 FE74:FE75 FE52:FE53 FE79 FE39:FE40 FE58:FE64 FE72 FE48 FE129 FE165:FE170 FE21:FE24 FE31:FE32 FE118:FE120 FE37 FE105:FE106 FE46 FE70 FE50 FE81:FE82 FE67:FE68 FE29 ED129 ED126 DD185:ED190 DD180:EB184 FE124:FE126 FO29 FO67:FP68 FO81:FP82 FO50:FP50 FO70:FP70 FO46:FP46 FO105:FP106 FO37:FP37 FO118:FP120 FO31:FO32 FO21:FO24 FO165:FP170 FO129:FP129 FO48:FP48 FO72:FP72 FO58:FP64 FO79:FP79 FO52:FP53 FO51:FP51 FO74:FP75 FO124:FP126 B172:C190 BY172:BY174 D172:BX190 CA172:CA190 CD172:CI174 FE172:FE335 FO172:FP335" formula="1"/>
    <ignoredError sqref="AS3:BI3 EP2:EY6 DD12 BP7:BP8 AR2:BS2 FE7 AR7:AR8 BC10 AB9:AN12 EO6 C10 BH7:BJ8 B6 BD12 BK12:BO12 BE12 AS7:AY8 C7 EO2:EO3 BU2:BU3 DD2 C9 I9:K12 BP12 BQ7:BR8 B11:C11 FE10 FE9 FE11 AB7:AN8 D7:G8 FE8 H7:H8 FE12 C12 EU7 EO7 EV7 DP8:DY8 BQ12:BR12 EY8 BC7:BC8 EQ9:EX9 DP7:DV7 BH12:BJ12 EW7 DO2:DZ2 BK7:BO8 EP9 D9:G12 EP8:EX8 EY7 EX7 DO7 DE7:DN7 EF7:EN7 BS7:BS8 BA7:BB8 BT7 BF12:BG12 BD7:BD8 EP7 EQ7 ER7 ES7 BU9:BX9 BU10:BX10 C8 AZ11 BE7:BE8 BU11:BX11 AZ12 BF11:BS11 BF10:BS10 DD10 CF10 AZ10 AZ9 BA11:BE11 BA9:BE9 DD11 CF9 DD9 DD7 L7:W8 BA10:BB10 BF9:BS9 BD10:BE10 ET7 BV2:BW3 AO7:AQ8 X7:AA8 C2:C6 DE12:DN12 DO12 EY9 DP9:EB9 EF9:EN9 EF10 DE10 AZ7:AZ8 DP12:DY12 DD8 BT9:BT12 EP11 DP11:EB11 EQ11:EX11 EY11 DE9:DN9 EF11:EN11 DO9 DE11:DN11 EO9 DO11 X9:AA12 EO11 EF8:EN8 DE8:DN8 DO8 EO8 BS12 AR9:AR12 BC12 BA12:BB12 AO9:AQ12 BF7:BG8 BK3:BS3 L9:W12 I7:K8 H9:H12 AS9:AY12 DO5:DW5 DO4:DX4 DZ4 DY7 CG9:CI9 CG10:CI10 EC5:ED5 DD4:DD6 EC2:ED2 EC4:ED4" formulaRange="1"/>
    <ignoredError sqref="AZ68:BB68 BC68 BH68:BJ68 BK68:BR68 BD68 BE68:BG68" evalError="1" formula="1" formulaRange="1"/>
    <ignoredError sqref="E60:S62 E79:V79 DE16:DY18 FO40 BX16 D51:BV53 D58 D60 D48:AN48 DD37 DW102:DY102 DE31:EB31 DZ16:EB16 BQ67:BR67 D16:BW18 BZ120:CB120 DD46 BS67:BV68 D31:BT32 Y70:BV70 BT74 BU60:BV61 T60:AD60 BW53:BX53 CF23:CI23 BS48:BX48 EF191:EN196 DF191:DN196 EF82:EY82 BW51:BX51 CF60:CI60 AP48:BQ48 D24:BT24 CF31:CI31 EF60:EY63 AE60:BT62 E70:V70 E67:AY68 X74:BS75 X79:BO79 T62:AD62 DD97 DD39:EB39 DD58:DD60 DE82:DY82 DE23:EB23 EA60:EB60 EF16:EY18 CD118 DE74:DY75 AZ67:BO67 DD94 D118:BT120 DD29 DD68:DU68 BP108 DD15:DD18 D110:BT111 DD106 EF110:EY111 CF79:CI79 EF74:EY75 D108:BN108 BR108:BX108 BO108 DD70:DY70 EF108:EY108 BR102 D102:BM102 DE102:DT102 EF23:EY24 EG31:EY32 EF31 DE60:DZ60 DD81:DD82 BU31:BX31 DY120 EF118:EY118 DD118:DX120 DY118:EB118 DE110:DX111 BU118:BX118 D23:BX23 D50:BX50 D39:BX39 BU120:BX120 BZ118:CA118 BR79:BX79 DD31:DD32 DD72 EF90:EY90 DD21:DD24 CD120 DD48:EB48 E74:V75 DD64:DY64 E63:BT64 DD40 DD67:DY67 DD79 DF61:DU61 DD62:DY63 EF68:EY68 CF16:CI17 EF102:EY102 EF70:EY70 CF118:CI118 CF120:CI120 DD51:DW51 EB17 BZ108:CA108 CG52:CI52 CF53:CI53 CG48:CI48 CF70:CI70 CF39:CI39 CF51:CI51 DD53:DX53 DZ53:EB53 DD52:DZ52 EB52 DD109:DD111 EA120:EB120 EF120:EY120 EF64:EY64 EF67:EY67 EF39:EY39 EF48:EY48 EF50:EY50 EF53:EY53 EF52:EY52 DD50:DW50 DY50:DZ50 EF51:EX51 DD74" formula="1" formulaRange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FQ264"/>
  <sheetViews>
    <sheetView showGridLines="0" zoomScale="85" zoomScaleNormal="85" workbookViewId="0">
      <pane xSplit="3" ySplit="6" topLeftCell="CN7" activePane="bottomRight" state="frozen"/>
      <selection activeCell="CJ11" sqref="CJ11"/>
      <selection pane="topRight" activeCell="CJ11" sqref="CJ11"/>
      <selection pane="bottomLeft" activeCell="CJ11" sqref="CJ11"/>
      <selection pane="bottomRight" activeCell="CT21" sqref="CT21"/>
    </sheetView>
  </sheetViews>
  <sheetFormatPr defaultRowHeight="14.25" customHeight="1" outlineLevelRow="1" outlineLevelCol="1"/>
  <cols>
    <col min="1" max="1" width="1.7109375" customWidth="1"/>
    <col min="2" max="2" width="44.28515625" style="454" customWidth="1"/>
    <col min="3" max="3" width="0.5703125" customWidth="1"/>
    <col min="4" max="71" width="11.42578125" hidden="1" customWidth="1" outlineLevel="1"/>
    <col min="72" max="72" width="10.7109375" hidden="1" customWidth="1" outlineLevel="1" collapsed="1"/>
    <col min="73" max="75" width="10.7109375" hidden="1" customWidth="1" outlineLevel="1"/>
    <col min="76" max="76" width="10.5703125" hidden="1" customWidth="1" outlineLevel="1" collapsed="1"/>
    <col min="77" max="79" width="10.5703125" hidden="1" customWidth="1" outlineLevel="1"/>
    <col min="80" max="80" width="10.28515625" hidden="1" customWidth="1" outlineLevel="1" collapsed="1"/>
    <col min="81" max="83" width="10.28515625" hidden="1" customWidth="1" outlineLevel="1"/>
    <col min="84" max="84" width="10.28515625" hidden="1" customWidth="1" outlineLevel="1" collapsed="1"/>
    <col min="85" max="86" width="10.28515625" hidden="1" customWidth="1" outlineLevel="1"/>
    <col min="87" max="87" width="10.28515625" style="1080" hidden="1" customWidth="1" outlineLevel="1"/>
    <col min="88" max="88" width="10.28515625" style="1132" hidden="1" customWidth="1" outlineLevel="1"/>
    <col min="89" max="89" width="10.28515625" style="1137" hidden="1" customWidth="1" outlineLevel="1"/>
    <col min="90" max="90" width="10.28515625" style="1152" hidden="1" customWidth="1" outlineLevel="1"/>
    <col min="91" max="91" width="10.28515625" hidden="1" customWidth="1" outlineLevel="1"/>
    <col min="92" max="92" width="10.28515625" style="1080" customWidth="1" collapsed="1"/>
    <col min="93" max="95" width="10.28515625" style="1080" customWidth="1"/>
    <col min="96" max="97" width="10.28515625" style="1152" customWidth="1"/>
    <col min="98" max="98" width="11.7109375" style="1152" bestFit="1" customWidth="1"/>
    <col min="99" max="99" width="11.5703125" style="1152" customWidth="1"/>
    <col min="100" max="103" width="11.7109375" style="1395" bestFit="1" customWidth="1"/>
    <col min="104" max="107" width="11.7109375" style="1397" customWidth="1" outlineLevel="1"/>
    <col min="108" max="108" width="1.5703125" customWidth="1"/>
    <col min="109" max="123" width="11.42578125" hidden="1" customWidth="1" outlineLevel="1"/>
    <col min="124" max="124" width="11" hidden="1" customWidth="1" outlineLevel="1"/>
    <col min="125" max="127" width="11.42578125" style="1395" hidden="1" customWidth="1" outlineLevel="1"/>
    <col min="128" max="130" width="11.42578125" style="1424" hidden="1" customWidth="1" outlineLevel="1"/>
    <col min="131" max="131" width="10.28515625" style="1158" customWidth="1" collapsed="1"/>
    <col min="132" max="133" width="11.7109375" style="1395" bestFit="1" customWidth="1"/>
    <col min="134" max="134" width="11.42578125" hidden="1" customWidth="1" outlineLevel="1"/>
    <col min="135" max="135" width="2.7109375" customWidth="1" collapsed="1"/>
    <col min="136" max="153" width="11.42578125" hidden="1" customWidth="1" outlineLevel="1"/>
    <col min="154" max="155" width="11.42578125" style="1133" hidden="1" customWidth="1" outlineLevel="1"/>
    <col min="156" max="157" width="11.42578125" style="1424" hidden="1" customWidth="1" outlineLevel="1"/>
    <col min="158" max="158" width="11.42578125" style="1395" customWidth="1" collapsed="1"/>
    <col min="159" max="160" width="11.42578125" style="1397" customWidth="1"/>
    <col min="161" max="164" width="11.42578125" style="279" customWidth="1"/>
    <col min="165" max="165" width="52" hidden="1" customWidth="1" outlineLevel="1"/>
    <col min="166" max="171" width="9.140625" hidden="1" customWidth="1" outlineLevel="1"/>
    <col min="172" max="172" width="9.140625" collapsed="1"/>
    <col min="173" max="173" width="10.28515625" bestFit="1" customWidth="1"/>
  </cols>
  <sheetData>
    <row r="1" spans="1:173" ht="67.5" customHeight="1">
      <c r="A1" s="1"/>
      <c r="B1" s="425"/>
      <c r="C1" s="1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176"/>
      <c r="FF1" s="176"/>
      <c r="FG1" s="176"/>
      <c r="FH1" s="176"/>
      <c r="FO1" s="1"/>
    </row>
    <row r="2" spans="1:173" ht="18" customHeight="1">
      <c r="A2" s="1"/>
      <c r="B2" s="3" t="str">
        <f>IS!B2</f>
        <v>Micron Technology, Inc</v>
      </c>
      <c r="C2" s="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4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906"/>
      <c r="CH2" s="458"/>
      <c r="CI2" s="280"/>
      <c r="CJ2" s="4"/>
      <c r="CK2" s="906"/>
      <c r="CL2" s="458"/>
      <c r="CM2" s="1394"/>
      <c r="CN2" s="458"/>
      <c r="CO2" s="458"/>
      <c r="CP2" s="458"/>
      <c r="CQ2" s="458"/>
      <c r="CR2" s="458"/>
      <c r="CS2" s="458"/>
      <c r="CT2" s="458"/>
      <c r="CU2" s="458"/>
      <c r="CV2" s="458"/>
      <c r="CW2" s="458"/>
      <c r="CX2" s="458"/>
      <c r="CY2" s="458"/>
      <c r="CZ2" s="458"/>
      <c r="DA2" s="458"/>
      <c r="DB2" s="458"/>
      <c r="DC2" s="458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4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4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76"/>
      <c r="FF2" s="176"/>
      <c r="FG2" s="176"/>
      <c r="FH2" s="176"/>
      <c r="FO2" s="1"/>
    </row>
    <row r="3" spans="1:173" ht="14.25" customHeight="1">
      <c r="A3" s="1"/>
      <c r="B3" s="426"/>
      <c r="C3" s="6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4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4"/>
      <c r="BU3" s="4"/>
      <c r="BV3" s="4"/>
      <c r="BW3" s="280"/>
      <c r="BX3" s="4"/>
      <c r="BY3" s="4"/>
      <c r="BZ3" s="4"/>
      <c r="CA3" s="280"/>
      <c r="CB3" s="4"/>
      <c r="CC3" s="4"/>
      <c r="CD3" s="4"/>
      <c r="CE3" s="280"/>
      <c r="CF3" s="1075"/>
      <c r="CG3" s="1075"/>
      <c r="CH3" s="1075"/>
      <c r="CI3" s="1075"/>
      <c r="CJ3" s="1075"/>
      <c r="CK3" s="1075"/>
      <c r="CL3" s="1075"/>
      <c r="CM3" s="1075"/>
      <c r="CN3" s="1075"/>
      <c r="CO3" s="1075"/>
      <c r="CP3" s="1075"/>
      <c r="CQ3" s="1075"/>
      <c r="CR3" s="1075"/>
      <c r="CS3" s="1075"/>
      <c r="CT3" s="1075"/>
      <c r="CU3" s="1075"/>
      <c r="CV3" s="1075"/>
      <c r="CW3" s="1075"/>
      <c r="CX3" s="1075"/>
      <c r="CY3" s="1075"/>
      <c r="CZ3" s="1075"/>
      <c r="DA3" s="1075"/>
      <c r="DB3" s="1075"/>
      <c r="DC3" s="1075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4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4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76"/>
      <c r="FF3" s="176"/>
      <c r="FG3" s="176"/>
      <c r="FH3" s="176"/>
      <c r="FO3" s="1"/>
    </row>
    <row r="4" spans="1:173" ht="14.25" customHeight="1">
      <c r="A4" s="7"/>
      <c r="B4" s="427" t="s">
        <v>405</v>
      </c>
      <c r="C4" s="9"/>
      <c r="D4" s="397" t="str">
        <f>IS!D4</f>
        <v>C4Q94A</v>
      </c>
      <c r="E4" s="398" t="str">
        <f>IS!E4</f>
        <v>C1Q95A</v>
      </c>
      <c r="F4" s="398" t="str">
        <f>IS!F4</f>
        <v>C2Q95A</v>
      </c>
      <c r="G4" s="399" t="str">
        <f>IS!G4</f>
        <v>C3Q95A</v>
      </c>
      <c r="H4" s="397" t="str">
        <f>IS!H4</f>
        <v>C4Q95A</v>
      </c>
      <c r="I4" s="398" t="str">
        <f>IS!I4</f>
        <v>C1Q96A</v>
      </c>
      <c r="J4" s="398" t="str">
        <f>IS!J4</f>
        <v>C2Q96A</v>
      </c>
      <c r="K4" s="399" t="str">
        <f>IS!K4</f>
        <v>C3Q96A</v>
      </c>
      <c r="L4" s="397" t="str">
        <f>IS!L4</f>
        <v>C4Q96A</v>
      </c>
      <c r="M4" s="398" t="str">
        <f>IS!M4</f>
        <v>C1Q97A</v>
      </c>
      <c r="N4" s="398" t="str">
        <f>IS!N4</f>
        <v>C2Q97A</v>
      </c>
      <c r="O4" s="399" t="str">
        <f>IS!O4</f>
        <v>C3Q97A</v>
      </c>
      <c r="P4" s="397" t="str">
        <f>IS!P4</f>
        <v>C4Q97A</v>
      </c>
      <c r="Q4" s="398" t="str">
        <f>IS!Q4</f>
        <v>C1Q98A</v>
      </c>
      <c r="R4" s="398" t="str">
        <f>IS!R4</f>
        <v>C2Q98A</v>
      </c>
      <c r="S4" s="399" t="str">
        <f>IS!S4</f>
        <v>C3Q98A</v>
      </c>
      <c r="T4" s="397" t="str">
        <f>IS!T4</f>
        <v>C4Q98A</v>
      </c>
      <c r="U4" s="398" t="str">
        <f>IS!U4</f>
        <v>C1Q99A</v>
      </c>
      <c r="V4" s="398" t="str">
        <f>IS!V4</f>
        <v>C2Q99A</v>
      </c>
      <c r="W4" s="399" t="str">
        <f>IS!W4</f>
        <v>C3Q99A</v>
      </c>
      <c r="X4" s="397" t="str">
        <f>IS!X4</f>
        <v>C4Q98A</v>
      </c>
      <c r="Y4" s="398" t="str">
        <f>IS!Y4</f>
        <v>C1Q99A</v>
      </c>
      <c r="Z4" s="398" t="str">
        <f>IS!Z4</f>
        <v>C2Q99A</v>
      </c>
      <c r="AA4" s="399" t="str">
        <f>IS!AA4</f>
        <v>C3Q99A</v>
      </c>
      <c r="AB4" s="397" t="str">
        <f>IS!AB4</f>
        <v>C4Q99A</v>
      </c>
      <c r="AC4" s="398" t="str">
        <f>IS!AC4</f>
        <v>C1Q01A</v>
      </c>
      <c r="AD4" s="398" t="str">
        <f>IS!AD4</f>
        <v>C2Q01A</v>
      </c>
      <c r="AE4" s="399" t="str">
        <f>IS!AE4</f>
        <v>C3Q01A</v>
      </c>
      <c r="AF4" s="397" t="str">
        <f>IS!AF4</f>
        <v>C4Q01A</v>
      </c>
      <c r="AG4" s="398" t="str">
        <f>IS!AG4</f>
        <v>C1Q02A</v>
      </c>
      <c r="AH4" s="398" t="str">
        <f>IS!AH4</f>
        <v>C2Q02A</v>
      </c>
      <c r="AI4" s="399" t="str">
        <f>IS!AI4</f>
        <v>C3Q02A</v>
      </c>
      <c r="AJ4" s="397" t="str">
        <f>IS!AJ4</f>
        <v>C4Q02A</v>
      </c>
      <c r="AK4" s="398" t="str">
        <f>IS!AK4</f>
        <v>C1Q03A</v>
      </c>
      <c r="AL4" s="398" t="str">
        <f>IS!AL4</f>
        <v>C2Q03A</v>
      </c>
      <c r="AM4" s="399" t="str">
        <f>IS!AM4</f>
        <v>C3Q03A</v>
      </c>
      <c r="AN4" s="397" t="str">
        <f>IS!AN4</f>
        <v>C4Q03A</v>
      </c>
      <c r="AO4" s="398" t="str">
        <f>IS!AO4</f>
        <v>C1Q04A</v>
      </c>
      <c r="AP4" s="398" t="str">
        <f>IS!AP4</f>
        <v>C2Q04A</v>
      </c>
      <c r="AQ4" s="399" t="str">
        <f>IS!AQ4</f>
        <v>C3Q04A</v>
      </c>
      <c r="AR4" s="397" t="str">
        <f>IS!AR4</f>
        <v>C4Q04A</v>
      </c>
      <c r="AS4" s="398" t="str">
        <f>IS!AS4</f>
        <v>C1Q05A</v>
      </c>
      <c r="AT4" s="398" t="str">
        <f>IS!AT4</f>
        <v>C2Q05A</v>
      </c>
      <c r="AU4" s="399" t="str">
        <f>IS!AU4</f>
        <v>C3Q05A</v>
      </c>
      <c r="AV4" s="397" t="str">
        <f>IS!AV4</f>
        <v>C4Q05A</v>
      </c>
      <c r="AW4" s="398" t="str">
        <f>IS!AW4</f>
        <v>C1Q06A</v>
      </c>
      <c r="AX4" s="398" t="str">
        <f>IS!AX4</f>
        <v>C2Q06A</v>
      </c>
      <c r="AY4" s="399" t="str">
        <f>IS!AY4</f>
        <v>C3Q06A</v>
      </c>
      <c r="AZ4" s="397" t="str">
        <f>IS!AZ4</f>
        <v>C4Q06A</v>
      </c>
      <c r="BA4" s="398" t="str">
        <f>IS!BA4</f>
        <v>C1Q07A</v>
      </c>
      <c r="BB4" s="398" t="str">
        <f>IS!BB4</f>
        <v>C2Q07A</v>
      </c>
      <c r="BC4" s="399" t="str">
        <f>IS!BC4</f>
        <v>C3Q07A</v>
      </c>
      <c r="BD4" s="397" t="str">
        <f>IS!BD4</f>
        <v>C4Q07A</v>
      </c>
      <c r="BE4" s="398" t="str">
        <f>IS!BE4</f>
        <v>C1Q08A</v>
      </c>
      <c r="BF4" s="398" t="str">
        <f>IS!BF4</f>
        <v>C2Q08A</v>
      </c>
      <c r="BG4" s="399" t="str">
        <f>IS!BG4</f>
        <v>C3Q08A</v>
      </c>
      <c r="BH4" s="397" t="str">
        <f>IS!BH4</f>
        <v>C4Q08A</v>
      </c>
      <c r="BI4" s="398" t="str">
        <f>IS!BI4</f>
        <v>C1Q09A</v>
      </c>
      <c r="BJ4" s="398" t="str">
        <f>IS!BJ4</f>
        <v>C2Q09A</v>
      </c>
      <c r="BK4" s="399" t="str">
        <f>IS!BK4</f>
        <v>C3Q09A</v>
      </c>
      <c r="BL4" s="397" t="str">
        <f>IS!BL4</f>
        <v>C4Q09A</v>
      </c>
      <c r="BM4" s="398" t="str">
        <f>IS!BM4</f>
        <v>C1Q10A</v>
      </c>
      <c r="BN4" s="398" t="str">
        <f>IS!BN4</f>
        <v>C2Q10A</v>
      </c>
      <c r="BO4" s="399" t="str">
        <f>IS!BO4</f>
        <v>C3Q10A</v>
      </c>
      <c r="BP4" s="397" t="str">
        <f>IS!BP4</f>
        <v>C4Q10A</v>
      </c>
      <c r="BQ4" s="398" t="str">
        <f>IS!BQ4</f>
        <v>C1Q11A</v>
      </c>
      <c r="BR4" s="398" t="str">
        <f>IS!BR4</f>
        <v>C2Q11A</v>
      </c>
      <c r="BS4" s="399" t="str">
        <f>IS!BS4</f>
        <v>C3Q11A</v>
      </c>
      <c r="BT4" s="398" t="str">
        <f>IS!BT4</f>
        <v>C4Q11A</v>
      </c>
      <c r="BU4" s="398" t="str">
        <f>IS!BU4</f>
        <v>C1Q12A</v>
      </c>
      <c r="BV4" s="398" t="str">
        <f>IS!BV4</f>
        <v>C2Q12A</v>
      </c>
      <c r="BW4" s="399" t="str">
        <f>IS!BW4</f>
        <v>C3Q12A</v>
      </c>
      <c r="BX4" s="397" t="str">
        <f>IS!BX4</f>
        <v>C4Q12A</v>
      </c>
      <c r="BY4" s="398" t="str">
        <f>IS!BY4</f>
        <v>C1Q13A</v>
      </c>
      <c r="BZ4" s="398" t="str">
        <f>IS!BZ4</f>
        <v>C2Q13</v>
      </c>
      <c r="CA4" s="399" t="str">
        <f>IS!CA4</f>
        <v>C3Q13</v>
      </c>
      <c r="CB4" s="397" t="str">
        <f>IS!CB4</f>
        <v>C4Q13</v>
      </c>
      <c r="CC4" s="398" t="str">
        <f>IS!CC4</f>
        <v>C1Q14A</v>
      </c>
      <c r="CD4" s="398" t="str">
        <f>IS!CD4</f>
        <v>C2Q14</v>
      </c>
      <c r="CE4" s="399" t="str">
        <f>IS!CE4</f>
        <v>C3Q14</v>
      </c>
      <c r="CF4" s="397" t="str">
        <f>IS!CF4</f>
        <v>C4Q14A</v>
      </c>
      <c r="CG4" s="398" t="str">
        <f>IS!CG4</f>
        <v>C1Q15A</v>
      </c>
      <c r="CH4" s="398" t="str">
        <f>IS!CH4</f>
        <v>C2Q15A</v>
      </c>
      <c r="CI4" s="399" t="str">
        <f>IS!CI4</f>
        <v>C3Q15A</v>
      </c>
      <c r="CJ4" s="397" t="str">
        <f>IS!CJ4</f>
        <v>C4Q15A</v>
      </c>
      <c r="CK4" s="398" t="str">
        <f>IS!CK4</f>
        <v>C1Q16A</v>
      </c>
      <c r="CL4" s="398" t="str">
        <f>IS!CL4</f>
        <v>C2Q16A</v>
      </c>
      <c r="CM4" s="399" t="str">
        <f>IS!CM4</f>
        <v>C3Q16A</v>
      </c>
      <c r="CN4" s="398" t="str">
        <f>IS!CN4</f>
        <v>C4Q16A</v>
      </c>
      <c r="CO4" s="398" t="str">
        <f>IS!CO4</f>
        <v>C1Q17A</v>
      </c>
      <c r="CP4" s="398" t="str">
        <f>IS!CP4</f>
        <v>C2Q17A</v>
      </c>
      <c r="CQ4" s="399" t="str">
        <f>IS!CQ4</f>
        <v>C3Q17A</v>
      </c>
      <c r="CR4" s="398" t="str">
        <f>IS!CR4</f>
        <v>C4Q17A</v>
      </c>
      <c r="CS4" s="398" t="str">
        <f>IS!CS4</f>
        <v>C1Q18A</v>
      </c>
      <c r="CT4" s="398" t="str">
        <f>IS!CT4</f>
        <v>C2Q18E</v>
      </c>
      <c r="CU4" s="399" t="str">
        <f>IS!CU4</f>
        <v>C3Q18E</v>
      </c>
      <c r="CV4" s="1264" t="str">
        <f>IS!CV4</f>
        <v>C4Q18E</v>
      </c>
      <c r="CW4" s="1264" t="str">
        <f>IS!CW4</f>
        <v>C1Q19E</v>
      </c>
      <c r="CX4" s="1264" t="str">
        <f>IS!CX4</f>
        <v>C2Q19E</v>
      </c>
      <c r="CY4" s="399" t="str">
        <f>IS!CY4</f>
        <v>C3Q19E</v>
      </c>
      <c r="CZ4" s="1264" t="str">
        <f>IS!CZ4</f>
        <v>C4Q19E</v>
      </c>
      <c r="DA4" s="1264" t="str">
        <f>IS!DA4</f>
        <v>C1Q20E</v>
      </c>
      <c r="DB4" s="1264" t="str">
        <f>IS!DB4</f>
        <v>C2Q20E</v>
      </c>
      <c r="DC4" s="399" t="str">
        <f>IS!DC4</f>
        <v>C3Q20E</v>
      </c>
      <c r="DD4" s="21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10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231"/>
      <c r="EF4" s="406" t="str">
        <f>IS!EF4</f>
        <v>CY1995</v>
      </c>
      <c r="EG4" s="404" t="str">
        <f>IS!EG4</f>
        <v>CY1996</v>
      </c>
      <c r="EH4" s="404" t="str">
        <f>IS!EH4</f>
        <v>CY1997</v>
      </c>
      <c r="EI4" s="404" t="str">
        <f>IS!EI4</f>
        <v>CY1998</v>
      </c>
      <c r="EJ4" s="404" t="str">
        <f>IS!EJ4</f>
        <v>CY1999</v>
      </c>
      <c r="EK4" s="404" t="str">
        <f>IS!EK4</f>
        <v>CY2000</v>
      </c>
      <c r="EL4" s="404" t="str">
        <f>IS!EL4</f>
        <v>CY2001</v>
      </c>
      <c r="EM4" s="404" t="str">
        <f>IS!EM4</f>
        <v>CY2002</v>
      </c>
      <c r="EN4" s="404" t="str">
        <f>IS!EN4</f>
        <v>CY2003</v>
      </c>
      <c r="EO4" s="404" t="str">
        <f>IS!EO4</f>
        <v>CY2004</v>
      </c>
      <c r="EP4" s="404" t="str">
        <f>IS!EP4</f>
        <v>CY2005</v>
      </c>
      <c r="EQ4" s="404" t="str">
        <f>IS!EQ4</f>
        <v>CY2006</v>
      </c>
      <c r="ER4" s="404" t="str">
        <f>IS!ER4</f>
        <v>CY2007</v>
      </c>
      <c r="ES4" s="404" t="str">
        <f>IS!ES4</f>
        <v>CY2008</v>
      </c>
      <c r="ET4" s="404" t="str">
        <f>IS!ET4</f>
        <v>CY2009</v>
      </c>
      <c r="EU4" s="404" t="str">
        <f>IS!EU4</f>
        <v>CY2010</v>
      </c>
      <c r="EV4" s="404" t="str">
        <f>IS!EV4</f>
        <v>CY2011</v>
      </c>
      <c r="EW4" s="404" t="str">
        <f>IS!EW4</f>
        <v>CY2012</v>
      </c>
      <c r="EX4" s="404" t="str">
        <f>IS!EX4</f>
        <v>CY2013</v>
      </c>
      <c r="EY4" s="404" t="str">
        <f>IS!EY4</f>
        <v>CY2014</v>
      </c>
      <c r="EZ4" s="404" t="s">
        <v>560</v>
      </c>
      <c r="FA4" s="404" t="s">
        <v>561</v>
      </c>
      <c r="FB4" s="404" t="s">
        <v>574</v>
      </c>
      <c r="FC4" s="404" t="s">
        <v>602</v>
      </c>
      <c r="FD4" s="404" t="s">
        <v>612</v>
      </c>
      <c r="FE4" s="21"/>
      <c r="FF4" s="13"/>
      <c r="FG4" s="13"/>
      <c r="FH4" s="13"/>
      <c r="FO4" s="7"/>
    </row>
    <row r="5" spans="1:173" ht="14.25" customHeight="1">
      <c r="A5" s="7"/>
      <c r="B5" s="428" t="s">
        <v>407</v>
      </c>
      <c r="C5" s="12"/>
      <c r="D5" s="397">
        <f>IS!D5</f>
        <v>34668</v>
      </c>
      <c r="E5" s="398">
        <f>IS!E5</f>
        <v>34758</v>
      </c>
      <c r="F5" s="398">
        <f>IS!F5</f>
        <v>34850</v>
      </c>
      <c r="G5" s="399">
        <f>IS!G5</f>
        <v>34942</v>
      </c>
      <c r="H5" s="397">
        <f>IS!H5</f>
        <v>35033</v>
      </c>
      <c r="I5" s="398">
        <f>IS!I5</f>
        <v>35124</v>
      </c>
      <c r="J5" s="398">
        <f>IS!J5</f>
        <v>35216</v>
      </c>
      <c r="K5" s="399">
        <f>IS!K5</f>
        <v>35308</v>
      </c>
      <c r="L5" s="397">
        <f>IS!L5</f>
        <v>35399</v>
      </c>
      <c r="M5" s="398">
        <f>IS!M5</f>
        <v>35489</v>
      </c>
      <c r="N5" s="398">
        <f>IS!N5</f>
        <v>35581</v>
      </c>
      <c r="O5" s="399">
        <f>IS!O5</f>
        <v>35673</v>
      </c>
      <c r="P5" s="397">
        <f>IS!P5</f>
        <v>35764</v>
      </c>
      <c r="Q5" s="398">
        <f>IS!Q5</f>
        <v>35854</v>
      </c>
      <c r="R5" s="398">
        <f>IS!R5</f>
        <v>35946</v>
      </c>
      <c r="S5" s="399">
        <f>IS!S5</f>
        <v>36038</v>
      </c>
      <c r="T5" s="397">
        <f>IS!T5</f>
        <v>36129</v>
      </c>
      <c r="U5" s="398">
        <f>IS!U5</f>
        <v>36219</v>
      </c>
      <c r="V5" s="398">
        <f>IS!V5</f>
        <v>36311</v>
      </c>
      <c r="W5" s="399">
        <f>IS!W5</f>
        <v>36403</v>
      </c>
      <c r="X5" s="397">
        <f>IS!X5</f>
        <v>36494</v>
      </c>
      <c r="Y5" s="398">
        <f>IS!Y5</f>
        <v>36585</v>
      </c>
      <c r="Z5" s="398">
        <f>IS!Z5</f>
        <v>36677</v>
      </c>
      <c r="AA5" s="399">
        <f>IS!AA5</f>
        <v>36769</v>
      </c>
      <c r="AB5" s="397">
        <f>IS!AB5</f>
        <v>36860</v>
      </c>
      <c r="AC5" s="398">
        <f>IS!AC5</f>
        <v>36950</v>
      </c>
      <c r="AD5" s="398">
        <f>IS!AD5</f>
        <v>37042</v>
      </c>
      <c r="AE5" s="399">
        <f>IS!AE5</f>
        <v>37134</v>
      </c>
      <c r="AF5" s="397">
        <f>IS!AF5</f>
        <v>37225</v>
      </c>
      <c r="AG5" s="398">
        <f>IS!AG5</f>
        <v>37315</v>
      </c>
      <c r="AH5" s="398">
        <f>IS!AH5</f>
        <v>37407</v>
      </c>
      <c r="AI5" s="399">
        <f>IS!AI5</f>
        <v>37499</v>
      </c>
      <c r="AJ5" s="397">
        <f>IS!AJ5</f>
        <v>37590</v>
      </c>
      <c r="AK5" s="398">
        <f>IS!AK5</f>
        <v>37680</v>
      </c>
      <c r="AL5" s="398">
        <f>IS!AL5</f>
        <v>37772</v>
      </c>
      <c r="AM5" s="399">
        <f>IS!AM5</f>
        <v>37864</v>
      </c>
      <c r="AN5" s="397">
        <f>IS!AN5</f>
        <v>37955</v>
      </c>
      <c r="AO5" s="398">
        <f>IS!AO5</f>
        <v>38046</v>
      </c>
      <c r="AP5" s="398">
        <f>IS!AP5</f>
        <v>38138</v>
      </c>
      <c r="AQ5" s="399">
        <f>IS!AQ5</f>
        <v>38230</v>
      </c>
      <c r="AR5" s="397">
        <f>IS!AR5</f>
        <v>38321</v>
      </c>
      <c r="AS5" s="398">
        <f>IS!AS5</f>
        <v>38411</v>
      </c>
      <c r="AT5" s="398">
        <f>IS!AT5</f>
        <v>38503</v>
      </c>
      <c r="AU5" s="399">
        <f>IS!AU5</f>
        <v>38595</v>
      </c>
      <c r="AV5" s="397">
        <f>IS!AV5</f>
        <v>38686</v>
      </c>
      <c r="AW5" s="398">
        <f>IS!AW5</f>
        <v>38776</v>
      </c>
      <c r="AX5" s="398">
        <f>IS!AX5</f>
        <v>38868</v>
      </c>
      <c r="AY5" s="399">
        <f>IS!AY5</f>
        <v>38960</v>
      </c>
      <c r="AZ5" s="397">
        <f>IS!AZ5</f>
        <v>39051</v>
      </c>
      <c r="BA5" s="398">
        <f>IS!BA5</f>
        <v>39141</v>
      </c>
      <c r="BB5" s="398">
        <f>IS!BB5</f>
        <v>39233</v>
      </c>
      <c r="BC5" s="399">
        <f>IS!BC5</f>
        <v>39325</v>
      </c>
      <c r="BD5" s="397">
        <f>IS!BD5</f>
        <v>39416</v>
      </c>
      <c r="BE5" s="398">
        <f>IS!BE5</f>
        <v>39507</v>
      </c>
      <c r="BF5" s="398">
        <f>IS!BF5</f>
        <v>39599</v>
      </c>
      <c r="BG5" s="399">
        <f>IS!BG5</f>
        <v>39691</v>
      </c>
      <c r="BH5" s="397">
        <f>IS!BH5</f>
        <v>39782</v>
      </c>
      <c r="BI5" s="398">
        <f>IS!BI5</f>
        <v>39872</v>
      </c>
      <c r="BJ5" s="398">
        <f>IS!BJ5</f>
        <v>39964</v>
      </c>
      <c r="BK5" s="399">
        <f>IS!BK5</f>
        <v>40056</v>
      </c>
      <c r="BL5" s="397">
        <f>IS!BL5</f>
        <v>40147</v>
      </c>
      <c r="BM5" s="398">
        <f>IS!BM5</f>
        <v>40237</v>
      </c>
      <c r="BN5" s="398">
        <f>IS!BN5</f>
        <v>40329</v>
      </c>
      <c r="BO5" s="399">
        <f>IS!BO5</f>
        <v>40421</v>
      </c>
      <c r="BP5" s="397">
        <f>IS!BP5</f>
        <v>40512</v>
      </c>
      <c r="BQ5" s="398">
        <f>IS!BQ5</f>
        <v>40602</v>
      </c>
      <c r="BR5" s="398">
        <f>IS!BR5</f>
        <v>40694</v>
      </c>
      <c r="BS5" s="399">
        <f>IS!BS5</f>
        <v>40786</v>
      </c>
      <c r="BT5" s="398">
        <f>IS!BT5</f>
        <v>40877</v>
      </c>
      <c r="BU5" s="398">
        <f>IS!BU5</f>
        <v>40968</v>
      </c>
      <c r="BV5" s="398">
        <f>IS!BV5</f>
        <v>41060</v>
      </c>
      <c r="BW5" s="399">
        <f>IS!BW5</f>
        <v>41152</v>
      </c>
      <c r="BX5" s="397">
        <f>IS!BX5</f>
        <v>41243</v>
      </c>
      <c r="BY5" s="398">
        <f>IS!BY5</f>
        <v>41333</v>
      </c>
      <c r="BZ5" s="398">
        <f>IS!BZ5</f>
        <v>41425</v>
      </c>
      <c r="CA5" s="399">
        <f>IS!CA5</f>
        <v>41517</v>
      </c>
      <c r="CB5" s="397">
        <f>IS!CB5</f>
        <v>41608</v>
      </c>
      <c r="CC5" s="398">
        <f>IS!CC5</f>
        <v>41698</v>
      </c>
      <c r="CD5" s="398">
        <f>IS!CD5</f>
        <v>41790</v>
      </c>
      <c r="CE5" s="399">
        <f>IS!CE5</f>
        <v>41882</v>
      </c>
      <c r="CF5" s="397">
        <f>IS!CF5</f>
        <v>41973</v>
      </c>
      <c r="CG5" s="398">
        <f>IS!CG5</f>
        <v>42063</v>
      </c>
      <c r="CH5" s="398">
        <f>IS!CH5</f>
        <v>42155</v>
      </c>
      <c r="CI5" s="399">
        <f>IS!CI5</f>
        <v>42247</v>
      </c>
      <c r="CJ5" s="397">
        <f>IS!CJ5</f>
        <v>42338</v>
      </c>
      <c r="CK5" s="398">
        <f>IS!CK5</f>
        <v>42429</v>
      </c>
      <c r="CL5" s="398">
        <f>IS!CL5</f>
        <v>42521</v>
      </c>
      <c r="CM5" s="399">
        <f>IS!CM5</f>
        <v>42613</v>
      </c>
      <c r="CN5" s="398">
        <f>IS!CN5</f>
        <v>42704</v>
      </c>
      <c r="CO5" s="398">
        <f>IS!CO5</f>
        <v>42794</v>
      </c>
      <c r="CP5" s="398">
        <f>IS!CP5</f>
        <v>42886</v>
      </c>
      <c r="CQ5" s="399">
        <f>IS!CQ5</f>
        <v>42978</v>
      </c>
      <c r="CR5" s="398">
        <f>IS!CR5</f>
        <v>43069</v>
      </c>
      <c r="CS5" s="398">
        <f>IS!CS5</f>
        <v>43159</v>
      </c>
      <c r="CT5" s="398">
        <f>IS!CT5</f>
        <v>43251</v>
      </c>
      <c r="CU5" s="399">
        <f>IS!CU5</f>
        <v>43343</v>
      </c>
      <c r="CV5" s="1264">
        <f>IS!CV5</f>
        <v>43434</v>
      </c>
      <c r="CW5" s="1264">
        <f>IS!CW5</f>
        <v>43524</v>
      </c>
      <c r="CX5" s="1264">
        <f>IS!CX5</f>
        <v>43616</v>
      </c>
      <c r="CY5" s="399">
        <f>IS!CY5</f>
        <v>43708</v>
      </c>
      <c r="CZ5" s="1264">
        <f>IS!CZ5</f>
        <v>43799</v>
      </c>
      <c r="DA5" s="1264">
        <f>IS!DA5</f>
        <v>43889</v>
      </c>
      <c r="DB5" s="1264">
        <f>IS!DB5</f>
        <v>43982</v>
      </c>
      <c r="DC5" s="399">
        <f>IS!DC5</f>
        <v>44074</v>
      </c>
      <c r="DD5" s="21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0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231"/>
      <c r="EF5" s="397">
        <f>IS!EF5</f>
        <v>35064</v>
      </c>
      <c r="EG5" s="398">
        <f>IS!EG5</f>
        <v>35430</v>
      </c>
      <c r="EH5" s="398">
        <f>IS!EH5</f>
        <v>35795</v>
      </c>
      <c r="EI5" s="398">
        <f>IS!EI5</f>
        <v>36160</v>
      </c>
      <c r="EJ5" s="398">
        <f>IS!EJ5</f>
        <v>36525</v>
      </c>
      <c r="EK5" s="398">
        <f>IS!EK5</f>
        <v>36891</v>
      </c>
      <c r="EL5" s="398">
        <f>IS!EL5</f>
        <v>37256</v>
      </c>
      <c r="EM5" s="398">
        <f>IS!EM5</f>
        <v>37621</v>
      </c>
      <c r="EN5" s="398">
        <f>IS!EN5</f>
        <v>37986</v>
      </c>
      <c r="EO5" s="398">
        <f>IS!EO5</f>
        <v>38352</v>
      </c>
      <c r="EP5" s="398">
        <f>IS!EP5</f>
        <v>38717</v>
      </c>
      <c r="EQ5" s="398">
        <f>IS!EQ5</f>
        <v>39082</v>
      </c>
      <c r="ER5" s="398">
        <f>IS!ER5</f>
        <v>39447</v>
      </c>
      <c r="ES5" s="398">
        <f>IS!ES5</f>
        <v>39813</v>
      </c>
      <c r="ET5" s="1264">
        <f>IS!ET5</f>
        <v>40178</v>
      </c>
      <c r="EU5" s="1264">
        <f>IS!EU5</f>
        <v>40543</v>
      </c>
      <c r="EV5" s="1264">
        <f>IS!EV5</f>
        <v>40908</v>
      </c>
      <c r="EW5" s="398">
        <f>IS!EW5</f>
        <v>41274</v>
      </c>
      <c r="EX5" s="398">
        <f>IS!EX5</f>
        <v>41639</v>
      </c>
      <c r="EY5" s="398">
        <f>IS!EY5</f>
        <v>42004</v>
      </c>
      <c r="EZ5" s="1264">
        <v>42339</v>
      </c>
      <c r="FA5" s="1264">
        <v>42705</v>
      </c>
      <c r="FB5" s="1264">
        <v>43070</v>
      </c>
      <c r="FC5" s="1264">
        <v>43435</v>
      </c>
      <c r="FD5" s="1264">
        <v>43800</v>
      </c>
      <c r="FE5" s="21"/>
      <c r="FF5" s="13"/>
      <c r="FG5" s="13"/>
      <c r="FH5" s="13"/>
      <c r="FO5" s="7"/>
    </row>
    <row r="6" spans="1:173" ht="14.25" customHeight="1">
      <c r="A6" s="7"/>
      <c r="B6" s="428"/>
      <c r="C6" s="12"/>
      <c r="D6" s="15" t="str">
        <f>IS!D6</f>
        <v>F1Q95A</v>
      </c>
      <c r="E6" s="16" t="str">
        <f>IS!E6</f>
        <v>F2Q95A</v>
      </c>
      <c r="F6" s="16" t="str">
        <f>IS!F6</f>
        <v>F3Q95A</v>
      </c>
      <c r="G6" s="17" t="str">
        <f>IS!G6</f>
        <v>F4Q95A</v>
      </c>
      <c r="H6" s="15" t="str">
        <f>IS!H6</f>
        <v>F1Q96A</v>
      </c>
      <c r="I6" s="16" t="str">
        <f>IS!I6</f>
        <v>F2Q96A</v>
      </c>
      <c r="J6" s="16" t="str">
        <f>IS!J6</f>
        <v>F3Q96A</v>
      </c>
      <c r="K6" s="17" t="str">
        <f>IS!K6</f>
        <v>F4Q96A</v>
      </c>
      <c r="L6" s="15" t="str">
        <f>IS!L6</f>
        <v>F1Q97A</v>
      </c>
      <c r="M6" s="16" t="str">
        <f>IS!M6</f>
        <v>F2Q97A</v>
      </c>
      <c r="N6" s="16" t="str">
        <f>IS!N6</f>
        <v>F3Q97A</v>
      </c>
      <c r="O6" s="17" t="str">
        <f>IS!O6</f>
        <v>F4Q97A</v>
      </c>
      <c r="P6" s="15" t="str">
        <f>IS!P6</f>
        <v>F1Q98A</v>
      </c>
      <c r="Q6" s="16" t="str">
        <f>IS!Q6</f>
        <v>F2Q98A</v>
      </c>
      <c r="R6" s="16" t="str">
        <f>IS!R6</f>
        <v>F3Q98A</v>
      </c>
      <c r="S6" s="17" t="str">
        <f>IS!S6</f>
        <v>F4Q98A</v>
      </c>
      <c r="T6" s="15" t="str">
        <f>IS!T6</f>
        <v>F1Q99A</v>
      </c>
      <c r="U6" s="16" t="str">
        <f>IS!U6</f>
        <v>F2Q99A</v>
      </c>
      <c r="V6" s="16" t="str">
        <f>IS!V6</f>
        <v>F3Q99A</v>
      </c>
      <c r="W6" s="17" t="str">
        <f>IS!W6</f>
        <v>F4Q99A</v>
      </c>
      <c r="X6" s="15" t="str">
        <f>IS!X6</f>
        <v>F1Q00A</v>
      </c>
      <c r="Y6" s="16" t="str">
        <f>IS!Y6</f>
        <v>F2Q00A</v>
      </c>
      <c r="Z6" s="16" t="str">
        <f>IS!Z6</f>
        <v>F3Q00A</v>
      </c>
      <c r="AA6" s="17" t="str">
        <f>IS!AA6</f>
        <v>F4Q00A</v>
      </c>
      <c r="AB6" s="15" t="str">
        <f>IS!AB6</f>
        <v>F1Q01A</v>
      </c>
      <c r="AC6" s="16" t="str">
        <f>IS!AC6</f>
        <v>F2Q01A</v>
      </c>
      <c r="AD6" s="16" t="str">
        <f>IS!AD6</f>
        <v>F3Q01A</v>
      </c>
      <c r="AE6" s="17" t="str">
        <f>IS!AE6</f>
        <v>F4Q01A</v>
      </c>
      <c r="AF6" s="15" t="str">
        <f>IS!AF6</f>
        <v>F1Q02A</v>
      </c>
      <c r="AG6" s="16" t="str">
        <f>IS!AG6</f>
        <v>F2Q02A</v>
      </c>
      <c r="AH6" s="16" t="str">
        <f>IS!AH6</f>
        <v>F3Q02A</v>
      </c>
      <c r="AI6" s="17" t="str">
        <f>IS!AI6</f>
        <v>F4Q02A</v>
      </c>
      <c r="AJ6" s="15" t="str">
        <f>IS!AJ6</f>
        <v>F1Q03A</v>
      </c>
      <c r="AK6" s="16" t="str">
        <f>IS!AK6</f>
        <v>F2Q03A</v>
      </c>
      <c r="AL6" s="16" t="str">
        <f>IS!AL6</f>
        <v>F3Q03A</v>
      </c>
      <c r="AM6" s="17" t="str">
        <f>IS!AM6</f>
        <v>F4Q03A</v>
      </c>
      <c r="AN6" s="15" t="str">
        <f>IS!AN6</f>
        <v>F1Q04A</v>
      </c>
      <c r="AO6" s="16" t="str">
        <f>IS!AO6</f>
        <v>F2Q04A</v>
      </c>
      <c r="AP6" s="16" t="str">
        <f>IS!AP6</f>
        <v>F3Q04A</v>
      </c>
      <c r="AQ6" s="17" t="str">
        <f>IS!AQ6</f>
        <v>F4Q04A</v>
      </c>
      <c r="AR6" s="15" t="str">
        <f>IS!AR6</f>
        <v>F1Q05A</v>
      </c>
      <c r="AS6" s="16" t="str">
        <f>IS!AS6</f>
        <v>F2Q05A</v>
      </c>
      <c r="AT6" s="16" t="str">
        <f>IS!AT6</f>
        <v>F3Q05A</v>
      </c>
      <c r="AU6" s="17" t="str">
        <f>IS!AU6</f>
        <v>F4Q05A</v>
      </c>
      <c r="AV6" s="15" t="str">
        <f>IS!AV6</f>
        <v>F1Q06A</v>
      </c>
      <c r="AW6" s="16" t="str">
        <f>IS!AW6</f>
        <v>F2Q06A</v>
      </c>
      <c r="AX6" s="16" t="str">
        <f>IS!AX6</f>
        <v>F3Q06A</v>
      </c>
      <c r="AY6" s="17" t="str">
        <f>IS!AY6</f>
        <v>F4Q06A</v>
      </c>
      <c r="AZ6" s="15" t="str">
        <f>IS!AZ6</f>
        <v>F1Q07A</v>
      </c>
      <c r="BA6" s="16" t="str">
        <f>IS!BA6</f>
        <v>F2Q07A</v>
      </c>
      <c r="BB6" s="16" t="str">
        <f>IS!BB6</f>
        <v>F3Q07A</v>
      </c>
      <c r="BC6" s="17" t="str">
        <f>IS!BC6</f>
        <v>F4Q07A</v>
      </c>
      <c r="BD6" s="15" t="str">
        <f>IS!BD6</f>
        <v>F1Q08A</v>
      </c>
      <c r="BE6" s="16" t="str">
        <f>IS!BE6</f>
        <v>F2Q08A</v>
      </c>
      <c r="BF6" s="16" t="str">
        <f>IS!BF6</f>
        <v>F3Q08A</v>
      </c>
      <c r="BG6" s="17" t="str">
        <f>IS!BG6</f>
        <v>F4Q08A</v>
      </c>
      <c r="BH6" s="15" t="str">
        <f>IS!BH6</f>
        <v>F1Q09A</v>
      </c>
      <c r="BI6" s="16" t="str">
        <f>IS!BI6</f>
        <v>F2Q09A</v>
      </c>
      <c r="BJ6" s="16" t="str">
        <f>IS!BJ6</f>
        <v>F3Q09A</v>
      </c>
      <c r="BK6" s="17" t="str">
        <f>IS!BK6</f>
        <v>F4Q09A</v>
      </c>
      <c r="BL6" s="15" t="str">
        <f>IS!BL6</f>
        <v>F1Q10A</v>
      </c>
      <c r="BM6" s="16" t="str">
        <f>IS!BM6</f>
        <v>F2Q10A</v>
      </c>
      <c r="BN6" s="16" t="str">
        <f>IS!BN6</f>
        <v>F3Q10A</v>
      </c>
      <c r="BO6" s="17" t="str">
        <f>IS!BO6</f>
        <v>F4Q10A</v>
      </c>
      <c r="BP6" s="15" t="str">
        <f>IS!BP6</f>
        <v>F1Q11A</v>
      </c>
      <c r="BQ6" s="16" t="str">
        <f>IS!BQ6</f>
        <v>F2Q11A</v>
      </c>
      <c r="BR6" s="16" t="str">
        <f>IS!BR6</f>
        <v>F3Q11A</v>
      </c>
      <c r="BS6" s="17" t="str">
        <f>IS!BS6</f>
        <v>F4Q11A</v>
      </c>
      <c r="BT6" s="16" t="str">
        <f>IS!BT6</f>
        <v>F1Q12A</v>
      </c>
      <c r="BU6" s="16" t="str">
        <f>IS!BU6</f>
        <v>F2Q12A</v>
      </c>
      <c r="BV6" s="16" t="str">
        <f>IS!BV6</f>
        <v>F3Q12A</v>
      </c>
      <c r="BW6" s="17" t="str">
        <f>IS!BW6</f>
        <v>F4Q12A</v>
      </c>
      <c r="BX6" s="15" t="str">
        <f>IS!BX6</f>
        <v>F1Q13A</v>
      </c>
      <c r="BY6" s="16" t="str">
        <f>IS!BY6</f>
        <v>F2Q13A</v>
      </c>
      <c r="BZ6" s="16" t="str">
        <f>IS!BZ6</f>
        <v>F3Q13</v>
      </c>
      <c r="CA6" s="17" t="str">
        <f>IS!CA6</f>
        <v>F4Q13</v>
      </c>
      <c r="CB6" s="15" t="str">
        <f>IS!CB6</f>
        <v>F1Q14</v>
      </c>
      <c r="CC6" s="16" t="str">
        <f>IS!CC6</f>
        <v>F2Q14A</v>
      </c>
      <c r="CD6" s="16" t="str">
        <f>IS!CD6</f>
        <v>F3Q14A</v>
      </c>
      <c r="CE6" s="17" t="str">
        <f>IS!CE6</f>
        <v>F4Q14</v>
      </c>
      <c r="CF6" s="15" t="str">
        <f>IS!CF6</f>
        <v>F1Q15A</v>
      </c>
      <c r="CG6" s="16" t="str">
        <f>IS!CG6</f>
        <v>F2Q15A</v>
      </c>
      <c r="CH6" s="16" t="str">
        <f>IS!CH6</f>
        <v>F3Q15A</v>
      </c>
      <c r="CI6" s="17" t="str">
        <f>IS!CI6</f>
        <v>F4Q15A</v>
      </c>
      <c r="CJ6" s="15" t="str">
        <f>IS!CJ6</f>
        <v>F1Q16A</v>
      </c>
      <c r="CK6" s="16" t="str">
        <f>IS!CK6</f>
        <v>F2Q16A</v>
      </c>
      <c r="CL6" s="16" t="str">
        <f>IS!CL6</f>
        <v>F3Q16A</v>
      </c>
      <c r="CM6" s="17" t="str">
        <f>IS!CM6</f>
        <v>F4Q16A</v>
      </c>
      <c r="CN6" s="16" t="str">
        <f>IS!CN6</f>
        <v>F1Q17A</v>
      </c>
      <c r="CO6" s="16" t="str">
        <f>IS!CO6</f>
        <v>F2Q17A</v>
      </c>
      <c r="CP6" s="16" t="str">
        <f>IS!CP6</f>
        <v>F3Q17A</v>
      </c>
      <c r="CQ6" s="17" t="str">
        <f>IS!CQ6</f>
        <v>F4Q17A</v>
      </c>
      <c r="CR6" s="16" t="str">
        <f>IS!CR6</f>
        <v>F1Q18A</v>
      </c>
      <c r="CS6" s="16" t="str">
        <f>IS!CS6</f>
        <v>F2Q18A</v>
      </c>
      <c r="CT6" s="16" t="str">
        <f>IS!CT6</f>
        <v>F3Q18E</v>
      </c>
      <c r="CU6" s="17" t="str">
        <f>IS!CU6</f>
        <v>F4Q18E</v>
      </c>
      <c r="CV6" s="1319" t="str">
        <f>IS!CV6</f>
        <v>F1Q19E</v>
      </c>
      <c r="CW6" s="1319" t="str">
        <f>IS!CW6</f>
        <v>F2Q19E</v>
      </c>
      <c r="CX6" s="1319" t="str">
        <f>IS!CX6</f>
        <v>F3Q19E</v>
      </c>
      <c r="CY6" s="1320" t="str">
        <f>IS!CY6</f>
        <v>F4Q19E</v>
      </c>
      <c r="CZ6" s="1319" t="str">
        <f>IS!CZ6</f>
        <v>F1Q20E</v>
      </c>
      <c r="DA6" s="1319" t="str">
        <f>IS!DA6</f>
        <v>F2Q20E</v>
      </c>
      <c r="DB6" s="1319" t="str">
        <f>IS!DB6</f>
        <v>F3Q20E</v>
      </c>
      <c r="DC6" s="1320" t="str">
        <f>IS!DC6</f>
        <v>F4Q20E</v>
      </c>
      <c r="DD6" s="18"/>
      <c r="DE6" s="15" t="str">
        <f>IS!DE6</f>
        <v>FY1995A</v>
      </c>
      <c r="DF6" s="16" t="str">
        <f>IS!DF6</f>
        <v>FY1996A</v>
      </c>
      <c r="DG6" s="16" t="str">
        <f>IS!DG6</f>
        <v>FY1997A</v>
      </c>
      <c r="DH6" s="16" t="str">
        <f>IS!DH6</f>
        <v>FY1998A</v>
      </c>
      <c r="DI6" s="16" t="str">
        <f>IS!DI6</f>
        <v>FY1999A</v>
      </c>
      <c r="DJ6" s="16" t="str">
        <f>IS!DJ6</f>
        <v>FY2000A</v>
      </c>
      <c r="DK6" s="16" t="str">
        <f>IS!DK6</f>
        <v>FY2001A</v>
      </c>
      <c r="DL6" s="16" t="str">
        <f>IS!DL6</f>
        <v>FY2002A</v>
      </c>
      <c r="DM6" s="16" t="str">
        <f>IS!DM6</f>
        <v>FY2003A</v>
      </c>
      <c r="DN6" s="16" t="str">
        <f>IS!DN6</f>
        <v>FY2004A</v>
      </c>
      <c r="DO6" s="16" t="str">
        <f>IS!DO6</f>
        <v>FY2005A</v>
      </c>
      <c r="DP6" s="16" t="str">
        <f>IS!DP6</f>
        <v>FY2006A</v>
      </c>
      <c r="DQ6" s="16" t="str">
        <f>IS!DQ6</f>
        <v>FY2007A</v>
      </c>
      <c r="DR6" s="16" t="str">
        <f>IS!DR6</f>
        <v>FY2008A</v>
      </c>
      <c r="DS6" s="16" t="str">
        <f>IS!DS6</f>
        <v>FY2009A</v>
      </c>
      <c r="DT6" s="16" t="str">
        <f>IS!DT6</f>
        <v>FY2010A</v>
      </c>
      <c r="DU6" s="1319" t="str">
        <f>IS!DU6</f>
        <v>FY2011A</v>
      </c>
      <c r="DV6" s="1319" t="str">
        <f>IS!DV6</f>
        <v>FY2012A</v>
      </c>
      <c r="DW6" s="1319" t="str">
        <f>IS!DW6</f>
        <v>FY2013A</v>
      </c>
      <c r="DX6" s="1319" t="str">
        <f>IS!DX6</f>
        <v>FY2014A</v>
      </c>
      <c r="DY6" s="1319" t="str">
        <f>IS!DY6</f>
        <v>FY2015A</v>
      </c>
      <c r="DZ6" s="1319" t="str">
        <f>IS!DZ6</f>
        <v>FY2016A</v>
      </c>
      <c r="EA6" s="16" t="str">
        <f>IS!EA6</f>
        <v>FY2017A</v>
      </c>
      <c r="EB6" s="1319" t="str">
        <f>IS!EB6</f>
        <v>FY2018E</v>
      </c>
      <c r="EC6" s="1319" t="str">
        <f>IS!EC6</f>
        <v>FY2019E</v>
      </c>
      <c r="ED6" s="1320" t="str">
        <f>IS!ED6</f>
        <v>FY2020E</v>
      </c>
      <c r="EE6" s="18"/>
      <c r="EF6" s="508"/>
      <c r="EG6" s="509"/>
      <c r="EH6" s="509"/>
      <c r="EI6" s="509"/>
      <c r="EJ6" s="509"/>
      <c r="EK6" s="509"/>
      <c r="EL6" s="509"/>
      <c r="EM6" s="509"/>
      <c r="EN6" s="509"/>
      <c r="EO6" s="509"/>
      <c r="EP6" s="509"/>
      <c r="EQ6" s="509"/>
      <c r="ER6" s="509"/>
      <c r="ES6" s="509"/>
      <c r="ET6" s="509"/>
      <c r="EU6" s="509"/>
      <c r="EV6" s="509"/>
      <c r="EW6" s="509"/>
      <c r="EX6" s="509"/>
      <c r="EY6" s="509"/>
      <c r="EZ6" s="509"/>
      <c r="FA6" s="509"/>
      <c r="FB6" s="509"/>
      <c r="FC6" s="509"/>
      <c r="FD6" s="509"/>
      <c r="FE6" s="21"/>
      <c r="FF6" s="13"/>
      <c r="FG6" s="13"/>
      <c r="FH6" s="13"/>
      <c r="FO6" s="10"/>
    </row>
    <row r="7" spans="1:173" ht="14.25" customHeight="1">
      <c r="A7" s="7"/>
      <c r="B7" s="429" t="s">
        <v>285</v>
      </c>
      <c r="C7" s="92"/>
      <c r="D7" s="95"/>
      <c r="E7" s="93"/>
      <c r="F7" s="93"/>
      <c r="G7" s="94"/>
      <c r="H7" s="95"/>
      <c r="I7" s="93"/>
      <c r="J7" s="93"/>
      <c r="K7" s="94"/>
      <c r="L7" s="95"/>
      <c r="M7" s="93"/>
      <c r="N7" s="93"/>
      <c r="O7" s="94"/>
      <c r="P7" s="95"/>
      <c r="Q7" s="93"/>
      <c r="R7" s="93"/>
      <c r="S7" s="94"/>
      <c r="T7" s="95"/>
      <c r="U7" s="93"/>
      <c r="V7" s="93"/>
      <c r="W7" s="94"/>
      <c r="X7" s="95"/>
      <c r="Y7" s="93"/>
      <c r="Z7" s="93"/>
      <c r="AA7" s="94"/>
      <c r="AB7" s="95"/>
      <c r="AC7" s="93"/>
      <c r="AD7" s="93"/>
      <c r="AE7" s="94"/>
      <c r="AF7" s="95"/>
      <c r="AG7" s="93"/>
      <c r="AH7" s="93"/>
      <c r="AI7" s="94"/>
      <c r="AJ7" s="95"/>
      <c r="AK7" s="93"/>
      <c r="AL7" s="93"/>
      <c r="AM7" s="94"/>
      <c r="AN7" s="95"/>
      <c r="AO7" s="93"/>
      <c r="AP7" s="93"/>
      <c r="AQ7" s="94"/>
      <c r="AR7" s="95"/>
      <c r="AS7" s="93"/>
      <c r="AT7" s="93"/>
      <c r="AU7" s="94"/>
      <c r="AV7" s="95"/>
      <c r="AW7" s="93"/>
      <c r="AX7" s="93"/>
      <c r="AY7" s="94"/>
      <c r="AZ7" s="95"/>
      <c r="BA7" s="93"/>
      <c r="BB7" s="93"/>
      <c r="BC7" s="94"/>
      <c r="BD7" s="95"/>
      <c r="BE7" s="93"/>
      <c r="BF7" s="93"/>
      <c r="BG7" s="94"/>
      <c r="BH7" s="95"/>
      <c r="BI7" s="93"/>
      <c r="BJ7" s="93"/>
      <c r="BK7" s="94"/>
      <c r="BL7" s="95"/>
      <c r="BM7" s="93"/>
      <c r="BN7" s="93"/>
      <c r="BO7" s="94"/>
      <c r="BP7" s="95"/>
      <c r="BQ7" s="93"/>
      <c r="BR7" s="41"/>
      <c r="BS7" s="94"/>
      <c r="BT7" s="93"/>
      <c r="BU7" s="93"/>
      <c r="BV7" s="93"/>
      <c r="BW7" s="94"/>
      <c r="BX7" s="95"/>
      <c r="BY7" s="93"/>
      <c r="BZ7" s="93"/>
      <c r="CA7" s="94"/>
      <c r="CB7" s="95"/>
      <c r="CC7" s="93"/>
      <c r="CD7" s="93"/>
      <c r="CE7" s="94"/>
      <c r="CF7" s="95"/>
      <c r="CG7" s="93"/>
      <c r="CH7" s="93"/>
      <c r="CI7" s="94"/>
      <c r="CJ7" s="95"/>
      <c r="CK7" s="93"/>
      <c r="CL7" s="93"/>
      <c r="CM7" s="94"/>
      <c r="CN7" s="93"/>
      <c r="CO7" s="93"/>
      <c r="CP7" s="93"/>
      <c r="CQ7" s="94"/>
      <c r="CR7" s="93"/>
      <c r="CS7" s="93"/>
      <c r="CT7" s="93"/>
      <c r="CU7" s="94"/>
      <c r="CV7" s="93"/>
      <c r="CW7" s="93"/>
      <c r="CX7" s="93"/>
      <c r="CY7" s="94"/>
      <c r="CZ7" s="93"/>
      <c r="DA7" s="93"/>
      <c r="DB7" s="93"/>
      <c r="DC7" s="94"/>
      <c r="DD7" s="18"/>
      <c r="DE7" s="96"/>
      <c r="DF7" s="93"/>
      <c r="DG7" s="93"/>
      <c r="DH7" s="93"/>
      <c r="DI7" s="93"/>
      <c r="DJ7" s="93"/>
      <c r="DK7" s="93"/>
      <c r="DL7" s="93"/>
      <c r="DM7" s="93"/>
      <c r="DN7" s="93"/>
      <c r="DO7" s="93"/>
      <c r="DP7" s="93"/>
      <c r="DQ7" s="93"/>
      <c r="DR7" s="93"/>
      <c r="DS7" s="93"/>
      <c r="DT7" s="93"/>
      <c r="DU7" s="93"/>
      <c r="DV7" s="93"/>
      <c r="DW7" s="93"/>
      <c r="DX7" s="93"/>
      <c r="DY7" s="93"/>
      <c r="DZ7" s="93"/>
      <c r="EA7" s="93"/>
      <c r="EB7" s="93"/>
      <c r="EC7" s="93"/>
      <c r="ED7" s="97"/>
      <c r="EE7" s="18"/>
      <c r="EF7" s="95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/>
      <c r="EU7" s="93"/>
      <c r="EV7" s="93"/>
      <c r="EW7" s="93"/>
      <c r="EX7" s="93"/>
      <c r="EY7" s="93"/>
      <c r="EZ7" s="93"/>
      <c r="FA7" s="93"/>
      <c r="FB7" s="93"/>
      <c r="FC7" s="93"/>
      <c r="FD7" s="97"/>
      <c r="FE7" s="21"/>
      <c r="FF7" s="13"/>
      <c r="FG7" s="13"/>
      <c r="FH7" s="13"/>
      <c r="FO7" s="10"/>
    </row>
    <row r="8" spans="1:173" ht="14.25" customHeight="1">
      <c r="A8" s="7"/>
      <c r="B8" s="430" t="s">
        <v>286</v>
      </c>
      <c r="C8" s="25"/>
      <c r="D8" s="50"/>
      <c r="E8" s="41"/>
      <c r="F8" s="41"/>
      <c r="G8" s="42"/>
      <c r="H8" s="50"/>
      <c r="I8" s="41"/>
      <c r="J8" s="41"/>
      <c r="K8" s="42"/>
      <c r="L8" s="50">
        <v>222.3</v>
      </c>
      <c r="M8" s="41">
        <v>582.9</v>
      </c>
      <c r="N8" s="41">
        <v>433.5</v>
      </c>
      <c r="O8" s="42">
        <v>619.5</v>
      </c>
      <c r="P8" s="50">
        <v>342.4</v>
      </c>
      <c r="Q8" s="41">
        <v>560.5</v>
      </c>
      <c r="R8" s="41">
        <v>506.8</v>
      </c>
      <c r="S8" s="42">
        <v>558.6</v>
      </c>
      <c r="T8" s="50">
        <v>765.7</v>
      </c>
      <c r="U8" s="41">
        <v>428.900000000001</v>
      </c>
      <c r="V8" s="41">
        <v>350.6</v>
      </c>
      <c r="W8" s="42">
        <v>294.60000000000002</v>
      </c>
      <c r="X8" s="50">
        <v>441.60000000000099</v>
      </c>
      <c r="Y8" s="41">
        <v>429.9</v>
      </c>
      <c r="Z8" s="41">
        <v>383.2</v>
      </c>
      <c r="AA8" s="42">
        <v>701.7</v>
      </c>
      <c r="AB8" s="50">
        <v>568.70000000000005</v>
      </c>
      <c r="AC8" s="41">
        <v>599.9</v>
      </c>
      <c r="AD8" s="41">
        <v>622.70000000000005</v>
      </c>
      <c r="AE8" s="42">
        <v>469.1</v>
      </c>
      <c r="AF8" s="50">
        <v>357.9</v>
      </c>
      <c r="AG8" s="41">
        <v>677.9</v>
      </c>
      <c r="AH8" s="41">
        <v>333.7</v>
      </c>
      <c r="AI8" s="42">
        <v>398.2</v>
      </c>
      <c r="AJ8" s="50">
        <v>401.3</v>
      </c>
      <c r="AK8" s="41">
        <v>913.1</v>
      </c>
      <c r="AL8" s="41">
        <v>677.8</v>
      </c>
      <c r="AM8" s="42">
        <v>568.29999999999995</v>
      </c>
      <c r="AN8" s="50">
        <v>486.3</v>
      </c>
      <c r="AO8" s="41">
        <v>507.2</v>
      </c>
      <c r="AP8" s="41">
        <v>327.10000000000002</v>
      </c>
      <c r="AQ8" s="42">
        <v>484.1</v>
      </c>
      <c r="AR8" s="50">
        <v>318.8</v>
      </c>
      <c r="AS8" s="41">
        <v>357.5</v>
      </c>
      <c r="AT8" s="41">
        <v>468.3</v>
      </c>
      <c r="AU8" s="42">
        <v>522.5</v>
      </c>
      <c r="AV8" s="50">
        <v>661.1</v>
      </c>
      <c r="AW8" s="41">
        <v>1535.6</v>
      </c>
      <c r="AX8" s="41">
        <v>1467.7</v>
      </c>
      <c r="AY8" s="42">
        <v>1431.3</v>
      </c>
      <c r="AZ8" s="50">
        <v>1303</v>
      </c>
      <c r="BA8" s="41">
        <v>1566</v>
      </c>
      <c r="BB8" s="41">
        <v>2667</v>
      </c>
      <c r="BC8" s="42">
        <v>2192</v>
      </c>
      <c r="BD8" s="50">
        <v>1880</v>
      </c>
      <c r="BE8" s="41">
        <v>1708</v>
      </c>
      <c r="BF8" s="41">
        <v>1474</v>
      </c>
      <c r="BG8" s="42">
        <v>1243</v>
      </c>
      <c r="BH8" s="50">
        <v>1025</v>
      </c>
      <c r="BI8" s="41">
        <v>932</v>
      </c>
      <c r="BJ8" s="41">
        <v>1306</v>
      </c>
      <c r="BK8" s="42">
        <v>1485</v>
      </c>
      <c r="BL8" s="50">
        <v>1565</v>
      </c>
      <c r="BM8" s="41">
        <v>1870</v>
      </c>
      <c r="BN8" s="41">
        <v>2313</v>
      </c>
      <c r="BO8" s="42">
        <v>2913</v>
      </c>
      <c r="BP8" s="41">
        <v>2411</v>
      </c>
      <c r="BQ8" s="41">
        <v>2184</v>
      </c>
      <c r="BR8" s="41">
        <v>2395</v>
      </c>
      <c r="BS8" s="42">
        <v>2160</v>
      </c>
      <c r="BT8" s="41">
        <v>1915</v>
      </c>
      <c r="BU8" s="41">
        <v>2094</v>
      </c>
      <c r="BV8" s="41">
        <v>2191</v>
      </c>
      <c r="BW8" s="42">
        <v>2459</v>
      </c>
      <c r="BX8" s="50">
        <v>2102</v>
      </c>
      <c r="BY8" s="41">
        <v>2061</v>
      </c>
      <c r="BZ8" s="41">
        <v>2440</v>
      </c>
      <c r="CA8" s="42">
        <v>2880</v>
      </c>
      <c r="CB8" s="50">
        <v>3654</v>
      </c>
      <c r="CC8" s="41">
        <v>4305</v>
      </c>
      <c r="CD8" s="859">
        <v>4062</v>
      </c>
      <c r="CE8" s="42">
        <v>4150</v>
      </c>
      <c r="CF8" s="50">
        <v>3764</v>
      </c>
      <c r="CG8" s="41">
        <v>3547</v>
      </c>
      <c r="CH8" s="859">
        <v>3694</v>
      </c>
      <c r="CI8" s="42">
        <v>2287</v>
      </c>
      <c r="CJ8" s="50">
        <v>2605</v>
      </c>
      <c r="CK8" s="41">
        <v>3078</v>
      </c>
      <c r="CL8" s="859">
        <v>4627</v>
      </c>
      <c r="CM8" s="42">
        <v>4140</v>
      </c>
      <c r="CN8" s="50">
        <v>4139</v>
      </c>
      <c r="CO8" s="1289">
        <v>3633</v>
      </c>
      <c r="CP8" s="859">
        <f>4330-CP9</f>
        <v>4065</v>
      </c>
      <c r="CQ8" s="42">
        <v>5109</v>
      </c>
      <c r="CR8" s="50">
        <v>6008</v>
      </c>
      <c r="CS8" s="1443">
        <f>8042-CS9</f>
        <v>7876</v>
      </c>
      <c r="CT8" s="84">
        <f>CS8+CFS!CT57</f>
        <v>11875.975169087404</v>
      </c>
      <c r="CU8" s="85">
        <f>CT8+CFS!CU57</f>
        <v>14846.052040939898</v>
      </c>
      <c r="CV8" s="84">
        <f>CU8+CFS!CV57</f>
        <v>16698.994975012749</v>
      </c>
      <c r="CW8" s="84">
        <f>CV8+CFS!CW57</f>
        <v>18237.158819485157</v>
      </c>
      <c r="CX8" s="84">
        <f>CW8+CFS!CX57</f>
        <v>19274.015362767506</v>
      </c>
      <c r="CY8" s="85">
        <f>CX8+CFS!CY57</f>
        <v>19959.946412183035</v>
      </c>
      <c r="CZ8" s="84">
        <f>CY8+CFS!CZ57</f>
        <v>20733.594652083244</v>
      </c>
      <c r="DA8" s="84">
        <f>CZ8+CFS!DA57</f>
        <v>21021.860888705571</v>
      </c>
      <c r="DB8" s="84">
        <f>DA8+CFS!DB57</f>
        <v>21359.305480133407</v>
      </c>
      <c r="DC8" s="85">
        <f>DB8+CFS!DC57</f>
        <v>21626.147928009636</v>
      </c>
      <c r="DD8" s="894"/>
      <c r="DE8" s="84"/>
      <c r="DF8" s="84"/>
      <c r="DG8" s="84">
        <f t="shared" ref="DG8:DG14" si="0">O8</f>
        <v>619.5</v>
      </c>
      <c r="DH8" s="84">
        <f t="shared" ref="DH8:DH14" si="1">S8</f>
        <v>558.6</v>
      </c>
      <c r="DI8" s="84">
        <f t="shared" ref="DI8:DI14" si="2">W8</f>
        <v>294.60000000000002</v>
      </c>
      <c r="DJ8" s="84">
        <f t="shared" ref="DJ8:DJ14" si="3">AA8</f>
        <v>701.7</v>
      </c>
      <c r="DK8" s="84">
        <f t="shared" ref="DK8:DK14" si="4">AE8</f>
        <v>469.1</v>
      </c>
      <c r="DL8" s="84">
        <f t="shared" ref="DL8:DL14" si="5">AI8</f>
        <v>398.2</v>
      </c>
      <c r="DM8" s="84">
        <f t="shared" ref="DM8:DM14" si="6">AM8</f>
        <v>568.29999999999995</v>
      </c>
      <c r="DN8" s="84">
        <f t="shared" ref="DN8:DN14" si="7">AQ8</f>
        <v>484.1</v>
      </c>
      <c r="DO8" s="84">
        <f t="shared" ref="DO8:DO14" si="8">AU8</f>
        <v>522.5</v>
      </c>
      <c r="DP8" s="84">
        <f t="shared" ref="DP8:DP14" si="9">AY8</f>
        <v>1431.3</v>
      </c>
      <c r="DQ8" s="84">
        <f t="shared" ref="DQ8:DQ14" si="10">BC8</f>
        <v>2192</v>
      </c>
      <c r="DR8" s="84">
        <f t="shared" ref="DR8:DR14" si="11">BG8</f>
        <v>1243</v>
      </c>
      <c r="DS8" s="84">
        <f t="shared" ref="DS8:DS14" si="12">BK8</f>
        <v>1485</v>
      </c>
      <c r="DT8" s="84">
        <f t="shared" ref="DT8:DT14" si="13">BO8</f>
        <v>2913</v>
      </c>
      <c r="DU8" s="84">
        <f t="shared" ref="DU8:DU14" si="14">BS8</f>
        <v>2160</v>
      </c>
      <c r="DV8" s="84">
        <f t="shared" ref="DV8:DV14" si="15">BW8</f>
        <v>2459</v>
      </c>
      <c r="DW8" s="84">
        <f t="shared" ref="DW8:DW14" si="16">CA8</f>
        <v>2880</v>
      </c>
      <c r="DX8" s="84">
        <f t="shared" ref="DX8:DX14" si="17">CE8</f>
        <v>4150</v>
      </c>
      <c r="DY8" s="84">
        <f t="shared" ref="DY8:DY14" si="18">CI8</f>
        <v>2287</v>
      </c>
      <c r="DZ8" s="84">
        <f t="shared" ref="DZ8:DZ14" si="19">CM8</f>
        <v>4140</v>
      </c>
      <c r="EA8" s="84">
        <f>CQ8</f>
        <v>5109</v>
      </c>
      <c r="EB8" s="84">
        <f>CU8</f>
        <v>14846.052040939898</v>
      </c>
      <c r="EC8" s="84">
        <f>CY8</f>
        <v>19959.946412183035</v>
      </c>
      <c r="ED8" s="85">
        <f>DC8</f>
        <v>21626.147928009636</v>
      </c>
      <c r="EE8" s="715"/>
      <c r="EF8" s="83"/>
      <c r="EG8" s="84">
        <f t="shared" ref="EG8:EG14" si="20">L8</f>
        <v>222.3</v>
      </c>
      <c r="EH8" s="84">
        <f t="shared" ref="EH8:EH14" si="21">P8</f>
        <v>342.4</v>
      </c>
      <c r="EI8" s="84">
        <f t="shared" ref="EI8:EI14" si="22">T8</f>
        <v>765.7</v>
      </c>
      <c r="EJ8" s="84">
        <f t="shared" ref="EJ8:EJ14" si="23">X8</f>
        <v>441.60000000000099</v>
      </c>
      <c r="EK8" s="84">
        <f t="shared" ref="EK8:EK14" si="24">AB8</f>
        <v>568.70000000000005</v>
      </c>
      <c r="EL8" s="84">
        <f t="shared" ref="EL8:EL14" si="25">AF8</f>
        <v>357.9</v>
      </c>
      <c r="EM8" s="84">
        <f t="shared" ref="EM8:EM14" si="26">AJ8</f>
        <v>401.3</v>
      </c>
      <c r="EN8" s="84">
        <f t="shared" ref="EN8:EN14" si="27">AN8</f>
        <v>486.3</v>
      </c>
      <c r="EO8" s="84">
        <f t="shared" ref="EO8:EO14" si="28">AR8</f>
        <v>318.8</v>
      </c>
      <c r="EP8" s="84">
        <f t="shared" ref="EP8:EP14" si="29">AV8</f>
        <v>661.1</v>
      </c>
      <c r="EQ8" s="84">
        <f t="shared" ref="EQ8:EQ14" si="30">AZ8</f>
        <v>1303</v>
      </c>
      <c r="ER8" s="84">
        <f t="shared" ref="ER8:ER14" si="31">BD8</f>
        <v>1880</v>
      </c>
      <c r="ES8" s="84">
        <f t="shared" ref="ES8:ES14" si="32">BH8</f>
        <v>1025</v>
      </c>
      <c r="ET8" s="84">
        <f t="shared" ref="ET8:ET14" si="33">BL8</f>
        <v>1565</v>
      </c>
      <c r="EU8" s="84">
        <f t="shared" ref="EU8:EU14" si="34">BP8</f>
        <v>2411</v>
      </c>
      <c r="EV8" s="84">
        <f t="shared" ref="EV8:EV14" si="35">BT8</f>
        <v>1915</v>
      </c>
      <c r="EW8" s="84">
        <f t="shared" ref="EW8:EW14" si="36">BX8</f>
        <v>2102</v>
      </c>
      <c r="EX8" s="84">
        <f t="shared" ref="EX8:EX14" si="37">CB8</f>
        <v>3654</v>
      </c>
      <c r="EY8" s="84">
        <f>CF8</f>
        <v>3764</v>
      </c>
      <c r="EZ8" s="84">
        <f>CJ8</f>
        <v>2605</v>
      </c>
      <c r="FA8" s="84">
        <f>CN8</f>
        <v>4139</v>
      </c>
      <c r="FB8" s="84">
        <f>CR8</f>
        <v>6008</v>
      </c>
      <c r="FC8" s="84">
        <f>CV8</f>
        <v>16698.994975012749</v>
      </c>
      <c r="FD8" s="85">
        <f>CZ8</f>
        <v>20733.594652083244</v>
      </c>
      <c r="FE8" s="862"/>
      <c r="FF8" s="1398"/>
      <c r="FG8" s="1398"/>
      <c r="FH8" s="1398"/>
      <c r="FO8" s="10"/>
      <c r="FP8" s="725"/>
      <c r="FQ8" s="855"/>
    </row>
    <row r="9" spans="1:173" ht="14.25" customHeight="1">
      <c r="A9" s="7"/>
      <c r="B9" s="430" t="s">
        <v>379</v>
      </c>
      <c r="C9" s="25"/>
      <c r="D9" s="68"/>
      <c r="E9" s="69"/>
      <c r="F9" s="69"/>
      <c r="G9" s="70"/>
      <c r="H9" s="68"/>
      <c r="I9" s="69"/>
      <c r="J9" s="69"/>
      <c r="K9" s="70"/>
      <c r="L9" s="68">
        <v>5.5</v>
      </c>
      <c r="M9" s="69">
        <v>6</v>
      </c>
      <c r="N9" s="69">
        <v>87.5</v>
      </c>
      <c r="O9" s="70">
        <v>368.2</v>
      </c>
      <c r="P9" s="68">
        <v>585.79999999999995</v>
      </c>
      <c r="Q9" s="69">
        <v>374.4</v>
      </c>
      <c r="R9" s="69">
        <v>201.6</v>
      </c>
      <c r="S9" s="70">
        <v>90.8</v>
      </c>
      <c r="T9" s="68">
        <v>1159.0999999999999</v>
      </c>
      <c r="U9" s="69">
        <v>1353.7</v>
      </c>
      <c r="V9" s="69">
        <v>1309.9000000000001</v>
      </c>
      <c r="W9" s="70">
        <v>1318.9</v>
      </c>
      <c r="X9" s="68">
        <v>1444.8</v>
      </c>
      <c r="Y9" s="69">
        <v>1248.5</v>
      </c>
      <c r="Z9" s="69">
        <v>1464.5</v>
      </c>
      <c r="AA9" s="70">
        <v>1764.7</v>
      </c>
      <c r="AB9" s="68">
        <v>1894.8</v>
      </c>
      <c r="AC9" s="69">
        <v>1449.2</v>
      </c>
      <c r="AD9" s="69">
        <v>1105.9000000000001</v>
      </c>
      <c r="AE9" s="70">
        <v>1209.2</v>
      </c>
      <c r="AF9" s="68">
        <v>1373.7</v>
      </c>
      <c r="AG9" s="69">
        <v>803</v>
      </c>
      <c r="AH9" s="69">
        <v>918.1</v>
      </c>
      <c r="AI9" s="70">
        <v>587.5</v>
      </c>
      <c r="AJ9" s="68">
        <v>256.7</v>
      </c>
      <c r="AK9" s="69">
        <v>292.8</v>
      </c>
      <c r="AL9" s="69">
        <v>326</v>
      </c>
      <c r="AM9" s="70">
        <v>353.5</v>
      </c>
      <c r="AN9" s="68">
        <v>685.7</v>
      </c>
      <c r="AO9" s="69">
        <v>704.5</v>
      </c>
      <c r="AP9" s="69">
        <v>804.8</v>
      </c>
      <c r="AQ9" s="70">
        <v>746.9</v>
      </c>
      <c r="AR9" s="68">
        <v>731.4</v>
      </c>
      <c r="AS9" s="69">
        <v>776.1</v>
      </c>
      <c r="AT9" s="69">
        <v>827.3</v>
      </c>
      <c r="AU9" s="70">
        <v>767.9</v>
      </c>
      <c r="AV9" s="68">
        <v>716.3</v>
      </c>
      <c r="AW9" s="69">
        <v>1051.2</v>
      </c>
      <c r="AX9" s="69">
        <v>1362.3</v>
      </c>
      <c r="AY9" s="70">
        <v>1649.5</v>
      </c>
      <c r="AZ9" s="68">
        <v>1335</v>
      </c>
      <c r="BA9" s="69">
        <v>627</v>
      </c>
      <c r="BB9" s="69">
        <v>253</v>
      </c>
      <c r="BC9" s="70">
        <v>424</v>
      </c>
      <c r="BD9" s="68">
        <v>151</v>
      </c>
      <c r="BE9" s="69">
        <v>145</v>
      </c>
      <c r="BF9" s="69">
        <v>110</v>
      </c>
      <c r="BG9" s="70">
        <v>119</v>
      </c>
      <c r="BH9" s="68">
        <v>3</v>
      </c>
      <c r="BI9" s="69">
        <v>0</v>
      </c>
      <c r="BJ9" s="69">
        <v>0</v>
      </c>
      <c r="BK9" s="70">
        <v>0</v>
      </c>
      <c r="BL9" s="68">
        <v>0</v>
      </c>
      <c r="BM9" s="69">
        <v>0</v>
      </c>
      <c r="BN9" s="69">
        <v>0</v>
      </c>
      <c r="BO9" s="70">
        <v>0</v>
      </c>
      <c r="BP9" s="69">
        <v>0</v>
      </c>
      <c r="BQ9" s="69">
        <v>0</v>
      </c>
      <c r="BR9" s="69">
        <v>0</v>
      </c>
      <c r="BS9" s="70">
        <v>0</v>
      </c>
      <c r="BT9" s="69">
        <v>0</v>
      </c>
      <c r="BU9" s="69">
        <v>0</v>
      </c>
      <c r="BV9" s="69">
        <v>134</v>
      </c>
      <c r="BW9" s="70">
        <v>100</v>
      </c>
      <c r="BX9" s="68">
        <v>169</v>
      </c>
      <c r="BY9" s="69">
        <v>167</v>
      </c>
      <c r="BZ9" s="69">
        <v>112</v>
      </c>
      <c r="CA9" s="70">
        <v>221</v>
      </c>
      <c r="CB9" s="68">
        <v>216</v>
      </c>
      <c r="CC9" s="69">
        <v>199</v>
      </c>
      <c r="CD9" s="860">
        <v>202</v>
      </c>
      <c r="CE9" s="70">
        <v>384</v>
      </c>
      <c r="CF9" s="68">
        <v>466</v>
      </c>
      <c r="CG9" s="69">
        <v>932</v>
      </c>
      <c r="CH9" s="860">
        <v>1166</v>
      </c>
      <c r="CI9" s="70">
        <v>1234</v>
      </c>
      <c r="CJ9" s="68">
        <v>1036</v>
      </c>
      <c r="CK9" s="69">
        <v>957</v>
      </c>
      <c r="CL9" s="860">
        <v>354</v>
      </c>
      <c r="CM9" s="70">
        <v>258</v>
      </c>
      <c r="CN9" s="68">
        <v>30</v>
      </c>
      <c r="CO9" s="1290">
        <v>265</v>
      </c>
      <c r="CP9" s="860">
        <f>CO9</f>
        <v>265</v>
      </c>
      <c r="CQ9" s="70">
        <v>319</v>
      </c>
      <c r="CR9" s="68">
        <v>166</v>
      </c>
      <c r="CS9" s="1230">
        <f>CR9</f>
        <v>166</v>
      </c>
      <c r="CT9" s="66">
        <f t="shared" ref="CT9" si="38">+CS9</f>
        <v>166</v>
      </c>
      <c r="CU9" s="67">
        <f t="shared" ref="CU9" si="39">+CT9</f>
        <v>166</v>
      </c>
      <c r="CV9" s="66">
        <f t="shared" ref="CV9" si="40">+CU9</f>
        <v>166</v>
      </c>
      <c r="CW9" s="66">
        <f t="shared" ref="CW9" si="41">+CV9</f>
        <v>166</v>
      </c>
      <c r="CX9" s="66">
        <f t="shared" ref="CX9" si="42">+CW9</f>
        <v>166</v>
      </c>
      <c r="CY9" s="67">
        <f t="shared" ref="CY9" si="43">+CX9</f>
        <v>166</v>
      </c>
      <c r="CZ9" s="66">
        <f t="shared" ref="CZ9" si="44">+CY9</f>
        <v>166</v>
      </c>
      <c r="DA9" s="66">
        <f t="shared" ref="DA9" si="45">+CZ9</f>
        <v>166</v>
      </c>
      <c r="DB9" s="66">
        <f t="shared" ref="DB9" si="46">+DA9</f>
        <v>166</v>
      </c>
      <c r="DC9" s="67">
        <f t="shared" ref="DC9" si="47">+DB9</f>
        <v>166</v>
      </c>
      <c r="DD9" s="894"/>
      <c r="DE9" s="66"/>
      <c r="DF9" s="66"/>
      <c r="DG9" s="66">
        <f t="shared" si="0"/>
        <v>368.2</v>
      </c>
      <c r="DH9" s="66">
        <f t="shared" si="1"/>
        <v>90.8</v>
      </c>
      <c r="DI9" s="66">
        <f t="shared" si="2"/>
        <v>1318.9</v>
      </c>
      <c r="DJ9" s="66">
        <f t="shared" si="3"/>
        <v>1764.7</v>
      </c>
      <c r="DK9" s="66">
        <f t="shared" si="4"/>
        <v>1209.2</v>
      </c>
      <c r="DL9" s="66">
        <f t="shared" si="5"/>
        <v>587.5</v>
      </c>
      <c r="DM9" s="66">
        <f t="shared" si="6"/>
        <v>353.5</v>
      </c>
      <c r="DN9" s="66">
        <f t="shared" si="7"/>
        <v>746.9</v>
      </c>
      <c r="DO9" s="66">
        <f t="shared" si="8"/>
        <v>767.9</v>
      </c>
      <c r="DP9" s="66">
        <f t="shared" si="9"/>
        <v>1649.5</v>
      </c>
      <c r="DQ9" s="66">
        <f t="shared" si="10"/>
        <v>424</v>
      </c>
      <c r="DR9" s="66">
        <f t="shared" si="11"/>
        <v>119</v>
      </c>
      <c r="DS9" s="66">
        <f t="shared" si="12"/>
        <v>0</v>
      </c>
      <c r="DT9" s="66">
        <f t="shared" si="13"/>
        <v>0</v>
      </c>
      <c r="DU9" s="66">
        <f t="shared" si="14"/>
        <v>0</v>
      </c>
      <c r="DV9" s="66">
        <f t="shared" si="15"/>
        <v>100</v>
      </c>
      <c r="DW9" s="66">
        <f t="shared" si="16"/>
        <v>221</v>
      </c>
      <c r="DX9" s="66">
        <f t="shared" si="17"/>
        <v>384</v>
      </c>
      <c r="DY9" s="66">
        <f t="shared" si="18"/>
        <v>1234</v>
      </c>
      <c r="DZ9" s="66">
        <f t="shared" si="19"/>
        <v>258</v>
      </c>
      <c r="EA9" s="66">
        <f t="shared" ref="EA9:EA14" si="48">CQ9</f>
        <v>319</v>
      </c>
      <c r="EB9" s="66">
        <f t="shared" ref="EB9:EB14" si="49">CU9</f>
        <v>166</v>
      </c>
      <c r="EC9" s="66">
        <f t="shared" ref="EC9:EC14" si="50">CY9</f>
        <v>166</v>
      </c>
      <c r="ED9" s="67">
        <f t="shared" ref="ED9:ED14" si="51">DC9</f>
        <v>166</v>
      </c>
      <c r="EE9" s="715"/>
      <c r="EF9" s="65"/>
      <c r="EG9" s="66">
        <f t="shared" si="20"/>
        <v>5.5</v>
      </c>
      <c r="EH9" s="66">
        <f t="shared" si="21"/>
        <v>585.79999999999995</v>
      </c>
      <c r="EI9" s="66">
        <f t="shared" si="22"/>
        <v>1159.0999999999999</v>
      </c>
      <c r="EJ9" s="66">
        <f t="shared" si="23"/>
        <v>1444.8</v>
      </c>
      <c r="EK9" s="66">
        <f t="shared" si="24"/>
        <v>1894.8</v>
      </c>
      <c r="EL9" s="66">
        <f t="shared" si="25"/>
        <v>1373.7</v>
      </c>
      <c r="EM9" s="66">
        <f t="shared" si="26"/>
        <v>256.7</v>
      </c>
      <c r="EN9" s="66">
        <f t="shared" si="27"/>
        <v>685.7</v>
      </c>
      <c r="EO9" s="66">
        <f t="shared" si="28"/>
        <v>731.4</v>
      </c>
      <c r="EP9" s="66">
        <f t="shared" si="29"/>
        <v>716.3</v>
      </c>
      <c r="EQ9" s="66">
        <f t="shared" si="30"/>
        <v>1335</v>
      </c>
      <c r="ER9" s="66">
        <f t="shared" si="31"/>
        <v>151</v>
      </c>
      <c r="ES9" s="66">
        <f t="shared" si="32"/>
        <v>3</v>
      </c>
      <c r="ET9" s="66">
        <f t="shared" si="33"/>
        <v>0</v>
      </c>
      <c r="EU9" s="66">
        <f t="shared" si="34"/>
        <v>0</v>
      </c>
      <c r="EV9" s="66">
        <f t="shared" si="35"/>
        <v>0</v>
      </c>
      <c r="EW9" s="66">
        <f t="shared" si="36"/>
        <v>169</v>
      </c>
      <c r="EX9" s="66">
        <f t="shared" si="37"/>
        <v>216</v>
      </c>
      <c r="EY9" s="66">
        <f t="shared" ref="EY9:EY14" si="52">CF9</f>
        <v>466</v>
      </c>
      <c r="EZ9" s="66">
        <f t="shared" ref="EZ9:EZ14" si="53">CJ9</f>
        <v>1036</v>
      </c>
      <c r="FA9" s="66">
        <f t="shared" ref="FA9:FA14" si="54">CN9</f>
        <v>30</v>
      </c>
      <c r="FB9" s="66">
        <f t="shared" ref="FB9:FB14" si="55">CR9</f>
        <v>166</v>
      </c>
      <c r="FC9" s="66">
        <f t="shared" ref="FC9:FC14" si="56">CV9</f>
        <v>166</v>
      </c>
      <c r="FD9" s="67">
        <f t="shared" ref="FD9:FD14" si="57">CZ9</f>
        <v>166</v>
      </c>
      <c r="FE9" s="862"/>
      <c r="FF9" s="1398"/>
      <c r="FG9" s="1398"/>
      <c r="FH9" s="1398"/>
      <c r="FO9" s="10"/>
      <c r="FP9" s="770"/>
      <c r="FQ9" s="855"/>
    </row>
    <row r="10" spans="1:173" ht="14.25" customHeight="1">
      <c r="A10" s="7"/>
      <c r="B10" s="430" t="s">
        <v>363</v>
      </c>
      <c r="C10" s="25"/>
      <c r="D10" s="68"/>
      <c r="E10" s="69"/>
      <c r="F10" s="69"/>
      <c r="G10" s="70"/>
      <c r="H10" s="68"/>
      <c r="I10" s="69"/>
      <c r="J10" s="69"/>
      <c r="K10" s="70"/>
      <c r="L10" s="68">
        <v>0</v>
      </c>
      <c r="M10" s="69">
        <v>0</v>
      </c>
      <c r="N10" s="69">
        <v>0</v>
      </c>
      <c r="O10" s="70">
        <v>0</v>
      </c>
      <c r="P10" s="68">
        <v>0</v>
      </c>
      <c r="Q10" s="69">
        <v>0</v>
      </c>
      <c r="R10" s="69">
        <v>0</v>
      </c>
      <c r="S10" s="70">
        <v>0</v>
      </c>
      <c r="T10" s="68">
        <v>0</v>
      </c>
      <c r="U10" s="69">
        <v>0</v>
      </c>
      <c r="V10" s="69">
        <v>0</v>
      </c>
      <c r="W10" s="70">
        <v>0</v>
      </c>
      <c r="X10" s="68">
        <v>0</v>
      </c>
      <c r="Y10" s="69">
        <v>0</v>
      </c>
      <c r="Z10" s="69">
        <v>0</v>
      </c>
      <c r="AA10" s="70">
        <v>0</v>
      </c>
      <c r="AB10" s="68">
        <v>0</v>
      </c>
      <c r="AC10" s="69">
        <v>0</v>
      </c>
      <c r="AD10" s="69">
        <v>0</v>
      </c>
      <c r="AE10" s="70">
        <v>0</v>
      </c>
      <c r="AF10" s="68">
        <v>0</v>
      </c>
      <c r="AG10" s="69">
        <v>0</v>
      </c>
      <c r="AH10" s="69">
        <v>0</v>
      </c>
      <c r="AI10" s="70">
        <v>0</v>
      </c>
      <c r="AJ10" s="68">
        <v>0</v>
      </c>
      <c r="AK10" s="69">
        <v>0</v>
      </c>
      <c r="AL10" s="69">
        <v>0</v>
      </c>
      <c r="AM10" s="70">
        <v>0</v>
      </c>
      <c r="AN10" s="68">
        <v>0</v>
      </c>
      <c r="AO10" s="69">
        <v>0</v>
      </c>
      <c r="AP10" s="69">
        <v>0</v>
      </c>
      <c r="AQ10" s="70">
        <v>0</v>
      </c>
      <c r="AR10" s="68">
        <v>0</v>
      </c>
      <c r="AS10" s="69">
        <v>0</v>
      </c>
      <c r="AT10" s="69">
        <v>0</v>
      </c>
      <c r="AU10" s="70">
        <v>0</v>
      </c>
      <c r="AV10" s="68">
        <v>0</v>
      </c>
      <c r="AW10" s="69">
        <v>0</v>
      </c>
      <c r="AX10" s="69">
        <v>0</v>
      </c>
      <c r="AY10" s="70">
        <v>0</v>
      </c>
      <c r="AZ10" s="68">
        <v>0</v>
      </c>
      <c r="BA10" s="69">
        <v>0</v>
      </c>
      <c r="BB10" s="69">
        <v>0</v>
      </c>
      <c r="BC10" s="70">
        <v>0</v>
      </c>
      <c r="BD10" s="68">
        <v>0</v>
      </c>
      <c r="BE10" s="69">
        <v>0</v>
      </c>
      <c r="BF10" s="69">
        <v>0</v>
      </c>
      <c r="BG10" s="70">
        <v>0</v>
      </c>
      <c r="BH10" s="68">
        <v>0</v>
      </c>
      <c r="BI10" s="69">
        <v>0</v>
      </c>
      <c r="BJ10" s="69">
        <v>0</v>
      </c>
      <c r="BK10" s="70">
        <v>0</v>
      </c>
      <c r="BL10" s="68">
        <v>0</v>
      </c>
      <c r="BM10" s="69">
        <v>0</v>
      </c>
      <c r="BN10" s="69">
        <v>0</v>
      </c>
      <c r="BO10" s="70">
        <v>0</v>
      </c>
      <c r="BP10" s="69">
        <v>0</v>
      </c>
      <c r="BQ10" s="69">
        <v>0</v>
      </c>
      <c r="BR10" s="69">
        <v>0</v>
      </c>
      <c r="BS10" s="70">
        <v>0</v>
      </c>
      <c r="BT10" s="69">
        <v>0</v>
      </c>
      <c r="BU10" s="69">
        <v>0</v>
      </c>
      <c r="BV10" s="69">
        <v>0</v>
      </c>
      <c r="BW10" s="70">
        <v>0</v>
      </c>
      <c r="BX10" s="68">
        <v>0</v>
      </c>
      <c r="BY10" s="69">
        <v>0</v>
      </c>
      <c r="BZ10" s="69">
        <v>0</v>
      </c>
      <c r="CA10" s="70">
        <v>556</v>
      </c>
      <c r="CB10" s="68">
        <v>0</v>
      </c>
      <c r="CC10" s="69">
        <v>0</v>
      </c>
      <c r="CD10" s="69">
        <v>0</v>
      </c>
      <c r="CE10" s="70">
        <v>0</v>
      </c>
      <c r="CF10" s="68">
        <v>0</v>
      </c>
      <c r="CG10" s="69">
        <v>0</v>
      </c>
      <c r="CH10" s="69">
        <v>0</v>
      </c>
      <c r="CI10" s="70">
        <v>0</v>
      </c>
      <c r="CJ10" s="68">
        <v>0</v>
      </c>
      <c r="CK10" s="69">
        <v>0</v>
      </c>
      <c r="CL10" s="69">
        <v>0</v>
      </c>
      <c r="CM10" s="70">
        <v>0</v>
      </c>
      <c r="CN10" s="68">
        <v>0</v>
      </c>
      <c r="CO10" s="1290">
        <v>0</v>
      </c>
      <c r="CP10" s="69">
        <v>0</v>
      </c>
      <c r="CQ10" s="70">
        <v>0</v>
      </c>
      <c r="CR10" s="68">
        <v>0</v>
      </c>
      <c r="CS10" s="1290">
        <v>0</v>
      </c>
      <c r="CT10" s="66">
        <f>CS10-CFS!CT35</f>
        <v>0</v>
      </c>
      <c r="CU10" s="67">
        <f>CT10-CFS!CU35</f>
        <v>0</v>
      </c>
      <c r="CV10" s="66">
        <f>CU10-CFS!CV35</f>
        <v>0</v>
      </c>
      <c r="CW10" s="66">
        <f>CV10-CFS!CW35</f>
        <v>0</v>
      </c>
      <c r="CX10" s="66">
        <f>CW10-CFS!CX35</f>
        <v>0</v>
      </c>
      <c r="CY10" s="67">
        <f>CX10-CFS!CY35</f>
        <v>0</v>
      </c>
      <c r="CZ10" s="66">
        <f>CY10-CFS!CZ35</f>
        <v>0</v>
      </c>
      <c r="DA10" s="66">
        <f>CZ10-CFS!DA35</f>
        <v>0</v>
      </c>
      <c r="DB10" s="66">
        <f>DA10-CFS!DB35</f>
        <v>0</v>
      </c>
      <c r="DC10" s="67">
        <f>DB10-CFS!DC35</f>
        <v>0</v>
      </c>
      <c r="DD10" s="894"/>
      <c r="DE10" s="66"/>
      <c r="DF10" s="66"/>
      <c r="DG10" s="66">
        <f t="shared" si="0"/>
        <v>0</v>
      </c>
      <c r="DH10" s="66">
        <f t="shared" si="1"/>
        <v>0</v>
      </c>
      <c r="DI10" s="66">
        <f t="shared" si="2"/>
        <v>0</v>
      </c>
      <c r="DJ10" s="66">
        <f t="shared" si="3"/>
        <v>0</v>
      </c>
      <c r="DK10" s="66">
        <f t="shared" si="4"/>
        <v>0</v>
      </c>
      <c r="DL10" s="66">
        <f t="shared" si="5"/>
        <v>0</v>
      </c>
      <c r="DM10" s="66">
        <f t="shared" si="6"/>
        <v>0</v>
      </c>
      <c r="DN10" s="66">
        <f t="shared" si="7"/>
        <v>0</v>
      </c>
      <c r="DO10" s="66">
        <f t="shared" si="8"/>
        <v>0</v>
      </c>
      <c r="DP10" s="66">
        <f t="shared" si="9"/>
        <v>0</v>
      </c>
      <c r="DQ10" s="66">
        <f t="shared" si="10"/>
        <v>0</v>
      </c>
      <c r="DR10" s="66">
        <f t="shared" si="11"/>
        <v>0</v>
      </c>
      <c r="DS10" s="66">
        <f t="shared" si="12"/>
        <v>0</v>
      </c>
      <c r="DT10" s="66">
        <f t="shared" si="13"/>
        <v>0</v>
      </c>
      <c r="DU10" s="66">
        <f t="shared" si="14"/>
        <v>0</v>
      </c>
      <c r="DV10" s="66">
        <f t="shared" si="15"/>
        <v>0</v>
      </c>
      <c r="DW10" s="66">
        <f t="shared" si="16"/>
        <v>556</v>
      </c>
      <c r="DX10" s="66">
        <f t="shared" si="17"/>
        <v>0</v>
      </c>
      <c r="DY10" s="66">
        <f t="shared" si="18"/>
        <v>0</v>
      </c>
      <c r="DZ10" s="66">
        <f t="shared" si="19"/>
        <v>0</v>
      </c>
      <c r="EA10" s="66">
        <f t="shared" si="48"/>
        <v>0</v>
      </c>
      <c r="EB10" s="66">
        <f t="shared" si="49"/>
        <v>0</v>
      </c>
      <c r="EC10" s="66">
        <f t="shared" si="50"/>
        <v>0</v>
      </c>
      <c r="ED10" s="67">
        <f t="shared" si="51"/>
        <v>0</v>
      </c>
      <c r="EE10" s="715"/>
      <c r="EF10" s="65"/>
      <c r="EG10" s="66">
        <f t="shared" si="20"/>
        <v>0</v>
      </c>
      <c r="EH10" s="66">
        <f t="shared" si="21"/>
        <v>0</v>
      </c>
      <c r="EI10" s="66">
        <f t="shared" si="22"/>
        <v>0</v>
      </c>
      <c r="EJ10" s="66">
        <f t="shared" si="23"/>
        <v>0</v>
      </c>
      <c r="EK10" s="66">
        <f t="shared" si="24"/>
        <v>0</v>
      </c>
      <c r="EL10" s="66">
        <f t="shared" si="25"/>
        <v>0</v>
      </c>
      <c r="EM10" s="66">
        <f t="shared" si="26"/>
        <v>0</v>
      </c>
      <c r="EN10" s="66">
        <f t="shared" si="27"/>
        <v>0</v>
      </c>
      <c r="EO10" s="66">
        <f t="shared" si="28"/>
        <v>0</v>
      </c>
      <c r="EP10" s="66">
        <f t="shared" si="29"/>
        <v>0</v>
      </c>
      <c r="EQ10" s="66">
        <f t="shared" si="30"/>
        <v>0</v>
      </c>
      <c r="ER10" s="66">
        <f t="shared" si="31"/>
        <v>0</v>
      </c>
      <c r="ES10" s="66">
        <f t="shared" si="32"/>
        <v>0</v>
      </c>
      <c r="ET10" s="66">
        <f t="shared" si="33"/>
        <v>0</v>
      </c>
      <c r="EU10" s="66">
        <f t="shared" si="34"/>
        <v>0</v>
      </c>
      <c r="EV10" s="66">
        <f t="shared" si="35"/>
        <v>0</v>
      </c>
      <c r="EW10" s="66">
        <f t="shared" si="36"/>
        <v>0</v>
      </c>
      <c r="EX10" s="66">
        <f t="shared" si="37"/>
        <v>0</v>
      </c>
      <c r="EY10" s="66">
        <f t="shared" si="52"/>
        <v>0</v>
      </c>
      <c r="EZ10" s="66">
        <f t="shared" si="53"/>
        <v>0</v>
      </c>
      <c r="FA10" s="66">
        <f t="shared" si="54"/>
        <v>0</v>
      </c>
      <c r="FB10" s="66">
        <f t="shared" si="55"/>
        <v>0</v>
      </c>
      <c r="FC10" s="66">
        <f t="shared" si="56"/>
        <v>0</v>
      </c>
      <c r="FD10" s="67">
        <f t="shared" si="57"/>
        <v>0</v>
      </c>
      <c r="FE10" s="862"/>
      <c r="FF10" s="1398"/>
      <c r="FG10" s="1398"/>
      <c r="FH10" s="1398"/>
      <c r="FO10" s="10"/>
      <c r="FP10" s="770"/>
      <c r="FQ10" s="855"/>
    </row>
    <row r="11" spans="1:173" ht="14.25" customHeight="1">
      <c r="A11" s="7"/>
      <c r="B11" s="430" t="s">
        <v>287</v>
      </c>
      <c r="C11" s="25"/>
      <c r="D11" s="68"/>
      <c r="E11" s="69"/>
      <c r="F11" s="69"/>
      <c r="G11" s="70"/>
      <c r="H11" s="68"/>
      <c r="I11" s="69"/>
      <c r="J11" s="69"/>
      <c r="K11" s="70"/>
      <c r="L11" s="68">
        <v>315.3</v>
      </c>
      <c r="M11" s="69">
        <v>304</v>
      </c>
      <c r="N11" s="69">
        <v>367.3</v>
      </c>
      <c r="O11" s="70">
        <v>458.9</v>
      </c>
      <c r="P11" s="68">
        <v>436.6</v>
      </c>
      <c r="Q11" s="69">
        <v>353.7</v>
      </c>
      <c r="R11" s="69">
        <v>397.8</v>
      </c>
      <c r="S11" s="70">
        <v>489.5</v>
      </c>
      <c r="T11" s="68">
        <v>481.6</v>
      </c>
      <c r="U11" s="69">
        <v>591.9</v>
      </c>
      <c r="V11" s="69">
        <v>561.5</v>
      </c>
      <c r="W11" s="70">
        <v>692.6</v>
      </c>
      <c r="X11" s="68">
        <v>916.4</v>
      </c>
      <c r="Y11" s="69">
        <v>875.8</v>
      </c>
      <c r="Z11" s="69">
        <v>1143.9000000000001</v>
      </c>
      <c r="AA11" s="70">
        <v>1573.7</v>
      </c>
      <c r="AB11" s="68">
        <v>992.6</v>
      </c>
      <c r="AC11" s="69">
        <v>579.4</v>
      </c>
      <c r="AD11" s="69">
        <v>678.8</v>
      </c>
      <c r="AE11" s="70">
        <v>791.6</v>
      </c>
      <c r="AF11" s="68">
        <v>296.60000000000002</v>
      </c>
      <c r="AG11" s="69">
        <v>462.6</v>
      </c>
      <c r="AH11" s="69">
        <v>585</v>
      </c>
      <c r="AI11" s="70">
        <v>537.9</v>
      </c>
      <c r="AJ11" s="68">
        <v>443.5</v>
      </c>
      <c r="AK11" s="69">
        <v>482.6</v>
      </c>
      <c r="AL11" s="69">
        <v>495.5</v>
      </c>
      <c r="AM11" s="70">
        <v>642.5</v>
      </c>
      <c r="AN11" s="68">
        <v>723.7</v>
      </c>
      <c r="AO11" s="69">
        <v>710.7</v>
      </c>
      <c r="AP11" s="69">
        <v>769.7</v>
      </c>
      <c r="AQ11" s="70">
        <v>773.7</v>
      </c>
      <c r="AR11" s="68">
        <v>860.8</v>
      </c>
      <c r="AS11" s="69">
        <v>938.2</v>
      </c>
      <c r="AT11" s="69">
        <v>735.4</v>
      </c>
      <c r="AU11" s="70">
        <v>794.4</v>
      </c>
      <c r="AV11" s="68">
        <v>805.3</v>
      </c>
      <c r="AW11" s="69">
        <v>926.7</v>
      </c>
      <c r="AX11" s="69">
        <v>805.7</v>
      </c>
      <c r="AY11" s="70">
        <v>956.1</v>
      </c>
      <c r="AZ11" s="68">
        <v>996</v>
      </c>
      <c r="BA11" s="69">
        <v>943</v>
      </c>
      <c r="BB11" s="69">
        <v>839</v>
      </c>
      <c r="BC11" s="70">
        <v>994</v>
      </c>
      <c r="BD11" s="68">
        <v>1067</v>
      </c>
      <c r="BE11" s="69">
        <v>894</v>
      </c>
      <c r="BF11" s="69">
        <v>995</v>
      </c>
      <c r="BG11" s="70">
        <v>1032</v>
      </c>
      <c r="BH11" s="68">
        <v>1031</v>
      </c>
      <c r="BI11" s="69">
        <v>654</v>
      </c>
      <c r="BJ11" s="69">
        <v>750</v>
      </c>
      <c r="BK11" s="70">
        <v>798</v>
      </c>
      <c r="BL11" s="68">
        <v>1091</v>
      </c>
      <c r="BM11" s="69">
        <v>1072</v>
      </c>
      <c r="BN11" s="69">
        <v>1568</v>
      </c>
      <c r="BO11" s="70">
        <v>1531</v>
      </c>
      <c r="BP11" s="69">
        <v>1362</v>
      </c>
      <c r="BQ11" s="69">
        <v>1393</v>
      </c>
      <c r="BR11" s="69">
        <v>1495</v>
      </c>
      <c r="BS11" s="70">
        <v>1497</v>
      </c>
      <c r="BT11" s="69">
        <v>1383</v>
      </c>
      <c r="BU11" s="69">
        <v>1241</v>
      </c>
      <c r="BV11" s="69">
        <v>1333</v>
      </c>
      <c r="BW11" s="70">
        <v>1289</v>
      </c>
      <c r="BX11" s="68">
        <v>1139</v>
      </c>
      <c r="BY11" s="69">
        <v>1226</v>
      </c>
      <c r="BZ11" s="69">
        <v>1503</v>
      </c>
      <c r="CA11" s="70">
        <v>2329</v>
      </c>
      <c r="CB11" s="68">
        <v>2833</v>
      </c>
      <c r="CC11" s="69">
        <v>2826</v>
      </c>
      <c r="CD11" s="69">
        <v>2715</v>
      </c>
      <c r="CE11" s="70">
        <v>2906</v>
      </c>
      <c r="CF11" s="68">
        <v>2663</v>
      </c>
      <c r="CG11" s="69">
        <v>2761</v>
      </c>
      <c r="CH11" s="69">
        <v>2530</v>
      </c>
      <c r="CI11" s="70">
        <v>2507</v>
      </c>
      <c r="CJ11" s="68">
        <v>2223</v>
      </c>
      <c r="CK11" s="69">
        <v>1984</v>
      </c>
      <c r="CL11" s="69">
        <v>2073</v>
      </c>
      <c r="CM11" s="70">
        <v>2068</v>
      </c>
      <c r="CN11" s="68">
        <v>2453</v>
      </c>
      <c r="CO11" s="1290">
        <v>2891</v>
      </c>
      <c r="CP11" s="69">
        <v>3497</v>
      </c>
      <c r="CQ11" s="70">
        <v>3759</v>
      </c>
      <c r="CR11" s="68">
        <v>3876</v>
      </c>
      <c r="CS11" s="1290">
        <v>4437</v>
      </c>
      <c r="CT11" s="99">
        <f t="shared" ref="CT11:CU11" si="58">CT49/360*CT55*4</f>
        <v>5239.1853303698135</v>
      </c>
      <c r="CU11" s="100">
        <f t="shared" si="58"/>
        <v>5290.4944890066563</v>
      </c>
      <c r="CV11" s="99">
        <f t="shared" ref="CV11:CY11" si="59">CV49/360*CV55*4</f>
        <v>4965.5108075251846</v>
      </c>
      <c r="CW11" s="99">
        <f t="shared" si="59"/>
        <v>4674.1108699613196</v>
      </c>
      <c r="CX11" s="99">
        <f t="shared" si="59"/>
        <v>4587.4947119910967</v>
      </c>
      <c r="CY11" s="100">
        <f t="shared" si="59"/>
        <v>4598.1934844898715</v>
      </c>
      <c r="CZ11" s="99">
        <f t="shared" ref="CZ11:DC11" si="60">CZ49/360*CZ55*4</f>
        <v>4378.0502746689599</v>
      </c>
      <c r="DA11" s="99">
        <f t="shared" si="60"/>
        <v>4518.0819222499804</v>
      </c>
      <c r="DB11" s="99">
        <f t="shared" si="60"/>
        <v>4537.6903191199972</v>
      </c>
      <c r="DC11" s="100">
        <f t="shared" si="60"/>
        <v>4594.5614088442971</v>
      </c>
      <c r="DD11" s="894"/>
      <c r="DE11" s="66"/>
      <c r="DF11" s="66"/>
      <c r="DG11" s="66">
        <f t="shared" si="0"/>
        <v>458.9</v>
      </c>
      <c r="DH11" s="66">
        <f t="shared" si="1"/>
        <v>489.5</v>
      </c>
      <c r="DI11" s="66">
        <f t="shared" si="2"/>
        <v>692.6</v>
      </c>
      <c r="DJ11" s="66">
        <f t="shared" si="3"/>
        <v>1573.7</v>
      </c>
      <c r="DK11" s="66">
        <f t="shared" si="4"/>
        <v>791.6</v>
      </c>
      <c r="DL11" s="66">
        <f t="shared" si="5"/>
        <v>537.9</v>
      </c>
      <c r="DM11" s="66">
        <f t="shared" si="6"/>
        <v>642.5</v>
      </c>
      <c r="DN11" s="66">
        <f t="shared" si="7"/>
        <v>773.7</v>
      </c>
      <c r="DO11" s="66">
        <f t="shared" si="8"/>
        <v>794.4</v>
      </c>
      <c r="DP11" s="66">
        <f t="shared" si="9"/>
        <v>956.1</v>
      </c>
      <c r="DQ11" s="66">
        <f t="shared" si="10"/>
        <v>994</v>
      </c>
      <c r="DR11" s="66">
        <f t="shared" si="11"/>
        <v>1032</v>
      </c>
      <c r="DS11" s="66">
        <f t="shared" si="12"/>
        <v>798</v>
      </c>
      <c r="DT11" s="66">
        <f t="shared" si="13"/>
        <v>1531</v>
      </c>
      <c r="DU11" s="66">
        <f t="shared" si="14"/>
        <v>1497</v>
      </c>
      <c r="DV11" s="66">
        <f t="shared" si="15"/>
        <v>1289</v>
      </c>
      <c r="DW11" s="66">
        <f t="shared" si="16"/>
        <v>2329</v>
      </c>
      <c r="DX11" s="66">
        <f t="shared" si="17"/>
        <v>2906</v>
      </c>
      <c r="DY11" s="66">
        <f t="shared" si="18"/>
        <v>2507</v>
      </c>
      <c r="DZ11" s="66">
        <f t="shared" si="19"/>
        <v>2068</v>
      </c>
      <c r="EA11" s="66">
        <f t="shared" si="48"/>
        <v>3759</v>
      </c>
      <c r="EB11" s="66">
        <f t="shared" si="49"/>
        <v>5290.4944890066563</v>
      </c>
      <c r="EC11" s="66">
        <f t="shared" si="50"/>
        <v>4598.1934844898715</v>
      </c>
      <c r="ED11" s="67">
        <f t="shared" si="51"/>
        <v>4594.5614088442971</v>
      </c>
      <c r="EE11" s="715"/>
      <c r="EF11" s="65"/>
      <c r="EG11" s="66">
        <f t="shared" si="20"/>
        <v>315.3</v>
      </c>
      <c r="EH11" s="66">
        <f t="shared" si="21"/>
        <v>436.6</v>
      </c>
      <c r="EI11" s="66">
        <f t="shared" si="22"/>
        <v>481.6</v>
      </c>
      <c r="EJ11" s="66">
        <f t="shared" si="23"/>
        <v>916.4</v>
      </c>
      <c r="EK11" s="66">
        <f t="shared" si="24"/>
        <v>992.6</v>
      </c>
      <c r="EL11" s="66">
        <f t="shared" si="25"/>
        <v>296.60000000000002</v>
      </c>
      <c r="EM11" s="66">
        <f t="shared" si="26"/>
        <v>443.5</v>
      </c>
      <c r="EN11" s="66">
        <f t="shared" si="27"/>
        <v>723.7</v>
      </c>
      <c r="EO11" s="66">
        <f t="shared" si="28"/>
        <v>860.8</v>
      </c>
      <c r="EP11" s="66">
        <f t="shared" si="29"/>
        <v>805.3</v>
      </c>
      <c r="EQ11" s="66">
        <f t="shared" si="30"/>
        <v>996</v>
      </c>
      <c r="ER11" s="66">
        <f t="shared" si="31"/>
        <v>1067</v>
      </c>
      <c r="ES11" s="66">
        <f t="shared" si="32"/>
        <v>1031</v>
      </c>
      <c r="ET11" s="66">
        <f t="shared" si="33"/>
        <v>1091</v>
      </c>
      <c r="EU11" s="66">
        <f t="shared" si="34"/>
        <v>1362</v>
      </c>
      <c r="EV11" s="66">
        <f t="shared" si="35"/>
        <v>1383</v>
      </c>
      <c r="EW11" s="66">
        <f t="shared" si="36"/>
        <v>1139</v>
      </c>
      <c r="EX11" s="66">
        <f t="shared" si="37"/>
        <v>2833</v>
      </c>
      <c r="EY11" s="66">
        <f t="shared" si="52"/>
        <v>2663</v>
      </c>
      <c r="EZ11" s="66">
        <f t="shared" si="53"/>
        <v>2223</v>
      </c>
      <c r="FA11" s="66">
        <f t="shared" si="54"/>
        <v>2453</v>
      </c>
      <c r="FB11" s="66">
        <f t="shared" si="55"/>
        <v>3876</v>
      </c>
      <c r="FC11" s="66">
        <f t="shared" si="56"/>
        <v>4965.5108075251846</v>
      </c>
      <c r="FD11" s="67">
        <f t="shared" si="57"/>
        <v>4378.0502746689599</v>
      </c>
      <c r="FE11" s="862"/>
      <c r="FF11" s="1398"/>
      <c r="FG11" s="1398"/>
      <c r="FH11" s="1398"/>
      <c r="FO11" s="10"/>
      <c r="FP11" s="725"/>
      <c r="FQ11" s="855"/>
    </row>
    <row r="12" spans="1:173" ht="14.25" customHeight="1">
      <c r="A12" s="7"/>
      <c r="B12" s="430" t="s">
        <v>330</v>
      </c>
      <c r="C12" s="25"/>
      <c r="D12" s="68"/>
      <c r="E12" s="69"/>
      <c r="F12" s="69"/>
      <c r="G12" s="70"/>
      <c r="H12" s="68"/>
      <c r="I12" s="69"/>
      <c r="J12" s="69"/>
      <c r="K12" s="70"/>
      <c r="L12" s="68">
        <v>304.10000000000002</v>
      </c>
      <c r="M12" s="69">
        <v>331.7</v>
      </c>
      <c r="N12" s="69">
        <v>376.6</v>
      </c>
      <c r="O12" s="70">
        <v>454.2</v>
      </c>
      <c r="P12" s="68">
        <v>481.4</v>
      </c>
      <c r="Q12" s="69">
        <v>448</v>
      </c>
      <c r="R12" s="69">
        <v>378.7</v>
      </c>
      <c r="S12" s="70">
        <v>291.10000000000002</v>
      </c>
      <c r="T12" s="68">
        <v>360.4</v>
      </c>
      <c r="U12" s="69">
        <v>364.9</v>
      </c>
      <c r="V12" s="69">
        <v>441.5</v>
      </c>
      <c r="W12" s="70">
        <v>365.7</v>
      </c>
      <c r="X12" s="68">
        <v>504.1</v>
      </c>
      <c r="Y12" s="69">
        <v>690.1</v>
      </c>
      <c r="Z12" s="69">
        <v>641.70000000000005</v>
      </c>
      <c r="AA12" s="70">
        <v>704.8</v>
      </c>
      <c r="AB12" s="68">
        <v>1026.4000000000001</v>
      </c>
      <c r="AC12" s="69">
        <v>1141.0999999999999</v>
      </c>
      <c r="AD12" s="69">
        <v>836.6</v>
      </c>
      <c r="AE12" s="70">
        <v>491.1</v>
      </c>
      <c r="AF12" s="68">
        <v>451</v>
      </c>
      <c r="AG12" s="69">
        <v>547.6</v>
      </c>
      <c r="AH12" s="69">
        <v>686.5</v>
      </c>
      <c r="AI12" s="70">
        <v>545.4</v>
      </c>
      <c r="AJ12" s="68">
        <v>574</v>
      </c>
      <c r="AK12" s="69">
        <v>367.9</v>
      </c>
      <c r="AL12" s="69">
        <v>431.1</v>
      </c>
      <c r="AM12" s="70">
        <v>417.4</v>
      </c>
      <c r="AN12" s="68">
        <v>407.6</v>
      </c>
      <c r="AO12" s="69">
        <v>445.4</v>
      </c>
      <c r="AP12" s="69">
        <v>532.29999999999995</v>
      </c>
      <c r="AQ12" s="70">
        <v>578.1</v>
      </c>
      <c r="AR12" s="68">
        <v>705.4</v>
      </c>
      <c r="AS12" s="69">
        <v>752.7</v>
      </c>
      <c r="AT12" s="69">
        <v>826.7</v>
      </c>
      <c r="AU12" s="70">
        <v>771.5</v>
      </c>
      <c r="AV12" s="68">
        <v>682.3</v>
      </c>
      <c r="AW12" s="69">
        <v>686</v>
      </c>
      <c r="AX12" s="69">
        <v>799.7</v>
      </c>
      <c r="AY12" s="70">
        <v>962.8</v>
      </c>
      <c r="AZ12" s="68">
        <v>1114</v>
      </c>
      <c r="BA12" s="69">
        <v>1293</v>
      </c>
      <c r="BB12" s="69">
        <v>1449</v>
      </c>
      <c r="BC12" s="70">
        <v>1532</v>
      </c>
      <c r="BD12" s="68">
        <v>1443</v>
      </c>
      <c r="BE12" s="69">
        <v>1449</v>
      </c>
      <c r="BF12" s="69">
        <v>1453</v>
      </c>
      <c r="BG12" s="70">
        <v>1291</v>
      </c>
      <c r="BH12" s="68">
        <v>883</v>
      </c>
      <c r="BI12" s="69">
        <v>859</v>
      </c>
      <c r="BJ12" s="69">
        <v>999</v>
      </c>
      <c r="BK12" s="70">
        <v>987</v>
      </c>
      <c r="BL12" s="68">
        <v>1037</v>
      </c>
      <c r="BM12" s="69">
        <v>1075</v>
      </c>
      <c r="BN12" s="69">
        <v>1747</v>
      </c>
      <c r="BO12" s="70">
        <v>1770</v>
      </c>
      <c r="BP12" s="69">
        <v>1892</v>
      </c>
      <c r="BQ12" s="69">
        <v>1957</v>
      </c>
      <c r="BR12" s="69">
        <v>2068</v>
      </c>
      <c r="BS12" s="70">
        <v>2080</v>
      </c>
      <c r="BT12" s="69">
        <v>2097</v>
      </c>
      <c r="BU12" s="69">
        <v>2081</v>
      </c>
      <c r="BV12" s="69">
        <v>1894</v>
      </c>
      <c r="BW12" s="70">
        <v>1812</v>
      </c>
      <c r="BX12" s="68">
        <v>1831</v>
      </c>
      <c r="BY12" s="69">
        <v>1721</v>
      </c>
      <c r="BZ12" s="69">
        <v>1732</v>
      </c>
      <c r="CA12" s="70">
        <v>2649</v>
      </c>
      <c r="CB12" s="68">
        <v>2459</v>
      </c>
      <c r="CC12" s="69">
        <v>2462</v>
      </c>
      <c r="CD12" s="69">
        <v>2532</v>
      </c>
      <c r="CE12" s="70">
        <v>2455</v>
      </c>
      <c r="CF12" s="68">
        <v>2448</v>
      </c>
      <c r="CG12" s="69">
        <v>2377</v>
      </c>
      <c r="CH12" s="69">
        <v>2381</v>
      </c>
      <c r="CI12" s="70">
        <v>2340</v>
      </c>
      <c r="CJ12" s="68">
        <v>2435</v>
      </c>
      <c r="CK12" s="69">
        <v>2608</v>
      </c>
      <c r="CL12" s="69">
        <v>2920</v>
      </c>
      <c r="CM12" s="70">
        <v>2889</v>
      </c>
      <c r="CN12" s="68">
        <v>2750</v>
      </c>
      <c r="CO12" s="1290">
        <v>3000</v>
      </c>
      <c r="CP12" s="69">
        <v>3064</v>
      </c>
      <c r="CQ12" s="70">
        <v>3123</v>
      </c>
      <c r="CR12" s="68">
        <v>3160</v>
      </c>
      <c r="CS12" s="1290">
        <v>3184</v>
      </c>
      <c r="CT12" s="99">
        <f t="shared" ref="CT12:CU12" si="61">CT51/360*CT56*4</f>
        <v>2955.4506507804854</v>
      </c>
      <c r="CU12" s="100">
        <f t="shared" si="61"/>
        <v>3146.9420743915966</v>
      </c>
      <c r="CV12" s="99">
        <f t="shared" ref="CV12:CY12" si="62">CV51/360*CV56*4</f>
        <v>3343.2988326941272</v>
      </c>
      <c r="CW12" s="99">
        <f t="shared" si="62"/>
        <v>3195.607703692112</v>
      </c>
      <c r="CX12" s="99">
        <f t="shared" si="62"/>
        <v>3550.8562771550392</v>
      </c>
      <c r="CY12" s="100">
        <f t="shared" si="62"/>
        <v>3810.0841388678805</v>
      </c>
      <c r="CZ12" s="99">
        <f t="shared" ref="CZ12:DC12" si="63">CZ51/360*CZ56*4</f>
        <v>3906.8719645906331</v>
      </c>
      <c r="DA12" s="99">
        <f t="shared" si="63"/>
        <v>4032.2976562813851</v>
      </c>
      <c r="DB12" s="99">
        <f t="shared" si="63"/>
        <v>4120.3384779130829</v>
      </c>
      <c r="DC12" s="100">
        <f t="shared" si="63"/>
        <v>4231.6933812945408</v>
      </c>
      <c r="DD12" s="894"/>
      <c r="DE12" s="66"/>
      <c r="DF12" s="66"/>
      <c r="DG12" s="66">
        <f t="shared" si="0"/>
        <v>454.2</v>
      </c>
      <c r="DH12" s="66">
        <f t="shared" si="1"/>
        <v>291.10000000000002</v>
      </c>
      <c r="DI12" s="66">
        <f t="shared" si="2"/>
        <v>365.7</v>
      </c>
      <c r="DJ12" s="66">
        <f t="shared" si="3"/>
        <v>704.8</v>
      </c>
      <c r="DK12" s="66">
        <f t="shared" si="4"/>
        <v>491.1</v>
      </c>
      <c r="DL12" s="66">
        <f t="shared" si="5"/>
        <v>545.4</v>
      </c>
      <c r="DM12" s="66">
        <f t="shared" si="6"/>
        <v>417.4</v>
      </c>
      <c r="DN12" s="66">
        <f t="shared" si="7"/>
        <v>578.1</v>
      </c>
      <c r="DO12" s="66">
        <f t="shared" si="8"/>
        <v>771.5</v>
      </c>
      <c r="DP12" s="66">
        <f t="shared" si="9"/>
        <v>962.8</v>
      </c>
      <c r="DQ12" s="66">
        <f t="shared" si="10"/>
        <v>1532</v>
      </c>
      <c r="DR12" s="66">
        <f t="shared" si="11"/>
        <v>1291</v>
      </c>
      <c r="DS12" s="66">
        <f t="shared" si="12"/>
        <v>987</v>
      </c>
      <c r="DT12" s="66">
        <f t="shared" si="13"/>
        <v>1770</v>
      </c>
      <c r="DU12" s="66">
        <f t="shared" si="14"/>
        <v>2080</v>
      </c>
      <c r="DV12" s="66">
        <f t="shared" si="15"/>
        <v>1812</v>
      </c>
      <c r="DW12" s="66">
        <f t="shared" si="16"/>
        <v>2649</v>
      </c>
      <c r="DX12" s="66">
        <f t="shared" si="17"/>
        <v>2455</v>
      </c>
      <c r="DY12" s="66">
        <f t="shared" si="18"/>
        <v>2340</v>
      </c>
      <c r="DZ12" s="66">
        <f t="shared" si="19"/>
        <v>2889</v>
      </c>
      <c r="EA12" s="66">
        <f t="shared" si="48"/>
        <v>3123</v>
      </c>
      <c r="EB12" s="66">
        <f t="shared" si="49"/>
        <v>3146.9420743915966</v>
      </c>
      <c r="EC12" s="66">
        <f t="shared" si="50"/>
        <v>3810.0841388678805</v>
      </c>
      <c r="ED12" s="67">
        <f t="shared" si="51"/>
        <v>4231.6933812945408</v>
      </c>
      <c r="EE12" s="715"/>
      <c r="EF12" s="65"/>
      <c r="EG12" s="66">
        <f t="shared" si="20"/>
        <v>304.10000000000002</v>
      </c>
      <c r="EH12" s="66">
        <f t="shared" si="21"/>
        <v>481.4</v>
      </c>
      <c r="EI12" s="66">
        <f t="shared" si="22"/>
        <v>360.4</v>
      </c>
      <c r="EJ12" s="66">
        <f t="shared" si="23"/>
        <v>504.1</v>
      </c>
      <c r="EK12" s="66">
        <f t="shared" si="24"/>
        <v>1026.4000000000001</v>
      </c>
      <c r="EL12" s="66">
        <f t="shared" si="25"/>
        <v>451</v>
      </c>
      <c r="EM12" s="66">
        <f t="shared" si="26"/>
        <v>574</v>
      </c>
      <c r="EN12" s="66">
        <f t="shared" si="27"/>
        <v>407.6</v>
      </c>
      <c r="EO12" s="66">
        <f t="shared" si="28"/>
        <v>705.4</v>
      </c>
      <c r="EP12" s="66">
        <f t="shared" si="29"/>
        <v>682.3</v>
      </c>
      <c r="EQ12" s="66">
        <f t="shared" si="30"/>
        <v>1114</v>
      </c>
      <c r="ER12" s="66">
        <f t="shared" si="31"/>
        <v>1443</v>
      </c>
      <c r="ES12" s="66">
        <f t="shared" si="32"/>
        <v>883</v>
      </c>
      <c r="ET12" s="66">
        <f t="shared" si="33"/>
        <v>1037</v>
      </c>
      <c r="EU12" s="66">
        <f t="shared" si="34"/>
        <v>1892</v>
      </c>
      <c r="EV12" s="66">
        <f t="shared" si="35"/>
        <v>2097</v>
      </c>
      <c r="EW12" s="66">
        <f t="shared" si="36"/>
        <v>1831</v>
      </c>
      <c r="EX12" s="66">
        <f t="shared" si="37"/>
        <v>2459</v>
      </c>
      <c r="EY12" s="66">
        <f t="shared" si="52"/>
        <v>2448</v>
      </c>
      <c r="EZ12" s="66">
        <f t="shared" si="53"/>
        <v>2435</v>
      </c>
      <c r="FA12" s="66">
        <f t="shared" si="54"/>
        <v>2750</v>
      </c>
      <c r="FB12" s="66">
        <f t="shared" si="55"/>
        <v>3160</v>
      </c>
      <c r="FC12" s="66">
        <f t="shared" si="56"/>
        <v>3343.2988326941272</v>
      </c>
      <c r="FD12" s="67">
        <f t="shared" si="57"/>
        <v>3906.8719645906331</v>
      </c>
      <c r="FE12" s="862"/>
      <c r="FF12" s="1398"/>
      <c r="FG12" s="1398"/>
      <c r="FH12" s="1398"/>
      <c r="FO12" s="10"/>
      <c r="FP12" s="725"/>
      <c r="FQ12" s="855"/>
    </row>
    <row r="13" spans="1:173" ht="14.25" customHeight="1">
      <c r="A13" s="7"/>
      <c r="B13" s="430" t="s">
        <v>380</v>
      </c>
      <c r="C13" s="25"/>
      <c r="D13" s="68"/>
      <c r="E13" s="69"/>
      <c r="F13" s="69"/>
      <c r="G13" s="70"/>
      <c r="H13" s="68"/>
      <c r="I13" s="69"/>
      <c r="J13" s="69"/>
      <c r="K13" s="70"/>
      <c r="L13" s="68">
        <v>0</v>
      </c>
      <c r="M13" s="69">
        <v>0</v>
      </c>
      <c r="N13" s="69">
        <v>0</v>
      </c>
      <c r="O13" s="70">
        <v>0</v>
      </c>
      <c r="P13" s="68">
        <v>0</v>
      </c>
      <c r="Q13" s="69">
        <v>0</v>
      </c>
      <c r="R13" s="69">
        <v>0</v>
      </c>
      <c r="S13" s="70">
        <v>0</v>
      </c>
      <c r="T13" s="68">
        <v>0</v>
      </c>
      <c r="U13" s="69">
        <v>0</v>
      </c>
      <c r="V13" s="69">
        <v>0</v>
      </c>
      <c r="W13" s="70">
        <v>0</v>
      </c>
      <c r="X13" s="68">
        <v>0</v>
      </c>
      <c r="Y13" s="69">
        <v>0</v>
      </c>
      <c r="Z13" s="69">
        <v>0</v>
      </c>
      <c r="AA13" s="70">
        <v>0</v>
      </c>
      <c r="AB13" s="68">
        <v>0</v>
      </c>
      <c r="AC13" s="69">
        <v>0</v>
      </c>
      <c r="AD13" s="69">
        <v>0</v>
      </c>
      <c r="AE13" s="70">
        <v>0</v>
      </c>
      <c r="AF13" s="68">
        <v>0</v>
      </c>
      <c r="AG13" s="69">
        <v>0</v>
      </c>
      <c r="AH13" s="69">
        <v>0</v>
      </c>
      <c r="AI13" s="70">
        <v>0</v>
      </c>
      <c r="AJ13" s="68">
        <v>0</v>
      </c>
      <c r="AK13" s="69">
        <v>0</v>
      </c>
      <c r="AL13" s="69">
        <v>0</v>
      </c>
      <c r="AM13" s="70">
        <v>0</v>
      </c>
      <c r="AN13" s="68">
        <v>0</v>
      </c>
      <c r="AO13" s="69">
        <v>0</v>
      </c>
      <c r="AP13" s="69">
        <v>0</v>
      </c>
      <c r="AQ13" s="70">
        <v>0</v>
      </c>
      <c r="AR13" s="68">
        <v>0</v>
      </c>
      <c r="AS13" s="69">
        <v>0</v>
      </c>
      <c r="AT13" s="69">
        <v>0</v>
      </c>
      <c r="AU13" s="70">
        <v>0</v>
      </c>
      <c r="AV13" s="68">
        <v>0</v>
      </c>
      <c r="AW13" s="69">
        <v>0</v>
      </c>
      <c r="AX13" s="69">
        <v>0</v>
      </c>
      <c r="AY13" s="70">
        <v>0</v>
      </c>
      <c r="AZ13" s="68">
        <v>0</v>
      </c>
      <c r="BA13" s="69">
        <v>0</v>
      </c>
      <c r="BB13" s="69">
        <v>0</v>
      </c>
      <c r="BC13" s="70">
        <v>0</v>
      </c>
      <c r="BD13" s="68">
        <v>0</v>
      </c>
      <c r="BE13" s="69">
        <v>0</v>
      </c>
      <c r="BF13" s="69">
        <v>0</v>
      </c>
      <c r="BG13" s="70">
        <v>0</v>
      </c>
      <c r="BH13" s="68">
        <v>0</v>
      </c>
      <c r="BI13" s="69">
        <v>0</v>
      </c>
      <c r="BJ13" s="69">
        <v>0</v>
      </c>
      <c r="BK13" s="70">
        <v>0</v>
      </c>
      <c r="BL13" s="68">
        <v>0</v>
      </c>
      <c r="BM13" s="69">
        <v>0</v>
      </c>
      <c r="BN13" s="69">
        <v>0</v>
      </c>
      <c r="BO13" s="70">
        <v>0</v>
      </c>
      <c r="BP13" s="69">
        <v>0</v>
      </c>
      <c r="BQ13" s="69">
        <v>0</v>
      </c>
      <c r="BR13" s="69">
        <v>0</v>
      </c>
      <c r="BS13" s="70">
        <v>0</v>
      </c>
      <c r="BT13" s="69">
        <v>0</v>
      </c>
      <c r="BU13" s="69">
        <v>0</v>
      </c>
      <c r="BV13" s="69">
        <v>0</v>
      </c>
      <c r="BW13" s="70">
        <v>0</v>
      </c>
      <c r="BX13" s="68">
        <v>0</v>
      </c>
      <c r="BY13" s="69">
        <v>0</v>
      </c>
      <c r="BZ13" s="69">
        <v>0</v>
      </c>
      <c r="CA13" s="70">
        <v>0</v>
      </c>
      <c r="CB13" s="68">
        <v>0</v>
      </c>
      <c r="CC13" s="69">
        <v>0</v>
      </c>
      <c r="CD13" s="69">
        <v>0</v>
      </c>
      <c r="CE13" s="70">
        <v>0</v>
      </c>
      <c r="CF13" s="68">
        <v>0</v>
      </c>
      <c r="CG13" s="69">
        <v>0</v>
      </c>
      <c r="CH13" s="69">
        <v>0</v>
      </c>
      <c r="CI13" s="70">
        <v>0</v>
      </c>
      <c r="CJ13" s="68">
        <v>0</v>
      </c>
      <c r="CK13" s="69">
        <v>0</v>
      </c>
      <c r="CL13" s="69">
        <v>0</v>
      </c>
      <c r="CM13" s="70">
        <v>0</v>
      </c>
      <c r="CN13" s="68">
        <v>0</v>
      </c>
      <c r="CO13" s="1230">
        <v>0</v>
      </c>
      <c r="CP13" s="69">
        <v>0</v>
      </c>
      <c r="CQ13" s="70">
        <v>0</v>
      </c>
      <c r="CR13" s="68">
        <v>0</v>
      </c>
      <c r="CS13" s="1230">
        <v>0</v>
      </c>
      <c r="CT13" s="66">
        <f t="shared" ref="CT13:CT14" si="64">CS13</f>
        <v>0</v>
      </c>
      <c r="CU13" s="67">
        <f t="shared" ref="CU13:CU14" si="65">CT13</f>
        <v>0</v>
      </c>
      <c r="CV13" s="66">
        <f t="shared" ref="CV13:CV14" si="66">CU13</f>
        <v>0</v>
      </c>
      <c r="CW13" s="66">
        <f t="shared" ref="CW13:CW14" si="67">CV13</f>
        <v>0</v>
      </c>
      <c r="CX13" s="66">
        <f t="shared" ref="CX13:CX14" si="68">CW13</f>
        <v>0</v>
      </c>
      <c r="CY13" s="67">
        <f t="shared" ref="CY13:CY14" si="69">CX13</f>
        <v>0</v>
      </c>
      <c r="CZ13" s="66">
        <f t="shared" ref="CZ13:CZ14" si="70">CY13</f>
        <v>0</v>
      </c>
      <c r="DA13" s="66">
        <f t="shared" ref="DA13:DA14" si="71">CZ13</f>
        <v>0</v>
      </c>
      <c r="DB13" s="66">
        <f t="shared" ref="DB13:DB14" si="72">DA13</f>
        <v>0</v>
      </c>
      <c r="DC13" s="67">
        <f t="shared" ref="DC13:DC14" si="73">DB13</f>
        <v>0</v>
      </c>
      <c r="DD13" s="894"/>
      <c r="DE13" s="66"/>
      <c r="DF13" s="66"/>
      <c r="DG13" s="66">
        <f t="shared" si="0"/>
        <v>0</v>
      </c>
      <c r="DH13" s="66">
        <f t="shared" si="1"/>
        <v>0</v>
      </c>
      <c r="DI13" s="66">
        <f t="shared" si="2"/>
        <v>0</v>
      </c>
      <c r="DJ13" s="66">
        <f t="shared" si="3"/>
        <v>0</v>
      </c>
      <c r="DK13" s="66">
        <f t="shared" si="4"/>
        <v>0</v>
      </c>
      <c r="DL13" s="66">
        <f t="shared" si="5"/>
        <v>0</v>
      </c>
      <c r="DM13" s="66">
        <f t="shared" si="6"/>
        <v>0</v>
      </c>
      <c r="DN13" s="66">
        <f t="shared" si="7"/>
        <v>0</v>
      </c>
      <c r="DO13" s="66">
        <f t="shared" si="8"/>
        <v>0</v>
      </c>
      <c r="DP13" s="66">
        <f t="shared" si="9"/>
        <v>0</v>
      </c>
      <c r="DQ13" s="66">
        <f t="shared" si="10"/>
        <v>0</v>
      </c>
      <c r="DR13" s="66">
        <f t="shared" si="11"/>
        <v>0</v>
      </c>
      <c r="DS13" s="66">
        <f t="shared" si="12"/>
        <v>0</v>
      </c>
      <c r="DT13" s="66">
        <f t="shared" si="13"/>
        <v>0</v>
      </c>
      <c r="DU13" s="66">
        <f t="shared" si="14"/>
        <v>0</v>
      </c>
      <c r="DV13" s="66">
        <f t="shared" si="15"/>
        <v>0</v>
      </c>
      <c r="DW13" s="66">
        <f t="shared" si="16"/>
        <v>0</v>
      </c>
      <c r="DX13" s="66">
        <f t="shared" si="17"/>
        <v>0</v>
      </c>
      <c r="DY13" s="66">
        <f t="shared" si="18"/>
        <v>0</v>
      </c>
      <c r="DZ13" s="66">
        <f t="shared" si="19"/>
        <v>0</v>
      </c>
      <c r="EA13" s="66">
        <f t="shared" si="48"/>
        <v>0</v>
      </c>
      <c r="EB13" s="66">
        <f t="shared" si="49"/>
        <v>0</v>
      </c>
      <c r="EC13" s="66">
        <f t="shared" si="50"/>
        <v>0</v>
      </c>
      <c r="ED13" s="67">
        <f t="shared" si="51"/>
        <v>0</v>
      </c>
      <c r="EE13" s="715"/>
      <c r="EF13" s="65"/>
      <c r="EG13" s="66">
        <f t="shared" si="20"/>
        <v>0</v>
      </c>
      <c r="EH13" s="66">
        <f t="shared" si="21"/>
        <v>0</v>
      </c>
      <c r="EI13" s="66">
        <f t="shared" si="22"/>
        <v>0</v>
      </c>
      <c r="EJ13" s="66">
        <f t="shared" si="23"/>
        <v>0</v>
      </c>
      <c r="EK13" s="66">
        <f t="shared" si="24"/>
        <v>0</v>
      </c>
      <c r="EL13" s="66">
        <f t="shared" si="25"/>
        <v>0</v>
      </c>
      <c r="EM13" s="66">
        <f t="shared" si="26"/>
        <v>0</v>
      </c>
      <c r="EN13" s="66">
        <f t="shared" si="27"/>
        <v>0</v>
      </c>
      <c r="EO13" s="66">
        <f t="shared" si="28"/>
        <v>0</v>
      </c>
      <c r="EP13" s="66">
        <f t="shared" si="29"/>
        <v>0</v>
      </c>
      <c r="EQ13" s="66">
        <f t="shared" si="30"/>
        <v>0</v>
      </c>
      <c r="ER13" s="66">
        <f t="shared" si="31"/>
        <v>0</v>
      </c>
      <c r="ES13" s="66">
        <f t="shared" si="32"/>
        <v>0</v>
      </c>
      <c r="ET13" s="66">
        <f t="shared" si="33"/>
        <v>0</v>
      </c>
      <c r="EU13" s="66">
        <f t="shared" si="34"/>
        <v>0</v>
      </c>
      <c r="EV13" s="66">
        <f t="shared" si="35"/>
        <v>0</v>
      </c>
      <c r="EW13" s="66">
        <f t="shared" si="36"/>
        <v>0</v>
      </c>
      <c r="EX13" s="66">
        <f t="shared" si="37"/>
        <v>0</v>
      </c>
      <c r="EY13" s="66">
        <f t="shared" si="52"/>
        <v>0</v>
      </c>
      <c r="EZ13" s="66">
        <f t="shared" si="53"/>
        <v>0</v>
      </c>
      <c r="FA13" s="66">
        <f t="shared" si="54"/>
        <v>0</v>
      </c>
      <c r="FB13" s="66">
        <f t="shared" si="55"/>
        <v>0</v>
      </c>
      <c r="FC13" s="66">
        <f t="shared" si="56"/>
        <v>0</v>
      </c>
      <c r="FD13" s="67">
        <f t="shared" si="57"/>
        <v>0</v>
      </c>
      <c r="FE13" s="862"/>
      <c r="FF13" s="1398"/>
      <c r="FG13" s="1398"/>
      <c r="FH13" s="1398"/>
      <c r="FO13" s="10"/>
      <c r="FP13" s="725"/>
      <c r="FQ13" s="855"/>
    </row>
    <row r="14" spans="1:173" ht="14.25" customHeight="1">
      <c r="A14" s="7"/>
      <c r="B14" s="431" t="s">
        <v>288</v>
      </c>
      <c r="C14" s="101"/>
      <c r="D14" s="68"/>
      <c r="E14" s="69"/>
      <c r="F14" s="69"/>
      <c r="G14" s="70"/>
      <c r="H14" s="68"/>
      <c r="I14" s="69"/>
      <c r="J14" s="69"/>
      <c r="K14" s="70"/>
      <c r="L14" s="68">
        <v>62.9</v>
      </c>
      <c r="M14" s="69">
        <v>64.3</v>
      </c>
      <c r="N14" s="69">
        <v>73.3</v>
      </c>
      <c r="O14" s="70">
        <v>71.599999999999994</v>
      </c>
      <c r="P14" s="68">
        <v>65.3</v>
      </c>
      <c r="Q14" s="69">
        <v>92.4</v>
      </c>
      <c r="R14" s="69">
        <v>87</v>
      </c>
      <c r="S14" s="70">
        <v>69.2</v>
      </c>
      <c r="T14" s="68">
        <v>82.9</v>
      </c>
      <c r="U14" s="69">
        <v>85.4</v>
      </c>
      <c r="V14" s="69">
        <v>91.3</v>
      </c>
      <c r="W14" s="70">
        <v>158.19999999999999</v>
      </c>
      <c r="X14" s="68">
        <v>120.6</v>
      </c>
      <c r="Y14" s="69">
        <v>116.1</v>
      </c>
      <c r="Z14" s="69">
        <v>124.1</v>
      </c>
      <c r="AA14" s="70">
        <v>159.5</v>
      </c>
      <c r="AB14" s="68">
        <v>227.6</v>
      </c>
      <c r="AC14" s="69">
        <v>160</v>
      </c>
      <c r="AD14" s="69">
        <v>172</v>
      </c>
      <c r="AE14" s="70">
        <v>176.7</v>
      </c>
      <c r="AF14" s="68">
        <v>44.7</v>
      </c>
      <c r="AG14" s="69">
        <v>514.20000000000005</v>
      </c>
      <c r="AH14" s="69">
        <v>40</v>
      </c>
      <c r="AI14" s="70">
        <v>49.8</v>
      </c>
      <c r="AJ14" s="68">
        <v>55.8</v>
      </c>
      <c r="AK14" s="69">
        <v>51.7</v>
      </c>
      <c r="AL14" s="69">
        <v>31.7</v>
      </c>
      <c r="AM14" s="70">
        <v>55.3</v>
      </c>
      <c r="AN14" s="68">
        <v>65.8</v>
      </c>
      <c r="AO14" s="69">
        <v>60</v>
      </c>
      <c r="AP14" s="69">
        <v>51</v>
      </c>
      <c r="AQ14" s="70">
        <v>55.9</v>
      </c>
      <c r="AR14" s="68">
        <v>73.199999999999818</v>
      </c>
      <c r="AS14" s="69">
        <v>64.099999999999909</v>
      </c>
      <c r="AT14" s="69">
        <v>62.7</v>
      </c>
      <c r="AU14" s="70">
        <v>69.3</v>
      </c>
      <c r="AV14" s="68">
        <v>76.900000000000006</v>
      </c>
      <c r="AW14" s="69">
        <v>86.5</v>
      </c>
      <c r="AX14" s="69">
        <v>85.5</v>
      </c>
      <c r="AY14" s="70">
        <v>100.8</v>
      </c>
      <c r="AZ14" s="68">
        <v>105</v>
      </c>
      <c r="BA14" s="69">
        <v>99</v>
      </c>
      <c r="BB14" s="69">
        <v>79</v>
      </c>
      <c r="BC14" s="70">
        <v>92</v>
      </c>
      <c r="BD14" s="68">
        <v>111</v>
      </c>
      <c r="BE14" s="69">
        <v>108</v>
      </c>
      <c r="BF14" s="69">
        <v>97</v>
      </c>
      <c r="BG14" s="70">
        <v>94</v>
      </c>
      <c r="BH14" s="68">
        <v>95</v>
      </c>
      <c r="BI14" s="69">
        <v>78</v>
      </c>
      <c r="BJ14" s="69">
        <v>73</v>
      </c>
      <c r="BK14" s="70">
        <v>74</v>
      </c>
      <c r="BL14" s="68">
        <v>76</v>
      </c>
      <c r="BM14" s="69">
        <v>72</v>
      </c>
      <c r="BN14" s="69">
        <v>96</v>
      </c>
      <c r="BO14" s="70">
        <v>119</v>
      </c>
      <c r="BP14" s="69">
        <v>118</v>
      </c>
      <c r="BQ14" s="69">
        <v>120</v>
      </c>
      <c r="BR14" s="69">
        <v>87</v>
      </c>
      <c r="BS14" s="70">
        <v>95</v>
      </c>
      <c r="BT14" s="69">
        <v>96</v>
      </c>
      <c r="BU14" s="69">
        <v>243</v>
      </c>
      <c r="BV14" s="69">
        <v>78</v>
      </c>
      <c r="BW14" s="70">
        <v>98</v>
      </c>
      <c r="BX14" s="68">
        <v>74</v>
      </c>
      <c r="BY14" s="69">
        <v>189</v>
      </c>
      <c r="BZ14" s="69">
        <v>99</v>
      </c>
      <c r="CA14" s="70">
        <v>276</v>
      </c>
      <c r="CB14" s="68">
        <v>207</v>
      </c>
      <c r="CC14" s="69">
        <v>199</v>
      </c>
      <c r="CD14" s="69">
        <v>194</v>
      </c>
      <c r="CE14" s="70">
        <v>350</v>
      </c>
      <c r="CF14" s="68">
        <v>331</v>
      </c>
      <c r="CG14" s="69">
        <v>301</v>
      </c>
      <c r="CH14" s="69">
        <v>237</v>
      </c>
      <c r="CI14" s="70">
        <v>228</v>
      </c>
      <c r="CJ14" s="68">
        <v>211</v>
      </c>
      <c r="CK14" s="69">
        <v>178</v>
      </c>
      <c r="CL14" s="69">
        <f>10110-9974</f>
        <v>136</v>
      </c>
      <c r="CM14" s="70">
        <v>140</v>
      </c>
      <c r="CN14" s="68">
        <f>9504-SUM(CN8:CN12)</f>
        <v>132</v>
      </c>
      <c r="CO14" s="69">
        <v>156</v>
      </c>
      <c r="CP14" s="69">
        <f>11023-SUM(CP8:CP13)</f>
        <v>132</v>
      </c>
      <c r="CQ14" s="70">
        <v>147</v>
      </c>
      <c r="CR14" s="68">
        <f>13358-SUM(CR8:CR13)</f>
        <v>148</v>
      </c>
      <c r="CS14" s="66">
        <f>15836-SUM(CS8:CS13)</f>
        <v>173</v>
      </c>
      <c r="CT14" s="66">
        <f t="shared" si="64"/>
        <v>173</v>
      </c>
      <c r="CU14" s="67">
        <f t="shared" si="65"/>
        <v>173</v>
      </c>
      <c r="CV14" s="66">
        <f t="shared" si="66"/>
        <v>173</v>
      </c>
      <c r="CW14" s="66">
        <f t="shared" si="67"/>
        <v>173</v>
      </c>
      <c r="CX14" s="66">
        <f t="shared" si="68"/>
        <v>173</v>
      </c>
      <c r="CY14" s="67">
        <f t="shared" si="69"/>
        <v>173</v>
      </c>
      <c r="CZ14" s="66">
        <f t="shared" si="70"/>
        <v>173</v>
      </c>
      <c r="DA14" s="66">
        <f t="shared" si="71"/>
        <v>173</v>
      </c>
      <c r="DB14" s="66">
        <f t="shared" si="72"/>
        <v>173</v>
      </c>
      <c r="DC14" s="67">
        <f t="shared" si="73"/>
        <v>173</v>
      </c>
      <c r="DD14" s="894"/>
      <c r="DE14" s="102"/>
      <c r="DF14" s="102"/>
      <c r="DG14" s="102">
        <f t="shared" si="0"/>
        <v>71.599999999999994</v>
      </c>
      <c r="DH14" s="102">
        <f t="shared" si="1"/>
        <v>69.2</v>
      </c>
      <c r="DI14" s="102">
        <f t="shared" si="2"/>
        <v>158.19999999999999</v>
      </c>
      <c r="DJ14" s="102">
        <f t="shared" si="3"/>
        <v>159.5</v>
      </c>
      <c r="DK14" s="102">
        <f t="shared" si="4"/>
        <v>176.7</v>
      </c>
      <c r="DL14" s="102">
        <f t="shared" si="5"/>
        <v>49.8</v>
      </c>
      <c r="DM14" s="102">
        <f t="shared" si="6"/>
        <v>55.3</v>
      </c>
      <c r="DN14" s="102">
        <f t="shared" si="7"/>
        <v>55.9</v>
      </c>
      <c r="DO14" s="102">
        <f t="shared" si="8"/>
        <v>69.3</v>
      </c>
      <c r="DP14" s="102">
        <f t="shared" si="9"/>
        <v>100.8</v>
      </c>
      <c r="DQ14" s="102">
        <f t="shared" si="10"/>
        <v>92</v>
      </c>
      <c r="DR14" s="102">
        <f t="shared" si="11"/>
        <v>94</v>
      </c>
      <c r="DS14" s="102">
        <f t="shared" si="12"/>
        <v>74</v>
      </c>
      <c r="DT14" s="102">
        <f t="shared" si="13"/>
        <v>119</v>
      </c>
      <c r="DU14" s="102">
        <f t="shared" si="14"/>
        <v>95</v>
      </c>
      <c r="DV14" s="102">
        <f t="shared" si="15"/>
        <v>98</v>
      </c>
      <c r="DW14" s="102">
        <f t="shared" si="16"/>
        <v>276</v>
      </c>
      <c r="DX14" s="102">
        <f t="shared" si="17"/>
        <v>350</v>
      </c>
      <c r="DY14" s="102">
        <f t="shared" si="18"/>
        <v>228</v>
      </c>
      <c r="DZ14" s="102">
        <f t="shared" si="19"/>
        <v>140</v>
      </c>
      <c r="EA14" s="102">
        <f t="shared" si="48"/>
        <v>147</v>
      </c>
      <c r="EB14" s="102">
        <f t="shared" si="49"/>
        <v>173</v>
      </c>
      <c r="EC14" s="102">
        <f t="shared" si="50"/>
        <v>173</v>
      </c>
      <c r="ED14" s="103">
        <f t="shared" si="51"/>
        <v>173</v>
      </c>
      <c r="EE14" s="715"/>
      <c r="EF14" s="318"/>
      <c r="EG14" s="102">
        <f t="shared" si="20"/>
        <v>62.9</v>
      </c>
      <c r="EH14" s="102">
        <f t="shared" si="21"/>
        <v>65.3</v>
      </c>
      <c r="EI14" s="102">
        <f t="shared" si="22"/>
        <v>82.9</v>
      </c>
      <c r="EJ14" s="102">
        <f t="shared" si="23"/>
        <v>120.6</v>
      </c>
      <c r="EK14" s="102">
        <f t="shared" si="24"/>
        <v>227.6</v>
      </c>
      <c r="EL14" s="102">
        <f t="shared" si="25"/>
        <v>44.7</v>
      </c>
      <c r="EM14" s="102">
        <f t="shared" si="26"/>
        <v>55.8</v>
      </c>
      <c r="EN14" s="102">
        <f t="shared" si="27"/>
        <v>65.8</v>
      </c>
      <c r="EO14" s="102">
        <f t="shared" si="28"/>
        <v>73.199999999999818</v>
      </c>
      <c r="EP14" s="102">
        <f t="shared" si="29"/>
        <v>76.900000000000006</v>
      </c>
      <c r="EQ14" s="102">
        <f t="shared" si="30"/>
        <v>105</v>
      </c>
      <c r="ER14" s="102">
        <f t="shared" si="31"/>
        <v>111</v>
      </c>
      <c r="ES14" s="102">
        <f t="shared" si="32"/>
        <v>95</v>
      </c>
      <c r="ET14" s="102">
        <f t="shared" si="33"/>
        <v>76</v>
      </c>
      <c r="EU14" s="102">
        <f t="shared" si="34"/>
        <v>118</v>
      </c>
      <c r="EV14" s="102">
        <f t="shared" si="35"/>
        <v>96</v>
      </c>
      <c r="EW14" s="102">
        <f t="shared" si="36"/>
        <v>74</v>
      </c>
      <c r="EX14" s="102">
        <f t="shared" si="37"/>
        <v>207</v>
      </c>
      <c r="EY14" s="102">
        <f t="shared" si="52"/>
        <v>331</v>
      </c>
      <c r="EZ14" s="102">
        <f t="shared" si="53"/>
        <v>211</v>
      </c>
      <c r="FA14" s="102">
        <f t="shared" si="54"/>
        <v>132</v>
      </c>
      <c r="FB14" s="102">
        <f t="shared" si="55"/>
        <v>148</v>
      </c>
      <c r="FC14" s="102">
        <f t="shared" si="56"/>
        <v>173</v>
      </c>
      <c r="FD14" s="103">
        <f t="shared" si="57"/>
        <v>173</v>
      </c>
      <c r="FE14" s="862"/>
      <c r="FF14" s="1398"/>
      <c r="FG14" s="1398"/>
      <c r="FH14" s="1398"/>
      <c r="FO14" s="10"/>
      <c r="FP14" s="770"/>
      <c r="FQ14" s="855"/>
    </row>
    <row r="15" spans="1:173" ht="14.25" customHeight="1">
      <c r="A15" s="7"/>
      <c r="B15" s="432" t="s">
        <v>289</v>
      </c>
      <c r="C15" s="104"/>
      <c r="D15" s="107"/>
      <c r="E15" s="105"/>
      <c r="F15" s="105"/>
      <c r="G15" s="106"/>
      <c r="H15" s="107"/>
      <c r="I15" s="105"/>
      <c r="J15" s="105"/>
      <c r="K15" s="106"/>
      <c r="L15" s="107">
        <f t="shared" ref="L15:AY15" si="74">SUM(L8:L14)</f>
        <v>910.1</v>
      </c>
      <c r="M15" s="105">
        <f t="shared" si="74"/>
        <v>1288.8999999999999</v>
      </c>
      <c r="N15" s="105">
        <f t="shared" si="74"/>
        <v>1338.2</v>
      </c>
      <c r="O15" s="106">
        <f t="shared" si="74"/>
        <v>1972.3999999999999</v>
      </c>
      <c r="P15" s="107">
        <f t="shared" si="74"/>
        <v>1911.4999999999998</v>
      </c>
      <c r="Q15" s="105">
        <f t="shared" si="74"/>
        <v>1829</v>
      </c>
      <c r="R15" s="105">
        <f t="shared" si="74"/>
        <v>1571.9</v>
      </c>
      <c r="S15" s="106">
        <f t="shared" si="74"/>
        <v>1499.2</v>
      </c>
      <c r="T15" s="107">
        <f t="shared" si="74"/>
        <v>2849.7000000000003</v>
      </c>
      <c r="U15" s="105">
        <f t="shared" si="74"/>
        <v>2824.8000000000011</v>
      </c>
      <c r="V15" s="105">
        <f t="shared" si="74"/>
        <v>2754.8</v>
      </c>
      <c r="W15" s="106">
        <f t="shared" si="74"/>
        <v>2829.9999999999995</v>
      </c>
      <c r="X15" s="107">
        <f t="shared" si="74"/>
        <v>3427.5000000000009</v>
      </c>
      <c r="Y15" s="105">
        <f t="shared" si="74"/>
        <v>3360.3999999999996</v>
      </c>
      <c r="Z15" s="105">
        <f t="shared" si="74"/>
        <v>3757.4</v>
      </c>
      <c r="AA15" s="106">
        <f t="shared" si="74"/>
        <v>4904.4000000000005</v>
      </c>
      <c r="AB15" s="107">
        <f t="shared" si="74"/>
        <v>4710.1000000000004</v>
      </c>
      <c r="AC15" s="105">
        <f t="shared" si="74"/>
        <v>3929.6</v>
      </c>
      <c r="AD15" s="105">
        <f t="shared" si="74"/>
        <v>3416</v>
      </c>
      <c r="AE15" s="106">
        <f t="shared" si="74"/>
        <v>3137.7</v>
      </c>
      <c r="AF15" s="107">
        <f t="shared" si="74"/>
        <v>2523.8999999999996</v>
      </c>
      <c r="AG15" s="105">
        <f t="shared" si="74"/>
        <v>3005.3</v>
      </c>
      <c r="AH15" s="105">
        <f t="shared" si="74"/>
        <v>2563.3000000000002</v>
      </c>
      <c r="AI15" s="106">
        <f t="shared" si="74"/>
        <v>2118.8000000000002</v>
      </c>
      <c r="AJ15" s="107">
        <f t="shared" si="74"/>
        <v>1731.3</v>
      </c>
      <c r="AK15" s="105">
        <f t="shared" si="74"/>
        <v>2108.1</v>
      </c>
      <c r="AL15" s="105">
        <f t="shared" si="74"/>
        <v>1962.1000000000001</v>
      </c>
      <c r="AM15" s="106">
        <f t="shared" si="74"/>
        <v>2036.9999999999998</v>
      </c>
      <c r="AN15" s="107">
        <f t="shared" si="74"/>
        <v>2369.1000000000004</v>
      </c>
      <c r="AO15" s="105">
        <f t="shared" si="74"/>
        <v>2427.8000000000002</v>
      </c>
      <c r="AP15" s="105">
        <f t="shared" si="74"/>
        <v>2484.9</v>
      </c>
      <c r="AQ15" s="106">
        <f t="shared" si="74"/>
        <v>2638.7000000000003</v>
      </c>
      <c r="AR15" s="107">
        <f t="shared" si="74"/>
        <v>2689.6</v>
      </c>
      <c r="AS15" s="105">
        <f t="shared" si="74"/>
        <v>2888.6</v>
      </c>
      <c r="AT15" s="105">
        <f t="shared" si="74"/>
        <v>2920.3999999999996</v>
      </c>
      <c r="AU15" s="106">
        <f t="shared" si="74"/>
        <v>2925.6000000000004</v>
      </c>
      <c r="AV15" s="107">
        <f t="shared" si="74"/>
        <v>2941.9</v>
      </c>
      <c r="AW15" s="105">
        <f t="shared" si="74"/>
        <v>4286</v>
      </c>
      <c r="AX15" s="105">
        <f t="shared" si="74"/>
        <v>4520.8999999999996</v>
      </c>
      <c r="AY15" s="106">
        <f t="shared" si="74"/>
        <v>5100.5</v>
      </c>
      <c r="AZ15" s="107">
        <f t="shared" ref="AZ15:BQ15" si="75">SUM(AZ8:AZ14)</f>
        <v>4853</v>
      </c>
      <c r="BA15" s="105">
        <f t="shared" si="75"/>
        <v>4528</v>
      </c>
      <c r="BB15" s="105">
        <f t="shared" si="75"/>
        <v>5287</v>
      </c>
      <c r="BC15" s="106">
        <f t="shared" si="75"/>
        <v>5234</v>
      </c>
      <c r="BD15" s="107">
        <f t="shared" si="75"/>
        <v>4652</v>
      </c>
      <c r="BE15" s="105">
        <f t="shared" si="75"/>
        <v>4304</v>
      </c>
      <c r="BF15" s="105">
        <f t="shared" si="75"/>
        <v>4129</v>
      </c>
      <c r="BG15" s="106">
        <f t="shared" si="75"/>
        <v>3779</v>
      </c>
      <c r="BH15" s="107">
        <f t="shared" si="75"/>
        <v>3037</v>
      </c>
      <c r="BI15" s="105">
        <f t="shared" si="75"/>
        <v>2523</v>
      </c>
      <c r="BJ15" s="105">
        <f t="shared" si="75"/>
        <v>3128</v>
      </c>
      <c r="BK15" s="106">
        <f t="shared" si="75"/>
        <v>3344</v>
      </c>
      <c r="BL15" s="107">
        <f t="shared" si="75"/>
        <v>3769</v>
      </c>
      <c r="BM15" s="105">
        <f t="shared" si="75"/>
        <v>4089</v>
      </c>
      <c r="BN15" s="105">
        <f t="shared" si="75"/>
        <v>5724</v>
      </c>
      <c r="BO15" s="106">
        <f t="shared" si="75"/>
        <v>6333</v>
      </c>
      <c r="BP15" s="105">
        <f t="shared" si="75"/>
        <v>5783</v>
      </c>
      <c r="BQ15" s="105">
        <f t="shared" si="75"/>
        <v>5654</v>
      </c>
      <c r="BR15" s="105">
        <f t="shared" ref="BR15:CI15" si="76">SUM(BR8:BR14)</f>
        <v>6045</v>
      </c>
      <c r="BS15" s="106">
        <f t="shared" si="76"/>
        <v>5832</v>
      </c>
      <c r="BT15" s="105">
        <f t="shared" si="76"/>
        <v>5491</v>
      </c>
      <c r="BU15" s="105">
        <f>SUM(BU8:BU14)</f>
        <v>5659</v>
      </c>
      <c r="BV15" s="105">
        <f t="shared" si="76"/>
        <v>5630</v>
      </c>
      <c r="BW15" s="106">
        <f>SUM(BW8:BW14)</f>
        <v>5758</v>
      </c>
      <c r="BX15" s="107">
        <f t="shared" si="76"/>
        <v>5315</v>
      </c>
      <c r="BY15" s="105">
        <f>SUM(BY8:BY14)</f>
        <v>5364</v>
      </c>
      <c r="BZ15" s="105">
        <f t="shared" si="76"/>
        <v>5886</v>
      </c>
      <c r="CA15" s="106">
        <f>SUM(CA8:CA14)</f>
        <v>8911</v>
      </c>
      <c r="CB15" s="107">
        <f t="shared" si="76"/>
        <v>9369</v>
      </c>
      <c r="CC15" s="105">
        <f>SUM(CC8:CC14)</f>
        <v>9991</v>
      </c>
      <c r="CD15" s="105">
        <f>SUM(CD8:CD14)</f>
        <v>9705</v>
      </c>
      <c r="CE15" s="106">
        <f>SUM(CE8:CE14)</f>
        <v>10245</v>
      </c>
      <c r="CF15" s="107">
        <f t="shared" si="76"/>
        <v>9672</v>
      </c>
      <c r="CG15" s="105">
        <f t="shared" si="76"/>
        <v>9918</v>
      </c>
      <c r="CH15" s="105">
        <f t="shared" si="76"/>
        <v>10008</v>
      </c>
      <c r="CI15" s="106">
        <f t="shared" si="76"/>
        <v>8596</v>
      </c>
      <c r="CJ15" s="107">
        <f>SUM(CJ8:CJ14)</f>
        <v>8510</v>
      </c>
      <c r="CK15" s="105">
        <f t="shared" ref="CK15:CM15" si="77">SUM(CK8:CK14)</f>
        <v>8805</v>
      </c>
      <c r="CL15" s="105">
        <f t="shared" si="77"/>
        <v>10110</v>
      </c>
      <c r="CM15" s="106">
        <f t="shared" si="77"/>
        <v>9495</v>
      </c>
      <c r="CN15" s="107">
        <f>SUM(CN8:CN14)</f>
        <v>9504</v>
      </c>
      <c r="CO15" s="1235">
        <f t="shared" ref="CO15:CQ15" si="78">SUM(CO8:CO14)</f>
        <v>9945</v>
      </c>
      <c r="CP15" s="105">
        <f t="shared" si="78"/>
        <v>11023</v>
      </c>
      <c r="CQ15" s="106">
        <f t="shared" si="78"/>
        <v>12457</v>
      </c>
      <c r="CR15" s="107">
        <f>SUM(CR8:CR14)</f>
        <v>13358</v>
      </c>
      <c r="CS15" s="1235">
        <f t="shared" ref="CS15" si="79">SUM(CS8:CS14)</f>
        <v>15836</v>
      </c>
      <c r="CT15" s="105">
        <f t="shared" ref="CT15:CU15" si="80">SUM(CT8:CT14)</f>
        <v>20409.611150237703</v>
      </c>
      <c r="CU15" s="106">
        <f t="shared" si="80"/>
        <v>23622.488604338152</v>
      </c>
      <c r="CV15" s="105">
        <f t="shared" ref="CV15:CY15" si="81">SUM(CV8:CV14)</f>
        <v>25346.80461523206</v>
      </c>
      <c r="CW15" s="105">
        <f t="shared" si="81"/>
        <v>26445.877393138588</v>
      </c>
      <c r="CX15" s="105">
        <f t="shared" si="81"/>
        <v>27751.366351913643</v>
      </c>
      <c r="CY15" s="106">
        <f t="shared" si="81"/>
        <v>28707.224035540788</v>
      </c>
      <c r="CZ15" s="105">
        <f t="shared" ref="CZ15:DC15" si="82">SUM(CZ8:CZ14)</f>
        <v>29357.516891342835</v>
      </c>
      <c r="DA15" s="105">
        <f t="shared" si="82"/>
        <v>29911.240467236938</v>
      </c>
      <c r="DB15" s="105">
        <f t="shared" si="82"/>
        <v>30356.334277166487</v>
      </c>
      <c r="DC15" s="106">
        <f t="shared" si="82"/>
        <v>30791.402718148471</v>
      </c>
      <c r="DD15" s="894"/>
      <c r="DE15" s="108"/>
      <c r="DF15" s="108"/>
      <c r="DG15" s="108">
        <f t="shared" ref="DG15:DN15" si="83">SUM(DG8:DG14)</f>
        <v>1972.3999999999999</v>
      </c>
      <c r="DH15" s="108">
        <f t="shared" si="83"/>
        <v>1499.2</v>
      </c>
      <c r="DI15" s="108">
        <f t="shared" si="83"/>
        <v>2829.9999999999995</v>
      </c>
      <c r="DJ15" s="108">
        <f t="shared" si="83"/>
        <v>4904.4000000000005</v>
      </c>
      <c r="DK15" s="108">
        <f t="shared" si="83"/>
        <v>3137.7</v>
      </c>
      <c r="DL15" s="108">
        <f t="shared" si="83"/>
        <v>2118.8000000000002</v>
      </c>
      <c r="DM15" s="108">
        <f t="shared" si="83"/>
        <v>2036.9999999999998</v>
      </c>
      <c r="DN15" s="108">
        <f t="shared" si="83"/>
        <v>2638.7000000000003</v>
      </c>
      <c r="DO15" s="108">
        <f t="shared" ref="DO15:EB15" si="84">SUM(DO8:DO14)</f>
        <v>2925.6000000000004</v>
      </c>
      <c r="DP15" s="108">
        <f t="shared" si="84"/>
        <v>5100.5</v>
      </c>
      <c r="DQ15" s="108">
        <f t="shared" si="84"/>
        <v>5234</v>
      </c>
      <c r="DR15" s="108">
        <f t="shared" si="84"/>
        <v>3779</v>
      </c>
      <c r="DS15" s="108">
        <f t="shared" si="84"/>
        <v>3344</v>
      </c>
      <c r="DT15" s="108">
        <f t="shared" si="84"/>
        <v>6333</v>
      </c>
      <c r="DU15" s="108">
        <f t="shared" si="84"/>
        <v>5832</v>
      </c>
      <c r="DV15" s="108">
        <f t="shared" si="84"/>
        <v>5758</v>
      </c>
      <c r="DW15" s="108">
        <f t="shared" si="84"/>
        <v>8911</v>
      </c>
      <c r="DX15" s="108">
        <f t="shared" si="84"/>
        <v>10245</v>
      </c>
      <c r="DY15" s="108">
        <f t="shared" si="84"/>
        <v>8596</v>
      </c>
      <c r="DZ15" s="108">
        <f t="shared" si="84"/>
        <v>9495</v>
      </c>
      <c r="EA15" s="108">
        <f t="shared" si="84"/>
        <v>12457</v>
      </c>
      <c r="EB15" s="108">
        <f t="shared" si="84"/>
        <v>23622.488604338152</v>
      </c>
      <c r="EC15" s="108">
        <f t="shared" ref="EC15:ED15" si="85">SUM(EC8:EC14)</f>
        <v>28707.224035540788</v>
      </c>
      <c r="ED15" s="109">
        <f t="shared" si="85"/>
        <v>30791.402718148471</v>
      </c>
      <c r="EE15" s="18"/>
      <c r="EF15" s="117"/>
      <c r="EG15" s="108">
        <f t="shared" ref="EG15:EO15" si="86">SUM(EG8:EG14)</f>
        <v>910.1</v>
      </c>
      <c r="EH15" s="108">
        <f t="shared" si="86"/>
        <v>1911.4999999999998</v>
      </c>
      <c r="EI15" s="108">
        <f t="shared" si="86"/>
        <v>2849.7000000000003</v>
      </c>
      <c r="EJ15" s="108">
        <f t="shared" si="86"/>
        <v>3427.5000000000009</v>
      </c>
      <c r="EK15" s="108">
        <f t="shared" si="86"/>
        <v>4710.1000000000004</v>
      </c>
      <c r="EL15" s="108">
        <f t="shared" si="86"/>
        <v>2523.8999999999996</v>
      </c>
      <c r="EM15" s="108">
        <f t="shared" si="86"/>
        <v>1731.3</v>
      </c>
      <c r="EN15" s="108">
        <f t="shared" si="86"/>
        <v>2369.1000000000004</v>
      </c>
      <c r="EO15" s="108">
        <f t="shared" si="86"/>
        <v>2689.6</v>
      </c>
      <c r="EP15" s="108">
        <f t="shared" ref="EP15:FB15" si="87">SUM(EP8:EP14)</f>
        <v>2941.9</v>
      </c>
      <c r="EQ15" s="108">
        <f t="shared" si="87"/>
        <v>4853</v>
      </c>
      <c r="ER15" s="108">
        <f t="shared" si="87"/>
        <v>4652</v>
      </c>
      <c r="ES15" s="108">
        <f t="shared" si="87"/>
        <v>3037</v>
      </c>
      <c r="ET15" s="108">
        <f t="shared" si="87"/>
        <v>3769</v>
      </c>
      <c r="EU15" s="108">
        <f t="shared" si="87"/>
        <v>5783</v>
      </c>
      <c r="EV15" s="108">
        <f t="shared" si="87"/>
        <v>5491</v>
      </c>
      <c r="EW15" s="108">
        <f t="shared" si="87"/>
        <v>5315</v>
      </c>
      <c r="EX15" s="108">
        <f t="shared" si="87"/>
        <v>9369</v>
      </c>
      <c r="EY15" s="108">
        <f t="shared" si="87"/>
        <v>9672</v>
      </c>
      <c r="EZ15" s="108">
        <f t="shared" si="87"/>
        <v>8510</v>
      </c>
      <c r="FA15" s="108">
        <f t="shared" si="87"/>
        <v>9504</v>
      </c>
      <c r="FB15" s="108">
        <f t="shared" si="87"/>
        <v>13358</v>
      </c>
      <c r="FC15" s="108">
        <f t="shared" ref="FC15:FD15" si="88">SUM(FC8:FC14)</f>
        <v>25346.80461523206</v>
      </c>
      <c r="FD15" s="108">
        <f t="shared" si="88"/>
        <v>29357.516891342835</v>
      </c>
      <c r="FE15" s="862"/>
      <c r="FF15" s="1398"/>
      <c r="FG15" s="1398"/>
      <c r="FH15" s="1398"/>
      <c r="FO15" s="10"/>
      <c r="FP15" s="770"/>
    </row>
    <row r="16" spans="1:173" ht="14.25" customHeight="1">
      <c r="A16" s="7"/>
      <c r="B16" s="433"/>
      <c r="C16" s="23"/>
      <c r="D16" s="68"/>
      <c r="E16" s="69"/>
      <c r="F16" s="69"/>
      <c r="G16" s="70"/>
      <c r="H16" s="68"/>
      <c r="I16" s="69"/>
      <c r="J16" s="69"/>
      <c r="K16" s="70"/>
      <c r="L16" s="68"/>
      <c r="M16" s="69"/>
      <c r="N16" s="69"/>
      <c r="O16" s="70"/>
      <c r="P16" s="68"/>
      <c r="Q16" s="69"/>
      <c r="R16" s="69"/>
      <c r="S16" s="70"/>
      <c r="T16" s="68"/>
      <c r="U16" s="69"/>
      <c r="V16" s="69"/>
      <c r="W16" s="70"/>
      <c r="X16" s="68"/>
      <c r="Y16" s="69"/>
      <c r="Z16" s="69"/>
      <c r="AA16" s="70"/>
      <c r="AB16" s="68"/>
      <c r="AC16" s="69"/>
      <c r="AD16" s="69"/>
      <c r="AE16" s="70"/>
      <c r="AF16" s="68"/>
      <c r="AG16" s="69"/>
      <c r="AH16" s="69"/>
      <c r="AI16" s="70"/>
      <c r="AJ16" s="68"/>
      <c r="AK16" s="69"/>
      <c r="AL16" s="69"/>
      <c r="AM16" s="70"/>
      <c r="AN16" s="68"/>
      <c r="AO16" s="69"/>
      <c r="AP16" s="69"/>
      <c r="AQ16" s="70"/>
      <c r="AR16" s="68"/>
      <c r="AS16" s="69"/>
      <c r="AT16" s="69"/>
      <c r="AU16" s="70"/>
      <c r="AV16" s="68"/>
      <c r="AW16" s="69"/>
      <c r="AX16" s="69"/>
      <c r="AY16" s="70"/>
      <c r="AZ16" s="68"/>
      <c r="BA16" s="69"/>
      <c r="BB16" s="69"/>
      <c r="BC16" s="70"/>
      <c r="BD16" s="68"/>
      <c r="BE16" s="69"/>
      <c r="BF16" s="69"/>
      <c r="BG16" s="70"/>
      <c r="BH16" s="68"/>
      <c r="BI16" s="69"/>
      <c r="BJ16" s="69"/>
      <c r="BK16" s="70"/>
      <c r="BL16" s="68"/>
      <c r="BM16" s="69"/>
      <c r="BN16" s="69"/>
      <c r="BO16" s="70"/>
      <c r="BP16" s="69"/>
      <c r="BQ16" s="69"/>
      <c r="BR16" s="110"/>
      <c r="BS16" s="111"/>
      <c r="BT16" s="69"/>
      <c r="BU16" s="110"/>
      <c r="BV16" s="608"/>
      <c r="BW16" s="111"/>
      <c r="BX16" s="68"/>
      <c r="BY16" s="110"/>
      <c r="BZ16" s="608"/>
      <c r="CA16" s="111"/>
      <c r="CB16" s="68"/>
      <c r="CC16" s="110"/>
      <c r="CD16" s="608"/>
      <c r="CE16" s="111"/>
      <c r="CF16" s="68"/>
      <c r="CG16" s="110"/>
      <c r="CH16" s="608"/>
      <c r="CI16" s="111"/>
      <c r="CJ16" s="68"/>
      <c r="CK16" s="110"/>
      <c r="CL16" s="608"/>
      <c r="CM16" s="111"/>
      <c r="CN16" s="68"/>
      <c r="CO16" s="1237"/>
      <c r="CP16" s="608"/>
      <c r="CQ16" s="111"/>
      <c r="CR16" s="68"/>
      <c r="CS16" s="1237"/>
      <c r="CT16" s="110"/>
      <c r="CU16" s="111"/>
      <c r="CV16" s="1237"/>
      <c r="CW16" s="1237"/>
      <c r="CX16" s="1237"/>
      <c r="CY16" s="111"/>
      <c r="CZ16" s="1237"/>
      <c r="DA16" s="1237"/>
      <c r="DB16" s="1237"/>
      <c r="DC16" s="111"/>
      <c r="DD16" s="894"/>
      <c r="DE16" s="69"/>
      <c r="DF16" s="69"/>
      <c r="DG16" s="69"/>
      <c r="DH16" s="69"/>
      <c r="DI16" s="69"/>
      <c r="DJ16" s="69"/>
      <c r="DK16" s="69"/>
      <c r="DL16" s="69"/>
      <c r="DM16" s="69"/>
      <c r="DN16" s="69"/>
      <c r="DO16" s="69"/>
      <c r="DP16" s="69"/>
      <c r="DQ16" s="69"/>
      <c r="DR16" s="69"/>
      <c r="DS16" s="69"/>
      <c r="DT16" s="69"/>
      <c r="DU16" s="69"/>
      <c r="DV16" s="69"/>
      <c r="DW16" s="69"/>
      <c r="DX16" s="69"/>
      <c r="DY16" s="69"/>
      <c r="DZ16" s="69"/>
      <c r="EA16" s="69"/>
      <c r="EB16" s="69"/>
      <c r="EC16" s="69"/>
      <c r="ED16" s="70"/>
      <c r="EE16" s="18"/>
      <c r="EF16" s="68"/>
      <c r="EG16" s="69"/>
      <c r="EH16" s="69"/>
      <c r="EI16" s="69"/>
      <c r="EJ16" s="69"/>
      <c r="EK16" s="69"/>
      <c r="EL16" s="69"/>
      <c r="EM16" s="69"/>
      <c r="EN16" s="69"/>
      <c r="EO16" s="69"/>
      <c r="EP16" s="69"/>
      <c r="EQ16" s="69"/>
      <c r="ER16" s="69"/>
      <c r="ES16" s="69"/>
      <c r="ET16" s="69"/>
      <c r="EU16" s="69"/>
      <c r="EV16" s="69"/>
      <c r="EW16" s="69"/>
      <c r="EX16" s="69"/>
      <c r="EY16" s="69"/>
      <c r="EZ16" s="69"/>
      <c r="FA16" s="69"/>
      <c r="FB16" s="69"/>
      <c r="FC16" s="69"/>
      <c r="FD16" s="70"/>
      <c r="FE16" s="862"/>
      <c r="FF16" s="1398"/>
      <c r="FG16" s="1398"/>
      <c r="FH16" s="1398"/>
      <c r="FO16" s="10"/>
      <c r="FP16" s="770"/>
      <c r="FQ16" s="855"/>
    </row>
    <row r="17" spans="1:173" ht="14.25" customHeight="1">
      <c r="A17" s="7"/>
      <c r="B17" s="430" t="s">
        <v>290</v>
      </c>
      <c r="C17" s="25"/>
      <c r="D17" s="68"/>
      <c r="E17" s="69"/>
      <c r="F17" s="69"/>
      <c r="G17" s="70"/>
      <c r="H17" s="68"/>
      <c r="I17" s="69"/>
      <c r="J17" s="69"/>
      <c r="K17" s="70"/>
      <c r="L17" s="68">
        <v>2740.1</v>
      </c>
      <c r="M17" s="69">
        <v>2715.4</v>
      </c>
      <c r="N17" s="69">
        <v>2713</v>
      </c>
      <c r="O17" s="70">
        <v>2761.2</v>
      </c>
      <c r="P17" s="68">
        <v>2855.1</v>
      </c>
      <c r="Q17" s="69">
        <v>2848.3</v>
      </c>
      <c r="R17" s="69">
        <v>2995.8</v>
      </c>
      <c r="S17" s="70">
        <v>3030.8</v>
      </c>
      <c r="T17" s="68">
        <v>3602.3</v>
      </c>
      <c r="U17" s="69">
        <v>3581.6</v>
      </c>
      <c r="V17" s="69">
        <v>3644.5</v>
      </c>
      <c r="W17" s="70">
        <v>3799.6</v>
      </c>
      <c r="X17" s="68">
        <v>3828.7</v>
      </c>
      <c r="Y17" s="69">
        <v>3926.9</v>
      </c>
      <c r="Z17" s="69">
        <v>4055.6</v>
      </c>
      <c r="AA17" s="70">
        <v>4257.6000000000004</v>
      </c>
      <c r="AB17" s="68">
        <v>4508.5</v>
      </c>
      <c r="AC17" s="69">
        <v>4588.6000000000004</v>
      </c>
      <c r="AD17" s="69">
        <v>4802.3999999999996</v>
      </c>
      <c r="AE17" s="70">
        <v>4704.1000000000004</v>
      </c>
      <c r="AF17" s="68">
        <v>4570.6000000000004</v>
      </c>
      <c r="AG17" s="69">
        <v>4429.7</v>
      </c>
      <c r="AH17" s="69">
        <v>4706.2</v>
      </c>
      <c r="AI17" s="70">
        <v>4699.5</v>
      </c>
      <c r="AJ17" s="68">
        <v>4882.3999999999996</v>
      </c>
      <c r="AK17" s="69">
        <v>4653.2</v>
      </c>
      <c r="AL17" s="69">
        <v>4576.2</v>
      </c>
      <c r="AM17" s="70">
        <v>4510.5</v>
      </c>
      <c r="AN17" s="68">
        <v>4543.3999999999996</v>
      </c>
      <c r="AO17" s="69">
        <v>4535.8999999999996</v>
      </c>
      <c r="AP17" s="69">
        <v>4613</v>
      </c>
      <c r="AQ17" s="70">
        <v>4712.7</v>
      </c>
      <c r="AR17" s="68">
        <v>4806.3</v>
      </c>
      <c r="AS17" s="69">
        <v>4791.7</v>
      </c>
      <c r="AT17" s="69">
        <v>4770.8999999999996</v>
      </c>
      <c r="AU17" s="70">
        <v>4683.8</v>
      </c>
      <c r="AV17" s="68">
        <v>4676.6000000000004</v>
      </c>
      <c r="AW17" s="69">
        <v>4711.8999999999996</v>
      </c>
      <c r="AX17" s="69">
        <v>5438.1</v>
      </c>
      <c r="AY17" s="70">
        <v>5887.6</v>
      </c>
      <c r="AZ17" s="68">
        <v>7010</v>
      </c>
      <c r="BA17" s="69">
        <v>7593</v>
      </c>
      <c r="BB17" s="69">
        <v>7866</v>
      </c>
      <c r="BC17" s="70">
        <v>8279</v>
      </c>
      <c r="BD17" s="68">
        <v>8576</v>
      </c>
      <c r="BE17" s="69">
        <v>8634</v>
      </c>
      <c r="BF17" s="69">
        <v>8721</v>
      </c>
      <c r="BG17" s="70">
        <v>8811</v>
      </c>
      <c r="BH17" s="68">
        <v>8460</v>
      </c>
      <c r="BI17" s="69">
        <v>7910</v>
      </c>
      <c r="BJ17" s="69">
        <v>7536</v>
      </c>
      <c r="BK17" s="70">
        <v>7089</v>
      </c>
      <c r="BL17" s="68">
        <v>6876</v>
      </c>
      <c r="BM17" s="69">
        <v>6525</v>
      </c>
      <c r="BN17" s="69">
        <v>6635</v>
      </c>
      <c r="BO17" s="70">
        <v>6601</v>
      </c>
      <c r="BP17" s="69">
        <v>7044</v>
      </c>
      <c r="BQ17" s="69">
        <v>7055</v>
      </c>
      <c r="BR17" s="69">
        <v>7103</v>
      </c>
      <c r="BS17" s="70">
        <v>7555</v>
      </c>
      <c r="BT17" s="69">
        <v>7472</v>
      </c>
      <c r="BU17" s="69">
        <v>7357</v>
      </c>
      <c r="BV17" s="69">
        <v>7158</v>
      </c>
      <c r="BW17" s="70">
        <v>7103</v>
      </c>
      <c r="BX17" s="68">
        <v>7199</v>
      </c>
      <c r="BY17" s="69">
        <v>6973</v>
      </c>
      <c r="BZ17" s="69">
        <v>6830</v>
      </c>
      <c r="CA17" s="70">
        <v>7626</v>
      </c>
      <c r="CB17" s="68">
        <v>7733</v>
      </c>
      <c r="CC17" s="69">
        <v>7859</v>
      </c>
      <c r="CD17" s="69">
        <v>8021</v>
      </c>
      <c r="CE17" s="70">
        <v>8682</v>
      </c>
      <c r="CF17" s="68">
        <v>9132</v>
      </c>
      <c r="CG17" s="69">
        <v>9233</v>
      </c>
      <c r="CH17" s="69">
        <v>9857</v>
      </c>
      <c r="CI17" s="1153">
        <v>10554</v>
      </c>
      <c r="CJ17" s="68">
        <v>11060</v>
      </c>
      <c r="CK17" s="69">
        <v>11819</v>
      </c>
      <c r="CL17" s="69">
        <v>13209</v>
      </c>
      <c r="CM17" s="1153">
        <v>14686</v>
      </c>
      <c r="CN17" s="68">
        <v>15321</v>
      </c>
      <c r="CO17" s="69">
        <v>19098</v>
      </c>
      <c r="CP17" s="69">
        <v>19014</v>
      </c>
      <c r="CQ17" s="1153">
        <v>19431</v>
      </c>
      <c r="CR17" s="68">
        <v>20723</v>
      </c>
      <c r="CS17" s="69">
        <v>21864</v>
      </c>
      <c r="CT17" s="66">
        <f>CFS!CT73</f>
        <v>22445.584549867883</v>
      </c>
      <c r="CU17" s="67">
        <f>CFS!CU73</f>
        <v>23014.168260993541</v>
      </c>
      <c r="CV17" s="66">
        <f>CFS!CV73</f>
        <v>24264.168260993541</v>
      </c>
      <c r="CW17" s="66">
        <f>CFS!CW73</f>
        <v>25364.168260993541</v>
      </c>
      <c r="CX17" s="66">
        <f>CFS!CX73</f>
        <v>26464.168260993541</v>
      </c>
      <c r="CY17" s="67">
        <f>CFS!CY73</f>
        <v>27564.168260993541</v>
      </c>
      <c r="CZ17" s="66">
        <f>CFS!CZ73</f>
        <v>28589.168260993538</v>
      </c>
      <c r="DA17" s="66">
        <f>CFS!DA73</f>
        <v>29614.168260993538</v>
      </c>
      <c r="DB17" s="66">
        <f>CFS!DB73</f>
        <v>30639.168260993538</v>
      </c>
      <c r="DC17" s="67">
        <f>CFS!DC73</f>
        <v>31664.168260993538</v>
      </c>
      <c r="DD17" s="894"/>
      <c r="DE17" s="66"/>
      <c r="DF17" s="66"/>
      <c r="DG17" s="66">
        <f>O17</f>
        <v>2761.2</v>
      </c>
      <c r="DH17" s="66">
        <f>S17</f>
        <v>3030.8</v>
      </c>
      <c r="DI17" s="66">
        <f>W17</f>
        <v>3799.6</v>
      </c>
      <c r="DJ17" s="66">
        <f>AA17</f>
        <v>4257.6000000000004</v>
      </c>
      <c r="DK17" s="66">
        <f>AE17</f>
        <v>4704.1000000000004</v>
      </c>
      <c r="DL17" s="66">
        <f>AI17</f>
        <v>4699.5</v>
      </c>
      <c r="DM17" s="66">
        <f>AM17</f>
        <v>4510.5</v>
      </c>
      <c r="DN17" s="66">
        <f>AQ17</f>
        <v>4712.7</v>
      </c>
      <c r="DO17" s="66">
        <f>AU17</f>
        <v>4683.8</v>
      </c>
      <c r="DP17" s="66">
        <f>AY17</f>
        <v>5887.6</v>
      </c>
      <c r="DQ17" s="66">
        <f>BC17</f>
        <v>8279</v>
      </c>
      <c r="DR17" s="66">
        <f>BG17</f>
        <v>8811</v>
      </c>
      <c r="DS17" s="66">
        <f>BK17</f>
        <v>7089</v>
      </c>
      <c r="DT17" s="66">
        <f t="shared" ref="DT17:DT23" si="89">BO17</f>
        <v>6601</v>
      </c>
      <c r="DU17" s="66">
        <f t="shared" ref="DU17:DU23" si="90">BS17</f>
        <v>7555</v>
      </c>
      <c r="DV17" s="66">
        <f t="shared" ref="DV17:DV23" si="91">BW17</f>
        <v>7103</v>
      </c>
      <c r="DW17" s="66">
        <f t="shared" ref="DW17:DW23" si="92">CA17</f>
        <v>7626</v>
      </c>
      <c r="DX17" s="66">
        <f t="shared" ref="DX17:DX23" si="93">CE17</f>
        <v>8682</v>
      </c>
      <c r="DY17" s="66">
        <f t="shared" ref="DY17:DY23" si="94">CI17</f>
        <v>10554</v>
      </c>
      <c r="DZ17" s="66">
        <f t="shared" ref="DZ17:DZ23" si="95">CM17</f>
        <v>14686</v>
      </c>
      <c r="EA17" s="66">
        <f t="shared" ref="EA17:EA23" si="96">CQ17</f>
        <v>19431</v>
      </c>
      <c r="EB17" s="66">
        <f t="shared" ref="EB17:EB23" si="97">CU17</f>
        <v>23014.168260993541</v>
      </c>
      <c r="EC17" s="66">
        <f t="shared" ref="EC17:EC23" si="98">CY17</f>
        <v>27564.168260993541</v>
      </c>
      <c r="ED17" s="67">
        <f t="shared" ref="ED17:ED23" si="99">DC17</f>
        <v>31664.168260993538</v>
      </c>
      <c r="EE17" s="715"/>
      <c r="EF17" s="65"/>
      <c r="EG17" s="66">
        <f>L17</f>
        <v>2740.1</v>
      </c>
      <c r="EH17" s="66">
        <f>P17</f>
        <v>2855.1</v>
      </c>
      <c r="EI17" s="66">
        <f>T17</f>
        <v>3602.3</v>
      </c>
      <c r="EJ17" s="66">
        <f>X17</f>
        <v>3828.7</v>
      </c>
      <c r="EK17" s="66">
        <f>AB17</f>
        <v>4508.5</v>
      </c>
      <c r="EL17" s="66">
        <f>AF17</f>
        <v>4570.6000000000004</v>
      </c>
      <c r="EM17" s="66">
        <f>AJ17</f>
        <v>4882.3999999999996</v>
      </c>
      <c r="EN17" s="66">
        <f>AN17</f>
        <v>4543.3999999999996</v>
      </c>
      <c r="EO17" s="66">
        <f>AR17</f>
        <v>4806.3</v>
      </c>
      <c r="EP17" s="66">
        <f>AV17</f>
        <v>4676.6000000000004</v>
      </c>
      <c r="EQ17" s="66">
        <f>AZ17</f>
        <v>7010</v>
      </c>
      <c r="ER17" s="66">
        <f>BD17</f>
        <v>8576</v>
      </c>
      <c r="ES17" s="66">
        <f>BH17</f>
        <v>8460</v>
      </c>
      <c r="ET17" s="66">
        <f t="shared" ref="ET17:ET23" si="100">BL17</f>
        <v>6876</v>
      </c>
      <c r="EU17" s="66">
        <f t="shared" ref="EU17:EU23" si="101">BP17</f>
        <v>7044</v>
      </c>
      <c r="EV17" s="66">
        <f t="shared" ref="EV17:EV23" si="102">BT17</f>
        <v>7472</v>
      </c>
      <c r="EW17" s="66">
        <f t="shared" ref="EW17:EW23" si="103">BX17</f>
        <v>7199</v>
      </c>
      <c r="EX17" s="66">
        <f t="shared" ref="EX17:EX23" si="104">CB17</f>
        <v>7733</v>
      </c>
      <c r="EY17" s="66">
        <f t="shared" ref="EY17:EY23" si="105">CF17</f>
        <v>9132</v>
      </c>
      <c r="EZ17" s="66">
        <f>CJ17</f>
        <v>11060</v>
      </c>
      <c r="FA17" s="66">
        <f>CN17</f>
        <v>15321</v>
      </c>
      <c r="FB17" s="66">
        <f t="shared" ref="FB17:FB23" si="106">CR17</f>
        <v>20723</v>
      </c>
      <c r="FC17" s="66">
        <f t="shared" ref="FC17:FC23" si="107">CV17</f>
        <v>24264.168260993541</v>
      </c>
      <c r="FD17" s="67">
        <f t="shared" ref="FD17:FD23" si="108">CZ17</f>
        <v>28589.168260993538</v>
      </c>
      <c r="FE17" s="862"/>
      <c r="FF17" s="1398"/>
      <c r="FG17" s="1398"/>
      <c r="FH17" s="1398"/>
      <c r="FO17" s="10"/>
      <c r="FP17" s="725"/>
      <c r="FQ17" s="855"/>
    </row>
    <row r="18" spans="1:173" ht="14.25" customHeight="1">
      <c r="A18" s="7"/>
      <c r="B18" s="430" t="s">
        <v>401</v>
      </c>
      <c r="C18" s="25"/>
      <c r="D18" s="68"/>
      <c r="E18" s="69"/>
      <c r="F18" s="69"/>
      <c r="G18" s="70"/>
      <c r="H18" s="68"/>
      <c r="I18" s="69"/>
      <c r="J18" s="69"/>
      <c r="K18" s="70"/>
      <c r="L18" s="68">
        <v>0</v>
      </c>
      <c r="M18" s="69">
        <v>0</v>
      </c>
      <c r="N18" s="69">
        <v>0</v>
      </c>
      <c r="O18" s="70">
        <v>0</v>
      </c>
      <c r="P18" s="68">
        <v>0</v>
      </c>
      <c r="Q18" s="69">
        <v>0</v>
      </c>
      <c r="R18" s="69">
        <v>0</v>
      </c>
      <c r="S18" s="70">
        <v>0</v>
      </c>
      <c r="T18" s="68">
        <v>0</v>
      </c>
      <c r="U18" s="69">
        <v>0</v>
      </c>
      <c r="V18" s="69">
        <v>0</v>
      </c>
      <c r="W18" s="70">
        <v>0</v>
      </c>
      <c r="X18" s="68">
        <v>0</v>
      </c>
      <c r="Y18" s="69">
        <v>0</v>
      </c>
      <c r="Z18" s="69">
        <v>0</v>
      </c>
      <c r="AA18" s="70">
        <v>0</v>
      </c>
      <c r="AB18" s="68">
        <v>0</v>
      </c>
      <c r="AC18" s="69">
        <v>0</v>
      </c>
      <c r="AD18" s="69">
        <v>0</v>
      </c>
      <c r="AE18" s="70">
        <v>0</v>
      </c>
      <c r="AF18" s="68">
        <v>0</v>
      </c>
      <c r="AG18" s="69">
        <v>0</v>
      </c>
      <c r="AH18" s="69">
        <v>0</v>
      </c>
      <c r="AI18" s="70">
        <v>0</v>
      </c>
      <c r="AJ18" s="68">
        <v>0</v>
      </c>
      <c r="AK18" s="69">
        <v>0</v>
      </c>
      <c r="AL18" s="69">
        <v>0</v>
      </c>
      <c r="AM18" s="70">
        <v>0</v>
      </c>
      <c r="AN18" s="68">
        <v>0</v>
      </c>
      <c r="AO18" s="69">
        <v>0</v>
      </c>
      <c r="AP18" s="69">
        <v>0</v>
      </c>
      <c r="AQ18" s="70">
        <v>0</v>
      </c>
      <c r="AR18" s="68">
        <v>0</v>
      </c>
      <c r="AS18" s="69">
        <v>0</v>
      </c>
      <c r="AT18" s="69">
        <v>0</v>
      </c>
      <c r="AU18" s="70">
        <v>0</v>
      </c>
      <c r="AV18" s="68">
        <v>0</v>
      </c>
      <c r="AW18" s="69">
        <v>0</v>
      </c>
      <c r="AX18" s="69">
        <v>0</v>
      </c>
      <c r="AY18" s="70">
        <v>0</v>
      </c>
      <c r="AZ18" s="68">
        <v>0</v>
      </c>
      <c r="BA18" s="69">
        <v>0</v>
      </c>
      <c r="BB18" s="69">
        <v>0</v>
      </c>
      <c r="BC18" s="70">
        <v>0</v>
      </c>
      <c r="BD18" s="68">
        <v>0</v>
      </c>
      <c r="BE18" s="69">
        <v>0</v>
      </c>
      <c r="BF18" s="69">
        <v>0</v>
      </c>
      <c r="BG18" s="70">
        <v>0</v>
      </c>
      <c r="BH18" s="68">
        <v>0</v>
      </c>
      <c r="BI18" s="69">
        <v>0</v>
      </c>
      <c r="BJ18" s="69">
        <v>0</v>
      </c>
      <c r="BK18" s="70">
        <v>315</v>
      </c>
      <c r="BL18" s="68">
        <v>366</v>
      </c>
      <c r="BM18" s="69">
        <v>592</v>
      </c>
      <c r="BN18" s="69">
        <v>1010</v>
      </c>
      <c r="BO18" s="70">
        <v>582</v>
      </c>
      <c r="BP18" s="69">
        <v>581</v>
      </c>
      <c r="BQ18" s="69">
        <v>535</v>
      </c>
      <c r="BR18" s="69">
        <v>499</v>
      </c>
      <c r="BS18" s="70">
        <v>483</v>
      </c>
      <c r="BT18" s="69">
        <v>397</v>
      </c>
      <c r="BU18" s="69">
        <v>335</v>
      </c>
      <c r="BV18" s="69">
        <v>403</v>
      </c>
      <c r="BW18" s="70">
        <v>389</v>
      </c>
      <c r="BX18" s="68">
        <v>343</v>
      </c>
      <c r="BY18" s="69">
        <v>291</v>
      </c>
      <c r="BZ18" s="69">
        <v>272</v>
      </c>
      <c r="CA18" s="70">
        <v>396</v>
      </c>
      <c r="CB18" s="68">
        <v>490</v>
      </c>
      <c r="CC18" s="69">
        <v>618</v>
      </c>
      <c r="CD18" s="69">
        <v>744</v>
      </c>
      <c r="CE18" s="70">
        <v>971</v>
      </c>
      <c r="CF18" s="68">
        <v>1080</v>
      </c>
      <c r="CG18" s="905">
        <v>1239</v>
      </c>
      <c r="CH18" s="905">
        <v>1324</v>
      </c>
      <c r="CI18" s="1153">
        <v>1379</v>
      </c>
      <c r="CJ18" s="68">
        <v>1351</v>
      </c>
      <c r="CK18" s="905">
        <v>1360</v>
      </c>
      <c r="CL18" s="905">
        <f>+CK18+CFS!CL33-CFS!CL32</f>
        <v>1360</v>
      </c>
      <c r="CM18" s="1153">
        <v>1364</v>
      </c>
      <c r="CN18" s="68">
        <v>1401</v>
      </c>
      <c r="CO18" s="905">
        <v>38</v>
      </c>
      <c r="CP18" s="905">
        <f t="shared" ref="CP18:CP21" si="109">CO18</f>
        <v>38</v>
      </c>
      <c r="CQ18" s="1153">
        <v>16</v>
      </c>
      <c r="CR18" s="68">
        <v>0</v>
      </c>
      <c r="CS18" s="905">
        <v>0</v>
      </c>
      <c r="CT18" s="66">
        <f>+CS18+CFS!CT33-CFS!CT32</f>
        <v>0</v>
      </c>
      <c r="CU18" s="67">
        <f>+CT18+CFS!CU33-CFS!CU32</f>
        <v>0</v>
      </c>
      <c r="CV18" s="66">
        <f>+CU18+CFS!CV33-CFS!CV32</f>
        <v>0</v>
      </c>
      <c r="CW18" s="66">
        <f>+CV18+CFS!CW33-CFS!CW32</f>
        <v>0</v>
      </c>
      <c r="CX18" s="66">
        <f>+CW18+CFS!CX33-CFS!CX32</f>
        <v>0</v>
      </c>
      <c r="CY18" s="67">
        <f>+CX18+CFS!CY33-CFS!CY32</f>
        <v>0</v>
      </c>
      <c r="CZ18" s="66">
        <f>+CY18+CFS!CZ33-CFS!CZ32</f>
        <v>0</v>
      </c>
      <c r="DA18" s="66">
        <f>+CZ18+CFS!DA33-CFS!DA32</f>
        <v>0</v>
      </c>
      <c r="DB18" s="66">
        <f>+DA18+CFS!DB33-CFS!DB32</f>
        <v>0</v>
      </c>
      <c r="DC18" s="67">
        <f>+DB18+CFS!DC33-CFS!DC32</f>
        <v>0</v>
      </c>
      <c r="DD18" s="894"/>
      <c r="DE18" s="66"/>
      <c r="DF18" s="66"/>
      <c r="DG18" s="66">
        <f>O18</f>
        <v>0</v>
      </c>
      <c r="DH18" s="66">
        <f>S18</f>
        <v>0</v>
      </c>
      <c r="DI18" s="66">
        <f>W18</f>
        <v>0</v>
      </c>
      <c r="DJ18" s="66">
        <f>AA18</f>
        <v>0</v>
      </c>
      <c r="DK18" s="66">
        <f>AE18</f>
        <v>0</v>
      </c>
      <c r="DL18" s="66">
        <f>AI18</f>
        <v>0</v>
      </c>
      <c r="DM18" s="66">
        <f>AM18</f>
        <v>0</v>
      </c>
      <c r="DN18" s="66">
        <f>AQ18</f>
        <v>0</v>
      </c>
      <c r="DO18" s="66">
        <f>AU18</f>
        <v>0</v>
      </c>
      <c r="DP18" s="66">
        <f>AY18</f>
        <v>0</v>
      </c>
      <c r="DQ18" s="66">
        <f>BC18</f>
        <v>0</v>
      </c>
      <c r="DR18" s="66">
        <f>BG18</f>
        <v>0</v>
      </c>
      <c r="DS18" s="66">
        <f>BK18</f>
        <v>315</v>
      </c>
      <c r="DT18" s="66">
        <f t="shared" si="89"/>
        <v>582</v>
      </c>
      <c r="DU18" s="66">
        <f t="shared" si="90"/>
        <v>483</v>
      </c>
      <c r="DV18" s="66">
        <f t="shared" si="91"/>
        <v>389</v>
      </c>
      <c r="DW18" s="66">
        <f t="shared" si="92"/>
        <v>396</v>
      </c>
      <c r="DX18" s="66">
        <f t="shared" si="93"/>
        <v>971</v>
      </c>
      <c r="DY18" s="66">
        <f t="shared" si="94"/>
        <v>1379</v>
      </c>
      <c r="DZ18" s="66">
        <f t="shared" si="95"/>
        <v>1364</v>
      </c>
      <c r="EA18" s="66">
        <f t="shared" si="96"/>
        <v>16</v>
      </c>
      <c r="EB18" s="66">
        <f t="shared" si="97"/>
        <v>0</v>
      </c>
      <c r="EC18" s="66">
        <f t="shared" si="98"/>
        <v>0</v>
      </c>
      <c r="ED18" s="67">
        <f t="shared" si="99"/>
        <v>0</v>
      </c>
      <c r="EE18" s="715"/>
      <c r="EF18" s="65"/>
      <c r="EG18" s="66">
        <f>L18</f>
        <v>0</v>
      </c>
      <c r="EH18" s="66">
        <f>P18</f>
        <v>0</v>
      </c>
      <c r="EI18" s="66">
        <f>T18</f>
        <v>0</v>
      </c>
      <c r="EJ18" s="66">
        <f>X18</f>
        <v>0</v>
      </c>
      <c r="EK18" s="66">
        <f>AB18</f>
        <v>0</v>
      </c>
      <c r="EL18" s="66">
        <f>AF18</f>
        <v>0</v>
      </c>
      <c r="EM18" s="66">
        <f>AJ18</f>
        <v>0</v>
      </c>
      <c r="EN18" s="66">
        <f>AN18</f>
        <v>0</v>
      </c>
      <c r="EO18" s="66">
        <f>AR18</f>
        <v>0</v>
      </c>
      <c r="EP18" s="66">
        <f>AV18</f>
        <v>0</v>
      </c>
      <c r="EQ18" s="66">
        <f>AZ18</f>
        <v>0</v>
      </c>
      <c r="ER18" s="66">
        <f>BD18</f>
        <v>0</v>
      </c>
      <c r="ES18" s="66">
        <f>BH18</f>
        <v>0</v>
      </c>
      <c r="ET18" s="66">
        <f t="shared" si="100"/>
        <v>366</v>
      </c>
      <c r="EU18" s="66">
        <f t="shared" si="101"/>
        <v>581</v>
      </c>
      <c r="EV18" s="66">
        <f t="shared" si="102"/>
        <v>397</v>
      </c>
      <c r="EW18" s="66">
        <f t="shared" si="103"/>
        <v>343</v>
      </c>
      <c r="EX18" s="66">
        <f t="shared" si="104"/>
        <v>490</v>
      </c>
      <c r="EY18" s="66">
        <f t="shared" si="105"/>
        <v>1080</v>
      </c>
      <c r="EZ18" s="66">
        <f t="shared" ref="EZ18:EZ23" si="110">CJ18</f>
        <v>1351</v>
      </c>
      <c r="FA18" s="66">
        <f t="shared" ref="FA18:FA23" si="111">CN18</f>
        <v>1401</v>
      </c>
      <c r="FB18" s="66">
        <f t="shared" si="106"/>
        <v>0</v>
      </c>
      <c r="FC18" s="66">
        <f t="shared" si="107"/>
        <v>0</v>
      </c>
      <c r="FD18" s="67">
        <f t="shared" si="108"/>
        <v>0</v>
      </c>
      <c r="FE18" s="862"/>
      <c r="FF18" s="1398"/>
      <c r="FG18" s="1398"/>
      <c r="FH18" s="1398"/>
      <c r="FO18" s="10"/>
      <c r="FP18" s="770"/>
      <c r="FQ18" s="855"/>
    </row>
    <row r="19" spans="1:173" ht="14.25" customHeight="1">
      <c r="A19" s="7"/>
      <c r="B19" s="430" t="s">
        <v>365</v>
      </c>
      <c r="C19" s="25"/>
      <c r="D19" s="68"/>
      <c r="E19" s="69"/>
      <c r="F19" s="69"/>
      <c r="G19" s="70"/>
      <c r="H19" s="68"/>
      <c r="I19" s="69"/>
      <c r="J19" s="69"/>
      <c r="K19" s="70"/>
      <c r="L19" s="68">
        <v>0</v>
      </c>
      <c r="M19" s="69">
        <v>0</v>
      </c>
      <c r="N19" s="69">
        <v>0</v>
      </c>
      <c r="O19" s="70">
        <v>0</v>
      </c>
      <c r="P19" s="68">
        <v>0</v>
      </c>
      <c r="Q19" s="69">
        <v>0</v>
      </c>
      <c r="R19" s="69">
        <v>0</v>
      </c>
      <c r="S19" s="70">
        <v>0</v>
      </c>
      <c r="T19" s="68">
        <v>0</v>
      </c>
      <c r="U19" s="69">
        <v>0</v>
      </c>
      <c r="V19" s="69">
        <v>0</v>
      </c>
      <c r="W19" s="70">
        <v>0</v>
      </c>
      <c r="X19" s="68">
        <v>0</v>
      </c>
      <c r="Y19" s="69">
        <v>0</v>
      </c>
      <c r="Z19" s="69">
        <v>0</v>
      </c>
      <c r="AA19" s="70">
        <v>0</v>
      </c>
      <c r="AB19" s="68">
        <v>0</v>
      </c>
      <c r="AC19" s="69">
        <v>0</v>
      </c>
      <c r="AD19" s="69">
        <v>0</v>
      </c>
      <c r="AE19" s="70">
        <v>0</v>
      </c>
      <c r="AF19" s="68">
        <v>282.7</v>
      </c>
      <c r="AG19" s="69">
        <v>115.2</v>
      </c>
      <c r="AH19" s="69">
        <v>253.5</v>
      </c>
      <c r="AI19" s="70">
        <v>124.8</v>
      </c>
      <c r="AJ19" s="68">
        <v>105.5</v>
      </c>
      <c r="AK19" s="69">
        <v>96.7</v>
      </c>
      <c r="AL19" s="69">
        <v>81</v>
      </c>
      <c r="AM19" s="70">
        <v>83.7</v>
      </c>
      <c r="AN19" s="68">
        <v>81.099999999999994</v>
      </c>
      <c r="AO19" s="69">
        <v>70.7</v>
      </c>
      <c r="AP19" s="69">
        <v>60.8</v>
      </c>
      <c r="AQ19" s="70">
        <v>41.4</v>
      </c>
      <c r="AR19" s="68">
        <v>33</v>
      </c>
      <c r="AS19" s="69">
        <v>37.799999999999997</v>
      </c>
      <c r="AT19" s="69">
        <v>31.3</v>
      </c>
      <c r="AU19" s="70">
        <v>29.9</v>
      </c>
      <c r="AV19" s="68">
        <v>35.700000000000003</v>
      </c>
      <c r="AW19" s="69">
        <v>35.700000000000003</v>
      </c>
      <c r="AX19" s="69">
        <v>45.6</v>
      </c>
      <c r="AY19" s="70">
        <v>49</v>
      </c>
      <c r="AZ19" s="68">
        <v>55</v>
      </c>
      <c r="BA19" s="69">
        <v>59</v>
      </c>
      <c r="BB19" s="69">
        <v>57</v>
      </c>
      <c r="BC19" s="70">
        <v>65</v>
      </c>
      <c r="BD19" s="68">
        <v>68</v>
      </c>
      <c r="BE19" s="69">
        <v>71</v>
      </c>
      <c r="BF19" s="69">
        <v>72</v>
      </c>
      <c r="BG19" s="70">
        <v>90</v>
      </c>
      <c r="BH19" s="68">
        <v>0</v>
      </c>
      <c r="BI19" s="69">
        <v>0</v>
      </c>
      <c r="BJ19" s="69">
        <v>0</v>
      </c>
      <c r="BK19" s="70">
        <v>0</v>
      </c>
      <c r="BL19" s="68">
        <v>0</v>
      </c>
      <c r="BM19" s="69">
        <v>0</v>
      </c>
      <c r="BN19" s="69">
        <v>0</v>
      </c>
      <c r="BO19" s="70">
        <v>0</v>
      </c>
      <c r="BP19" s="69">
        <v>0</v>
      </c>
      <c r="BQ19" s="69">
        <v>0</v>
      </c>
      <c r="BR19" s="69">
        <v>0</v>
      </c>
      <c r="BS19" s="70">
        <v>0</v>
      </c>
      <c r="BT19" s="69">
        <v>0</v>
      </c>
      <c r="BU19" s="69">
        <v>0</v>
      </c>
      <c r="BV19" s="69">
        <v>0</v>
      </c>
      <c r="BW19" s="70">
        <v>0</v>
      </c>
      <c r="BX19" s="68">
        <v>0</v>
      </c>
      <c r="BY19" s="69">
        <v>0</v>
      </c>
      <c r="BZ19" s="69">
        <v>0</v>
      </c>
      <c r="CA19" s="70">
        <v>0</v>
      </c>
      <c r="CB19" s="68">
        <v>0</v>
      </c>
      <c r="CC19" s="69">
        <v>741</v>
      </c>
      <c r="CD19" s="69">
        <v>693</v>
      </c>
      <c r="CE19" s="70">
        <v>816</v>
      </c>
      <c r="CF19" s="68">
        <v>685</v>
      </c>
      <c r="CG19" s="69">
        <v>651</v>
      </c>
      <c r="CH19" s="69">
        <v>553</v>
      </c>
      <c r="CI19" s="1153">
        <v>597</v>
      </c>
      <c r="CJ19" s="68">
        <v>595</v>
      </c>
      <c r="CK19" s="69">
        <v>668</v>
      </c>
      <c r="CL19" s="69">
        <v>400</v>
      </c>
      <c r="CM19" s="1153">
        <v>657</v>
      </c>
      <c r="CN19" s="68">
        <v>599</v>
      </c>
      <c r="CO19" s="69">
        <v>679</v>
      </c>
      <c r="CP19" s="69">
        <f t="shared" si="109"/>
        <v>679</v>
      </c>
      <c r="CQ19" s="1153">
        <v>766</v>
      </c>
      <c r="CR19" s="68">
        <v>731</v>
      </c>
      <c r="CS19" s="66">
        <f>CR19</f>
        <v>731</v>
      </c>
      <c r="CT19" s="66">
        <f t="shared" ref="CT19:CT20" si="112">CS19</f>
        <v>731</v>
      </c>
      <c r="CU19" s="67">
        <f t="shared" ref="CU19:CU20" si="113">CT19</f>
        <v>731</v>
      </c>
      <c r="CV19" s="66">
        <f t="shared" ref="CV19:CV20" si="114">CU19</f>
        <v>731</v>
      </c>
      <c r="CW19" s="66">
        <f t="shared" ref="CW19:CW20" si="115">CV19</f>
        <v>731</v>
      </c>
      <c r="CX19" s="66">
        <f t="shared" ref="CX19:CX20" si="116">CW19</f>
        <v>731</v>
      </c>
      <c r="CY19" s="67">
        <f t="shared" ref="CY19:CY20" si="117">CX19</f>
        <v>731</v>
      </c>
      <c r="CZ19" s="66">
        <f t="shared" ref="CZ19:CZ20" si="118">CY19</f>
        <v>731</v>
      </c>
      <c r="DA19" s="66">
        <f t="shared" ref="DA19:DA20" si="119">CZ19</f>
        <v>731</v>
      </c>
      <c r="DB19" s="66">
        <f t="shared" ref="DB19:DB20" si="120">DA19</f>
        <v>731</v>
      </c>
      <c r="DC19" s="67">
        <f t="shared" ref="DC19:DC20" si="121">DB19</f>
        <v>731</v>
      </c>
      <c r="DD19" s="894"/>
      <c r="DE19" s="66"/>
      <c r="DF19" s="66"/>
      <c r="DG19" s="66">
        <f>O19</f>
        <v>0</v>
      </c>
      <c r="DH19" s="66">
        <f>S19</f>
        <v>0</v>
      </c>
      <c r="DI19" s="66">
        <f>W19</f>
        <v>0</v>
      </c>
      <c r="DJ19" s="66">
        <f>AA19</f>
        <v>0</v>
      </c>
      <c r="DK19" s="66">
        <f>AE19</f>
        <v>0</v>
      </c>
      <c r="DL19" s="66">
        <f>AI19</f>
        <v>124.8</v>
      </c>
      <c r="DM19" s="66">
        <f>AM19</f>
        <v>83.7</v>
      </c>
      <c r="DN19" s="66">
        <f>AQ19</f>
        <v>41.4</v>
      </c>
      <c r="DO19" s="66">
        <f>AU19</f>
        <v>29.9</v>
      </c>
      <c r="DP19" s="66">
        <f>AY19</f>
        <v>49</v>
      </c>
      <c r="DQ19" s="66">
        <f>BC19</f>
        <v>65</v>
      </c>
      <c r="DR19" s="66">
        <f>BG19</f>
        <v>90</v>
      </c>
      <c r="DS19" s="66">
        <f>BK19</f>
        <v>0</v>
      </c>
      <c r="DT19" s="66">
        <f t="shared" si="89"/>
        <v>0</v>
      </c>
      <c r="DU19" s="66">
        <f t="shared" si="90"/>
        <v>0</v>
      </c>
      <c r="DV19" s="66">
        <f t="shared" si="91"/>
        <v>0</v>
      </c>
      <c r="DW19" s="66">
        <f t="shared" si="92"/>
        <v>0</v>
      </c>
      <c r="DX19" s="66">
        <f t="shared" si="93"/>
        <v>816</v>
      </c>
      <c r="DY19" s="66">
        <f t="shared" si="94"/>
        <v>597</v>
      </c>
      <c r="DZ19" s="66">
        <f t="shared" si="95"/>
        <v>657</v>
      </c>
      <c r="EA19" s="66">
        <f t="shared" si="96"/>
        <v>766</v>
      </c>
      <c r="EB19" s="66">
        <f t="shared" si="97"/>
        <v>731</v>
      </c>
      <c r="EC19" s="66">
        <f t="shared" si="98"/>
        <v>731</v>
      </c>
      <c r="ED19" s="67">
        <f t="shared" si="99"/>
        <v>731</v>
      </c>
      <c r="EE19" s="715"/>
      <c r="EF19" s="65"/>
      <c r="EG19" s="66">
        <f>L19</f>
        <v>0</v>
      </c>
      <c r="EH19" s="66">
        <f>P19</f>
        <v>0</v>
      </c>
      <c r="EI19" s="66">
        <f>T19</f>
        <v>0</v>
      </c>
      <c r="EJ19" s="66">
        <f>X19</f>
        <v>0</v>
      </c>
      <c r="EK19" s="66">
        <f>AB19</f>
        <v>0</v>
      </c>
      <c r="EL19" s="66">
        <f>AF19</f>
        <v>282.7</v>
      </c>
      <c r="EM19" s="66">
        <f>AJ19</f>
        <v>105.5</v>
      </c>
      <c r="EN19" s="66">
        <f>AN19</f>
        <v>81.099999999999994</v>
      </c>
      <c r="EO19" s="66">
        <f>AR19</f>
        <v>33</v>
      </c>
      <c r="EP19" s="66">
        <f>AV19</f>
        <v>35.700000000000003</v>
      </c>
      <c r="EQ19" s="66">
        <f>AZ19</f>
        <v>55</v>
      </c>
      <c r="ER19" s="66">
        <f>BD19</f>
        <v>68</v>
      </c>
      <c r="ES19" s="66">
        <f>BH19</f>
        <v>0</v>
      </c>
      <c r="ET19" s="66">
        <f t="shared" si="100"/>
        <v>0</v>
      </c>
      <c r="EU19" s="66">
        <f t="shared" si="101"/>
        <v>0</v>
      </c>
      <c r="EV19" s="66">
        <f t="shared" si="102"/>
        <v>0</v>
      </c>
      <c r="EW19" s="66">
        <f t="shared" si="103"/>
        <v>0</v>
      </c>
      <c r="EX19" s="66">
        <f t="shared" si="104"/>
        <v>0</v>
      </c>
      <c r="EY19" s="66">
        <f t="shared" si="105"/>
        <v>685</v>
      </c>
      <c r="EZ19" s="66">
        <f t="shared" si="110"/>
        <v>595</v>
      </c>
      <c r="FA19" s="66">
        <f t="shared" si="111"/>
        <v>599</v>
      </c>
      <c r="FB19" s="66">
        <f t="shared" si="106"/>
        <v>731</v>
      </c>
      <c r="FC19" s="66">
        <f t="shared" si="107"/>
        <v>731</v>
      </c>
      <c r="FD19" s="67">
        <f t="shared" si="108"/>
        <v>731</v>
      </c>
      <c r="FE19" s="1159"/>
      <c r="FF19" s="1399"/>
      <c r="FG19" s="1399"/>
      <c r="FH19" s="1399"/>
      <c r="FO19" s="10"/>
      <c r="FP19" s="770"/>
      <c r="FQ19" s="855"/>
    </row>
    <row r="20" spans="1:173" ht="14.25" customHeight="1">
      <c r="A20" s="7"/>
      <c r="B20" s="430" t="s">
        <v>368</v>
      </c>
      <c r="C20" s="25"/>
      <c r="D20" s="68"/>
      <c r="E20" s="69"/>
      <c r="F20" s="69"/>
      <c r="G20" s="70"/>
      <c r="H20" s="68"/>
      <c r="I20" s="69"/>
      <c r="J20" s="69"/>
      <c r="K20" s="70"/>
      <c r="L20" s="68">
        <v>0</v>
      </c>
      <c r="M20" s="69">
        <v>0</v>
      </c>
      <c r="N20" s="69">
        <v>0</v>
      </c>
      <c r="O20" s="70">
        <v>0</v>
      </c>
      <c r="P20" s="68">
        <v>0</v>
      </c>
      <c r="Q20" s="69">
        <v>0</v>
      </c>
      <c r="R20" s="69">
        <v>0</v>
      </c>
      <c r="S20" s="70">
        <v>0</v>
      </c>
      <c r="T20" s="68">
        <v>0</v>
      </c>
      <c r="U20" s="69">
        <v>0</v>
      </c>
      <c r="V20" s="69">
        <v>0</v>
      </c>
      <c r="W20" s="70">
        <v>0</v>
      </c>
      <c r="X20" s="68">
        <v>0</v>
      </c>
      <c r="Y20" s="69">
        <v>0</v>
      </c>
      <c r="Z20" s="69">
        <v>0</v>
      </c>
      <c r="AA20" s="70">
        <v>0</v>
      </c>
      <c r="AB20" s="68">
        <v>0</v>
      </c>
      <c r="AC20" s="69">
        <v>0</v>
      </c>
      <c r="AD20" s="69">
        <v>0</v>
      </c>
      <c r="AE20" s="70">
        <v>0</v>
      </c>
      <c r="AF20" s="68">
        <v>0</v>
      </c>
      <c r="AG20" s="69">
        <v>0</v>
      </c>
      <c r="AH20" s="69">
        <v>0</v>
      </c>
      <c r="AI20" s="70">
        <v>0</v>
      </c>
      <c r="AJ20" s="68">
        <v>0</v>
      </c>
      <c r="AK20" s="69">
        <v>0</v>
      </c>
      <c r="AL20" s="69">
        <v>0</v>
      </c>
      <c r="AM20" s="70">
        <v>0</v>
      </c>
      <c r="AN20" s="68">
        <v>0</v>
      </c>
      <c r="AO20" s="69">
        <v>0</v>
      </c>
      <c r="AP20" s="69">
        <v>0</v>
      </c>
      <c r="AQ20" s="70">
        <v>0</v>
      </c>
      <c r="AR20" s="68">
        <v>0</v>
      </c>
      <c r="AS20" s="69">
        <v>0</v>
      </c>
      <c r="AT20" s="69">
        <v>0</v>
      </c>
      <c r="AU20" s="70">
        <v>0</v>
      </c>
      <c r="AV20" s="68">
        <v>0</v>
      </c>
      <c r="AW20" s="69">
        <v>0</v>
      </c>
      <c r="AX20" s="69">
        <v>0</v>
      </c>
      <c r="AY20" s="70">
        <v>0</v>
      </c>
      <c r="AZ20" s="68">
        <v>0</v>
      </c>
      <c r="BA20" s="69">
        <v>0</v>
      </c>
      <c r="BB20" s="69">
        <v>0</v>
      </c>
      <c r="BC20" s="70">
        <v>0</v>
      </c>
      <c r="BD20" s="68">
        <v>0</v>
      </c>
      <c r="BE20" s="69">
        <v>0</v>
      </c>
      <c r="BF20" s="69">
        <v>0</v>
      </c>
      <c r="BG20" s="70">
        <v>0</v>
      </c>
      <c r="BH20" s="68">
        <v>0</v>
      </c>
      <c r="BI20" s="69">
        <v>0</v>
      </c>
      <c r="BJ20" s="69">
        <v>0</v>
      </c>
      <c r="BK20" s="70">
        <v>0</v>
      </c>
      <c r="BL20" s="68">
        <v>0</v>
      </c>
      <c r="BM20" s="69">
        <v>0</v>
      </c>
      <c r="BN20" s="69">
        <v>0</v>
      </c>
      <c r="BO20" s="70">
        <v>0</v>
      </c>
      <c r="BP20" s="69">
        <v>0</v>
      </c>
      <c r="BQ20" s="69">
        <v>0</v>
      </c>
      <c r="BR20" s="69">
        <v>0</v>
      </c>
      <c r="BS20" s="70">
        <v>0</v>
      </c>
      <c r="BT20" s="69">
        <v>0</v>
      </c>
      <c r="BU20" s="69">
        <v>0</v>
      </c>
      <c r="BV20" s="69">
        <v>0</v>
      </c>
      <c r="BW20" s="70">
        <v>0</v>
      </c>
      <c r="BX20" s="68">
        <v>0</v>
      </c>
      <c r="BY20" s="69">
        <v>0</v>
      </c>
      <c r="BZ20" s="69"/>
      <c r="CA20" s="70">
        <v>0</v>
      </c>
      <c r="CB20" s="68">
        <v>0</v>
      </c>
      <c r="CC20" s="69">
        <f>CB20</f>
        <v>0</v>
      </c>
      <c r="CD20" s="69"/>
      <c r="CE20" s="70">
        <v>0</v>
      </c>
      <c r="CF20" s="68">
        <v>0</v>
      </c>
      <c r="CG20" s="69">
        <v>0</v>
      </c>
      <c r="CH20" s="69">
        <v>0</v>
      </c>
      <c r="CI20" s="1153">
        <v>0</v>
      </c>
      <c r="CJ20" s="68">
        <v>0</v>
      </c>
      <c r="CK20" s="69">
        <v>0</v>
      </c>
      <c r="CL20" s="69">
        <f t="shared" ref="CL20" si="122">CK20</f>
        <v>0</v>
      </c>
      <c r="CM20" s="1153">
        <v>0</v>
      </c>
      <c r="CN20" s="68">
        <v>0</v>
      </c>
      <c r="CO20" s="69">
        <v>1190</v>
      </c>
      <c r="CP20" s="69">
        <f t="shared" si="109"/>
        <v>1190</v>
      </c>
      <c r="CQ20" s="1153">
        <v>1228</v>
      </c>
      <c r="CR20" s="68">
        <v>1228</v>
      </c>
      <c r="CS20" s="66">
        <f>CR20</f>
        <v>1228</v>
      </c>
      <c r="CT20" s="66">
        <f t="shared" si="112"/>
        <v>1228</v>
      </c>
      <c r="CU20" s="67">
        <f t="shared" si="113"/>
        <v>1228</v>
      </c>
      <c r="CV20" s="66">
        <f t="shared" si="114"/>
        <v>1228</v>
      </c>
      <c r="CW20" s="66">
        <f t="shared" si="115"/>
        <v>1228</v>
      </c>
      <c r="CX20" s="66">
        <f t="shared" si="116"/>
        <v>1228</v>
      </c>
      <c r="CY20" s="67">
        <f t="shared" si="117"/>
        <v>1228</v>
      </c>
      <c r="CZ20" s="66">
        <f t="shared" si="118"/>
        <v>1228</v>
      </c>
      <c r="DA20" s="66">
        <f t="shared" si="119"/>
        <v>1228</v>
      </c>
      <c r="DB20" s="66">
        <f t="shared" si="120"/>
        <v>1228</v>
      </c>
      <c r="DC20" s="67">
        <f t="shared" si="121"/>
        <v>1228</v>
      </c>
      <c r="DD20" s="894"/>
      <c r="DE20" s="66"/>
      <c r="DF20" s="66"/>
      <c r="DG20" s="66">
        <f>O20</f>
        <v>0</v>
      </c>
      <c r="DH20" s="66">
        <f>S20</f>
        <v>0</v>
      </c>
      <c r="DI20" s="66">
        <f>W20</f>
        <v>0</v>
      </c>
      <c r="DJ20" s="66">
        <f>AA20</f>
        <v>0</v>
      </c>
      <c r="DK20" s="66">
        <f>AE20</f>
        <v>0</v>
      </c>
      <c r="DL20" s="66">
        <f>AI20</f>
        <v>0</v>
      </c>
      <c r="DM20" s="66">
        <f>AM20</f>
        <v>0</v>
      </c>
      <c r="DN20" s="66">
        <f>AQ20</f>
        <v>0</v>
      </c>
      <c r="DO20" s="66">
        <f>AU20</f>
        <v>0</v>
      </c>
      <c r="DP20" s="66">
        <f>AY20</f>
        <v>0</v>
      </c>
      <c r="DQ20" s="66">
        <f>BC20</f>
        <v>0</v>
      </c>
      <c r="DR20" s="66">
        <f>BG20</f>
        <v>0</v>
      </c>
      <c r="DS20" s="66">
        <f>BK20</f>
        <v>0</v>
      </c>
      <c r="DT20" s="66">
        <f t="shared" si="89"/>
        <v>0</v>
      </c>
      <c r="DU20" s="66">
        <f t="shared" si="90"/>
        <v>0</v>
      </c>
      <c r="DV20" s="66">
        <f t="shared" si="91"/>
        <v>0</v>
      </c>
      <c r="DW20" s="66">
        <f t="shared" si="92"/>
        <v>0</v>
      </c>
      <c r="DX20" s="66">
        <f t="shared" si="93"/>
        <v>0</v>
      </c>
      <c r="DY20" s="66">
        <f t="shared" si="94"/>
        <v>0</v>
      </c>
      <c r="DZ20" s="66">
        <f t="shared" si="95"/>
        <v>0</v>
      </c>
      <c r="EA20" s="66">
        <f t="shared" si="96"/>
        <v>1228</v>
      </c>
      <c r="EB20" s="66">
        <f t="shared" si="97"/>
        <v>1228</v>
      </c>
      <c r="EC20" s="66">
        <f t="shared" si="98"/>
        <v>1228</v>
      </c>
      <c r="ED20" s="67">
        <f t="shared" si="99"/>
        <v>1228</v>
      </c>
      <c r="EE20" s="715"/>
      <c r="EF20" s="65"/>
      <c r="EG20" s="66">
        <f>L20</f>
        <v>0</v>
      </c>
      <c r="EH20" s="66">
        <f>P20</f>
        <v>0</v>
      </c>
      <c r="EI20" s="66">
        <f>T20</f>
        <v>0</v>
      </c>
      <c r="EJ20" s="66">
        <f>X20</f>
        <v>0</v>
      </c>
      <c r="EK20" s="66">
        <f>AB20</f>
        <v>0</v>
      </c>
      <c r="EL20" s="66">
        <f>AF20</f>
        <v>0</v>
      </c>
      <c r="EM20" s="66">
        <f>AJ20</f>
        <v>0</v>
      </c>
      <c r="EN20" s="66">
        <f>AN20</f>
        <v>0</v>
      </c>
      <c r="EO20" s="66">
        <f>AR20</f>
        <v>0</v>
      </c>
      <c r="EP20" s="66">
        <f>AV20</f>
        <v>0</v>
      </c>
      <c r="EQ20" s="66">
        <f>AZ20</f>
        <v>0</v>
      </c>
      <c r="ER20" s="66">
        <f>BD20</f>
        <v>0</v>
      </c>
      <c r="ES20" s="66">
        <f>BH20</f>
        <v>0</v>
      </c>
      <c r="ET20" s="66">
        <f t="shared" si="100"/>
        <v>0</v>
      </c>
      <c r="EU20" s="66">
        <f t="shared" si="101"/>
        <v>0</v>
      </c>
      <c r="EV20" s="66">
        <f t="shared" si="102"/>
        <v>0</v>
      </c>
      <c r="EW20" s="66">
        <f t="shared" si="103"/>
        <v>0</v>
      </c>
      <c r="EX20" s="66">
        <f t="shared" si="104"/>
        <v>0</v>
      </c>
      <c r="EY20" s="66">
        <f t="shared" si="105"/>
        <v>0</v>
      </c>
      <c r="EZ20" s="66">
        <f t="shared" si="110"/>
        <v>0</v>
      </c>
      <c r="FA20" s="66">
        <f t="shared" si="111"/>
        <v>0</v>
      </c>
      <c r="FB20" s="66">
        <f t="shared" si="106"/>
        <v>1228</v>
      </c>
      <c r="FC20" s="66">
        <f t="shared" si="107"/>
        <v>1228</v>
      </c>
      <c r="FD20" s="67">
        <f t="shared" si="108"/>
        <v>1228</v>
      </c>
      <c r="FE20" s="862"/>
      <c r="FF20" s="1398"/>
      <c r="FG20" s="1398"/>
      <c r="FH20" s="1398"/>
      <c r="FO20" s="10"/>
      <c r="FP20" s="770"/>
      <c r="FQ20" s="855"/>
    </row>
    <row r="21" spans="1:173" ht="14.25" customHeight="1">
      <c r="A21" s="7"/>
      <c r="B21" s="430" t="s">
        <v>364</v>
      </c>
      <c r="C21" s="25"/>
      <c r="D21" s="68"/>
      <c r="E21" s="69"/>
      <c r="F21" s="69"/>
      <c r="G21" s="70"/>
      <c r="H21" s="68"/>
      <c r="I21" s="69"/>
      <c r="J21" s="69"/>
      <c r="K21" s="70"/>
      <c r="L21" s="68">
        <v>42.6</v>
      </c>
      <c r="M21" s="69">
        <v>41.6</v>
      </c>
      <c r="N21" s="69">
        <v>51.4</v>
      </c>
      <c r="O21" s="70">
        <v>51.1</v>
      </c>
      <c r="P21" s="68">
        <v>67.8</v>
      </c>
      <c r="Q21" s="69">
        <v>92</v>
      </c>
      <c r="R21" s="69">
        <v>89.1</v>
      </c>
      <c r="S21" s="70">
        <v>84.9</v>
      </c>
      <c r="T21" s="68">
        <v>219.6</v>
      </c>
      <c r="U21" s="69">
        <v>215.9</v>
      </c>
      <c r="V21" s="69">
        <v>213.8</v>
      </c>
      <c r="W21" s="70">
        <v>212.6</v>
      </c>
      <c r="X21" s="68">
        <v>206.4</v>
      </c>
      <c r="Y21" s="69">
        <v>215.8</v>
      </c>
      <c r="Z21" s="69">
        <v>214.7</v>
      </c>
      <c r="AA21" s="70">
        <v>213</v>
      </c>
      <c r="AB21" s="68">
        <v>211.9</v>
      </c>
      <c r="AC21" s="69">
        <v>216.6</v>
      </c>
      <c r="AD21" s="69">
        <v>219.8</v>
      </c>
      <c r="AE21" s="70">
        <v>307.60000000000002</v>
      </c>
      <c r="AF21" s="68">
        <v>324.10000000000002</v>
      </c>
      <c r="AG21" s="69">
        <v>317</v>
      </c>
      <c r="AH21" s="69">
        <v>321.3</v>
      </c>
      <c r="AI21" s="70">
        <v>317</v>
      </c>
      <c r="AJ21" s="68">
        <v>312.7</v>
      </c>
      <c r="AK21" s="69">
        <v>293.10000000000002</v>
      </c>
      <c r="AL21" s="69">
        <v>295.39999999999998</v>
      </c>
      <c r="AM21" s="70">
        <v>289.60000000000002</v>
      </c>
      <c r="AN21" s="68">
        <v>283.5</v>
      </c>
      <c r="AO21" s="69">
        <v>277.60000000000002</v>
      </c>
      <c r="AP21" s="69">
        <v>280.3</v>
      </c>
      <c r="AQ21" s="70">
        <v>276.2</v>
      </c>
      <c r="AR21" s="68">
        <v>271.5</v>
      </c>
      <c r="AS21" s="69">
        <v>267.2</v>
      </c>
      <c r="AT21" s="69">
        <v>263.3</v>
      </c>
      <c r="AU21" s="70">
        <v>260.2</v>
      </c>
      <c r="AV21" s="68">
        <v>255.9</v>
      </c>
      <c r="AW21" s="69">
        <v>244.4</v>
      </c>
      <c r="AX21" s="69">
        <v>208.5</v>
      </c>
      <c r="AY21" s="70">
        <v>890</v>
      </c>
      <c r="AZ21" s="68">
        <v>912</v>
      </c>
      <c r="BA21" s="69">
        <v>938</v>
      </c>
      <c r="BB21" s="69">
        <v>926</v>
      </c>
      <c r="BC21" s="70">
        <v>916</v>
      </c>
      <c r="BD21" s="68">
        <v>907</v>
      </c>
      <c r="BE21" s="69">
        <v>440</v>
      </c>
      <c r="BF21" s="69">
        <v>433</v>
      </c>
      <c r="BG21" s="70">
        <v>422</v>
      </c>
      <c r="BH21" s="68">
        <v>354</v>
      </c>
      <c r="BI21" s="69">
        <v>382</v>
      </c>
      <c r="BJ21" s="69">
        <v>355</v>
      </c>
      <c r="BK21" s="70">
        <v>344</v>
      </c>
      <c r="BL21" s="68">
        <v>334</v>
      </c>
      <c r="BM21" s="69">
        <v>322</v>
      </c>
      <c r="BN21" s="69">
        <v>341</v>
      </c>
      <c r="BO21" s="70">
        <v>323</v>
      </c>
      <c r="BP21" s="69">
        <v>312</v>
      </c>
      <c r="BQ21" s="69">
        <v>309</v>
      </c>
      <c r="BR21" s="69">
        <v>424</v>
      </c>
      <c r="BS21" s="70">
        <v>414</v>
      </c>
      <c r="BT21" s="69">
        <v>401</v>
      </c>
      <c r="BU21" s="69">
        <v>400</v>
      </c>
      <c r="BV21" s="69">
        <v>386</v>
      </c>
      <c r="BW21" s="70">
        <v>371</v>
      </c>
      <c r="BX21" s="68">
        <v>359</v>
      </c>
      <c r="BY21" s="69">
        <v>346</v>
      </c>
      <c r="BZ21" s="69">
        <v>331</v>
      </c>
      <c r="CA21" s="70">
        <v>386</v>
      </c>
      <c r="CB21" s="68">
        <v>368</v>
      </c>
      <c r="CC21" s="69">
        <v>367</v>
      </c>
      <c r="CD21" s="69">
        <v>343</v>
      </c>
      <c r="CE21" s="70">
        <v>468</v>
      </c>
      <c r="CF21" s="68">
        <v>450</v>
      </c>
      <c r="CG21" s="69">
        <v>440</v>
      </c>
      <c r="CH21" s="69">
        <v>431</v>
      </c>
      <c r="CI21" s="1153">
        <v>449</v>
      </c>
      <c r="CJ21" s="68">
        <v>536</v>
      </c>
      <c r="CK21" s="69">
        <v>512</v>
      </c>
      <c r="CL21" s="69">
        <f>+CK21-CFS!CL82</f>
        <v>482</v>
      </c>
      <c r="CM21" s="1153">
        <v>464</v>
      </c>
      <c r="CN21" s="68">
        <v>445</v>
      </c>
      <c r="CO21" s="69">
        <v>425</v>
      </c>
      <c r="CP21" s="69">
        <f t="shared" si="109"/>
        <v>425</v>
      </c>
      <c r="CQ21" s="1153">
        <v>387</v>
      </c>
      <c r="CR21" s="68">
        <v>368</v>
      </c>
      <c r="CS21" s="66">
        <f>CR21</f>
        <v>368</v>
      </c>
      <c r="CT21" s="66">
        <f>+CS21-CFS!CT82</f>
        <v>368</v>
      </c>
      <c r="CU21" s="67">
        <f>+CT21-CFS!CU82</f>
        <v>368</v>
      </c>
      <c r="CV21" s="66">
        <f>+CU21-CFS!CV82</f>
        <v>368</v>
      </c>
      <c r="CW21" s="66">
        <f>+CV21-CFS!CW82</f>
        <v>368</v>
      </c>
      <c r="CX21" s="66">
        <f>+CW21-CFS!CX82</f>
        <v>368</v>
      </c>
      <c r="CY21" s="67">
        <f>+CX21-CFS!CY82</f>
        <v>368</v>
      </c>
      <c r="CZ21" s="66">
        <f>+CY21-CFS!CZ82</f>
        <v>368</v>
      </c>
      <c r="DA21" s="66">
        <f>+CZ21-CFS!DA82</f>
        <v>368</v>
      </c>
      <c r="DB21" s="66">
        <f>+DA21-CFS!DB82</f>
        <v>368</v>
      </c>
      <c r="DC21" s="67">
        <f>+DB21-CFS!DC82</f>
        <v>368</v>
      </c>
      <c r="DD21" s="894"/>
      <c r="DE21" s="66"/>
      <c r="DF21" s="66"/>
      <c r="DG21" s="66">
        <f>O21</f>
        <v>51.1</v>
      </c>
      <c r="DH21" s="66">
        <f>S21</f>
        <v>84.9</v>
      </c>
      <c r="DI21" s="66">
        <f>W21</f>
        <v>212.6</v>
      </c>
      <c r="DJ21" s="66">
        <f>AA21</f>
        <v>213</v>
      </c>
      <c r="DK21" s="66">
        <f>AE21</f>
        <v>307.60000000000002</v>
      </c>
      <c r="DL21" s="66">
        <f>AI21</f>
        <v>317</v>
      </c>
      <c r="DM21" s="66">
        <f>AM21</f>
        <v>289.60000000000002</v>
      </c>
      <c r="DN21" s="66">
        <f>AQ21</f>
        <v>276.2</v>
      </c>
      <c r="DO21" s="66">
        <f>AU21</f>
        <v>260.2</v>
      </c>
      <c r="DP21" s="66">
        <f>AY21</f>
        <v>890</v>
      </c>
      <c r="DQ21" s="66">
        <f>BC21</f>
        <v>916</v>
      </c>
      <c r="DR21" s="66">
        <f>BG21</f>
        <v>422</v>
      </c>
      <c r="DS21" s="66">
        <f>BK21</f>
        <v>344</v>
      </c>
      <c r="DT21" s="66">
        <f t="shared" si="89"/>
        <v>323</v>
      </c>
      <c r="DU21" s="66">
        <f t="shared" si="90"/>
        <v>414</v>
      </c>
      <c r="DV21" s="66">
        <f t="shared" si="91"/>
        <v>371</v>
      </c>
      <c r="DW21" s="66">
        <f t="shared" si="92"/>
        <v>386</v>
      </c>
      <c r="DX21" s="66">
        <f t="shared" si="93"/>
        <v>468</v>
      </c>
      <c r="DY21" s="66">
        <f t="shared" si="94"/>
        <v>449</v>
      </c>
      <c r="DZ21" s="66">
        <f t="shared" si="95"/>
        <v>464</v>
      </c>
      <c r="EA21" s="66">
        <f t="shared" si="96"/>
        <v>387</v>
      </c>
      <c r="EB21" s="66">
        <f t="shared" si="97"/>
        <v>368</v>
      </c>
      <c r="EC21" s="66">
        <f t="shared" si="98"/>
        <v>368</v>
      </c>
      <c r="ED21" s="67">
        <f t="shared" si="99"/>
        <v>368</v>
      </c>
      <c r="EE21" s="715"/>
      <c r="EF21" s="65"/>
      <c r="EG21" s="66">
        <f>L21</f>
        <v>42.6</v>
      </c>
      <c r="EH21" s="66">
        <f>P21</f>
        <v>67.8</v>
      </c>
      <c r="EI21" s="66">
        <f>T21</f>
        <v>219.6</v>
      </c>
      <c r="EJ21" s="66">
        <f>X21</f>
        <v>206.4</v>
      </c>
      <c r="EK21" s="66">
        <f>AB21</f>
        <v>211.9</v>
      </c>
      <c r="EL21" s="66">
        <f>AF21</f>
        <v>324.10000000000002</v>
      </c>
      <c r="EM21" s="66">
        <f>AJ21</f>
        <v>312.7</v>
      </c>
      <c r="EN21" s="66">
        <f>AN21</f>
        <v>283.5</v>
      </c>
      <c r="EO21" s="66">
        <f>AR21</f>
        <v>271.5</v>
      </c>
      <c r="EP21" s="66">
        <f>AV21</f>
        <v>255.9</v>
      </c>
      <c r="EQ21" s="66">
        <f>AZ21</f>
        <v>912</v>
      </c>
      <c r="ER21" s="66">
        <f>BD21</f>
        <v>907</v>
      </c>
      <c r="ES21" s="66">
        <f>BH21</f>
        <v>354</v>
      </c>
      <c r="ET21" s="66">
        <f t="shared" si="100"/>
        <v>334</v>
      </c>
      <c r="EU21" s="66">
        <f t="shared" si="101"/>
        <v>312</v>
      </c>
      <c r="EV21" s="66">
        <f t="shared" si="102"/>
        <v>401</v>
      </c>
      <c r="EW21" s="66">
        <f t="shared" si="103"/>
        <v>359</v>
      </c>
      <c r="EX21" s="66">
        <f t="shared" si="104"/>
        <v>368</v>
      </c>
      <c r="EY21" s="66">
        <f t="shared" si="105"/>
        <v>450</v>
      </c>
      <c r="EZ21" s="66">
        <f t="shared" si="110"/>
        <v>536</v>
      </c>
      <c r="FA21" s="66">
        <f t="shared" si="111"/>
        <v>445</v>
      </c>
      <c r="FB21" s="66">
        <f t="shared" si="106"/>
        <v>368</v>
      </c>
      <c r="FC21" s="66">
        <f t="shared" si="107"/>
        <v>368</v>
      </c>
      <c r="FD21" s="67">
        <f t="shared" si="108"/>
        <v>368</v>
      </c>
      <c r="FE21" s="862"/>
      <c r="FF21" s="1398"/>
      <c r="FG21" s="1398"/>
      <c r="FH21" s="1398"/>
      <c r="FO21" s="10"/>
      <c r="FP21" s="770"/>
      <c r="FQ21" s="855"/>
    </row>
    <row r="22" spans="1:173" ht="14.25" customHeight="1">
      <c r="A22" s="7"/>
      <c r="B22" s="430" t="s">
        <v>203</v>
      </c>
      <c r="C22" s="25"/>
      <c r="D22" s="68"/>
      <c r="E22" s="69"/>
      <c r="F22" s="69"/>
      <c r="G22" s="70"/>
      <c r="H22" s="68"/>
      <c r="I22" s="69"/>
      <c r="J22" s="69"/>
      <c r="K22" s="70"/>
      <c r="L22" s="68"/>
      <c r="M22" s="69"/>
      <c r="N22" s="69"/>
      <c r="O22" s="70"/>
      <c r="P22" s="68"/>
      <c r="Q22" s="69"/>
      <c r="R22" s="69"/>
      <c r="S22" s="70"/>
      <c r="T22" s="68"/>
      <c r="U22" s="69"/>
      <c r="V22" s="69"/>
      <c r="W22" s="70"/>
      <c r="X22" s="68"/>
      <c r="Y22" s="69"/>
      <c r="Z22" s="69"/>
      <c r="AA22" s="70"/>
      <c r="AB22" s="68"/>
      <c r="AC22" s="69"/>
      <c r="AD22" s="69"/>
      <c r="AE22" s="70"/>
      <c r="AF22" s="68"/>
      <c r="AG22" s="69"/>
      <c r="AH22" s="69"/>
      <c r="AI22" s="70"/>
      <c r="AJ22" s="68"/>
      <c r="AK22" s="69"/>
      <c r="AL22" s="69"/>
      <c r="AM22" s="70"/>
      <c r="AN22" s="68"/>
      <c r="AO22" s="69"/>
      <c r="AP22" s="69"/>
      <c r="AQ22" s="70"/>
      <c r="AR22" s="68"/>
      <c r="AS22" s="69"/>
      <c r="AT22" s="69"/>
      <c r="AU22" s="70"/>
      <c r="AV22" s="68"/>
      <c r="AW22" s="69"/>
      <c r="AX22" s="69"/>
      <c r="AY22" s="70"/>
      <c r="AZ22" s="68"/>
      <c r="BA22" s="69"/>
      <c r="BB22" s="69"/>
      <c r="BC22" s="70"/>
      <c r="BD22" s="68"/>
      <c r="BE22" s="69"/>
      <c r="BF22" s="69"/>
      <c r="BG22" s="70"/>
      <c r="BH22" s="68"/>
      <c r="BI22" s="69"/>
      <c r="BJ22" s="69"/>
      <c r="BK22" s="70"/>
      <c r="BL22" s="68">
        <v>16</v>
      </c>
      <c r="BM22" s="69">
        <v>22</v>
      </c>
      <c r="BN22" s="69">
        <v>17</v>
      </c>
      <c r="BO22" s="70">
        <v>19</v>
      </c>
      <c r="BP22" s="69">
        <v>19</v>
      </c>
      <c r="BQ22" s="69">
        <v>28</v>
      </c>
      <c r="BR22" s="69">
        <v>50</v>
      </c>
      <c r="BS22" s="70">
        <v>52</v>
      </c>
      <c r="BT22" s="69">
        <v>53</v>
      </c>
      <c r="BU22" s="69">
        <v>14</v>
      </c>
      <c r="BV22" s="69">
        <v>361</v>
      </c>
      <c r="BW22" s="70">
        <v>374</v>
      </c>
      <c r="BX22" s="68">
        <v>527</v>
      </c>
      <c r="BY22" s="69">
        <v>546</v>
      </c>
      <c r="BZ22" s="69">
        <v>347</v>
      </c>
      <c r="CA22" s="70">
        <v>499</v>
      </c>
      <c r="CB22" s="68">
        <v>538</v>
      </c>
      <c r="CC22" s="69">
        <v>552</v>
      </c>
      <c r="CD22" s="69">
        <v>545</v>
      </c>
      <c r="CE22" s="70">
        <v>819</v>
      </c>
      <c r="CF22" s="68">
        <v>1077</v>
      </c>
      <c r="CG22" s="69">
        <v>1869</v>
      </c>
      <c r="CH22" s="69">
        <v>2470</v>
      </c>
      <c r="CI22" s="1153">
        <v>2113</v>
      </c>
      <c r="CJ22" s="68">
        <v>1771</v>
      </c>
      <c r="CK22" s="69">
        <v>1108</v>
      </c>
      <c r="CL22" s="69">
        <f>CK22-215</f>
        <v>893</v>
      </c>
      <c r="CM22" s="1153">
        <v>414</v>
      </c>
      <c r="CN22" s="68">
        <v>155</v>
      </c>
      <c r="CO22" s="69">
        <v>589</v>
      </c>
      <c r="CP22" s="69">
        <v>471</v>
      </c>
      <c r="CQ22" s="1153">
        <v>617</v>
      </c>
      <c r="CR22" s="68">
        <v>314</v>
      </c>
      <c r="CS22" s="69">
        <v>520</v>
      </c>
      <c r="CT22" s="66">
        <f t="shared" ref="CT22:CT23" si="123">CS22</f>
        <v>520</v>
      </c>
      <c r="CU22" s="67">
        <f t="shared" ref="CU22:CU23" si="124">CT22</f>
        <v>520</v>
      </c>
      <c r="CV22" s="66">
        <f t="shared" ref="CV22:CV23" si="125">CU22</f>
        <v>520</v>
      </c>
      <c r="CW22" s="66">
        <f t="shared" ref="CW22:CW23" si="126">CV22</f>
        <v>520</v>
      </c>
      <c r="CX22" s="66">
        <f t="shared" ref="CX22:CX23" si="127">CW22</f>
        <v>520</v>
      </c>
      <c r="CY22" s="67">
        <f t="shared" ref="CY22:CY23" si="128">CX22</f>
        <v>520</v>
      </c>
      <c r="CZ22" s="66">
        <f t="shared" ref="CZ22:CZ23" si="129">CY22</f>
        <v>520</v>
      </c>
      <c r="DA22" s="66">
        <f t="shared" ref="DA22:DA23" si="130">CZ22</f>
        <v>520</v>
      </c>
      <c r="DB22" s="66">
        <f t="shared" ref="DB22:DB23" si="131">DA22</f>
        <v>520</v>
      </c>
      <c r="DC22" s="67">
        <f t="shared" ref="DC22:DC23" si="132">DB22</f>
        <v>520</v>
      </c>
      <c r="DD22" s="894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>
        <f t="shared" si="89"/>
        <v>19</v>
      </c>
      <c r="DU22" s="66">
        <f t="shared" si="90"/>
        <v>52</v>
      </c>
      <c r="DV22" s="66">
        <f t="shared" si="91"/>
        <v>374</v>
      </c>
      <c r="DW22" s="66">
        <f t="shared" si="92"/>
        <v>499</v>
      </c>
      <c r="DX22" s="66">
        <f t="shared" si="93"/>
        <v>819</v>
      </c>
      <c r="DY22" s="66">
        <f t="shared" si="94"/>
        <v>2113</v>
      </c>
      <c r="DZ22" s="66">
        <f t="shared" si="95"/>
        <v>414</v>
      </c>
      <c r="EA22" s="66">
        <f t="shared" si="96"/>
        <v>617</v>
      </c>
      <c r="EB22" s="66">
        <f t="shared" si="97"/>
        <v>520</v>
      </c>
      <c r="EC22" s="66">
        <f t="shared" si="98"/>
        <v>520</v>
      </c>
      <c r="ED22" s="67">
        <f t="shared" si="99"/>
        <v>520</v>
      </c>
      <c r="EE22" s="715"/>
      <c r="EF22" s="65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>
        <f t="shared" si="100"/>
        <v>16</v>
      </c>
      <c r="EU22" s="66">
        <f t="shared" si="101"/>
        <v>19</v>
      </c>
      <c r="EV22" s="66">
        <f t="shared" si="102"/>
        <v>53</v>
      </c>
      <c r="EW22" s="66">
        <f t="shared" si="103"/>
        <v>527</v>
      </c>
      <c r="EX22" s="66">
        <f t="shared" si="104"/>
        <v>538</v>
      </c>
      <c r="EY22" s="66">
        <f t="shared" si="105"/>
        <v>1077</v>
      </c>
      <c r="EZ22" s="66">
        <f t="shared" si="110"/>
        <v>1771</v>
      </c>
      <c r="FA22" s="66">
        <f t="shared" si="111"/>
        <v>155</v>
      </c>
      <c r="FB22" s="66">
        <f t="shared" si="106"/>
        <v>314</v>
      </c>
      <c r="FC22" s="66">
        <f t="shared" si="107"/>
        <v>520</v>
      </c>
      <c r="FD22" s="67">
        <f t="shared" si="108"/>
        <v>520</v>
      </c>
      <c r="FE22" s="862"/>
      <c r="FF22" s="1398"/>
      <c r="FG22" s="1398"/>
      <c r="FH22" s="1398"/>
      <c r="FO22" s="10"/>
      <c r="FP22" s="770"/>
      <c r="FQ22" s="855"/>
    </row>
    <row r="23" spans="1:173" ht="14.25" customHeight="1">
      <c r="A23" s="7"/>
      <c r="B23" s="430" t="s">
        <v>362</v>
      </c>
      <c r="C23" s="25"/>
      <c r="D23" s="68"/>
      <c r="E23" s="69"/>
      <c r="F23" s="69"/>
      <c r="G23" s="70"/>
      <c r="H23" s="68"/>
      <c r="I23" s="69"/>
      <c r="J23" s="69"/>
      <c r="K23" s="70"/>
      <c r="L23" s="68">
        <v>27.9</v>
      </c>
      <c r="M23" s="69">
        <v>18.3</v>
      </c>
      <c r="N23" s="69">
        <v>51.9</v>
      </c>
      <c r="O23" s="70">
        <v>66.599999999999994</v>
      </c>
      <c r="P23" s="68">
        <v>68.3</v>
      </c>
      <c r="Q23" s="69">
        <v>69.8</v>
      </c>
      <c r="R23" s="69">
        <v>76.5</v>
      </c>
      <c r="S23" s="70">
        <v>73.400000000000006</v>
      </c>
      <c r="T23" s="68">
        <v>116</v>
      </c>
      <c r="U23" s="69">
        <v>148.9</v>
      </c>
      <c r="V23" s="69">
        <v>172.5</v>
      </c>
      <c r="W23" s="70">
        <v>123</v>
      </c>
      <c r="X23" s="68">
        <v>118.8</v>
      </c>
      <c r="Y23" s="69">
        <v>231.7</v>
      </c>
      <c r="Z23" s="69">
        <v>183.1</v>
      </c>
      <c r="AA23" s="70">
        <v>256.5</v>
      </c>
      <c r="AB23" s="68">
        <v>371</v>
      </c>
      <c r="AC23" s="69">
        <v>381.9</v>
      </c>
      <c r="AD23" s="69">
        <v>410.2</v>
      </c>
      <c r="AE23" s="70">
        <v>213.8</v>
      </c>
      <c r="AF23" s="68">
        <v>320.8</v>
      </c>
      <c r="AG23" s="69">
        <v>329.2</v>
      </c>
      <c r="AH23" s="69">
        <v>276.10000000000002</v>
      </c>
      <c r="AI23" s="70">
        <v>295.3</v>
      </c>
      <c r="AJ23" s="68">
        <v>353.3</v>
      </c>
      <c r="AK23" s="69">
        <v>185.3</v>
      </c>
      <c r="AL23" s="69">
        <v>227.9</v>
      </c>
      <c r="AM23" s="70">
        <v>237.4</v>
      </c>
      <c r="AN23" s="68">
        <v>275</v>
      </c>
      <c r="AO23" s="69">
        <v>213.9</v>
      </c>
      <c r="AP23" s="69">
        <v>198.7</v>
      </c>
      <c r="AQ23" s="70">
        <v>91</v>
      </c>
      <c r="AR23" s="68">
        <v>92.2</v>
      </c>
      <c r="AS23" s="69">
        <v>93.6</v>
      </c>
      <c r="AT23" s="69">
        <v>100.3</v>
      </c>
      <c r="AU23" s="70">
        <v>106.9</v>
      </c>
      <c r="AV23" s="68">
        <v>99.4</v>
      </c>
      <c r="AW23" s="69">
        <v>99.4</v>
      </c>
      <c r="AX23" s="69">
        <v>87.6</v>
      </c>
      <c r="AY23" s="70">
        <v>294.2</v>
      </c>
      <c r="AZ23" s="68">
        <v>244</v>
      </c>
      <c r="BA23" s="69">
        <v>258</v>
      </c>
      <c r="BB23" s="69">
        <v>281</v>
      </c>
      <c r="BC23" s="70">
        <v>324</v>
      </c>
      <c r="BD23" s="68">
        <v>295</v>
      </c>
      <c r="BE23" s="69">
        <v>336</v>
      </c>
      <c r="BF23" s="69">
        <v>261</v>
      </c>
      <c r="BG23" s="70">
        <v>328</v>
      </c>
      <c r="BH23" s="68">
        <v>825</v>
      </c>
      <c r="BI23" s="69">
        <v>711</v>
      </c>
      <c r="BJ23" s="69">
        <v>645</v>
      </c>
      <c r="BK23" s="70">
        <f>56+311</f>
        <v>367</v>
      </c>
      <c r="BL23" s="68">
        <f>381-16</f>
        <v>365</v>
      </c>
      <c r="BM23" s="69">
        <f>424-22</f>
        <v>402</v>
      </c>
      <c r="BN23" s="69">
        <f>667-17</f>
        <v>650</v>
      </c>
      <c r="BO23" s="70">
        <f>519+335-19</f>
        <v>835</v>
      </c>
      <c r="BP23" s="69">
        <f>337+560-19</f>
        <v>878</v>
      </c>
      <c r="BQ23" s="69">
        <f>338+507-28</f>
        <v>817</v>
      </c>
      <c r="BR23" s="69">
        <f>13+486-50</f>
        <v>449</v>
      </c>
      <c r="BS23" s="70">
        <v>416</v>
      </c>
      <c r="BT23" s="69">
        <f>450-53</f>
        <v>397</v>
      </c>
      <c r="BU23" s="69">
        <f>388-14</f>
        <v>374</v>
      </c>
      <c r="BV23" s="69">
        <f>378</f>
        <v>378</v>
      </c>
      <c r="BW23" s="70">
        <v>333</v>
      </c>
      <c r="BX23" s="68">
        <v>324</v>
      </c>
      <c r="BY23" s="69">
        <v>392</v>
      </c>
      <c r="BZ23" s="69">
        <v>389</v>
      </c>
      <c r="CA23" s="70">
        <f>861+439</f>
        <v>1300</v>
      </c>
      <c r="CB23" s="68">
        <f>802+494</f>
        <v>1296</v>
      </c>
      <c r="CC23" s="69">
        <f>487</f>
        <v>487</v>
      </c>
      <c r="CD23" s="69">
        <v>444</v>
      </c>
      <c r="CE23" s="70">
        <v>497</v>
      </c>
      <c r="CF23" s="68">
        <v>446</v>
      </c>
      <c r="CG23" s="69">
        <v>468</v>
      </c>
      <c r="CH23" s="69">
        <v>493</v>
      </c>
      <c r="CI23" s="1153">
        <v>455</v>
      </c>
      <c r="CJ23" s="68">
        <v>565</v>
      </c>
      <c r="CK23" s="69">
        <v>547</v>
      </c>
      <c r="CL23" s="69">
        <f t="shared" ref="CL23" si="133">CK23</f>
        <v>547</v>
      </c>
      <c r="CM23" s="1153">
        <v>460</v>
      </c>
      <c r="CN23" s="68">
        <v>411</v>
      </c>
      <c r="CO23" s="69">
        <v>391</v>
      </c>
      <c r="CP23" s="69">
        <f>33267-SUM(CP15:CP22)</f>
        <v>427</v>
      </c>
      <c r="CQ23" s="1153">
        <v>434</v>
      </c>
      <c r="CR23" s="68">
        <v>469</v>
      </c>
      <c r="CS23" s="66">
        <f>41263-SUM(CS15:CS22)</f>
        <v>716</v>
      </c>
      <c r="CT23" s="66">
        <f t="shared" si="123"/>
        <v>716</v>
      </c>
      <c r="CU23" s="67">
        <f t="shared" si="124"/>
        <v>716</v>
      </c>
      <c r="CV23" s="66">
        <f t="shared" si="125"/>
        <v>716</v>
      </c>
      <c r="CW23" s="66">
        <f t="shared" si="126"/>
        <v>716</v>
      </c>
      <c r="CX23" s="66">
        <f t="shared" si="127"/>
        <v>716</v>
      </c>
      <c r="CY23" s="67">
        <f t="shared" si="128"/>
        <v>716</v>
      </c>
      <c r="CZ23" s="66">
        <f t="shared" si="129"/>
        <v>716</v>
      </c>
      <c r="DA23" s="66">
        <f t="shared" si="130"/>
        <v>716</v>
      </c>
      <c r="DB23" s="66">
        <f t="shared" si="131"/>
        <v>716</v>
      </c>
      <c r="DC23" s="67">
        <f t="shared" si="132"/>
        <v>716</v>
      </c>
      <c r="DD23" s="894"/>
      <c r="DE23" s="66"/>
      <c r="DF23" s="66"/>
      <c r="DG23" s="66">
        <f>O23</f>
        <v>66.599999999999994</v>
      </c>
      <c r="DH23" s="66">
        <f>S23</f>
        <v>73.400000000000006</v>
      </c>
      <c r="DI23" s="66">
        <f>W23</f>
        <v>123</v>
      </c>
      <c r="DJ23" s="66">
        <f>AA23</f>
        <v>256.5</v>
      </c>
      <c r="DK23" s="66">
        <f>AE23</f>
        <v>213.8</v>
      </c>
      <c r="DL23" s="66">
        <f>AI23</f>
        <v>295.3</v>
      </c>
      <c r="DM23" s="66">
        <f>AM23</f>
        <v>237.4</v>
      </c>
      <c r="DN23" s="66">
        <f>AQ23</f>
        <v>91</v>
      </c>
      <c r="DO23" s="66">
        <f>AU23</f>
        <v>106.9</v>
      </c>
      <c r="DP23" s="66">
        <f>AY23</f>
        <v>294.2</v>
      </c>
      <c r="DQ23" s="66">
        <f>BC23</f>
        <v>324</v>
      </c>
      <c r="DR23" s="66">
        <f>BG23</f>
        <v>328</v>
      </c>
      <c r="DS23" s="66">
        <f>BK23</f>
        <v>367</v>
      </c>
      <c r="DT23" s="66">
        <f t="shared" si="89"/>
        <v>835</v>
      </c>
      <c r="DU23" s="66">
        <f t="shared" si="90"/>
        <v>416</v>
      </c>
      <c r="DV23" s="66">
        <f t="shared" si="91"/>
        <v>333</v>
      </c>
      <c r="DW23" s="66">
        <f t="shared" si="92"/>
        <v>1300</v>
      </c>
      <c r="DX23" s="66">
        <f t="shared" si="93"/>
        <v>497</v>
      </c>
      <c r="DY23" s="66">
        <f t="shared" si="94"/>
        <v>455</v>
      </c>
      <c r="DZ23" s="66">
        <f t="shared" si="95"/>
        <v>460</v>
      </c>
      <c r="EA23" s="66">
        <f t="shared" si="96"/>
        <v>434</v>
      </c>
      <c r="EB23" s="66">
        <f t="shared" si="97"/>
        <v>716</v>
      </c>
      <c r="EC23" s="66">
        <f t="shared" si="98"/>
        <v>716</v>
      </c>
      <c r="ED23" s="67">
        <f t="shared" si="99"/>
        <v>716</v>
      </c>
      <c r="EE23" s="715"/>
      <c r="EF23" s="65"/>
      <c r="EG23" s="66">
        <f>L23</f>
        <v>27.9</v>
      </c>
      <c r="EH23" s="66">
        <f>P23</f>
        <v>68.3</v>
      </c>
      <c r="EI23" s="66">
        <f>T23</f>
        <v>116</v>
      </c>
      <c r="EJ23" s="66">
        <f>X23</f>
        <v>118.8</v>
      </c>
      <c r="EK23" s="66">
        <f>AB23</f>
        <v>371</v>
      </c>
      <c r="EL23" s="66">
        <f>AF23</f>
        <v>320.8</v>
      </c>
      <c r="EM23" s="66">
        <f>AJ23</f>
        <v>353.3</v>
      </c>
      <c r="EN23" s="66">
        <f>AN23</f>
        <v>275</v>
      </c>
      <c r="EO23" s="66">
        <f>AR23</f>
        <v>92.2</v>
      </c>
      <c r="EP23" s="66">
        <f>AV23</f>
        <v>99.4</v>
      </c>
      <c r="EQ23" s="66">
        <f>AZ23</f>
        <v>244</v>
      </c>
      <c r="ER23" s="66">
        <f>BD23</f>
        <v>295</v>
      </c>
      <c r="ES23" s="66">
        <f>BH23</f>
        <v>825</v>
      </c>
      <c r="ET23" s="66">
        <f t="shared" si="100"/>
        <v>365</v>
      </c>
      <c r="EU23" s="66">
        <f t="shared" si="101"/>
        <v>878</v>
      </c>
      <c r="EV23" s="66">
        <f t="shared" si="102"/>
        <v>397</v>
      </c>
      <c r="EW23" s="66">
        <f t="shared" si="103"/>
        <v>324</v>
      </c>
      <c r="EX23" s="66">
        <f t="shared" si="104"/>
        <v>1296</v>
      </c>
      <c r="EY23" s="66">
        <f t="shared" si="105"/>
        <v>446</v>
      </c>
      <c r="EZ23" s="66">
        <f t="shared" si="110"/>
        <v>565</v>
      </c>
      <c r="FA23" s="66">
        <f t="shared" si="111"/>
        <v>411</v>
      </c>
      <c r="FB23" s="66">
        <f t="shared" si="106"/>
        <v>469</v>
      </c>
      <c r="FC23" s="66">
        <f t="shared" si="107"/>
        <v>716</v>
      </c>
      <c r="FD23" s="67">
        <f t="shared" si="108"/>
        <v>716</v>
      </c>
      <c r="FE23" s="862"/>
      <c r="FF23" s="1398"/>
      <c r="FG23" s="1398"/>
      <c r="FH23" s="1398"/>
      <c r="FO23" s="10"/>
      <c r="FP23" s="770"/>
      <c r="FQ23" s="855"/>
    </row>
    <row r="24" spans="1:173" ht="14.25" customHeight="1">
      <c r="A24" s="7"/>
      <c r="B24" s="434" t="s">
        <v>291</v>
      </c>
      <c r="C24" s="112"/>
      <c r="D24" s="115"/>
      <c r="E24" s="113"/>
      <c r="F24" s="113"/>
      <c r="G24" s="114"/>
      <c r="H24" s="115"/>
      <c r="I24" s="113"/>
      <c r="J24" s="113"/>
      <c r="K24" s="114"/>
      <c r="L24" s="115">
        <f t="shared" ref="L24:AY24" si="134">SUM(L17:L23)+L15</f>
        <v>3720.7</v>
      </c>
      <c r="M24" s="113">
        <f t="shared" si="134"/>
        <v>4064.2</v>
      </c>
      <c r="N24" s="113">
        <f t="shared" si="134"/>
        <v>4154.5</v>
      </c>
      <c r="O24" s="114">
        <f t="shared" si="134"/>
        <v>4851.2999999999993</v>
      </c>
      <c r="P24" s="115">
        <f t="shared" si="134"/>
        <v>4902.7</v>
      </c>
      <c r="Q24" s="113">
        <f t="shared" si="134"/>
        <v>4839.1000000000004</v>
      </c>
      <c r="R24" s="113">
        <f t="shared" si="134"/>
        <v>4733.3</v>
      </c>
      <c r="S24" s="114">
        <f t="shared" si="134"/>
        <v>4688.3</v>
      </c>
      <c r="T24" s="115">
        <f t="shared" si="134"/>
        <v>6787.6</v>
      </c>
      <c r="U24" s="113">
        <f t="shared" si="134"/>
        <v>6771.2000000000007</v>
      </c>
      <c r="V24" s="113">
        <f t="shared" si="134"/>
        <v>6785.6</v>
      </c>
      <c r="W24" s="114">
        <f t="shared" si="134"/>
        <v>6965.1999999999989</v>
      </c>
      <c r="X24" s="115">
        <f t="shared" si="134"/>
        <v>7581.4000000000005</v>
      </c>
      <c r="Y24" s="113">
        <f t="shared" si="134"/>
        <v>7734.7999999999993</v>
      </c>
      <c r="Z24" s="113">
        <f t="shared" si="134"/>
        <v>8210.8000000000011</v>
      </c>
      <c r="AA24" s="114">
        <f t="shared" si="134"/>
        <v>9631.5</v>
      </c>
      <c r="AB24" s="115">
        <f t="shared" si="134"/>
        <v>9801.5</v>
      </c>
      <c r="AC24" s="113">
        <f t="shared" si="134"/>
        <v>9116.7000000000007</v>
      </c>
      <c r="AD24" s="113">
        <f t="shared" si="134"/>
        <v>8848.4</v>
      </c>
      <c r="AE24" s="114">
        <f t="shared" si="134"/>
        <v>8363.2000000000007</v>
      </c>
      <c r="AF24" s="115">
        <f t="shared" si="134"/>
        <v>8022.1</v>
      </c>
      <c r="AG24" s="113">
        <f t="shared" si="134"/>
        <v>8196.4</v>
      </c>
      <c r="AH24" s="113">
        <f t="shared" si="134"/>
        <v>8120.4000000000005</v>
      </c>
      <c r="AI24" s="114">
        <f t="shared" si="134"/>
        <v>7555.4000000000005</v>
      </c>
      <c r="AJ24" s="115">
        <f t="shared" si="134"/>
        <v>7385.2</v>
      </c>
      <c r="AK24" s="113">
        <f t="shared" si="134"/>
        <v>7336.4</v>
      </c>
      <c r="AL24" s="113">
        <f t="shared" si="134"/>
        <v>7142.5999999999995</v>
      </c>
      <c r="AM24" s="114">
        <f t="shared" si="134"/>
        <v>7158.2</v>
      </c>
      <c r="AN24" s="115">
        <f t="shared" si="134"/>
        <v>7552.1</v>
      </c>
      <c r="AO24" s="113">
        <f t="shared" si="134"/>
        <v>7525.9</v>
      </c>
      <c r="AP24" s="113">
        <f t="shared" si="134"/>
        <v>7637.7000000000007</v>
      </c>
      <c r="AQ24" s="114">
        <f t="shared" si="134"/>
        <v>7760</v>
      </c>
      <c r="AR24" s="115">
        <f t="shared" si="134"/>
        <v>7892.6</v>
      </c>
      <c r="AS24" s="113">
        <f t="shared" si="134"/>
        <v>8078.9</v>
      </c>
      <c r="AT24" s="113">
        <f t="shared" si="134"/>
        <v>8086.2</v>
      </c>
      <c r="AU24" s="114">
        <f t="shared" si="134"/>
        <v>8006.4</v>
      </c>
      <c r="AV24" s="115">
        <f t="shared" si="134"/>
        <v>8009.5</v>
      </c>
      <c r="AW24" s="113">
        <f t="shared" si="134"/>
        <v>9377.3999999999978</v>
      </c>
      <c r="AX24" s="113">
        <f t="shared" si="134"/>
        <v>10300.700000000001</v>
      </c>
      <c r="AY24" s="114">
        <f t="shared" si="134"/>
        <v>12221.3</v>
      </c>
      <c r="AZ24" s="115">
        <f t="shared" ref="AZ24:BQ24" si="135">SUM(AZ17:AZ23)+AZ15</f>
        <v>13074</v>
      </c>
      <c r="BA24" s="113">
        <f t="shared" si="135"/>
        <v>13376</v>
      </c>
      <c r="BB24" s="113">
        <f t="shared" si="135"/>
        <v>14417</v>
      </c>
      <c r="BC24" s="114">
        <f t="shared" si="135"/>
        <v>14818</v>
      </c>
      <c r="BD24" s="115">
        <f t="shared" si="135"/>
        <v>14498</v>
      </c>
      <c r="BE24" s="113">
        <f t="shared" si="135"/>
        <v>13785</v>
      </c>
      <c r="BF24" s="113">
        <f t="shared" si="135"/>
        <v>13616</v>
      </c>
      <c r="BG24" s="114">
        <f t="shared" si="135"/>
        <v>13430</v>
      </c>
      <c r="BH24" s="115">
        <f t="shared" si="135"/>
        <v>12676</v>
      </c>
      <c r="BI24" s="113">
        <f t="shared" si="135"/>
        <v>11526</v>
      </c>
      <c r="BJ24" s="113">
        <f t="shared" si="135"/>
        <v>11664</v>
      </c>
      <c r="BK24" s="114">
        <f t="shared" si="135"/>
        <v>11459</v>
      </c>
      <c r="BL24" s="115">
        <f t="shared" si="135"/>
        <v>11726</v>
      </c>
      <c r="BM24" s="113">
        <f t="shared" si="135"/>
        <v>11952</v>
      </c>
      <c r="BN24" s="113">
        <f t="shared" si="135"/>
        <v>14377</v>
      </c>
      <c r="BO24" s="114">
        <f t="shared" si="135"/>
        <v>14693</v>
      </c>
      <c r="BP24" s="113">
        <f t="shared" si="135"/>
        <v>14617</v>
      </c>
      <c r="BQ24" s="113">
        <f t="shared" si="135"/>
        <v>14398</v>
      </c>
      <c r="BR24" s="113">
        <f t="shared" ref="BR24:CB24" si="136">SUM(BR17:BR23)+BR15</f>
        <v>14570</v>
      </c>
      <c r="BS24" s="114">
        <f t="shared" si="136"/>
        <v>14752</v>
      </c>
      <c r="BT24" s="113">
        <f t="shared" si="136"/>
        <v>14211</v>
      </c>
      <c r="BU24" s="113">
        <f t="shared" si="136"/>
        <v>14139</v>
      </c>
      <c r="BV24" s="113">
        <f t="shared" si="136"/>
        <v>14316</v>
      </c>
      <c r="BW24" s="114">
        <f t="shared" si="136"/>
        <v>14328</v>
      </c>
      <c r="BX24" s="115">
        <f t="shared" si="136"/>
        <v>14067</v>
      </c>
      <c r="BY24" s="113">
        <f t="shared" si="136"/>
        <v>13912</v>
      </c>
      <c r="BZ24" s="113">
        <f t="shared" si="136"/>
        <v>14055</v>
      </c>
      <c r="CA24" s="114">
        <f t="shared" si="136"/>
        <v>19118</v>
      </c>
      <c r="CB24" s="115">
        <f t="shared" si="136"/>
        <v>19794</v>
      </c>
      <c r="CC24" s="113">
        <f t="shared" ref="CC24:CI24" si="137">SUM(CC17:CC23)+CC15</f>
        <v>20615</v>
      </c>
      <c r="CD24" s="113">
        <f t="shared" si="137"/>
        <v>20495</v>
      </c>
      <c r="CE24" s="114">
        <f t="shared" si="137"/>
        <v>22498</v>
      </c>
      <c r="CF24" s="115">
        <f t="shared" si="137"/>
        <v>22542</v>
      </c>
      <c r="CG24" s="113">
        <f t="shared" si="137"/>
        <v>23818</v>
      </c>
      <c r="CH24" s="113">
        <f t="shared" si="137"/>
        <v>25136</v>
      </c>
      <c r="CI24" s="114">
        <f t="shared" si="137"/>
        <v>24143</v>
      </c>
      <c r="CJ24" s="115">
        <f t="shared" ref="CJ24:CM24" si="138">SUM(CJ17:CJ23)+CJ15</f>
        <v>24388</v>
      </c>
      <c r="CK24" s="113">
        <f t="shared" si="138"/>
        <v>24819</v>
      </c>
      <c r="CL24" s="113">
        <f t="shared" si="138"/>
        <v>27001</v>
      </c>
      <c r="CM24" s="114">
        <f t="shared" si="138"/>
        <v>27540</v>
      </c>
      <c r="CN24" s="115">
        <f t="shared" ref="CN24:CQ24" si="139">SUM(CN17:CN23)+CN15</f>
        <v>27836</v>
      </c>
      <c r="CO24" s="1238">
        <f t="shared" si="139"/>
        <v>32355</v>
      </c>
      <c r="CP24" s="113">
        <f t="shared" si="139"/>
        <v>33267</v>
      </c>
      <c r="CQ24" s="114">
        <f t="shared" si="139"/>
        <v>35336</v>
      </c>
      <c r="CR24" s="115">
        <f>SUM(CR17:CR23)+CR15</f>
        <v>37191</v>
      </c>
      <c r="CS24" s="1238">
        <f t="shared" ref="CS24" si="140">SUM(CS17:CS23)+CS15</f>
        <v>41263</v>
      </c>
      <c r="CT24" s="113">
        <f t="shared" ref="CT24:CU24" si="141">SUM(CT17:CT23)+CT15</f>
        <v>46418.195700105585</v>
      </c>
      <c r="CU24" s="114">
        <f t="shared" si="141"/>
        <v>50199.656865331694</v>
      </c>
      <c r="CV24" s="113">
        <f t="shared" ref="CV24:CY24" si="142">SUM(CV17:CV23)+CV15</f>
        <v>53173.972876225598</v>
      </c>
      <c r="CW24" s="113">
        <f t="shared" si="142"/>
        <v>55373.045654132133</v>
      </c>
      <c r="CX24" s="113">
        <f t="shared" si="142"/>
        <v>57778.534612907184</v>
      </c>
      <c r="CY24" s="114">
        <f t="shared" si="142"/>
        <v>59834.39229653433</v>
      </c>
      <c r="CZ24" s="113">
        <f t="shared" ref="CZ24:DC24" si="143">SUM(CZ17:CZ23)+CZ15</f>
        <v>61509.685152336373</v>
      </c>
      <c r="DA24" s="113">
        <f t="shared" si="143"/>
        <v>63088.408728230475</v>
      </c>
      <c r="DB24" s="113">
        <f t="shared" si="143"/>
        <v>64558.502538160028</v>
      </c>
      <c r="DC24" s="114">
        <f t="shared" si="143"/>
        <v>66018.570979142009</v>
      </c>
      <c r="DD24" s="894"/>
      <c r="DE24" s="113"/>
      <c r="DF24" s="113"/>
      <c r="DG24" s="113">
        <f t="shared" ref="DG24:DN24" si="144">SUM(DG17:DG23)+DG15</f>
        <v>4851.2999999999993</v>
      </c>
      <c r="DH24" s="113">
        <f t="shared" si="144"/>
        <v>4688.3</v>
      </c>
      <c r="DI24" s="113">
        <f t="shared" si="144"/>
        <v>6965.1999999999989</v>
      </c>
      <c r="DJ24" s="113">
        <f t="shared" si="144"/>
        <v>9631.5</v>
      </c>
      <c r="DK24" s="113">
        <f t="shared" si="144"/>
        <v>8363.2000000000007</v>
      </c>
      <c r="DL24" s="113">
        <f t="shared" si="144"/>
        <v>7555.4000000000005</v>
      </c>
      <c r="DM24" s="113">
        <f t="shared" si="144"/>
        <v>7158.2</v>
      </c>
      <c r="DN24" s="113">
        <f t="shared" si="144"/>
        <v>7760</v>
      </c>
      <c r="DO24" s="113">
        <f t="shared" ref="DO24:EB24" si="145">SUM(DO17:DO23)+DO15</f>
        <v>8006.4</v>
      </c>
      <c r="DP24" s="113">
        <f t="shared" si="145"/>
        <v>12221.3</v>
      </c>
      <c r="DQ24" s="113">
        <f t="shared" si="145"/>
        <v>14818</v>
      </c>
      <c r="DR24" s="113">
        <f t="shared" si="145"/>
        <v>13430</v>
      </c>
      <c r="DS24" s="113">
        <f t="shared" si="145"/>
        <v>11459</v>
      </c>
      <c r="DT24" s="113">
        <f t="shared" si="145"/>
        <v>14693</v>
      </c>
      <c r="DU24" s="113">
        <f t="shared" si="145"/>
        <v>14752</v>
      </c>
      <c r="DV24" s="113">
        <f t="shared" si="145"/>
        <v>14328</v>
      </c>
      <c r="DW24" s="113">
        <f t="shared" si="145"/>
        <v>19118</v>
      </c>
      <c r="DX24" s="113">
        <f>SUM(DX17:DX23)+DX15</f>
        <v>22498</v>
      </c>
      <c r="DY24" s="113">
        <f>SUM(DY17:DY23)+DY15</f>
        <v>24143</v>
      </c>
      <c r="DZ24" s="113">
        <f t="shared" si="145"/>
        <v>27540</v>
      </c>
      <c r="EA24" s="113">
        <f t="shared" si="145"/>
        <v>35336</v>
      </c>
      <c r="EB24" s="113">
        <f t="shared" si="145"/>
        <v>50199.656865331694</v>
      </c>
      <c r="EC24" s="113">
        <f t="shared" ref="EC24:ED24" si="146">SUM(EC17:EC23)+EC15</f>
        <v>59834.39229653433</v>
      </c>
      <c r="ED24" s="114">
        <f t="shared" si="146"/>
        <v>66018.570979142009</v>
      </c>
      <c r="EE24" s="18"/>
      <c r="EF24" s="115"/>
      <c r="EG24" s="113">
        <f t="shared" ref="EG24:EO24" si="147">SUM(EG17:EG23)+EG15</f>
        <v>3720.7</v>
      </c>
      <c r="EH24" s="113">
        <f t="shared" si="147"/>
        <v>4902.7</v>
      </c>
      <c r="EI24" s="113">
        <f t="shared" si="147"/>
        <v>6787.6</v>
      </c>
      <c r="EJ24" s="113">
        <f t="shared" si="147"/>
        <v>7581.4000000000005</v>
      </c>
      <c r="EK24" s="113">
        <f t="shared" si="147"/>
        <v>9801.5</v>
      </c>
      <c r="EL24" s="113">
        <f t="shared" si="147"/>
        <v>8022.1</v>
      </c>
      <c r="EM24" s="113">
        <f t="shared" si="147"/>
        <v>7385.2</v>
      </c>
      <c r="EN24" s="113">
        <f t="shared" si="147"/>
        <v>7552.1</v>
      </c>
      <c r="EO24" s="113">
        <f t="shared" si="147"/>
        <v>7892.6</v>
      </c>
      <c r="EP24" s="113">
        <f t="shared" ref="EP24:EX24" si="148">SUM(EP17:EP23)+EP15</f>
        <v>8009.5</v>
      </c>
      <c r="EQ24" s="113">
        <f t="shared" si="148"/>
        <v>13074</v>
      </c>
      <c r="ER24" s="113">
        <f t="shared" si="148"/>
        <v>14498</v>
      </c>
      <c r="ES24" s="113">
        <f t="shared" si="148"/>
        <v>12676</v>
      </c>
      <c r="ET24" s="113">
        <f t="shared" si="148"/>
        <v>11726</v>
      </c>
      <c r="EU24" s="113">
        <f t="shared" si="148"/>
        <v>14617</v>
      </c>
      <c r="EV24" s="113">
        <f t="shared" si="148"/>
        <v>14211</v>
      </c>
      <c r="EW24" s="113">
        <f t="shared" si="148"/>
        <v>14067</v>
      </c>
      <c r="EX24" s="113">
        <f t="shared" si="148"/>
        <v>19794</v>
      </c>
      <c r="EY24" s="113">
        <f>SUM(EY17:EY23)+EY15</f>
        <v>22542</v>
      </c>
      <c r="EZ24" s="113">
        <f t="shared" ref="EZ24:FB24" si="149">SUM(EZ17:EZ23)+EZ15</f>
        <v>24388</v>
      </c>
      <c r="FA24" s="113">
        <f t="shared" si="149"/>
        <v>27836</v>
      </c>
      <c r="FB24" s="113">
        <f t="shared" si="149"/>
        <v>37191</v>
      </c>
      <c r="FC24" s="113">
        <f t="shared" ref="FC24:FD24" si="150">SUM(FC17:FC23)+FC15</f>
        <v>53173.972876225598</v>
      </c>
      <c r="FD24" s="113">
        <f t="shared" si="150"/>
        <v>61509.685152336373</v>
      </c>
      <c r="FE24" s="862"/>
      <c r="FF24" s="1398"/>
      <c r="FG24" s="1398"/>
      <c r="FH24" s="1398"/>
      <c r="FO24" s="10"/>
    </row>
    <row r="25" spans="1:173" ht="14.25" customHeight="1">
      <c r="A25" s="7"/>
      <c r="B25" s="433"/>
      <c r="C25" s="23"/>
      <c r="D25" s="68"/>
      <c r="E25" s="69"/>
      <c r="F25" s="69"/>
      <c r="G25" s="70"/>
      <c r="H25" s="68"/>
      <c r="I25" s="69"/>
      <c r="J25" s="69"/>
      <c r="K25" s="70"/>
      <c r="L25" s="68"/>
      <c r="M25" s="69"/>
      <c r="N25" s="69"/>
      <c r="O25" s="70"/>
      <c r="P25" s="68"/>
      <c r="Q25" s="69"/>
      <c r="R25" s="69"/>
      <c r="S25" s="70"/>
      <c r="T25" s="68"/>
      <c r="U25" s="69"/>
      <c r="V25" s="69"/>
      <c r="W25" s="70"/>
      <c r="X25" s="68"/>
      <c r="Y25" s="69"/>
      <c r="Z25" s="69"/>
      <c r="AA25" s="70"/>
      <c r="AB25" s="68"/>
      <c r="AC25" s="69"/>
      <c r="AD25" s="69"/>
      <c r="AE25" s="70"/>
      <c r="AF25" s="68"/>
      <c r="AG25" s="69"/>
      <c r="AH25" s="69"/>
      <c r="AI25" s="70"/>
      <c r="AJ25" s="68"/>
      <c r="AK25" s="69"/>
      <c r="AL25" s="69"/>
      <c r="AM25" s="70"/>
      <c r="AN25" s="68"/>
      <c r="AO25" s="69"/>
      <c r="AP25" s="69"/>
      <c r="AQ25" s="70"/>
      <c r="AR25" s="68"/>
      <c r="AS25" s="69"/>
      <c r="AT25" s="69"/>
      <c r="AU25" s="70"/>
      <c r="AV25" s="68"/>
      <c r="AW25" s="69"/>
      <c r="AX25" s="69"/>
      <c r="AY25" s="70"/>
      <c r="AZ25" s="68"/>
      <c r="BA25" s="69"/>
      <c r="BB25" s="69"/>
      <c r="BC25" s="70"/>
      <c r="BD25" s="68"/>
      <c r="BE25" s="69"/>
      <c r="BF25" s="69"/>
      <c r="BG25" s="70"/>
      <c r="BH25" s="68"/>
      <c r="BI25" s="69"/>
      <c r="BJ25" s="69"/>
      <c r="BK25" s="70"/>
      <c r="BL25" s="68"/>
      <c r="BM25" s="69"/>
      <c r="BN25" s="69"/>
      <c r="BO25" s="70"/>
      <c r="BP25" s="69"/>
      <c r="BQ25" s="69"/>
      <c r="BR25" s="69"/>
      <c r="BS25" s="70"/>
      <c r="BT25" s="69"/>
      <c r="BU25" s="69"/>
      <c r="BV25" s="69"/>
      <c r="BW25" s="70"/>
      <c r="BX25" s="68"/>
      <c r="BY25" s="69"/>
      <c r="BZ25" s="69"/>
      <c r="CA25" s="70"/>
      <c r="CB25" s="68"/>
      <c r="CC25" s="69"/>
      <c r="CD25" s="69"/>
      <c r="CE25" s="70"/>
      <c r="CF25" s="68"/>
      <c r="CG25" s="69"/>
      <c r="CH25" s="69"/>
      <c r="CI25" s="70"/>
      <c r="CJ25" s="68"/>
      <c r="CK25" s="69"/>
      <c r="CL25" s="69"/>
      <c r="CM25" s="70"/>
      <c r="CN25" s="68"/>
      <c r="CO25" s="1287"/>
      <c r="CP25" s="69"/>
      <c r="CQ25" s="70"/>
      <c r="CR25" s="68"/>
      <c r="CS25" s="1287"/>
      <c r="CT25" s="69"/>
      <c r="CU25" s="70"/>
      <c r="CV25" s="69"/>
      <c r="CW25" s="69"/>
      <c r="CX25" s="69"/>
      <c r="CY25" s="70"/>
      <c r="CZ25" s="69"/>
      <c r="DA25" s="69"/>
      <c r="DB25" s="69"/>
      <c r="DC25" s="70"/>
      <c r="DD25" s="894"/>
      <c r="DE25" s="69"/>
      <c r="DF25" s="69"/>
      <c r="DG25" s="69"/>
      <c r="DH25" s="69"/>
      <c r="DI25" s="69"/>
      <c r="DJ25" s="69"/>
      <c r="DK25" s="69"/>
      <c r="DL25" s="69"/>
      <c r="DM25" s="69"/>
      <c r="DN25" s="69"/>
      <c r="DO25" s="69"/>
      <c r="DP25" s="69"/>
      <c r="DQ25" s="69"/>
      <c r="DR25" s="69"/>
      <c r="DS25" s="69"/>
      <c r="DT25" s="69"/>
      <c r="DU25" s="69"/>
      <c r="DV25" s="69"/>
      <c r="DW25" s="69"/>
      <c r="DX25" s="69"/>
      <c r="DY25" s="69"/>
      <c r="DZ25" s="69"/>
      <c r="EA25" s="69"/>
      <c r="EB25" s="69"/>
      <c r="EC25" s="69"/>
      <c r="ED25" s="70"/>
      <c r="EE25" s="18"/>
      <c r="EF25" s="68"/>
      <c r="EG25" s="69"/>
      <c r="EH25" s="69"/>
      <c r="EI25" s="69"/>
      <c r="EJ25" s="69"/>
      <c r="EK25" s="69"/>
      <c r="EL25" s="69"/>
      <c r="EM25" s="69"/>
      <c r="EN25" s="69"/>
      <c r="EO25" s="69"/>
      <c r="EP25" s="69"/>
      <c r="EQ25" s="69"/>
      <c r="ER25" s="69"/>
      <c r="ES25" s="69"/>
      <c r="ET25" s="69"/>
      <c r="EU25" s="69"/>
      <c r="EV25" s="69"/>
      <c r="EW25" s="69"/>
      <c r="EX25" s="69"/>
      <c r="EY25" s="69"/>
      <c r="EZ25" s="69"/>
      <c r="FA25" s="69"/>
      <c r="FB25" s="69"/>
      <c r="FC25" s="69"/>
      <c r="FD25" s="70"/>
      <c r="FE25" s="862"/>
      <c r="FF25" s="1398"/>
      <c r="FG25" s="1398"/>
      <c r="FH25" s="1398"/>
      <c r="FO25" s="10"/>
    </row>
    <row r="26" spans="1:173" ht="14.25" customHeight="1">
      <c r="A26" s="7"/>
      <c r="B26" s="429" t="s">
        <v>292</v>
      </c>
      <c r="C26" s="92"/>
      <c r="D26" s="68"/>
      <c r="E26" s="69"/>
      <c r="F26" s="69"/>
      <c r="G26" s="70"/>
      <c r="H26" s="68"/>
      <c r="I26" s="69"/>
      <c r="J26" s="69"/>
      <c r="K26" s="70"/>
      <c r="L26" s="68"/>
      <c r="M26" s="69"/>
      <c r="N26" s="69"/>
      <c r="O26" s="70"/>
      <c r="P26" s="68"/>
      <c r="Q26" s="69"/>
      <c r="R26" s="69"/>
      <c r="S26" s="70"/>
      <c r="T26" s="68"/>
      <c r="U26" s="69"/>
      <c r="V26" s="69"/>
      <c r="W26" s="70"/>
      <c r="X26" s="68"/>
      <c r="Y26" s="69"/>
      <c r="Z26" s="69"/>
      <c r="AA26" s="70"/>
      <c r="AB26" s="68"/>
      <c r="AC26" s="69"/>
      <c r="AD26" s="69"/>
      <c r="AE26" s="70"/>
      <c r="AF26" s="68"/>
      <c r="AG26" s="69"/>
      <c r="AH26" s="69"/>
      <c r="AI26" s="70"/>
      <c r="AJ26" s="68"/>
      <c r="AK26" s="69"/>
      <c r="AL26" s="69"/>
      <c r="AM26" s="70"/>
      <c r="AN26" s="68"/>
      <c r="AO26" s="69"/>
      <c r="AP26" s="69"/>
      <c r="AQ26" s="70"/>
      <c r="AR26" s="68"/>
      <c r="AS26" s="69"/>
      <c r="AT26" s="69"/>
      <c r="AU26" s="70"/>
      <c r="AV26" s="68"/>
      <c r="AW26" s="69"/>
      <c r="AX26" s="69"/>
      <c r="AY26" s="70"/>
      <c r="AZ26" s="68"/>
      <c r="BA26" s="69"/>
      <c r="BB26" s="69"/>
      <c r="BC26" s="70"/>
      <c r="BD26" s="68"/>
      <c r="BE26" s="69"/>
      <c r="BF26" s="69"/>
      <c r="BG26" s="70"/>
      <c r="BH26" s="68"/>
      <c r="BI26" s="69"/>
      <c r="BJ26" s="69"/>
      <c r="BK26" s="70"/>
      <c r="BL26" s="68"/>
      <c r="BM26" s="69"/>
      <c r="BN26" s="69"/>
      <c r="BO26" s="70"/>
      <c r="BP26" s="69"/>
      <c r="BQ26" s="69"/>
      <c r="BR26" s="69"/>
      <c r="BS26" s="70"/>
      <c r="BT26" s="69"/>
      <c r="BU26" s="69"/>
      <c r="BV26" s="69"/>
      <c r="BW26" s="70"/>
      <c r="BX26" s="68"/>
      <c r="BY26" s="69"/>
      <c r="BZ26" s="69"/>
      <c r="CA26" s="70"/>
      <c r="CB26" s="68"/>
      <c r="CC26" s="69"/>
      <c r="CD26" s="69"/>
      <c r="CE26" s="70"/>
      <c r="CF26" s="68"/>
      <c r="CG26" s="69"/>
      <c r="CH26" s="69"/>
      <c r="CI26" s="70"/>
      <c r="CJ26" s="68"/>
      <c r="CK26" s="69"/>
      <c r="CL26" s="69"/>
      <c r="CM26" s="70"/>
      <c r="CN26" s="68"/>
      <c r="CO26" s="1287"/>
      <c r="CP26" s="69"/>
      <c r="CQ26" s="70"/>
      <c r="CR26" s="68"/>
      <c r="CS26" s="1287"/>
      <c r="CT26" s="69"/>
      <c r="CU26" s="70"/>
      <c r="CV26" s="69"/>
      <c r="CW26" s="69"/>
      <c r="CX26" s="69"/>
      <c r="CY26" s="70"/>
      <c r="CZ26" s="69"/>
      <c r="DA26" s="69"/>
      <c r="DB26" s="69"/>
      <c r="DC26" s="70"/>
      <c r="DD26" s="894"/>
      <c r="DE26" s="69"/>
      <c r="DF26" s="69"/>
      <c r="DG26" s="69"/>
      <c r="DH26" s="69"/>
      <c r="DI26" s="69"/>
      <c r="DJ26" s="69"/>
      <c r="DK26" s="69"/>
      <c r="DL26" s="69"/>
      <c r="DM26" s="69"/>
      <c r="DN26" s="69"/>
      <c r="DO26" s="69"/>
      <c r="DP26" s="69"/>
      <c r="DQ26" s="69"/>
      <c r="DR26" s="69"/>
      <c r="DS26" s="69"/>
      <c r="DT26" s="69"/>
      <c r="DU26" s="69"/>
      <c r="DV26" s="69"/>
      <c r="DW26" s="69"/>
      <c r="DX26" s="69"/>
      <c r="DY26" s="69"/>
      <c r="DZ26" s="69"/>
      <c r="EA26" s="69"/>
      <c r="EB26" s="69"/>
      <c r="EC26" s="69"/>
      <c r="ED26" s="70"/>
      <c r="EE26" s="18"/>
      <c r="EF26" s="68"/>
      <c r="EG26" s="69"/>
      <c r="EH26" s="69"/>
      <c r="EI26" s="69"/>
      <c r="EJ26" s="69"/>
      <c r="EK26" s="69"/>
      <c r="EL26" s="69"/>
      <c r="EM26" s="69"/>
      <c r="EN26" s="69"/>
      <c r="EO26" s="69"/>
      <c r="EP26" s="69"/>
      <c r="EQ26" s="69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69"/>
      <c r="FD26" s="70"/>
      <c r="FE26" s="862"/>
      <c r="FF26" s="1398"/>
      <c r="FG26" s="1398"/>
      <c r="FH26" s="1398"/>
      <c r="FO26" s="10"/>
      <c r="FQ26" s="855"/>
    </row>
    <row r="27" spans="1:173" ht="14.25" customHeight="1">
      <c r="A27" s="7"/>
      <c r="B27" s="430" t="s">
        <v>293</v>
      </c>
      <c r="C27" s="25"/>
      <c r="D27" s="68"/>
      <c r="E27" s="69"/>
      <c r="F27" s="69"/>
      <c r="G27" s="70"/>
      <c r="H27" s="68"/>
      <c r="I27" s="69"/>
      <c r="J27" s="69"/>
      <c r="K27" s="70"/>
      <c r="L27" s="68">
        <v>427</v>
      </c>
      <c r="M27" s="69">
        <v>521.6</v>
      </c>
      <c r="N27" s="69">
        <v>466.1</v>
      </c>
      <c r="O27" s="70">
        <v>546.1</v>
      </c>
      <c r="P27" s="68">
        <v>659.7</v>
      </c>
      <c r="Q27" s="69">
        <v>578.9</v>
      </c>
      <c r="R27" s="69">
        <v>527.1</v>
      </c>
      <c r="S27" s="70">
        <v>456.6</v>
      </c>
      <c r="T27" s="68">
        <v>627.79999999999995</v>
      </c>
      <c r="U27" s="69">
        <v>560.20000000000005</v>
      </c>
      <c r="V27" s="69">
        <v>597.29999999999995</v>
      </c>
      <c r="W27" s="70">
        <v>705.4</v>
      </c>
      <c r="X27" s="68">
        <v>883.6</v>
      </c>
      <c r="Y27" s="69">
        <v>789.8</v>
      </c>
      <c r="Z27" s="69">
        <v>897.6</v>
      </c>
      <c r="AA27" s="70">
        <v>1465.8</v>
      </c>
      <c r="AB27" s="68">
        <v>1280.9000000000001</v>
      </c>
      <c r="AC27" s="69">
        <v>739.7</v>
      </c>
      <c r="AD27" s="69">
        <v>650.6</v>
      </c>
      <c r="AE27" s="70">
        <v>512.9</v>
      </c>
      <c r="AF27" s="68">
        <v>461.4</v>
      </c>
      <c r="AG27" s="69">
        <v>390.6</v>
      </c>
      <c r="AH27" s="69">
        <v>528.29999999999995</v>
      </c>
      <c r="AI27" s="70">
        <v>554.1</v>
      </c>
      <c r="AJ27" s="68">
        <v>674.3</v>
      </c>
      <c r="AK27" s="69">
        <v>621.79999999999995</v>
      </c>
      <c r="AL27" s="69">
        <v>631.29999999999995</v>
      </c>
      <c r="AM27" s="70">
        <v>714.7</v>
      </c>
      <c r="AN27" s="68">
        <v>740.3</v>
      </c>
      <c r="AO27" s="69">
        <v>733.8</v>
      </c>
      <c r="AP27" s="69">
        <v>750.5</v>
      </c>
      <c r="AQ27" s="70">
        <v>796.2</v>
      </c>
      <c r="AR27" s="68">
        <v>788.4</v>
      </c>
      <c r="AS27" s="69">
        <v>734</v>
      </c>
      <c r="AT27" s="69">
        <v>733.5</v>
      </c>
      <c r="AU27" s="70">
        <v>752.5</v>
      </c>
      <c r="AV27" s="68">
        <v>721</v>
      </c>
      <c r="AW27" s="69">
        <v>910.4</v>
      </c>
      <c r="AX27" s="69">
        <v>951.9</v>
      </c>
      <c r="AY27" s="70">
        <v>1318.5</v>
      </c>
      <c r="AZ27" s="68">
        <v>1578</v>
      </c>
      <c r="BA27" s="69">
        <v>1376</v>
      </c>
      <c r="BB27" s="69">
        <v>1245</v>
      </c>
      <c r="BC27" s="70">
        <v>1385</v>
      </c>
      <c r="BD27" s="68">
        <v>1317</v>
      </c>
      <c r="BE27" s="69">
        <v>1299</v>
      </c>
      <c r="BF27" s="69">
        <v>1374</v>
      </c>
      <c r="BG27" s="70">
        <v>1111</v>
      </c>
      <c r="BH27" s="68">
        <v>943</v>
      </c>
      <c r="BI27" s="69">
        <v>950</v>
      </c>
      <c r="BJ27" s="69">
        <v>1037</v>
      </c>
      <c r="BK27" s="70">
        <v>1037</v>
      </c>
      <c r="BL27" s="68">
        <v>1059</v>
      </c>
      <c r="BM27" s="69">
        <v>1040</v>
      </c>
      <c r="BN27" s="69">
        <v>1492</v>
      </c>
      <c r="BO27" s="70">
        <v>1509</v>
      </c>
      <c r="BP27" s="69">
        <v>1823</v>
      </c>
      <c r="BQ27" s="69">
        <v>1815</v>
      </c>
      <c r="BR27" s="69">
        <v>1912</v>
      </c>
      <c r="BS27" s="70">
        <v>1830</v>
      </c>
      <c r="BT27" s="69">
        <v>1413</v>
      </c>
      <c r="BU27" s="69">
        <v>1457</v>
      </c>
      <c r="BV27" s="69">
        <v>1547</v>
      </c>
      <c r="BW27" s="70">
        <v>1641</v>
      </c>
      <c r="BX27" s="68">
        <v>1584</v>
      </c>
      <c r="BY27" s="69">
        <v>1498</v>
      </c>
      <c r="BZ27" s="69">
        <v>1590</v>
      </c>
      <c r="CA27" s="70">
        <v>2115</v>
      </c>
      <c r="CB27" s="68">
        <v>2630</v>
      </c>
      <c r="CC27" s="69">
        <v>2679</v>
      </c>
      <c r="CD27" s="69">
        <v>2828</v>
      </c>
      <c r="CE27" s="70">
        <v>2698</v>
      </c>
      <c r="CF27" s="68">
        <v>2965</v>
      </c>
      <c r="CG27" s="69">
        <v>2662</v>
      </c>
      <c r="CH27" s="69">
        <v>3204</v>
      </c>
      <c r="CI27" s="70">
        <v>2611</v>
      </c>
      <c r="CJ27" s="68">
        <v>2784</v>
      </c>
      <c r="CK27" s="69">
        <v>3087</v>
      </c>
      <c r="CL27" s="69">
        <v>3599</v>
      </c>
      <c r="CM27" s="70">
        <f>3879</f>
        <v>3879</v>
      </c>
      <c r="CN27" s="68">
        <v>4155</v>
      </c>
      <c r="CO27" s="1290">
        <v>3801</v>
      </c>
      <c r="CP27" s="69">
        <v>3656</v>
      </c>
      <c r="CQ27" s="70">
        <v>3664</v>
      </c>
      <c r="CR27" s="68">
        <v>3766</v>
      </c>
      <c r="CS27" s="1290">
        <v>4194</v>
      </c>
      <c r="CT27" s="99">
        <f t="shared" ref="CT27:CU27" si="151">CT52/360*CT56*4</f>
        <v>3856.330626638196</v>
      </c>
      <c r="CU27" s="100">
        <f t="shared" si="151"/>
        <v>4106.1924341480126</v>
      </c>
      <c r="CV27" s="99">
        <f t="shared" ref="CV27:CY27" si="152">CV52/360*CV56*4</f>
        <v>4247.9561638937148</v>
      </c>
      <c r="CW27" s="99">
        <f t="shared" si="152"/>
        <v>4060.301552926448</v>
      </c>
      <c r="CX27" s="99">
        <f t="shared" si="152"/>
        <v>4511.6762109734618</v>
      </c>
      <c r="CY27" s="100">
        <f t="shared" si="152"/>
        <v>4841.0480823262478</v>
      </c>
      <c r="CZ27" s="99">
        <f t="shared" ref="CZ27:DC27" si="153">CZ52/360*CZ56*4</f>
        <v>4964.0255550092743</v>
      </c>
      <c r="DA27" s="99">
        <f t="shared" si="153"/>
        <v>5123.3899632751718</v>
      </c>
      <c r="DB27" s="99">
        <f t="shared" si="153"/>
        <v>5235.2535954660343</v>
      </c>
      <c r="DC27" s="100">
        <f t="shared" si="153"/>
        <v>5376.7398256448278</v>
      </c>
      <c r="DD27" s="894"/>
      <c r="DE27" s="66"/>
      <c r="DF27" s="66"/>
      <c r="DG27" s="66">
        <f t="shared" ref="DG27:DG32" si="154">O27</f>
        <v>546.1</v>
      </c>
      <c r="DH27" s="66">
        <f t="shared" ref="DH27:DH32" si="155">S27</f>
        <v>456.6</v>
      </c>
      <c r="DI27" s="66">
        <f t="shared" ref="DI27:DI32" si="156">W27</f>
        <v>705.4</v>
      </c>
      <c r="DJ27" s="66">
        <f t="shared" ref="DJ27:DJ32" si="157">AA27</f>
        <v>1465.8</v>
      </c>
      <c r="DK27" s="66">
        <f t="shared" ref="DK27:DK32" si="158">AE27</f>
        <v>512.9</v>
      </c>
      <c r="DL27" s="66">
        <f t="shared" ref="DL27:DL32" si="159">AI27</f>
        <v>554.1</v>
      </c>
      <c r="DM27" s="66">
        <f t="shared" ref="DM27:DM32" si="160">AM27</f>
        <v>714.7</v>
      </c>
      <c r="DN27" s="66">
        <f t="shared" ref="DN27:DN32" si="161">AQ27</f>
        <v>796.2</v>
      </c>
      <c r="DO27" s="66">
        <f t="shared" ref="DO27:DO32" si="162">AU27</f>
        <v>752.5</v>
      </c>
      <c r="DP27" s="66">
        <f t="shared" ref="DP27:DP32" si="163">AY27</f>
        <v>1318.5</v>
      </c>
      <c r="DQ27" s="66">
        <f t="shared" ref="DQ27:DQ32" si="164">BC27</f>
        <v>1385</v>
      </c>
      <c r="DR27" s="66">
        <f t="shared" ref="DR27:DR32" si="165">BG27</f>
        <v>1111</v>
      </c>
      <c r="DS27" s="66">
        <f t="shared" ref="DS27:DS32" si="166">BK27</f>
        <v>1037</v>
      </c>
      <c r="DT27" s="66">
        <f t="shared" ref="DT27:DT32" si="167">BO27</f>
        <v>1509</v>
      </c>
      <c r="DU27" s="66">
        <f t="shared" ref="DU27:DU32" si="168">BS27</f>
        <v>1830</v>
      </c>
      <c r="DV27" s="66">
        <f t="shared" ref="DV27:DV32" si="169">BW27</f>
        <v>1641</v>
      </c>
      <c r="DW27" s="66">
        <f t="shared" ref="DW27:DW32" si="170">CA27</f>
        <v>2115</v>
      </c>
      <c r="DX27" s="66">
        <f t="shared" ref="DX27:DX32" si="171">CE27</f>
        <v>2698</v>
      </c>
      <c r="DY27" s="66">
        <f t="shared" ref="DY27:DY32" si="172">CI27</f>
        <v>2611</v>
      </c>
      <c r="DZ27" s="66">
        <f t="shared" ref="DZ27:DZ32" si="173">CM27</f>
        <v>3879</v>
      </c>
      <c r="EA27" s="66">
        <f t="shared" ref="EA27:EA32" si="174">CQ27</f>
        <v>3664</v>
      </c>
      <c r="EB27" s="66">
        <f t="shared" ref="EB27:EB32" si="175">CU27</f>
        <v>4106.1924341480126</v>
      </c>
      <c r="EC27" s="66">
        <f t="shared" ref="EC27:EC32" si="176">CY27</f>
        <v>4841.0480823262478</v>
      </c>
      <c r="ED27" s="67">
        <f t="shared" ref="ED27:ED32" si="177">DC27</f>
        <v>5376.7398256448278</v>
      </c>
      <c r="EE27" s="98"/>
      <c r="EF27" s="65"/>
      <c r="EG27" s="66">
        <f t="shared" ref="EG27:EG32" si="178">L27</f>
        <v>427</v>
      </c>
      <c r="EH27" s="66">
        <f t="shared" ref="EH27:EH32" si="179">P27</f>
        <v>659.7</v>
      </c>
      <c r="EI27" s="66">
        <f t="shared" ref="EI27:EI32" si="180">T27</f>
        <v>627.79999999999995</v>
      </c>
      <c r="EJ27" s="66">
        <f t="shared" ref="EJ27:EJ32" si="181">X27</f>
        <v>883.6</v>
      </c>
      <c r="EK27" s="66">
        <f t="shared" ref="EK27:EK32" si="182">AB27</f>
        <v>1280.9000000000001</v>
      </c>
      <c r="EL27" s="66">
        <f t="shared" ref="EL27:EL32" si="183">AF27</f>
        <v>461.4</v>
      </c>
      <c r="EM27" s="66">
        <f t="shared" ref="EM27:EM32" si="184">AJ27</f>
        <v>674.3</v>
      </c>
      <c r="EN27" s="66">
        <f t="shared" ref="EN27:EN32" si="185">AN27</f>
        <v>740.3</v>
      </c>
      <c r="EO27" s="66">
        <f t="shared" ref="EO27:EO32" si="186">AR27</f>
        <v>788.4</v>
      </c>
      <c r="EP27" s="66">
        <f t="shared" ref="EP27:EP32" si="187">AV27</f>
        <v>721</v>
      </c>
      <c r="EQ27" s="66">
        <f t="shared" ref="EQ27:EQ32" si="188">AZ27</f>
        <v>1578</v>
      </c>
      <c r="ER27" s="66">
        <f t="shared" ref="ER27:ER32" si="189">BD27</f>
        <v>1317</v>
      </c>
      <c r="ES27" s="66">
        <f t="shared" ref="ES27:ES32" si="190">BH27</f>
        <v>943</v>
      </c>
      <c r="ET27" s="66">
        <f t="shared" ref="ET27:ET32" si="191">BL27</f>
        <v>1059</v>
      </c>
      <c r="EU27" s="66">
        <f t="shared" ref="EU27:EU32" si="192">BP27</f>
        <v>1823</v>
      </c>
      <c r="EV27" s="66">
        <f t="shared" ref="EV27:EV32" si="193">BT27</f>
        <v>1413</v>
      </c>
      <c r="EW27" s="66">
        <f t="shared" ref="EW27:EW32" si="194">BX27</f>
        <v>1584</v>
      </c>
      <c r="EX27" s="66">
        <f t="shared" ref="EX27:EX32" si="195">CB27</f>
        <v>2630</v>
      </c>
      <c r="EY27" s="66">
        <f t="shared" ref="EY27:EY32" si="196">CF27</f>
        <v>2965</v>
      </c>
      <c r="EZ27" s="66">
        <f t="shared" ref="EZ27:EZ32" si="197">CJ27</f>
        <v>2784</v>
      </c>
      <c r="FA27" s="66">
        <f t="shared" ref="FA27:FA32" si="198">CN27</f>
        <v>4155</v>
      </c>
      <c r="FB27" s="66">
        <f>CR27</f>
        <v>3766</v>
      </c>
      <c r="FC27" s="66">
        <f t="shared" ref="FC27:FC33" si="199">CV27</f>
        <v>4247.9561638937148</v>
      </c>
      <c r="FD27" s="67">
        <f t="shared" ref="FD27:FD32" si="200">CZ27</f>
        <v>4964.0255550092743</v>
      </c>
      <c r="FE27" s="862"/>
      <c r="FF27" s="1398"/>
      <c r="FG27" s="1398"/>
      <c r="FH27" s="1398"/>
      <c r="FO27" s="10"/>
      <c r="FP27" s="749"/>
      <c r="FQ27" s="855"/>
    </row>
    <row r="28" spans="1:173" ht="14.25" customHeight="1">
      <c r="A28" s="7"/>
      <c r="B28" s="430" t="s">
        <v>382</v>
      </c>
      <c r="C28" s="25"/>
      <c r="D28" s="69"/>
      <c r="E28" s="69"/>
      <c r="F28" s="69"/>
      <c r="G28" s="70"/>
      <c r="H28" s="69"/>
      <c r="I28" s="69"/>
      <c r="J28" s="69"/>
      <c r="K28" s="70"/>
      <c r="L28" s="69">
        <v>0</v>
      </c>
      <c r="M28" s="69">
        <v>0</v>
      </c>
      <c r="N28" s="69">
        <v>0</v>
      </c>
      <c r="O28" s="70">
        <v>0</v>
      </c>
      <c r="P28" s="69">
        <v>0</v>
      </c>
      <c r="Q28" s="69">
        <v>0</v>
      </c>
      <c r="R28" s="69">
        <v>0</v>
      </c>
      <c r="S28" s="70">
        <v>0</v>
      </c>
      <c r="T28" s="69">
        <v>0</v>
      </c>
      <c r="U28" s="69">
        <v>0</v>
      </c>
      <c r="V28" s="69">
        <v>0</v>
      </c>
      <c r="W28" s="70">
        <v>0</v>
      </c>
      <c r="X28" s="69">
        <v>0</v>
      </c>
      <c r="Y28" s="69">
        <v>0</v>
      </c>
      <c r="Z28" s="69">
        <v>0</v>
      </c>
      <c r="AA28" s="70">
        <v>0</v>
      </c>
      <c r="AB28" s="69">
        <v>0</v>
      </c>
      <c r="AC28" s="69">
        <v>0</v>
      </c>
      <c r="AD28" s="69">
        <v>0</v>
      </c>
      <c r="AE28" s="70">
        <v>0</v>
      </c>
      <c r="AF28" s="69">
        <v>0</v>
      </c>
      <c r="AG28" s="69">
        <v>0</v>
      </c>
      <c r="AH28" s="69">
        <v>0</v>
      </c>
      <c r="AI28" s="70">
        <v>0</v>
      </c>
      <c r="AJ28" s="69">
        <v>0</v>
      </c>
      <c r="AK28" s="69">
        <v>0</v>
      </c>
      <c r="AL28" s="69">
        <v>0</v>
      </c>
      <c r="AM28" s="70">
        <v>0</v>
      </c>
      <c r="AN28" s="69">
        <v>0</v>
      </c>
      <c r="AO28" s="69">
        <v>0</v>
      </c>
      <c r="AP28" s="69">
        <v>0</v>
      </c>
      <c r="AQ28" s="70">
        <v>0</v>
      </c>
      <c r="AR28" s="69">
        <v>0</v>
      </c>
      <c r="AS28" s="69">
        <v>0</v>
      </c>
      <c r="AT28" s="69">
        <v>0</v>
      </c>
      <c r="AU28" s="70">
        <v>0</v>
      </c>
      <c r="AV28" s="69">
        <v>0</v>
      </c>
      <c r="AW28" s="69">
        <v>0</v>
      </c>
      <c r="AX28" s="69">
        <v>0</v>
      </c>
      <c r="AY28" s="70">
        <v>0</v>
      </c>
      <c r="AZ28" s="69">
        <v>0</v>
      </c>
      <c r="BA28" s="69">
        <v>0</v>
      </c>
      <c r="BB28" s="69">
        <v>0</v>
      </c>
      <c r="BC28" s="70">
        <v>0</v>
      </c>
      <c r="BD28" s="69">
        <v>0</v>
      </c>
      <c r="BE28" s="69">
        <v>0</v>
      </c>
      <c r="BF28" s="69">
        <v>0</v>
      </c>
      <c r="BG28" s="70">
        <v>0</v>
      </c>
      <c r="BH28" s="69">
        <v>0</v>
      </c>
      <c r="BI28" s="69">
        <v>0</v>
      </c>
      <c r="BJ28" s="69">
        <v>0</v>
      </c>
      <c r="BK28" s="70">
        <v>0</v>
      </c>
      <c r="BL28" s="69">
        <v>0</v>
      </c>
      <c r="BM28" s="69">
        <v>0</v>
      </c>
      <c r="BN28" s="69">
        <v>0</v>
      </c>
      <c r="BO28" s="70">
        <v>0</v>
      </c>
      <c r="BP28" s="69">
        <v>0</v>
      </c>
      <c r="BQ28" s="69">
        <v>0</v>
      </c>
      <c r="BR28" s="69">
        <v>0</v>
      </c>
      <c r="BS28" s="70">
        <v>0</v>
      </c>
      <c r="BT28" s="69">
        <v>0</v>
      </c>
      <c r="BU28" s="69">
        <v>0</v>
      </c>
      <c r="BV28" s="69">
        <v>0</v>
      </c>
      <c r="BW28" s="70">
        <v>0</v>
      </c>
      <c r="BX28" s="68">
        <v>0</v>
      </c>
      <c r="BY28" s="69">
        <v>0</v>
      </c>
      <c r="BZ28" s="69">
        <v>0</v>
      </c>
      <c r="CA28" s="70">
        <v>0</v>
      </c>
      <c r="CB28" s="68">
        <v>0</v>
      </c>
      <c r="CC28" s="69">
        <f>CB28</f>
        <v>0</v>
      </c>
      <c r="CD28" s="69">
        <v>0</v>
      </c>
      <c r="CE28" s="70">
        <v>0</v>
      </c>
      <c r="CF28" s="68">
        <v>0</v>
      </c>
      <c r="CG28" s="69">
        <v>0</v>
      </c>
      <c r="CH28" s="69">
        <v>0</v>
      </c>
      <c r="CI28" s="70">
        <v>0</v>
      </c>
      <c r="CJ28" s="68">
        <v>0</v>
      </c>
      <c r="CK28" s="69">
        <v>0</v>
      </c>
      <c r="CL28" s="69">
        <v>0</v>
      </c>
      <c r="CM28" s="70">
        <v>0</v>
      </c>
      <c r="CN28" s="68">
        <v>0</v>
      </c>
      <c r="CO28" s="1230">
        <v>0</v>
      </c>
      <c r="CP28" s="69">
        <v>0</v>
      </c>
      <c r="CQ28" s="70">
        <v>0</v>
      </c>
      <c r="CR28" s="68">
        <v>0</v>
      </c>
      <c r="CS28" s="1230">
        <v>0</v>
      </c>
      <c r="CT28" s="66">
        <f t="shared" ref="CT28:CT30" si="201">CS28</f>
        <v>0</v>
      </c>
      <c r="CU28" s="67">
        <f t="shared" ref="CU28:CU30" si="202">CT28</f>
        <v>0</v>
      </c>
      <c r="CV28" s="66">
        <f t="shared" ref="CV28:CV30" si="203">CU28</f>
        <v>0</v>
      </c>
      <c r="CW28" s="66">
        <f t="shared" ref="CW28:CW30" si="204">CV28</f>
        <v>0</v>
      </c>
      <c r="CX28" s="66">
        <f t="shared" ref="CX28:CX30" si="205">CW28</f>
        <v>0</v>
      </c>
      <c r="CY28" s="67">
        <f t="shared" ref="CY28:CY30" si="206">CX28</f>
        <v>0</v>
      </c>
      <c r="CZ28" s="66">
        <f t="shared" ref="CZ28:CZ30" si="207">CY28</f>
        <v>0</v>
      </c>
      <c r="DA28" s="66">
        <f t="shared" ref="DA28:DA30" si="208">CZ28</f>
        <v>0</v>
      </c>
      <c r="DB28" s="66">
        <f t="shared" ref="DB28:DB30" si="209">DA28</f>
        <v>0</v>
      </c>
      <c r="DC28" s="67">
        <f t="shared" ref="DC28:DC30" si="210">DB28</f>
        <v>0</v>
      </c>
      <c r="DD28" s="894"/>
      <c r="DE28" s="66"/>
      <c r="DF28" s="66"/>
      <c r="DG28" s="66">
        <f t="shared" si="154"/>
        <v>0</v>
      </c>
      <c r="DH28" s="66">
        <f t="shared" si="155"/>
        <v>0</v>
      </c>
      <c r="DI28" s="66">
        <f t="shared" si="156"/>
        <v>0</v>
      </c>
      <c r="DJ28" s="66">
        <f t="shared" si="157"/>
        <v>0</v>
      </c>
      <c r="DK28" s="66">
        <f t="shared" si="158"/>
        <v>0</v>
      </c>
      <c r="DL28" s="66">
        <f t="shared" si="159"/>
        <v>0</v>
      </c>
      <c r="DM28" s="66">
        <f t="shared" si="160"/>
        <v>0</v>
      </c>
      <c r="DN28" s="66">
        <f t="shared" si="161"/>
        <v>0</v>
      </c>
      <c r="DO28" s="66">
        <f t="shared" si="162"/>
        <v>0</v>
      </c>
      <c r="DP28" s="66">
        <f t="shared" si="163"/>
        <v>0</v>
      </c>
      <c r="DQ28" s="66">
        <f t="shared" si="164"/>
        <v>0</v>
      </c>
      <c r="DR28" s="66">
        <f t="shared" si="165"/>
        <v>0</v>
      </c>
      <c r="DS28" s="66">
        <f t="shared" si="166"/>
        <v>0</v>
      </c>
      <c r="DT28" s="66">
        <f t="shared" si="167"/>
        <v>0</v>
      </c>
      <c r="DU28" s="66">
        <f t="shared" si="168"/>
        <v>0</v>
      </c>
      <c r="DV28" s="66">
        <f t="shared" si="169"/>
        <v>0</v>
      </c>
      <c r="DW28" s="66">
        <f t="shared" si="170"/>
        <v>0</v>
      </c>
      <c r="DX28" s="66">
        <f t="shared" si="171"/>
        <v>0</v>
      </c>
      <c r="DY28" s="66">
        <f t="shared" si="172"/>
        <v>0</v>
      </c>
      <c r="DZ28" s="66">
        <f t="shared" si="173"/>
        <v>0</v>
      </c>
      <c r="EA28" s="66">
        <f t="shared" si="174"/>
        <v>0</v>
      </c>
      <c r="EB28" s="66">
        <f t="shared" si="175"/>
        <v>0</v>
      </c>
      <c r="EC28" s="66">
        <f t="shared" si="176"/>
        <v>0</v>
      </c>
      <c r="ED28" s="67">
        <f t="shared" si="177"/>
        <v>0</v>
      </c>
      <c r="EE28" s="98"/>
      <c r="EF28" s="65"/>
      <c r="EG28" s="66">
        <f t="shared" si="178"/>
        <v>0</v>
      </c>
      <c r="EH28" s="66">
        <f t="shared" si="179"/>
        <v>0</v>
      </c>
      <c r="EI28" s="66">
        <f t="shared" si="180"/>
        <v>0</v>
      </c>
      <c r="EJ28" s="66">
        <f t="shared" si="181"/>
        <v>0</v>
      </c>
      <c r="EK28" s="66">
        <f t="shared" si="182"/>
        <v>0</v>
      </c>
      <c r="EL28" s="66">
        <f t="shared" si="183"/>
        <v>0</v>
      </c>
      <c r="EM28" s="66">
        <f t="shared" si="184"/>
        <v>0</v>
      </c>
      <c r="EN28" s="66">
        <f t="shared" si="185"/>
        <v>0</v>
      </c>
      <c r="EO28" s="66">
        <f t="shared" si="186"/>
        <v>0</v>
      </c>
      <c r="EP28" s="66">
        <f t="shared" si="187"/>
        <v>0</v>
      </c>
      <c r="EQ28" s="66">
        <f t="shared" si="188"/>
        <v>0</v>
      </c>
      <c r="ER28" s="66">
        <f t="shared" si="189"/>
        <v>0</v>
      </c>
      <c r="ES28" s="66">
        <f t="shared" si="190"/>
        <v>0</v>
      </c>
      <c r="ET28" s="66">
        <f t="shared" si="191"/>
        <v>0</v>
      </c>
      <c r="EU28" s="66">
        <f t="shared" si="192"/>
        <v>0</v>
      </c>
      <c r="EV28" s="66">
        <f t="shared" si="193"/>
        <v>0</v>
      </c>
      <c r="EW28" s="66">
        <f t="shared" si="194"/>
        <v>0</v>
      </c>
      <c r="EX28" s="66">
        <f t="shared" si="195"/>
        <v>0</v>
      </c>
      <c r="EY28" s="66">
        <f t="shared" si="196"/>
        <v>0</v>
      </c>
      <c r="EZ28" s="66">
        <f t="shared" si="197"/>
        <v>0</v>
      </c>
      <c r="FA28" s="66">
        <f t="shared" si="198"/>
        <v>0</v>
      </c>
      <c r="FB28" s="66">
        <f t="shared" ref="FB28:FB32" si="211">CR28</f>
        <v>0</v>
      </c>
      <c r="FC28" s="66">
        <f t="shared" si="199"/>
        <v>0</v>
      </c>
      <c r="FD28" s="67">
        <f t="shared" si="200"/>
        <v>0</v>
      </c>
      <c r="FE28" s="862"/>
      <c r="FF28" s="1398"/>
      <c r="FG28" s="1398"/>
      <c r="FH28" s="1398"/>
      <c r="FO28" s="10"/>
      <c r="FP28" s="749"/>
      <c r="FQ28" s="855"/>
    </row>
    <row r="29" spans="1:173" ht="14.25" customHeight="1">
      <c r="A29" s="7"/>
      <c r="B29" s="430" t="s">
        <v>439</v>
      </c>
      <c r="C29" s="274"/>
      <c r="D29" s="69"/>
      <c r="E29" s="69"/>
      <c r="F29" s="69"/>
      <c r="G29" s="70"/>
      <c r="H29" s="69"/>
      <c r="I29" s="69"/>
      <c r="J29" s="69"/>
      <c r="K29" s="70"/>
      <c r="L29" s="69">
        <v>10.1</v>
      </c>
      <c r="M29" s="69">
        <v>10.4</v>
      </c>
      <c r="N29" s="69">
        <v>13</v>
      </c>
      <c r="O29" s="70">
        <v>14.5</v>
      </c>
      <c r="P29" s="69">
        <v>6.7</v>
      </c>
      <c r="Q29" s="69">
        <v>4.9000000000000004</v>
      </c>
      <c r="R29" s="69">
        <v>5.6</v>
      </c>
      <c r="S29" s="70">
        <v>7.5</v>
      </c>
      <c r="T29" s="69">
        <v>6.2</v>
      </c>
      <c r="U29" s="69">
        <v>7.5</v>
      </c>
      <c r="V29" s="69">
        <v>13</v>
      </c>
      <c r="W29" s="70">
        <v>23.4</v>
      </c>
      <c r="X29" s="69">
        <v>48.4</v>
      </c>
      <c r="Y29" s="69">
        <v>37.6</v>
      </c>
      <c r="Z29" s="69">
        <v>74.900000000000006</v>
      </c>
      <c r="AA29" s="70">
        <v>87.9</v>
      </c>
      <c r="AB29" s="69">
        <v>58.2</v>
      </c>
      <c r="AC29" s="69">
        <v>54.8</v>
      </c>
      <c r="AD29" s="69">
        <v>31.7</v>
      </c>
      <c r="AE29" s="70">
        <v>26.4</v>
      </c>
      <c r="AF29" s="69">
        <v>25.1</v>
      </c>
      <c r="AG29" s="69">
        <v>31.1</v>
      </c>
      <c r="AH29" s="69">
        <v>26.2</v>
      </c>
      <c r="AI29" s="70">
        <v>25.5</v>
      </c>
      <c r="AJ29" s="69">
        <v>25.4</v>
      </c>
      <c r="AK29" s="69">
        <v>18.5</v>
      </c>
      <c r="AL29" s="69">
        <v>26</v>
      </c>
      <c r="AM29" s="70">
        <v>22.7</v>
      </c>
      <c r="AN29" s="69">
        <v>24.8</v>
      </c>
      <c r="AO29" s="69">
        <v>33.1</v>
      </c>
      <c r="AP29" s="69">
        <v>34</v>
      </c>
      <c r="AQ29" s="70">
        <v>35.200000000000003</v>
      </c>
      <c r="AR29" s="69">
        <v>24.3</v>
      </c>
      <c r="AS29" s="69">
        <v>27.3</v>
      </c>
      <c r="AT29" s="69">
        <v>23.4</v>
      </c>
      <c r="AU29" s="70">
        <v>30.3</v>
      </c>
      <c r="AV29" s="69">
        <v>31.6</v>
      </c>
      <c r="AW29" s="69">
        <v>31.6</v>
      </c>
      <c r="AX29" s="69">
        <v>43.5</v>
      </c>
      <c r="AY29" s="70">
        <v>54</v>
      </c>
      <c r="AZ29" s="69">
        <v>69</v>
      </c>
      <c r="BA29" s="69">
        <v>70</v>
      </c>
      <c r="BB29" s="69">
        <v>75</v>
      </c>
      <c r="BC29" s="70">
        <v>84</v>
      </c>
      <c r="BD29" s="69">
        <v>87</v>
      </c>
      <c r="BE29" s="69">
        <v>73</v>
      </c>
      <c r="BF29" s="69">
        <v>80</v>
      </c>
      <c r="BG29" s="70">
        <v>114</v>
      </c>
      <c r="BH29" s="69">
        <v>0</v>
      </c>
      <c r="BI29" s="69">
        <v>195</v>
      </c>
      <c r="BJ29" s="69">
        <v>183</v>
      </c>
      <c r="BK29" s="70">
        <v>209</v>
      </c>
      <c r="BL29" s="69">
        <v>212</v>
      </c>
      <c r="BM29" s="69">
        <v>216</v>
      </c>
      <c r="BN29" s="69">
        <v>244</v>
      </c>
      <c r="BO29" s="70">
        <v>298</v>
      </c>
      <c r="BP29" s="69">
        <v>325</v>
      </c>
      <c r="BQ29" s="69">
        <v>285</v>
      </c>
      <c r="BR29" s="69">
        <v>412</v>
      </c>
      <c r="BS29" s="70">
        <v>443</v>
      </c>
      <c r="BT29" s="69">
        <v>406</v>
      </c>
      <c r="BU29" s="69">
        <v>364</v>
      </c>
      <c r="BV29" s="69">
        <v>247</v>
      </c>
      <c r="BW29" s="70">
        <v>248</v>
      </c>
      <c r="BX29" s="68">
        <v>227</v>
      </c>
      <c r="BY29" s="69">
        <v>207</v>
      </c>
      <c r="BZ29" s="69">
        <v>223</v>
      </c>
      <c r="CA29" s="70">
        <v>243</v>
      </c>
      <c r="CB29" s="68">
        <v>236</v>
      </c>
      <c r="CC29" s="69">
        <v>251</v>
      </c>
      <c r="CD29" s="69">
        <v>282</v>
      </c>
      <c r="CE29" s="70">
        <v>309</v>
      </c>
      <c r="CF29" s="68">
        <v>286</v>
      </c>
      <c r="CG29" s="69">
        <v>259</v>
      </c>
      <c r="CH29" s="69">
        <v>214</v>
      </c>
      <c r="CI29" s="70">
        <v>205</v>
      </c>
      <c r="CJ29" s="68">
        <v>190</v>
      </c>
      <c r="CK29" s="69">
        <f>4411-4212</f>
        <v>199</v>
      </c>
      <c r="CL29" s="69">
        <v>189</v>
      </c>
      <c r="CM29" s="70">
        <v>200</v>
      </c>
      <c r="CN29" s="68">
        <v>236</v>
      </c>
      <c r="CO29" s="69">
        <v>289</v>
      </c>
      <c r="CP29" s="69">
        <f>5143-(CP27+CP32)</f>
        <v>326</v>
      </c>
      <c r="CQ29" s="70">
        <v>408</v>
      </c>
      <c r="CR29" s="68">
        <v>416</v>
      </c>
      <c r="CS29" s="66">
        <f>6135-CS27-CS32</f>
        <v>427</v>
      </c>
      <c r="CT29" s="66">
        <f t="shared" si="201"/>
        <v>427</v>
      </c>
      <c r="CU29" s="67">
        <f t="shared" si="202"/>
        <v>427</v>
      </c>
      <c r="CV29" s="66">
        <f t="shared" si="203"/>
        <v>427</v>
      </c>
      <c r="CW29" s="66">
        <f t="shared" si="204"/>
        <v>427</v>
      </c>
      <c r="CX29" s="66">
        <f t="shared" si="205"/>
        <v>427</v>
      </c>
      <c r="CY29" s="67">
        <f t="shared" si="206"/>
        <v>427</v>
      </c>
      <c r="CZ29" s="66">
        <f t="shared" si="207"/>
        <v>427</v>
      </c>
      <c r="DA29" s="66">
        <f t="shared" si="208"/>
        <v>427</v>
      </c>
      <c r="DB29" s="66">
        <f t="shared" si="209"/>
        <v>427</v>
      </c>
      <c r="DC29" s="67">
        <f t="shared" si="210"/>
        <v>427</v>
      </c>
      <c r="DD29" s="894"/>
      <c r="DE29" s="66"/>
      <c r="DF29" s="66"/>
      <c r="DG29" s="66">
        <f t="shared" si="154"/>
        <v>14.5</v>
      </c>
      <c r="DH29" s="66">
        <f t="shared" si="155"/>
        <v>7.5</v>
      </c>
      <c r="DI29" s="66">
        <f t="shared" si="156"/>
        <v>23.4</v>
      </c>
      <c r="DJ29" s="66">
        <f t="shared" si="157"/>
        <v>87.9</v>
      </c>
      <c r="DK29" s="66">
        <f t="shared" si="158"/>
        <v>26.4</v>
      </c>
      <c r="DL29" s="66">
        <f t="shared" si="159"/>
        <v>25.5</v>
      </c>
      <c r="DM29" s="66">
        <f t="shared" si="160"/>
        <v>22.7</v>
      </c>
      <c r="DN29" s="66">
        <f t="shared" si="161"/>
        <v>35.200000000000003</v>
      </c>
      <c r="DO29" s="66">
        <f t="shared" si="162"/>
        <v>30.3</v>
      </c>
      <c r="DP29" s="66">
        <f t="shared" si="163"/>
        <v>54</v>
      </c>
      <c r="DQ29" s="66">
        <f t="shared" si="164"/>
        <v>84</v>
      </c>
      <c r="DR29" s="66">
        <f t="shared" si="165"/>
        <v>114</v>
      </c>
      <c r="DS29" s="66">
        <f t="shared" si="166"/>
        <v>209</v>
      </c>
      <c r="DT29" s="66">
        <f t="shared" si="167"/>
        <v>298</v>
      </c>
      <c r="DU29" s="66">
        <f t="shared" si="168"/>
        <v>443</v>
      </c>
      <c r="DV29" s="66">
        <f t="shared" si="169"/>
        <v>248</v>
      </c>
      <c r="DW29" s="66">
        <f t="shared" si="170"/>
        <v>243</v>
      </c>
      <c r="DX29" s="66">
        <f t="shared" si="171"/>
        <v>309</v>
      </c>
      <c r="DY29" s="66">
        <f t="shared" si="172"/>
        <v>205</v>
      </c>
      <c r="DZ29" s="66">
        <f t="shared" si="173"/>
        <v>200</v>
      </c>
      <c r="EA29" s="66">
        <f t="shared" si="174"/>
        <v>408</v>
      </c>
      <c r="EB29" s="66">
        <f t="shared" si="175"/>
        <v>427</v>
      </c>
      <c r="EC29" s="66">
        <f t="shared" si="176"/>
        <v>427</v>
      </c>
      <c r="ED29" s="67">
        <f t="shared" si="177"/>
        <v>427</v>
      </c>
      <c r="EE29" s="98"/>
      <c r="EF29" s="65"/>
      <c r="EG29" s="66">
        <f t="shared" si="178"/>
        <v>10.1</v>
      </c>
      <c r="EH29" s="66">
        <f t="shared" si="179"/>
        <v>6.7</v>
      </c>
      <c r="EI29" s="66">
        <f t="shared" si="180"/>
        <v>6.2</v>
      </c>
      <c r="EJ29" s="66">
        <f t="shared" si="181"/>
        <v>48.4</v>
      </c>
      <c r="EK29" s="66">
        <f t="shared" si="182"/>
        <v>58.2</v>
      </c>
      <c r="EL29" s="66">
        <f t="shared" si="183"/>
        <v>25.1</v>
      </c>
      <c r="EM29" s="66">
        <f t="shared" si="184"/>
        <v>25.4</v>
      </c>
      <c r="EN29" s="66">
        <f t="shared" si="185"/>
        <v>24.8</v>
      </c>
      <c r="EO29" s="66">
        <f t="shared" si="186"/>
        <v>24.3</v>
      </c>
      <c r="EP29" s="66">
        <f t="shared" si="187"/>
        <v>31.6</v>
      </c>
      <c r="EQ29" s="66">
        <f t="shared" si="188"/>
        <v>69</v>
      </c>
      <c r="ER29" s="66">
        <f t="shared" si="189"/>
        <v>87</v>
      </c>
      <c r="ES29" s="66">
        <f t="shared" si="190"/>
        <v>0</v>
      </c>
      <c r="ET29" s="66">
        <f t="shared" si="191"/>
        <v>212</v>
      </c>
      <c r="EU29" s="66">
        <f t="shared" si="192"/>
        <v>325</v>
      </c>
      <c r="EV29" s="66">
        <f t="shared" si="193"/>
        <v>406</v>
      </c>
      <c r="EW29" s="66">
        <f t="shared" si="194"/>
        <v>227</v>
      </c>
      <c r="EX29" s="66">
        <f t="shared" si="195"/>
        <v>236</v>
      </c>
      <c r="EY29" s="66">
        <f t="shared" si="196"/>
        <v>286</v>
      </c>
      <c r="EZ29" s="66">
        <f t="shared" si="197"/>
        <v>190</v>
      </c>
      <c r="FA29" s="66">
        <f t="shared" si="198"/>
        <v>236</v>
      </c>
      <c r="FB29" s="66">
        <f t="shared" si="211"/>
        <v>416</v>
      </c>
      <c r="FC29" s="66">
        <f t="shared" si="199"/>
        <v>427</v>
      </c>
      <c r="FD29" s="67">
        <f t="shared" si="200"/>
        <v>427</v>
      </c>
      <c r="FE29" s="862"/>
      <c r="FF29" s="1398"/>
      <c r="FG29" s="1398"/>
      <c r="FH29" s="1398"/>
      <c r="FO29" s="10"/>
      <c r="FP29" s="749"/>
      <c r="FQ29" s="855"/>
    </row>
    <row r="30" spans="1:173" ht="14.25" customHeight="1">
      <c r="A30" s="7"/>
      <c r="B30" s="430" t="s">
        <v>366</v>
      </c>
      <c r="C30" s="25"/>
      <c r="D30" s="69"/>
      <c r="E30" s="69"/>
      <c r="F30" s="69"/>
      <c r="G30" s="70"/>
      <c r="H30" s="69"/>
      <c r="I30" s="69"/>
      <c r="J30" s="69"/>
      <c r="K30" s="70"/>
      <c r="L30" s="69">
        <v>0</v>
      </c>
      <c r="M30" s="69">
        <v>0</v>
      </c>
      <c r="N30" s="69">
        <v>0</v>
      </c>
      <c r="O30" s="70">
        <v>0</v>
      </c>
      <c r="P30" s="69">
        <v>0</v>
      </c>
      <c r="Q30" s="69">
        <v>0</v>
      </c>
      <c r="R30" s="69">
        <v>0</v>
      </c>
      <c r="S30" s="70">
        <v>0</v>
      </c>
      <c r="T30" s="69">
        <v>0</v>
      </c>
      <c r="U30" s="69">
        <v>0</v>
      </c>
      <c r="V30" s="69">
        <v>0</v>
      </c>
      <c r="W30" s="70">
        <v>0</v>
      </c>
      <c r="X30" s="69">
        <v>0</v>
      </c>
      <c r="Y30" s="69">
        <v>0</v>
      </c>
      <c r="Z30" s="69">
        <v>0</v>
      </c>
      <c r="AA30" s="70">
        <v>0</v>
      </c>
      <c r="AB30" s="69">
        <v>0</v>
      </c>
      <c r="AC30" s="69">
        <v>0</v>
      </c>
      <c r="AD30" s="69">
        <v>0</v>
      </c>
      <c r="AE30" s="70">
        <v>0</v>
      </c>
      <c r="AF30" s="69">
        <v>0</v>
      </c>
      <c r="AG30" s="69">
        <v>0</v>
      </c>
      <c r="AH30" s="69">
        <v>0</v>
      </c>
      <c r="AI30" s="70">
        <v>0</v>
      </c>
      <c r="AJ30" s="69">
        <v>0</v>
      </c>
      <c r="AK30" s="69">
        <v>0</v>
      </c>
      <c r="AL30" s="69">
        <v>0</v>
      </c>
      <c r="AM30" s="70">
        <v>0</v>
      </c>
      <c r="AN30" s="69">
        <v>0</v>
      </c>
      <c r="AO30" s="69">
        <v>0</v>
      </c>
      <c r="AP30" s="69">
        <v>0</v>
      </c>
      <c r="AQ30" s="70">
        <v>0</v>
      </c>
      <c r="AR30" s="69">
        <v>0</v>
      </c>
      <c r="AS30" s="69">
        <v>0</v>
      </c>
      <c r="AT30" s="69">
        <v>0</v>
      </c>
      <c r="AU30" s="70">
        <v>0</v>
      </c>
      <c r="AV30" s="69">
        <v>0</v>
      </c>
      <c r="AW30" s="69">
        <v>0</v>
      </c>
      <c r="AX30" s="69">
        <v>0</v>
      </c>
      <c r="AY30" s="70">
        <v>0</v>
      </c>
      <c r="AZ30" s="69">
        <v>0</v>
      </c>
      <c r="BA30" s="69">
        <v>0</v>
      </c>
      <c r="BB30" s="69">
        <v>0</v>
      </c>
      <c r="BC30" s="70">
        <v>0</v>
      </c>
      <c r="BD30" s="69">
        <v>0</v>
      </c>
      <c r="BE30" s="69">
        <v>0</v>
      </c>
      <c r="BF30" s="69">
        <v>0</v>
      </c>
      <c r="BG30" s="70">
        <v>0</v>
      </c>
      <c r="BH30" s="69">
        <v>0</v>
      </c>
      <c r="BI30" s="69">
        <v>0</v>
      </c>
      <c r="BJ30" s="69">
        <v>0</v>
      </c>
      <c r="BK30" s="70">
        <v>0</v>
      </c>
      <c r="BL30" s="69">
        <v>0</v>
      </c>
      <c r="BM30" s="69">
        <v>0</v>
      </c>
      <c r="BN30" s="69">
        <v>0</v>
      </c>
      <c r="BO30" s="70">
        <v>0</v>
      </c>
      <c r="BP30" s="69">
        <v>0</v>
      </c>
      <c r="BQ30" s="69">
        <v>0</v>
      </c>
      <c r="BR30" s="69">
        <v>0</v>
      </c>
      <c r="BS30" s="70">
        <v>0</v>
      </c>
      <c r="BT30" s="69">
        <v>0</v>
      </c>
      <c r="BU30" s="69">
        <v>0</v>
      </c>
      <c r="BV30" s="69">
        <v>0</v>
      </c>
      <c r="BW30" s="70">
        <v>0</v>
      </c>
      <c r="BX30" s="68">
        <v>0</v>
      </c>
      <c r="BY30" s="69">
        <v>0</v>
      </c>
      <c r="BZ30" s="69"/>
      <c r="CA30" s="70">
        <v>0</v>
      </c>
      <c r="CB30" s="68">
        <v>0</v>
      </c>
      <c r="CC30" s="69">
        <f>CB30</f>
        <v>0</v>
      </c>
      <c r="CD30" s="69"/>
      <c r="CE30" s="70">
        <v>0</v>
      </c>
      <c r="CF30" s="68">
        <f>CE30</f>
        <v>0</v>
      </c>
      <c r="CG30" s="69">
        <v>0</v>
      </c>
      <c r="CH30" s="69">
        <v>0</v>
      </c>
      <c r="CI30" s="70">
        <v>0</v>
      </c>
      <c r="CJ30" s="68">
        <v>0</v>
      </c>
      <c r="CK30" s="69">
        <v>0</v>
      </c>
      <c r="CL30" s="69">
        <v>0</v>
      </c>
      <c r="CM30" s="70">
        <v>0</v>
      </c>
      <c r="CN30" s="68">
        <v>0</v>
      </c>
      <c r="CO30" s="1230">
        <v>0</v>
      </c>
      <c r="CP30" s="69">
        <v>0</v>
      </c>
      <c r="CQ30" s="70">
        <v>0</v>
      </c>
      <c r="CR30" s="68">
        <v>0</v>
      </c>
      <c r="CS30" s="1230">
        <v>0</v>
      </c>
      <c r="CT30" s="66">
        <f t="shared" si="201"/>
        <v>0</v>
      </c>
      <c r="CU30" s="67">
        <f t="shared" si="202"/>
        <v>0</v>
      </c>
      <c r="CV30" s="66">
        <f t="shared" si="203"/>
        <v>0</v>
      </c>
      <c r="CW30" s="66">
        <f t="shared" si="204"/>
        <v>0</v>
      </c>
      <c r="CX30" s="66">
        <f t="shared" si="205"/>
        <v>0</v>
      </c>
      <c r="CY30" s="67">
        <f t="shared" si="206"/>
        <v>0</v>
      </c>
      <c r="CZ30" s="66">
        <f t="shared" si="207"/>
        <v>0</v>
      </c>
      <c r="DA30" s="66">
        <f t="shared" si="208"/>
        <v>0</v>
      </c>
      <c r="DB30" s="66">
        <f t="shared" si="209"/>
        <v>0</v>
      </c>
      <c r="DC30" s="67">
        <f t="shared" si="210"/>
        <v>0</v>
      </c>
      <c r="DD30" s="894"/>
      <c r="DE30" s="66"/>
      <c r="DF30" s="66"/>
      <c r="DG30" s="66">
        <f t="shared" si="154"/>
        <v>0</v>
      </c>
      <c r="DH30" s="66">
        <f t="shared" si="155"/>
        <v>0</v>
      </c>
      <c r="DI30" s="66">
        <f t="shared" si="156"/>
        <v>0</v>
      </c>
      <c r="DJ30" s="66">
        <f t="shared" si="157"/>
        <v>0</v>
      </c>
      <c r="DK30" s="66">
        <f t="shared" si="158"/>
        <v>0</v>
      </c>
      <c r="DL30" s="66">
        <f t="shared" si="159"/>
        <v>0</v>
      </c>
      <c r="DM30" s="66">
        <f t="shared" si="160"/>
        <v>0</v>
      </c>
      <c r="DN30" s="66">
        <f t="shared" si="161"/>
        <v>0</v>
      </c>
      <c r="DO30" s="66">
        <f t="shared" si="162"/>
        <v>0</v>
      </c>
      <c r="DP30" s="66">
        <f t="shared" si="163"/>
        <v>0</v>
      </c>
      <c r="DQ30" s="66">
        <f t="shared" si="164"/>
        <v>0</v>
      </c>
      <c r="DR30" s="66">
        <f t="shared" si="165"/>
        <v>0</v>
      </c>
      <c r="DS30" s="66">
        <f t="shared" si="166"/>
        <v>0</v>
      </c>
      <c r="DT30" s="66">
        <f t="shared" si="167"/>
        <v>0</v>
      </c>
      <c r="DU30" s="66">
        <f t="shared" si="168"/>
        <v>0</v>
      </c>
      <c r="DV30" s="66">
        <f t="shared" si="169"/>
        <v>0</v>
      </c>
      <c r="DW30" s="66">
        <f t="shared" si="170"/>
        <v>0</v>
      </c>
      <c r="DX30" s="66">
        <f t="shared" si="171"/>
        <v>0</v>
      </c>
      <c r="DY30" s="66">
        <f t="shared" si="172"/>
        <v>0</v>
      </c>
      <c r="DZ30" s="66">
        <f t="shared" si="173"/>
        <v>0</v>
      </c>
      <c r="EA30" s="66">
        <f t="shared" si="174"/>
        <v>0</v>
      </c>
      <c r="EB30" s="66">
        <f t="shared" si="175"/>
        <v>0</v>
      </c>
      <c r="EC30" s="66">
        <f t="shared" si="176"/>
        <v>0</v>
      </c>
      <c r="ED30" s="67">
        <f t="shared" si="177"/>
        <v>0</v>
      </c>
      <c r="EE30" s="98"/>
      <c r="EF30" s="65"/>
      <c r="EG30" s="66">
        <f t="shared" si="178"/>
        <v>0</v>
      </c>
      <c r="EH30" s="66">
        <f t="shared" si="179"/>
        <v>0</v>
      </c>
      <c r="EI30" s="66">
        <f t="shared" si="180"/>
        <v>0</v>
      </c>
      <c r="EJ30" s="66">
        <f t="shared" si="181"/>
        <v>0</v>
      </c>
      <c r="EK30" s="66">
        <f t="shared" si="182"/>
        <v>0</v>
      </c>
      <c r="EL30" s="66">
        <f t="shared" si="183"/>
        <v>0</v>
      </c>
      <c r="EM30" s="66">
        <f t="shared" si="184"/>
        <v>0</v>
      </c>
      <c r="EN30" s="66">
        <f t="shared" si="185"/>
        <v>0</v>
      </c>
      <c r="EO30" s="66">
        <f t="shared" si="186"/>
        <v>0</v>
      </c>
      <c r="EP30" s="66">
        <f t="shared" si="187"/>
        <v>0</v>
      </c>
      <c r="EQ30" s="66">
        <f t="shared" si="188"/>
        <v>0</v>
      </c>
      <c r="ER30" s="66">
        <f t="shared" si="189"/>
        <v>0</v>
      </c>
      <c r="ES30" s="66">
        <f t="shared" si="190"/>
        <v>0</v>
      </c>
      <c r="ET30" s="66">
        <f t="shared" si="191"/>
        <v>0</v>
      </c>
      <c r="EU30" s="66">
        <f t="shared" si="192"/>
        <v>0</v>
      </c>
      <c r="EV30" s="66">
        <f t="shared" si="193"/>
        <v>0</v>
      </c>
      <c r="EW30" s="66">
        <f t="shared" si="194"/>
        <v>0</v>
      </c>
      <c r="EX30" s="66">
        <f t="shared" si="195"/>
        <v>0</v>
      </c>
      <c r="EY30" s="66">
        <f t="shared" si="196"/>
        <v>0</v>
      </c>
      <c r="EZ30" s="66">
        <f t="shared" si="197"/>
        <v>0</v>
      </c>
      <c r="FA30" s="66">
        <f t="shared" si="198"/>
        <v>0</v>
      </c>
      <c r="FB30" s="66">
        <f t="shared" si="211"/>
        <v>0</v>
      </c>
      <c r="FC30" s="66">
        <f t="shared" si="199"/>
        <v>0</v>
      </c>
      <c r="FD30" s="67">
        <f t="shared" si="200"/>
        <v>0</v>
      </c>
      <c r="FE30" s="862"/>
      <c r="FF30" s="1398"/>
      <c r="FG30" s="1398"/>
      <c r="FH30" s="1398"/>
      <c r="FO30" s="10"/>
      <c r="FP30" s="749"/>
      <c r="FQ30" s="855"/>
    </row>
    <row r="31" spans="1:173" ht="14.25" customHeight="1">
      <c r="A31" s="7"/>
      <c r="B31" s="430" t="s">
        <v>404</v>
      </c>
      <c r="C31" s="25"/>
      <c r="D31" s="69"/>
      <c r="E31" s="69"/>
      <c r="F31" s="69"/>
      <c r="G31" s="70"/>
      <c r="H31" s="69"/>
      <c r="I31" s="69"/>
      <c r="J31" s="69"/>
      <c r="K31" s="70"/>
      <c r="L31" s="69">
        <v>63.5</v>
      </c>
      <c r="M31" s="69">
        <v>47.6</v>
      </c>
      <c r="N31" s="69">
        <v>54.8</v>
      </c>
      <c r="O31" s="70">
        <v>62.7</v>
      </c>
      <c r="P31" s="69">
        <v>31.5</v>
      </c>
      <c r="Q31" s="69">
        <v>45.5</v>
      </c>
      <c r="R31" s="69">
        <v>117.3</v>
      </c>
      <c r="S31" s="70">
        <v>168.8</v>
      </c>
      <c r="T31" s="69">
        <v>113.2</v>
      </c>
      <c r="U31" s="69">
        <v>71.099999999999994</v>
      </c>
      <c r="V31" s="69">
        <v>81.8</v>
      </c>
      <c r="W31" s="70">
        <v>81.5</v>
      </c>
      <c r="X31" s="69">
        <v>64.2</v>
      </c>
      <c r="Y31" s="69">
        <v>65.900000000000006</v>
      </c>
      <c r="Z31" s="69">
        <v>35</v>
      </c>
      <c r="AA31" s="70">
        <v>45.9</v>
      </c>
      <c r="AB31" s="69">
        <v>57.9</v>
      </c>
      <c r="AC31" s="69">
        <v>44.6</v>
      </c>
      <c r="AD31" s="69">
        <v>40</v>
      </c>
      <c r="AE31" s="70">
        <v>61.5</v>
      </c>
      <c r="AF31" s="69">
        <v>71.5</v>
      </c>
      <c r="AG31" s="69">
        <v>66.3</v>
      </c>
      <c r="AH31" s="69">
        <v>85.3</v>
      </c>
      <c r="AI31" s="70">
        <v>80</v>
      </c>
      <c r="AJ31" s="69">
        <v>98</v>
      </c>
      <c r="AK31" s="69">
        <v>116.2</v>
      </c>
      <c r="AL31" s="69">
        <v>144.30000000000001</v>
      </c>
      <c r="AM31" s="70">
        <v>166.7</v>
      </c>
      <c r="AN31" s="69">
        <v>147.4</v>
      </c>
      <c r="AO31" s="69">
        <v>78.2</v>
      </c>
      <c r="AP31" s="69">
        <v>82.7</v>
      </c>
      <c r="AQ31" s="70">
        <v>70.099999999999994</v>
      </c>
      <c r="AR31" s="69">
        <v>55.8</v>
      </c>
      <c r="AS31" s="69">
        <v>48.3</v>
      </c>
      <c r="AT31" s="69">
        <v>87.6</v>
      </c>
      <c r="AU31" s="70">
        <v>48.8</v>
      </c>
      <c r="AV31" s="69">
        <v>78.5</v>
      </c>
      <c r="AW31" s="69">
        <v>114.3</v>
      </c>
      <c r="AX31" s="69">
        <v>103.2</v>
      </c>
      <c r="AY31" s="70">
        <v>123</v>
      </c>
      <c r="AZ31" s="69">
        <v>119</v>
      </c>
      <c r="BA31" s="69">
        <v>148</v>
      </c>
      <c r="BB31" s="69">
        <v>126</v>
      </c>
      <c r="BC31" s="70">
        <v>134</v>
      </c>
      <c r="BD31" s="69">
        <v>167</v>
      </c>
      <c r="BE31" s="69">
        <v>104</v>
      </c>
      <c r="BF31" s="69">
        <v>68</v>
      </c>
      <c r="BG31" s="70">
        <v>98</v>
      </c>
      <c r="BH31" s="69">
        <v>157</v>
      </c>
      <c r="BI31" s="69">
        <v>139</v>
      </c>
      <c r="BJ31" s="69">
        <v>233</v>
      </c>
      <c r="BK31" s="70">
        <v>222</v>
      </c>
      <c r="BL31" s="69">
        <v>353</v>
      </c>
      <c r="BM31" s="69">
        <v>266</v>
      </c>
      <c r="BN31" s="69">
        <v>223</v>
      </c>
      <c r="BO31" s="70">
        <v>183</v>
      </c>
      <c r="BP31" s="69">
        <v>142</v>
      </c>
      <c r="BQ31" s="69">
        <v>70</v>
      </c>
      <c r="BR31" s="69">
        <v>80</v>
      </c>
      <c r="BS31" s="70">
        <v>67</v>
      </c>
      <c r="BT31" s="69">
        <v>56</v>
      </c>
      <c r="BU31" s="69">
        <v>131</v>
      </c>
      <c r="BV31" s="69">
        <v>121</v>
      </c>
      <c r="BW31" s="70">
        <v>130</v>
      </c>
      <c r="BX31" s="68">
        <v>61</v>
      </c>
      <c r="BY31" s="69">
        <v>62</v>
      </c>
      <c r="BZ31" s="69">
        <v>172</v>
      </c>
      <c r="CA31" s="70">
        <v>182</v>
      </c>
      <c r="CB31" s="68">
        <v>104</v>
      </c>
      <c r="CC31" s="69">
        <v>145</v>
      </c>
      <c r="CD31" s="69">
        <v>142</v>
      </c>
      <c r="CE31" s="70">
        <v>166</v>
      </c>
      <c r="CF31" s="68">
        <v>0</v>
      </c>
      <c r="CG31" s="69">
        <v>0</v>
      </c>
      <c r="CH31" s="69">
        <v>0</v>
      </c>
      <c r="CI31" s="70">
        <v>0</v>
      </c>
      <c r="CJ31" s="68">
        <v>0</v>
      </c>
      <c r="CK31" s="69">
        <v>0</v>
      </c>
      <c r="CL31" s="69">
        <v>0</v>
      </c>
      <c r="CM31" s="70">
        <v>0</v>
      </c>
      <c r="CN31" s="68">
        <v>0</v>
      </c>
      <c r="CO31" s="1230">
        <v>0</v>
      </c>
      <c r="CP31" s="69">
        <v>0</v>
      </c>
      <c r="CQ31" s="70">
        <v>0</v>
      </c>
      <c r="CR31" s="68">
        <v>0</v>
      </c>
      <c r="CS31" s="1230">
        <v>0</v>
      </c>
      <c r="CT31" s="66">
        <f>CS31+CFS!CT46</f>
        <v>0</v>
      </c>
      <c r="CU31" s="67">
        <f>CT31+CFS!CU46</f>
        <v>0</v>
      </c>
      <c r="CV31" s="66">
        <f>CU31+CFS!CV46</f>
        <v>0</v>
      </c>
      <c r="CW31" s="66">
        <f>CV31+CFS!CW46</f>
        <v>0</v>
      </c>
      <c r="CX31" s="66">
        <f>CW31+CFS!CX46</f>
        <v>0</v>
      </c>
      <c r="CY31" s="67">
        <f>CX31+CFS!CY46</f>
        <v>0</v>
      </c>
      <c r="CZ31" s="66">
        <f>CY31+CFS!CZ46</f>
        <v>0</v>
      </c>
      <c r="DA31" s="66">
        <f>CZ31+CFS!DA46</f>
        <v>0</v>
      </c>
      <c r="DB31" s="66">
        <f>DA31+CFS!DB46</f>
        <v>0</v>
      </c>
      <c r="DC31" s="67">
        <f>DB31+CFS!DC46</f>
        <v>0</v>
      </c>
      <c r="DD31" s="894"/>
      <c r="DE31" s="66"/>
      <c r="DF31" s="66"/>
      <c r="DG31" s="66">
        <f t="shared" si="154"/>
        <v>62.7</v>
      </c>
      <c r="DH31" s="66">
        <f t="shared" si="155"/>
        <v>168.8</v>
      </c>
      <c r="DI31" s="66">
        <f t="shared" si="156"/>
        <v>81.5</v>
      </c>
      <c r="DJ31" s="66">
        <f t="shared" si="157"/>
        <v>45.9</v>
      </c>
      <c r="DK31" s="66">
        <f t="shared" si="158"/>
        <v>61.5</v>
      </c>
      <c r="DL31" s="66">
        <f t="shared" si="159"/>
        <v>80</v>
      </c>
      <c r="DM31" s="66">
        <f t="shared" si="160"/>
        <v>166.7</v>
      </c>
      <c r="DN31" s="66">
        <f t="shared" si="161"/>
        <v>70.099999999999994</v>
      </c>
      <c r="DO31" s="66">
        <f t="shared" si="162"/>
        <v>48.8</v>
      </c>
      <c r="DP31" s="66">
        <f t="shared" si="163"/>
        <v>123</v>
      </c>
      <c r="DQ31" s="66">
        <f t="shared" si="164"/>
        <v>134</v>
      </c>
      <c r="DR31" s="66">
        <f t="shared" si="165"/>
        <v>98</v>
      </c>
      <c r="DS31" s="66">
        <f t="shared" si="166"/>
        <v>222</v>
      </c>
      <c r="DT31" s="66">
        <f t="shared" si="167"/>
        <v>183</v>
      </c>
      <c r="DU31" s="66">
        <f t="shared" si="168"/>
        <v>67</v>
      </c>
      <c r="DV31" s="66">
        <f t="shared" si="169"/>
        <v>130</v>
      </c>
      <c r="DW31" s="66">
        <f t="shared" si="170"/>
        <v>182</v>
      </c>
      <c r="DX31" s="66">
        <f t="shared" si="171"/>
        <v>166</v>
      </c>
      <c r="DY31" s="66">
        <f t="shared" si="172"/>
        <v>0</v>
      </c>
      <c r="DZ31" s="66">
        <f t="shared" si="173"/>
        <v>0</v>
      </c>
      <c r="EA31" s="66">
        <f t="shared" si="174"/>
        <v>0</v>
      </c>
      <c r="EB31" s="66">
        <f t="shared" si="175"/>
        <v>0</v>
      </c>
      <c r="EC31" s="66">
        <f t="shared" si="176"/>
        <v>0</v>
      </c>
      <c r="ED31" s="67">
        <f t="shared" si="177"/>
        <v>0</v>
      </c>
      <c r="EE31" s="98"/>
      <c r="EF31" s="65"/>
      <c r="EG31" s="66">
        <f t="shared" si="178"/>
        <v>63.5</v>
      </c>
      <c r="EH31" s="66">
        <f t="shared" si="179"/>
        <v>31.5</v>
      </c>
      <c r="EI31" s="66">
        <f t="shared" si="180"/>
        <v>113.2</v>
      </c>
      <c r="EJ31" s="66">
        <f t="shared" si="181"/>
        <v>64.2</v>
      </c>
      <c r="EK31" s="66">
        <f t="shared" si="182"/>
        <v>57.9</v>
      </c>
      <c r="EL31" s="66">
        <f t="shared" si="183"/>
        <v>71.5</v>
      </c>
      <c r="EM31" s="66">
        <f t="shared" si="184"/>
        <v>98</v>
      </c>
      <c r="EN31" s="66">
        <f t="shared" si="185"/>
        <v>147.4</v>
      </c>
      <c r="EO31" s="66">
        <f t="shared" si="186"/>
        <v>55.8</v>
      </c>
      <c r="EP31" s="66">
        <f t="shared" si="187"/>
        <v>78.5</v>
      </c>
      <c r="EQ31" s="66">
        <f t="shared" si="188"/>
        <v>119</v>
      </c>
      <c r="ER31" s="66">
        <f t="shared" si="189"/>
        <v>167</v>
      </c>
      <c r="ES31" s="66">
        <f t="shared" si="190"/>
        <v>157</v>
      </c>
      <c r="ET31" s="66">
        <f t="shared" si="191"/>
        <v>353</v>
      </c>
      <c r="EU31" s="66">
        <f t="shared" si="192"/>
        <v>142</v>
      </c>
      <c r="EV31" s="66">
        <f t="shared" si="193"/>
        <v>56</v>
      </c>
      <c r="EW31" s="66">
        <f t="shared" si="194"/>
        <v>61</v>
      </c>
      <c r="EX31" s="66">
        <f t="shared" si="195"/>
        <v>104</v>
      </c>
      <c r="EY31" s="66">
        <f t="shared" si="196"/>
        <v>0</v>
      </c>
      <c r="EZ31" s="66">
        <f t="shared" si="197"/>
        <v>0</v>
      </c>
      <c r="FA31" s="66">
        <f t="shared" si="198"/>
        <v>0</v>
      </c>
      <c r="FB31" s="66">
        <f t="shared" si="211"/>
        <v>0</v>
      </c>
      <c r="FC31" s="66">
        <f t="shared" si="199"/>
        <v>0</v>
      </c>
      <c r="FD31" s="67">
        <f t="shared" si="200"/>
        <v>0</v>
      </c>
      <c r="FE31" s="862"/>
      <c r="FF31" s="1398"/>
      <c r="FG31" s="1398"/>
      <c r="FH31" s="1398"/>
      <c r="FO31" s="10"/>
      <c r="FP31" s="749"/>
      <c r="FQ31" s="855"/>
    </row>
    <row r="32" spans="1:173" s="324" customFormat="1" ht="14.25" customHeight="1">
      <c r="A32" s="7"/>
      <c r="B32" s="430" t="s">
        <v>473</v>
      </c>
      <c r="C32" s="25"/>
      <c r="D32" s="69"/>
      <c r="E32" s="69"/>
      <c r="F32" s="69"/>
      <c r="G32" s="70"/>
      <c r="H32" s="69"/>
      <c r="I32" s="69"/>
      <c r="J32" s="69"/>
      <c r="K32" s="70"/>
      <c r="L32" s="69">
        <v>0</v>
      </c>
      <c r="M32" s="69">
        <v>0</v>
      </c>
      <c r="N32" s="69">
        <v>0</v>
      </c>
      <c r="O32" s="70">
        <v>0</v>
      </c>
      <c r="P32" s="69">
        <v>0</v>
      </c>
      <c r="Q32" s="69">
        <v>0</v>
      </c>
      <c r="R32" s="69">
        <v>0</v>
      </c>
      <c r="S32" s="70">
        <v>0</v>
      </c>
      <c r="T32" s="69">
        <v>0</v>
      </c>
      <c r="U32" s="69">
        <v>0</v>
      </c>
      <c r="V32" s="69">
        <v>0</v>
      </c>
      <c r="W32" s="70">
        <v>0</v>
      </c>
      <c r="X32" s="69">
        <v>0</v>
      </c>
      <c r="Y32" s="69">
        <v>0</v>
      </c>
      <c r="Z32" s="69">
        <v>0</v>
      </c>
      <c r="AA32" s="70">
        <v>0</v>
      </c>
      <c r="AB32" s="69">
        <v>0</v>
      </c>
      <c r="AC32" s="69">
        <v>0</v>
      </c>
      <c r="AD32" s="69">
        <v>0</v>
      </c>
      <c r="AE32" s="70">
        <v>0</v>
      </c>
      <c r="AF32" s="69">
        <v>0</v>
      </c>
      <c r="AG32" s="69">
        <v>0</v>
      </c>
      <c r="AH32" s="69">
        <v>0</v>
      </c>
      <c r="AI32" s="70">
        <v>0</v>
      </c>
      <c r="AJ32" s="69">
        <v>0</v>
      </c>
      <c r="AK32" s="69">
        <v>0</v>
      </c>
      <c r="AL32" s="69">
        <v>0</v>
      </c>
      <c r="AM32" s="70">
        <v>0</v>
      </c>
      <c r="AN32" s="69">
        <v>0</v>
      </c>
      <c r="AO32" s="69">
        <v>0</v>
      </c>
      <c r="AP32" s="69">
        <v>0</v>
      </c>
      <c r="AQ32" s="70">
        <v>0</v>
      </c>
      <c r="AR32" s="69">
        <v>0</v>
      </c>
      <c r="AS32" s="69">
        <v>0</v>
      </c>
      <c r="AT32" s="69">
        <v>0</v>
      </c>
      <c r="AU32" s="70">
        <v>0</v>
      </c>
      <c r="AV32" s="69">
        <v>0</v>
      </c>
      <c r="AW32" s="69">
        <v>0</v>
      </c>
      <c r="AX32" s="69">
        <v>0</v>
      </c>
      <c r="AY32" s="70">
        <v>0</v>
      </c>
      <c r="AZ32" s="69">
        <v>0</v>
      </c>
      <c r="BA32" s="69">
        <v>0</v>
      </c>
      <c r="BB32" s="69">
        <v>0</v>
      </c>
      <c r="BC32" s="70">
        <v>0</v>
      </c>
      <c r="BD32" s="69">
        <v>0</v>
      </c>
      <c r="BE32" s="69">
        <v>0</v>
      </c>
      <c r="BF32" s="69">
        <v>0</v>
      </c>
      <c r="BG32" s="70">
        <v>0</v>
      </c>
      <c r="BH32" s="69">
        <v>0</v>
      </c>
      <c r="BI32" s="69">
        <v>0</v>
      </c>
      <c r="BJ32" s="69">
        <v>0</v>
      </c>
      <c r="BK32" s="70">
        <v>0</v>
      </c>
      <c r="BL32" s="69">
        <v>0</v>
      </c>
      <c r="BM32" s="69">
        <v>0</v>
      </c>
      <c r="BN32" s="69">
        <v>0</v>
      </c>
      <c r="BO32" s="70">
        <v>0</v>
      </c>
      <c r="BP32" s="69">
        <v>0</v>
      </c>
      <c r="BQ32" s="69">
        <v>0</v>
      </c>
      <c r="BR32" s="69">
        <v>0</v>
      </c>
      <c r="BS32" s="70">
        <v>0</v>
      </c>
      <c r="BT32" s="69">
        <v>0</v>
      </c>
      <c r="BU32" s="69">
        <v>0</v>
      </c>
      <c r="BV32" s="69">
        <v>0</v>
      </c>
      <c r="BW32" s="70">
        <v>0</v>
      </c>
      <c r="BX32" s="68">
        <v>266</v>
      </c>
      <c r="BY32" s="69">
        <v>350</v>
      </c>
      <c r="BZ32" s="69">
        <v>357</v>
      </c>
      <c r="CA32" s="70">
        <v>1585</v>
      </c>
      <c r="CB32" s="68">
        <v>1543</v>
      </c>
      <c r="CC32" s="69">
        <v>2230</v>
      </c>
      <c r="CD32" s="69">
        <v>1508</v>
      </c>
      <c r="CE32" s="70">
        <v>1638</v>
      </c>
      <c r="CF32" s="68">
        <v>1168</v>
      </c>
      <c r="CG32" s="69">
        <v>1199</v>
      </c>
      <c r="CH32" s="69">
        <v>1148</v>
      </c>
      <c r="CI32" s="70">
        <v>1089</v>
      </c>
      <c r="CJ32" s="68">
        <v>1051</v>
      </c>
      <c r="CK32" s="69">
        <v>1125</v>
      </c>
      <c r="CL32" s="69">
        <v>712</v>
      </c>
      <c r="CM32" s="70">
        <v>756</v>
      </c>
      <c r="CN32" s="68">
        <v>1155</v>
      </c>
      <c r="CO32" s="69">
        <v>1117</v>
      </c>
      <c r="CP32" s="69">
        <v>1161</v>
      </c>
      <c r="CQ32" s="70">
        <v>1262</v>
      </c>
      <c r="CR32" s="68">
        <v>1401</v>
      </c>
      <c r="CS32" s="69">
        <v>1514</v>
      </c>
      <c r="CT32" s="66">
        <f t="shared" ref="CT32" si="212">CS32</f>
        <v>1514</v>
      </c>
      <c r="CU32" s="67">
        <f t="shared" ref="CU32" si="213">CT32</f>
        <v>1514</v>
      </c>
      <c r="CV32" s="66">
        <f t="shared" ref="CV32" si="214">CU32</f>
        <v>1514</v>
      </c>
      <c r="CW32" s="66">
        <f t="shared" ref="CW32" si="215">CV32</f>
        <v>1514</v>
      </c>
      <c r="CX32" s="66">
        <f t="shared" ref="CX32" si="216">CW32</f>
        <v>1514</v>
      </c>
      <c r="CY32" s="67">
        <f t="shared" ref="CY32" si="217">CX32</f>
        <v>1514</v>
      </c>
      <c r="CZ32" s="66">
        <f t="shared" ref="CZ32" si="218">CY32</f>
        <v>1514</v>
      </c>
      <c r="DA32" s="66">
        <f t="shared" ref="DA32" si="219">CZ32</f>
        <v>1514</v>
      </c>
      <c r="DB32" s="66">
        <f t="shared" ref="DB32" si="220">DA32</f>
        <v>1514</v>
      </c>
      <c r="DC32" s="67">
        <f t="shared" ref="DC32" si="221">DB32</f>
        <v>1514</v>
      </c>
      <c r="DD32" s="894"/>
      <c r="DE32" s="66"/>
      <c r="DF32" s="66"/>
      <c r="DG32" s="66">
        <f t="shared" si="154"/>
        <v>0</v>
      </c>
      <c r="DH32" s="66">
        <f t="shared" si="155"/>
        <v>0</v>
      </c>
      <c r="DI32" s="66">
        <f t="shared" si="156"/>
        <v>0</v>
      </c>
      <c r="DJ32" s="66">
        <f t="shared" si="157"/>
        <v>0</v>
      </c>
      <c r="DK32" s="66">
        <f t="shared" si="158"/>
        <v>0</v>
      </c>
      <c r="DL32" s="66">
        <f t="shared" si="159"/>
        <v>0</v>
      </c>
      <c r="DM32" s="66">
        <f t="shared" si="160"/>
        <v>0</v>
      </c>
      <c r="DN32" s="66">
        <f t="shared" si="161"/>
        <v>0</v>
      </c>
      <c r="DO32" s="66">
        <f t="shared" si="162"/>
        <v>0</v>
      </c>
      <c r="DP32" s="66">
        <f t="shared" si="163"/>
        <v>0</v>
      </c>
      <c r="DQ32" s="66">
        <f t="shared" si="164"/>
        <v>0</v>
      </c>
      <c r="DR32" s="66">
        <f t="shared" si="165"/>
        <v>0</v>
      </c>
      <c r="DS32" s="66">
        <f t="shared" si="166"/>
        <v>0</v>
      </c>
      <c r="DT32" s="66">
        <f t="shared" si="167"/>
        <v>0</v>
      </c>
      <c r="DU32" s="66">
        <f t="shared" si="168"/>
        <v>0</v>
      </c>
      <c r="DV32" s="66">
        <f t="shared" si="169"/>
        <v>0</v>
      </c>
      <c r="DW32" s="66">
        <f t="shared" si="170"/>
        <v>1585</v>
      </c>
      <c r="DX32" s="66">
        <f t="shared" si="171"/>
        <v>1638</v>
      </c>
      <c r="DY32" s="66">
        <f t="shared" si="172"/>
        <v>1089</v>
      </c>
      <c r="DZ32" s="66">
        <f t="shared" si="173"/>
        <v>756</v>
      </c>
      <c r="EA32" s="66">
        <f t="shared" si="174"/>
        <v>1262</v>
      </c>
      <c r="EB32" s="66">
        <f t="shared" si="175"/>
        <v>1514</v>
      </c>
      <c r="EC32" s="66">
        <f t="shared" si="176"/>
        <v>1514</v>
      </c>
      <c r="ED32" s="67">
        <f t="shared" si="177"/>
        <v>1514</v>
      </c>
      <c r="EE32" s="98"/>
      <c r="EF32" s="318"/>
      <c r="EG32" s="102">
        <f t="shared" si="178"/>
        <v>0</v>
      </c>
      <c r="EH32" s="102">
        <f t="shared" si="179"/>
        <v>0</v>
      </c>
      <c r="EI32" s="102">
        <f t="shared" si="180"/>
        <v>0</v>
      </c>
      <c r="EJ32" s="102">
        <f t="shared" si="181"/>
        <v>0</v>
      </c>
      <c r="EK32" s="102">
        <f t="shared" si="182"/>
        <v>0</v>
      </c>
      <c r="EL32" s="102">
        <f t="shared" si="183"/>
        <v>0</v>
      </c>
      <c r="EM32" s="102">
        <f t="shared" si="184"/>
        <v>0</v>
      </c>
      <c r="EN32" s="102">
        <f t="shared" si="185"/>
        <v>0</v>
      </c>
      <c r="EO32" s="102">
        <f t="shared" si="186"/>
        <v>0</v>
      </c>
      <c r="EP32" s="102">
        <f t="shared" si="187"/>
        <v>0</v>
      </c>
      <c r="EQ32" s="102">
        <f t="shared" si="188"/>
        <v>0</v>
      </c>
      <c r="ER32" s="102">
        <f t="shared" si="189"/>
        <v>0</v>
      </c>
      <c r="ES32" s="102">
        <f t="shared" si="190"/>
        <v>0</v>
      </c>
      <c r="ET32" s="102">
        <f t="shared" si="191"/>
        <v>0</v>
      </c>
      <c r="EU32" s="102">
        <f t="shared" si="192"/>
        <v>0</v>
      </c>
      <c r="EV32" s="102">
        <f t="shared" si="193"/>
        <v>0</v>
      </c>
      <c r="EW32" s="102">
        <f t="shared" si="194"/>
        <v>266</v>
      </c>
      <c r="EX32" s="102">
        <f t="shared" si="195"/>
        <v>1543</v>
      </c>
      <c r="EY32" s="102">
        <f t="shared" si="196"/>
        <v>1168</v>
      </c>
      <c r="EZ32" s="102">
        <f t="shared" si="197"/>
        <v>1051</v>
      </c>
      <c r="FA32" s="102">
        <f t="shared" si="198"/>
        <v>1155</v>
      </c>
      <c r="FB32" s="102">
        <f t="shared" si="211"/>
        <v>1401</v>
      </c>
      <c r="FC32" s="102">
        <f t="shared" si="199"/>
        <v>1514</v>
      </c>
      <c r="FD32" s="103">
        <f t="shared" si="200"/>
        <v>1514</v>
      </c>
      <c r="FE32" s="1159"/>
      <c r="FF32" s="1399"/>
      <c r="FG32" s="1399"/>
      <c r="FH32" s="1399"/>
      <c r="FI32"/>
      <c r="FJ32"/>
      <c r="FK32"/>
      <c r="FL32"/>
      <c r="FM32"/>
      <c r="FN32"/>
      <c r="FO32" s="10"/>
      <c r="FP32" s="769"/>
      <c r="FQ32" s="855"/>
    </row>
    <row r="33" spans="1:173" ht="14.25" customHeight="1">
      <c r="A33" s="7"/>
      <c r="B33" s="432" t="s">
        <v>294</v>
      </c>
      <c r="C33" s="104"/>
      <c r="D33" s="107"/>
      <c r="E33" s="105"/>
      <c r="F33" s="105"/>
      <c r="G33" s="106"/>
      <c r="H33" s="107"/>
      <c r="I33" s="105"/>
      <c r="J33" s="105"/>
      <c r="K33" s="106"/>
      <c r="L33" s="107">
        <f t="shared" ref="L33:AQ33" si="222">SUM(L27:L32)</f>
        <v>500.6</v>
      </c>
      <c r="M33" s="105">
        <f t="shared" si="222"/>
        <v>579.6</v>
      </c>
      <c r="N33" s="105">
        <f t="shared" si="222"/>
        <v>533.9</v>
      </c>
      <c r="O33" s="106">
        <f t="shared" si="222"/>
        <v>623.30000000000007</v>
      </c>
      <c r="P33" s="107">
        <f t="shared" si="222"/>
        <v>697.90000000000009</v>
      </c>
      <c r="Q33" s="105">
        <f t="shared" si="222"/>
        <v>629.29999999999995</v>
      </c>
      <c r="R33" s="105">
        <f t="shared" si="222"/>
        <v>650</v>
      </c>
      <c r="S33" s="106">
        <f t="shared" si="222"/>
        <v>632.90000000000009</v>
      </c>
      <c r="T33" s="107">
        <f t="shared" si="222"/>
        <v>747.2</v>
      </c>
      <c r="U33" s="105">
        <f t="shared" si="222"/>
        <v>638.80000000000007</v>
      </c>
      <c r="V33" s="105">
        <f t="shared" si="222"/>
        <v>692.09999999999991</v>
      </c>
      <c r="W33" s="106">
        <f t="shared" si="222"/>
        <v>810.3</v>
      </c>
      <c r="X33" s="107">
        <f t="shared" si="222"/>
        <v>996.2</v>
      </c>
      <c r="Y33" s="105">
        <f t="shared" si="222"/>
        <v>893.3</v>
      </c>
      <c r="Z33" s="105">
        <f t="shared" si="222"/>
        <v>1007.5</v>
      </c>
      <c r="AA33" s="106">
        <f t="shared" si="222"/>
        <v>1599.6000000000001</v>
      </c>
      <c r="AB33" s="107">
        <f t="shared" si="222"/>
        <v>1397.0000000000002</v>
      </c>
      <c r="AC33" s="105">
        <f t="shared" si="222"/>
        <v>839.1</v>
      </c>
      <c r="AD33" s="105">
        <f t="shared" si="222"/>
        <v>722.30000000000007</v>
      </c>
      <c r="AE33" s="106">
        <f t="shared" si="222"/>
        <v>600.79999999999995</v>
      </c>
      <c r="AF33" s="107">
        <f t="shared" si="222"/>
        <v>558</v>
      </c>
      <c r="AG33" s="105">
        <f t="shared" si="222"/>
        <v>488.00000000000006</v>
      </c>
      <c r="AH33" s="105">
        <f t="shared" si="222"/>
        <v>639.79999999999995</v>
      </c>
      <c r="AI33" s="106">
        <f t="shared" si="222"/>
        <v>659.6</v>
      </c>
      <c r="AJ33" s="107">
        <f t="shared" si="222"/>
        <v>797.69999999999993</v>
      </c>
      <c r="AK33" s="105">
        <f t="shared" si="222"/>
        <v>756.5</v>
      </c>
      <c r="AL33" s="105">
        <f t="shared" si="222"/>
        <v>801.59999999999991</v>
      </c>
      <c r="AM33" s="106">
        <f t="shared" si="222"/>
        <v>904.10000000000014</v>
      </c>
      <c r="AN33" s="107">
        <f t="shared" si="222"/>
        <v>912.49999999999989</v>
      </c>
      <c r="AO33" s="105">
        <f t="shared" si="222"/>
        <v>845.1</v>
      </c>
      <c r="AP33" s="105">
        <f t="shared" si="222"/>
        <v>867.2</v>
      </c>
      <c r="AQ33" s="106">
        <f t="shared" si="222"/>
        <v>901.50000000000011</v>
      </c>
      <c r="AR33" s="107">
        <f t="shared" ref="AR33:CB33" si="223">SUM(AR27:AR32)</f>
        <v>868.49999999999989</v>
      </c>
      <c r="AS33" s="105">
        <f t="shared" si="223"/>
        <v>809.59999999999991</v>
      </c>
      <c r="AT33" s="105">
        <f t="shared" si="223"/>
        <v>844.5</v>
      </c>
      <c r="AU33" s="106">
        <f t="shared" si="223"/>
        <v>831.59999999999991</v>
      </c>
      <c r="AV33" s="107">
        <f t="shared" si="223"/>
        <v>831.1</v>
      </c>
      <c r="AW33" s="105">
        <f t="shared" si="223"/>
        <v>1056.3</v>
      </c>
      <c r="AX33" s="105">
        <f t="shared" si="223"/>
        <v>1098.5999999999999</v>
      </c>
      <c r="AY33" s="106">
        <f t="shared" si="223"/>
        <v>1495.5</v>
      </c>
      <c r="AZ33" s="107">
        <f t="shared" si="223"/>
        <v>1766</v>
      </c>
      <c r="BA33" s="105">
        <f t="shared" si="223"/>
        <v>1594</v>
      </c>
      <c r="BB33" s="105">
        <f t="shared" si="223"/>
        <v>1446</v>
      </c>
      <c r="BC33" s="106">
        <f t="shared" si="223"/>
        <v>1603</v>
      </c>
      <c r="BD33" s="107">
        <f t="shared" si="223"/>
        <v>1571</v>
      </c>
      <c r="BE33" s="105">
        <f t="shared" si="223"/>
        <v>1476</v>
      </c>
      <c r="BF33" s="105">
        <f t="shared" si="223"/>
        <v>1522</v>
      </c>
      <c r="BG33" s="106">
        <f t="shared" si="223"/>
        <v>1323</v>
      </c>
      <c r="BH33" s="107">
        <f t="shared" si="223"/>
        <v>1100</v>
      </c>
      <c r="BI33" s="105">
        <f t="shared" si="223"/>
        <v>1284</v>
      </c>
      <c r="BJ33" s="105">
        <f t="shared" si="223"/>
        <v>1453</v>
      </c>
      <c r="BK33" s="106">
        <f t="shared" si="223"/>
        <v>1468</v>
      </c>
      <c r="BL33" s="107">
        <f t="shared" si="223"/>
        <v>1624</v>
      </c>
      <c r="BM33" s="105">
        <f t="shared" si="223"/>
        <v>1522</v>
      </c>
      <c r="BN33" s="105">
        <f t="shared" si="223"/>
        <v>1959</v>
      </c>
      <c r="BO33" s="106">
        <f t="shared" si="223"/>
        <v>1990</v>
      </c>
      <c r="BP33" s="105">
        <f t="shared" si="223"/>
        <v>2290</v>
      </c>
      <c r="BQ33" s="105">
        <f t="shared" si="223"/>
        <v>2170</v>
      </c>
      <c r="BR33" s="105">
        <f t="shared" si="223"/>
        <v>2404</v>
      </c>
      <c r="BS33" s="106">
        <f t="shared" si="223"/>
        <v>2340</v>
      </c>
      <c r="BT33" s="105">
        <f t="shared" si="223"/>
        <v>1875</v>
      </c>
      <c r="BU33" s="105">
        <f t="shared" si="223"/>
        <v>1952</v>
      </c>
      <c r="BV33" s="105">
        <f t="shared" si="223"/>
        <v>1915</v>
      </c>
      <c r="BW33" s="106">
        <f t="shared" si="223"/>
        <v>2019</v>
      </c>
      <c r="BX33" s="107">
        <f t="shared" si="223"/>
        <v>2138</v>
      </c>
      <c r="BY33" s="105">
        <f t="shared" si="223"/>
        <v>2117</v>
      </c>
      <c r="BZ33" s="105">
        <f t="shared" si="223"/>
        <v>2342</v>
      </c>
      <c r="CA33" s="106">
        <f t="shared" si="223"/>
        <v>4125</v>
      </c>
      <c r="CB33" s="107">
        <f t="shared" si="223"/>
        <v>4513</v>
      </c>
      <c r="CC33" s="105">
        <f t="shared" ref="CC33:CI33" si="224">SUM(CC27:CC32)</f>
        <v>5305</v>
      </c>
      <c r="CD33" s="105">
        <f t="shared" si="224"/>
        <v>4760</v>
      </c>
      <c r="CE33" s="106">
        <f t="shared" si="224"/>
        <v>4811</v>
      </c>
      <c r="CF33" s="107">
        <f t="shared" si="224"/>
        <v>4419</v>
      </c>
      <c r="CG33" s="105">
        <f t="shared" si="224"/>
        <v>4120</v>
      </c>
      <c r="CH33" s="105">
        <f t="shared" si="224"/>
        <v>4566</v>
      </c>
      <c r="CI33" s="106">
        <f t="shared" si="224"/>
        <v>3905</v>
      </c>
      <c r="CJ33" s="107">
        <f t="shared" ref="CJ33:CM33" si="225">SUM(CJ27:CJ32)</f>
        <v>4025</v>
      </c>
      <c r="CK33" s="105">
        <f t="shared" si="225"/>
        <v>4411</v>
      </c>
      <c r="CL33" s="105">
        <f t="shared" si="225"/>
        <v>4500</v>
      </c>
      <c r="CM33" s="106">
        <f t="shared" si="225"/>
        <v>4835</v>
      </c>
      <c r="CN33" s="107">
        <f t="shared" ref="CN33:CQ33" si="226">SUM(CN27:CN32)</f>
        <v>5546</v>
      </c>
      <c r="CO33" s="1235">
        <f t="shared" si="226"/>
        <v>5207</v>
      </c>
      <c r="CP33" s="105">
        <f t="shared" si="226"/>
        <v>5143</v>
      </c>
      <c r="CQ33" s="106">
        <f t="shared" si="226"/>
        <v>5334</v>
      </c>
      <c r="CR33" s="107">
        <f t="shared" ref="CR33:CS33" si="227">SUM(CR27:CR32)</f>
        <v>5583</v>
      </c>
      <c r="CS33" s="1235">
        <f t="shared" si="227"/>
        <v>6135</v>
      </c>
      <c r="CT33" s="105">
        <f t="shared" ref="CT33:CU33" si="228">SUM(CT27:CT32)</f>
        <v>5797.330626638196</v>
      </c>
      <c r="CU33" s="106">
        <f t="shared" si="228"/>
        <v>6047.1924341480126</v>
      </c>
      <c r="CV33" s="105">
        <f t="shared" ref="CV33:CY33" si="229">SUM(CV27:CV32)</f>
        <v>6188.9561638937148</v>
      </c>
      <c r="CW33" s="105">
        <f t="shared" si="229"/>
        <v>6001.3015529264485</v>
      </c>
      <c r="CX33" s="105">
        <f t="shared" si="229"/>
        <v>6452.6762109734618</v>
      </c>
      <c r="CY33" s="106">
        <f t="shared" si="229"/>
        <v>6782.0480823262478</v>
      </c>
      <c r="CZ33" s="105">
        <f t="shared" ref="CZ33:DC33" si="230">SUM(CZ27:CZ32)</f>
        <v>6905.0255550092743</v>
      </c>
      <c r="DA33" s="105">
        <f t="shared" si="230"/>
        <v>7064.3899632751718</v>
      </c>
      <c r="DB33" s="105">
        <f t="shared" si="230"/>
        <v>7176.2535954660343</v>
      </c>
      <c r="DC33" s="106">
        <f t="shared" si="230"/>
        <v>7317.7398256448278</v>
      </c>
      <c r="DD33" s="894"/>
      <c r="DE33" s="108"/>
      <c r="DF33" s="108"/>
      <c r="DG33" s="108">
        <f t="shared" ref="DG33:EB33" si="231">SUM(DG27:DG32)</f>
        <v>623.30000000000007</v>
      </c>
      <c r="DH33" s="108">
        <f t="shared" si="231"/>
        <v>632.90000000000009</v>
      </c>
      <c r="DI33" s="108">
        <f t="shared" si="231"/>
        <v>810.3</v>
      </c>
      <c r="DJ33" s="108">
        <f t="shared" si="231"/>
        <v>1599.6000000000001</v>
      </c>
      <c r="DK33" s="108">
        <f t="shared" si="231"/>
        <v>600.79999999999995</v>
      </c>
      <c r="DL33" s="108">
        <f t="shared" si="231"/>
        <v>659.6</v>
      </c>
      <c r="DM33" s="108">
        <f t="shared" si="231"/>
        <v>904.10000000000014</v>
      </c>
      <c r="DN33" s="108">
        <f t="shared" si="231"/>
        <v>901.50000000000011</v>
      </c>
      <c r="DO33" s="108">
        <f t="shared" si="231"/>
        <v>831.59999999999991</v>
      </c>
      <c r="DP33" s="108">
        <f t="shared" si="231"/>
        <v>1495.5</v>
      </c>
      <c r="DQ33" s="108">
        <f t="shared" si="231"/>
        <v>1603</v>
      </c>
      <c r="DR33" s="108">
        <f t="shared" si="231"/>
        <v>1323</v>
      </c>
      <c r="DS33" s="108">
        <f t="shared" si="231"/>
        <v>1468</v>
      </c>
      <c r="DT33" s="108">
        <f t="shared" si="231"/>
        <v>1990</v>
      </c>
      <c r="DU33" s="108">
        <f t="shared" si="231"/>
        <v>2340</v>
      </c>
      <c r="DV33" s="108">
        <f t="shared" si="231"/>
        <v>2019</v>
      </c>
      <c r="DW33" s="108">
        <f t="shared" si="231"/>
        <v>4125</v>
      </c>
      <c r="DX33" s="108">
        <f t="shared" si="231"/>
        <v>4811</v>
      </c>
      <c r="DY33" s="108">
        <f t="shared" si="231"/>
        <v>3905</v>
      </c>
      <c r="DZ33" s="108">
        <f t="shared" si="231"/>
        <v>4835</v>
      </c>
      <c r="EA33" s="105">
        <f t="shared" si="231"/>
        <v>5334</v>
      </c>
      <c r="EB33" s="105">
        <f t="shared" si="231"/>
        <v>6047.1924341480126</v>
      </c>
      <c r="EC33" s="105">
        <f t="shared" ref="EC33:ED33" si="232">SUM(EC27:EC32)</f>
        <v>6782.0480823262478</v>
      </c>
      <c r="ED33" s="106">
        <f t="shared" si="232"/>
        <v>7317.7398256448278</v>
      </c>
      <c r="EE33" s="98"/>
      <c r="EF33" s="117"/>
      <c r="EG33" s="108">
        <f t="shared" ref="EG33:FB33" si="233">SUM(EG27:EG32)</f>
        <v>500.6</v>
      </c>
      <c r="EH33" s="108">
        <f t="shared" si="233"/>
        <v>697.90000000000009</v>
      </c>
      <c r="EI33" s="108">
        <f t="shared" si="233"/>
        <v>747.2</v>
      </c>
      <c r="EJ33" s="108">
        <f t="shared" si="233"/>
        <v>996.2</v>
      </c>
      <c r="EK33" s="108">
        <f t="shared" si="233"/>
        <v>1397.0000000000002</v>
      </c>
      <c r="EL33" s="108">
        <f t="shared" si="233"/>
        <v>558</v>
      </c>
      <c r="EM33" s="108">
        <f t="shared" si="233"/>
        <v>797.69999999999993</v>
      </c>
      <c r="EN33" s="108">
        <f t="shared" si="233"/>
        <v>912.49999999999989</v>
      </c>
      <c r="EO33" s="108">
        <f t="shared" si="233"/>
        <v>868.49999999999989</v>
      </c>
      <c r="EP33" s="108">
        <f t="shared" si="233"/>
        <v>831.1</v>
      </c>
      <c r="EQ33" s="108">
        <f t="shared" si="233"/>
        <v>1766</v>
      </c>
      <c r="ER33" s="108">
        <f t="shared" si="233"/>
        <v>1571</v>
      </c>
      <c r="ES33" s="108">
        <f t="shared" si="233"/>
        <v>1100</v>
      </c>
      <c r="ET33" s="108">
        <f t="shared" si="233"/>
        <v>1624</v>
      </c>
      <c r="EU33" s="108">
        <f t="shared" si="233"/>
        <v>2290</v>
      </c>
      <c r="EV33" s="108">
        <f t="shared" si="233"/>
        <v>1875</v>
      </c>
      <c r="EW33" s="108">
        <f t="shared" si="233"/>
        <v>2138</v>
      </c>
      <c r="EX33" s="108">
        <f t="shared" si="233"/>
        <v>4513</v>
      </c>
      <c r="EY33" s="108">
        <f t="shared" si="233"/>
        <v>4419</v>
      </c>
      <c r="EZ33" s="108">
        <f t="shared" si="233"/>
        <v>4025</v>
      </c>
      <c r="FA33" s="108">
        <f t="shared" si="233"/>
        <v>5546</v>
      </c>
      <c r="FB33" s="108">
        <f t="shared" si="233"/>
        <v>5583</v>
      </c>
      <c r="FC33" s="108">
        <f t="shared" si="199"/>
        <v>6188.9561638937148</v>
      </c>
      <c r="FD33" s="108">
        <f>CZ33</f>
        <v>6905.0255550092743</v>
      </c>
      <c r="FE33" s="862"/>
      <c r="FF33" s="1398"/>
      <c r="FG33" s="1398"/>
      <c r="FH33" s="1398"/>
      <c r="FO33" s="7"/>
      <c r="FP33" s="769"/>
      <c r="FQ33" s="855"/>
    </row>
    <row r="34" spans="1:173" ht="14.25" customHeight="1">
      <c r="A34" s="7"/>
      <c r="B34" s="432"/>
      <c r="C34" s="104"/>
      <c r="D34" s="117"/>
      <c r="E34" s="108"/>
      <c r="F34" s="108"/>
      <c r="G34" s="109"/>
      <c r="H34" s="117"/>
      <c r="I34" s="108"/>
      <c r="J34" s="108"/>
      <c r="K34" s="109"/>
      <c r="L34" s="117"/>
      <c r="M34" s="108"/>
      <c r="N34" s="108"/>
      <c r="O34" s="109"/>
      <c r="P34" s="117"/>
      <c r="Q34" s="108"/>
      <c r="R34" s="108"/>
      <c r="S34" s="109"/>
      <c r="T34" s="117"/>
      <c r="U34" s="108"/>
      <c r="V34" s="108"/>
      <c r="W34" s="109"/>
      <c r="X34" s="117"/>
      <c r="Y34" s="108"/>
      <c r="Z34" s="108"/>
      <c r="AA34" s="109"/>
      <c r="AB34" s="117"/>
      <c r="AC34" s="108"/>
      <c r="AD34" s="108"/>
      <c r="AE34" s="109"/>
      <c r="AF34" s="117"/>
      <c r="AG34" s="108"/>
      <c r="AH34" s="108"/>
      <c r="AI34" s="109"/>
      <c r="AJ34" s="117"/>
      <c r="AK34" s="108"/>
      <c r="AL34" s="108"/>
      <c r="AM34" s="109"/>
      <c r="AN34" s="117"/>
      <c r="AO34" s="108"/>
      <c r="AP34" s="108"/>
      <c r="AQ34" s="109"/>
      <c r="AR34" s="117"/>
      <c r="AS34" s="108"/>
      <c r="AT34" s="108"/>
      <c r="AU34" s="109"/>
      <c r="AV34" s="117"/>
      <c r="AW34" s="108"/>
      <c r="AX34" s="108"/>
      <c r="AY34" s="109"/>
      <c r="AZ34" s="117"/>
      <c r="BA34" s="108"/>
      <c r="BB34" s="108"/>
      <c r="BC34" s="109"/>
      <c r="BD34" s="117"/>
      <c r="BE34" s="108"/>
      <c r="BF34" s="108"/>
      <c r="BG34" s="109"/>
      <c r="BH34" s="117"/>
      <c r="BI34" s="108"/>
      <c r="BJ34" s="108"/>
      <c r="BK34" s="109"/>
      <c r="BL34" s="117"/>
      <c r="BM34" s="108"/>
      <c r="BN34" s="108"/>
      <c r="BO34" s="109"/>
      <c r="BP34" s="108"/>
      <c r="BQ34" s="108"/>
      <c r="BR34" s="108"/>
      <c r="BS34" s="109"/>
      <c r="BT34" s="108"/>
      <c r="BU34" s="108"/>
      <c r="BV34" s="108"/>
      <c r="BW34" s="109"/>
      <c r="BX34" s="117"/>
      <c r="BY34" s="108"/>
      <c r="BZ34" s="108"/>
      <c r="CA34" s="109"/>
      <c r="CB34" s="117"/>
      <c r="CC34" s="108"/>
      <c r="CD34" s="108"/>
      <c r="CE34" s="109"/>
      <c r="CF34" s="117"/>
      <c r="CG34" s="108"/>
      <c r="CH34" s="108"/>
      <c r="CI34" s="109"/>
      <c r="CJ34" s="117"/>
      <c r="CK34" s="108"/>
      <c r="CL34" s="108"/>
      <c r="CM34" s="109"/>
      <c r="CN34" s="117"/>
      <c r="CO34" s="1236"/>
      <c r="CP34" s="108"/>
      <c r="CQ34" s="109"/>
      <c r="CR34" s="117"/>
      <c r="CS34" s="1236"/>
      <c r="CT34" s="108"/>
      <c r="CU34" s="109"/>
      <c r="CV34" s="108"/>
      <c r="CW34" s="108"/>
      <c r="CX34" s="108"/>
      <c r="CY34" s="109"/>
      <c r="CZ34" s="108"/>
      <c r="DA34" s="108"/>
      <c r="DB34" s="108"/>
      <c r="DC34" s="109"/>
      <c r="DD34" s="894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9"/>
      <c r="EE34" s="98"/>
      <c r="EF34" s="117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9"/>
      <c r="FE34" s="862"/>
      <c r="FF34" s="1398"/>
      <c r="FG34" s="1398"/>
      <c r="FH34" s="1398"/>
      <c r="FO34" s="7"/>
      <c r="FP34" s="769"/>
      <c r="FQ34" s="855"/>
    </row>
    <row r="35" spans="1:173" ht="14.25" customHeight="1">
      <c r="A35" s="7"/>
      <c r="B35" s="430" t="s">
        <v>223</v>
      </c>
      <c r="C35" s="25"/>
      <c r="D35" s="68"/>
      <c r="E35" s="69"/>
      <c r="F35" s="69"/>
      <c r="G35" s="70"/>
      <c r="H35" s="68"/>
      <c r="I35" s="69"/>
      <c r="J35" s="69"/>
      <c r="K35" s="70"/>
      <c r="L35" s="68">
        <v>409.4</v>
      </c>
      <c r="M35" s="69">
        <v>405</v>
      </c>
      <c r="N35" s="69">
        <v>394.6</v>
      </c>
      <c r="O35" s="70">
        <v>888.9</v>
      </c>
      <c r="P35" s="68">
        <v>850.2</v>
      </c>
      <c r="Q35" s="69">
        <v>849.3</v>
      </c>
      <c r="R35" s="69">
        <v>819.8</v>
      </c>
      <c r="S35" s="70">
        <v>864.7</v>
      </c>
      <c r="T35" s="68">
        <v>1712.1</v>
      </c>
      <c r="U35" s="69">
        <v>1677.3</v>
      </c>
      <c r="V35" s="69">
        <v>1658.8</v>
      </c>
      <c r="W35" s="70">
        <v>1639.2</v>
      </c>
      <c r="X35" s="68">
        <v>1610.3</v>
      </c>
      <c r="Y35" s="69">
        <v>1538.7</v>
      </c>
      <c r="Z35" s="69">
        <v>986.1</v>
      </c>
      <c r="AA35" s="70">
        <v>981.6</v>
      </c>
      <c r="AB35" s="68">
        <v>292.7</v>
      </c>
      <c r="AC35" s="69">
        <v>272.60000000000002</v>
      </c>
      <c r="AD35" s="69">
        <v>546.29999999999995</v>
      </c>
      <c r="AE35" s="70">
        <v>531.20000000000005</v>
      </c>
      <c r="AF35" s="68">
        <v>490.1</v>
      </c>
      <c r="AG35" s="69">
        <v>461.4</v>
      </c>
      <c r="AH35" s="69">
        <v>451.8</v>
      </c>
      <c r="AI35" s="70">
        <v>453.9</v>
      </c>
      <c r="AJ35" s="68">
        <v>436</v>
      </c>
      <c r="AK35" s="69">
        <v>1139.5999999999999</v>
      </c>
      <c r="AL35" s="69">
        <v>1096.5</v>
      </c>
      <c r="AM35" s="70">
        <v>1086</v>
      </c>
      <c r="AN35" s="68">
        <v>1069.8</v>
      </c>
      <c r="AO35" s="69">
        <v>1132</v>
      </c>
      <c r="AP35" s="69">
        <v>1108.2</v>
      </c>
      <c r="AQ35" s="70">
        <v>1098.5</v>
      </c>
      <c r="AR35" s="68">
        <v>1083.9000000000001</v>
      </c>
      <c r="AS35" s="69">
        <v>1192.7</v>
      </c>
      <c r="AT35" s="69">
        <v>1294.4000000000001</v>
      </c>
      <c r="AU35" s="70">
        <v>1167.2</v>
      </c>
      <c r="AV35" s="68">
        <v>1107.0999999999999</v>
      </c>
      <c r="AW35" s="69">
        <v>460.6</v>
      </c>
      <c r="AX35" s="69">
        <v>519.20000000000005</v>
      </c>
      <c r="AY35" s="70">
        <v>571</v>
      </c>
      <c r="AZ35" s="68">
        <v>568</v>
      </c>
      <c r="BA35" s="69">
        <v>822</v>
      </c>
      <c r="BB35" s="69">
        <v>2324</v>
      </c>
      <c r="BC35" s="70">
        <v>2410</v>
      </c>
      <c r="BD35" s="68">
        <v>2217</v>
      </c>
      <c r="BE35" s="69">
        <v>2406</v>
      </c>
      <c r="BF35" s="69">
        <v>2421</v>
      </c>
      <c r="BG35" s="70">
        <v>2726</v>
      </c>
      <c r="BH35" s="68">
        <v>2866</v>
      </c>
      <c r="BI35" s="69">
        <v>2895</v>
      </c>
      <c r="BJ35" s="69">
        <v>3124</v>
      </c>
      <c r="BK35" s="70">
        <v>2803</v>
      </c>
      <c r="BL35" s="68">
        <v>2761</v>
      </c>
      <c r="BM35" s="69">
        <v>2719</v>
      </c>
      <c r="BN35" s="69">
        <v>2369</v>
      </c>
      <c r="BO35" s="70">
        <v>2360</v>
      </c>
      <c r="BP35" s="69">
        <v>1816</v>
      </c>
      <c r="BQ35" s="69">
        <v>1740</v>
      </c>
      <c r="BR35" s="69">
        <v>1572</v>
      </c>
      <c r="BS35" s="70">
        <v>2001</v>
      </c>
      <c r="BT35" s="69">
        <v>2119</v>
      </c>
      <c r="BU35" s="69">
        <v>2315</v>
      </c>
      <c r="BV35" s="69">
        <v>3198</v>
      </c>
      <c r="BW35" s="70">
        <v>3262</v>
      </c>
      <c r="BX35" s="68">
        <v>3169</v>
      </c>
      <c r="BY35" s="69">
        <v>3301</v>
      </c>
      <c r="BZ35" s="69">
        <v>3267</v>
      </c>
      <c r="CA35" s="70">
        <v>4452</v>
      </c>
      <c r="CB35" s="68">
        <v>4260</v>
      </c>
      <c r="CC35" s="69">
        <v>4317</v>
      </c>
      <c r="CD35" s="69">
        <v>4137</v>
      </c>
      <c r="CE35" s="70">
        <v>4955</v>
      </c>
      <c r="CF35" s="68">
        <v>4608</v>
      </c>
      <c r="CG35" s="69">
        <v>5519</v>
      </c>
      <c r="CH35" s="69">
        <v>6403</v>
      </c>
      <c r="CI35" s="70">
        <f>6252+49</f>
        <v>6301</v>
      </c>
      <c r="CJ35" s="68">
        <v>6326</v>
      </c>
      <c r="CK35" s="69">
        <v>6494</v>
      </c>
      <c r="CL35" s="69">
        <v>8919</v>
      </c>
      <c r="CM35" s="70">
        <v>9154</v>
      </c>
      <c r="CN35" s="68">
        <v>8490</v>
      </c>
      <c r="CO35" s="69">
        <v>11308</v>
      </c>
      <c r="CP35" s="69">
        <v>10485</v>
      </c>
      <c r="CQ35" s="70">
        <v>9872</v>
      </c>
      <c r="CR35" s="68">
        <v>7644</v>
      </c>
      <c r="CS35" s="69">
        <v>7802</v>
      </c>
      <c r="CT35" s="66">
        <f t="shared" ref="CT35:CU35" si="234">+CT148</f>
        <v>9721.6554681286761</v>
      </c>
      <c r="CU35" s="67">
        <f t="shared" si="234"/>
        <v>9735.9888252445908</v>
      </c>
      <c r="CV35" s="66">
        <f t="shared" ref="CV35:CY35" si="235">+CV148</f>
        <v>9750.5546939816122</v>
      </c>
      <c r="CW35" s="66">
        <f t="shared" si="235"/>
        <v>9765.3568630508817</v>
      </c>
      <c r="CX35" s="66">
        <f t="shared" si="235"/>
        <v>9780.3991831751337</v>
      </c>
      <c r="CY35" s="67">
        <f t="shared" si="235"/>
        <v>9795.6855681081324</v>
      </c>
      <c r="CZ35" s="66">
        <f t="shared" ref="CZ35:DC35" si="236">+CZ148</f>
        <v>9811.2199956709301</v>
      </c>
      <c r="DA35" s="66">
        <f t="shared" si="236"/>
        <v>9827.0065088052506</v>
      </c>
      <c r="DB35" s="66">
        <f t="shared" si="236"/>
        <v>9843.0492166442382</v>
      </c>
      <c r="DC35" s="67">
        <f t="shared" si="236"/>
        <v>9859.3522956009238</v>
      </c>
      <c r="DD35" s="894"/>
      <c r="DE35" s="66"/>
      <c r="DF35" s="66"/>
      <c r="DG35" s="66">
        <f>O35</f>
        <v>888.9</v>
      </c>
      <c r="DH35" s="66">
        <f>S35</f>
        <v>864.7</v>
      </c>
      <c r="DI35" s="66">
        <f>W35</f>
        <v>1639.2</v>
      </c>
      <c r="DJ35" s="66">
        <f>AA35</f>
        <v>981.6</v>
      </c>
      <c r="DK35" s="66">
        <f>AE35</f>
        <v>531.20000000000005</v>
      </c>
      <c r="DL35" s="66">
        <f>AI35</f>
        <v>453.9</v>
      </c>
      <c r="DM35" s="66">
        <f>AM35</f>
        <v>1086</v>
      </c>
      <c r="DN35" s="66">
        <f>AQ35</f>
        <v>1098.5</v>
      </c>
      <c r="DO35" s="66">
        <f>AU35</f>
        <v>1167.2</v>
      </c>
      <c r="DP35" s="66">
        <f>AY35</f>
        <v>571</v>
      </c>
      <c r="DQ35" s="66">
        <f>BC35</f>
        <v>2410</v>
      </c>
      <c r="DR35" s="66">
        <f>BG35</f>
        <v>2726</v>
      </c>
      <c r="DS35" s="66">
        <f>BK35</f>
        <v>2803</v>
      </c>
      <c r="DT35" s="66">
        <f>BO35</f>
        <v>2360</v>
      </c>
      <c r="DU35" s="66">
        <f>BS35</f>
        <v>2001</v>
      </c>
      <c r="DV35" s="66">
        <f>BW35</f>
        <v>3262</v>
      </c>
      <c r="DW35" s="66">
        <f>CA35</f>
        <v>4452</v>
      </c>
      <c r="DX35" s="66">
        <f>CE35</f>
        <v>4955</v>
      </c>
      <c r="DY35" s="66">
        <f>CI35</f>
        <v>6301</v>
      </c>
      <c r="DZ35" s="66">
        <f>CM35</f>
        <v>9154</v>
      </c>
      <c r="EA35" s="66">
        <f t="shared" ref="EA35:EA39" si="237">CQ35</f>
        <v>9872</v>
      </c>
      <c r="EB35" s="66">
        <f t="shared" ref="EB35:EB39" si="238">CU35</f>
        <v>9735.9888252445908</v>
      </c>
      <c r="EC35" s="66">
        <f t="shared" ref="EC35:EC39" si="239">CY35</f>
        <v>9795.6855681081324</v>
      </c>
      <c r="ED35" s="67">
        <f t="shared" ref="ED35:ED39" si="240">DC35</f>
        <v>9859.3522956009238</v>
      </c>
      <c r="EE35" s="98"/>
      <c r="EF35" s="65"/>
      <c r="EG35" s="66">
        <f>L35</f>
        <v>409.4</v>
      </c>
      <c r="EH35" s="66">
        <f>P35</f>
        <v>850.2</v>
      </c>
      <c r="EI35" s="66">
        <f>T35</f>
        <v>1712.1</v>
      </c>
      <c r="EJ35" s="66">
        <f>X35</f>
        <v>1610.3</v>
      </c>
      <c r="EK35" s="66">
        <f>AB35</f>
        <v>292.7</v>
      </c>
      <c r="EL35" s="66">
        <f>AF35</f>
        <v>490.1</v>
      </c>
      <c r="EM35" s="66">
        <f>AJ35</f>
        <v>436</v>
      </c>
      <c r="EN35" s="66">
        <f>AN35</f>
        <v>1069.8</v>
      </c>
      <c r="EO35" s="66">
        <f>AR35</f>
        <v>1083.9000000000001</v>
      </c>
      <c r="EP35" s="66">
        <f>AV35</f>
        <v>1107.0999999999999</v>
      </c>
      <c r="EQ35" s="66">
        <f>AZ35</f>
        <v>568</v>
      </c>
      <c r="ER35" s="66">
        <f>BD35</f>
        <v>2217</v>
      </c>
      <c r="ES35" s="66">
        <f>BH35</f>
        <v>2866</v>
      </c>
      <c r="ET35" s="66">
        <f>BL35</f>
        <v>2761</v>
      </c>
      <c r="EU35" s="66">
        <f>BP35</f>
        <v>1816</v>
      </c>
      <c r="EV35" s="66">
        <f>BT35</f>
        <v>2119</v>
      </c>
      <c r="EW35" s="66">
        <f>BX35</f>
        <v>3169</v>
      </c>
      <c r="EX35" s="66">
        <f>CB35</f>
        <v>4260</v>
      </c>
      <c r="EY35" s="66">
        <f>CF35</f>
        <v>4608</v>
      </c>
      <c r="EZ35" s="66">
        <f t="shared" ref="EZ35:EZ39" si="241">CJ35</f>
        <v>6326</v>
      </c>
      <c r="FA35" s="66">
        <f t="shared" ref="FA35:FA39" si="242">CN35</f>
        <v>8490</v>
      </c>
      <c r="FB35" s="66">
        <f t="shared" ref="FB35:FB39" si="243">CR35</f>
        <v>7644</v>
      </c>
      <c r="FC35" s="66">
        <f t="shared" ref="FC35:FC39" si="244">CV35</f>
        <v>9750.5546939816122</v>
      </c>
      <c r="FD35" s="67">
        <f t="shared" ref="FD35:FD39" si="245">CZ35</f>
        <v>9811.2199956709301</v>
      </c>
      <c r="FE35" s="862"/>
      <c r="FF35" s="1398"/>
      <c r="FG35" s="1398"/>
      <c r="FH35" s="1398"/>
      <c r="FO35" s="7"/>
      <c r="FP35" s="769"/>
      <c r="FQ35" s="855"/>
    </row>
    <row r="36" spans="1:173" ht="14.25" customHeight="1">
      <c r="A36" s="7"/>
      <c r="B36" s="430" t="s">
        <v>370</v>
      </c>
      <c r="C36" s="25"/>
      <c r="D36" s="68"/>
      <c r="E36" s="69"/>
      <c r="F36" s="69"/>
      <c r="G36" s="70"/>
      <c r="H36" s="68"/>
      <c r="I36" s="69"/>
      <c r="J36" s="69"/>
      <c r="K36" s="70"/>
      <c r="L36" s="68">
        <v>163.4</v>
      </c>
      <c r="M36" s="69">
        <v>204.1</v>
      </c>
      <c r="N36" s="69">
        <v>224.6</v>
      </c>
      <c r="O36" s="70">
        <v>239.8</v>
      </c>
      <c r="P36" s="68">
        <v>254.7</v>
      </c>
      <c r="Q36" s="69">
        <v>284.10000000000002</v>
      </c>
      <c r="R36" s="69">
        <v>283.2</v>
      </c>
      <c r="S36" s="70">
        <v>284.2</v>
      </c>
      <c r="T36" s="68">
        <v>264.5</v>
      </c>
      <c r="U36" s="69">
        <v>263.89999999999998</v>
      </c>
      <c r="V36" s="69">
        <v>264.3</v>
      </c>
      <c r="W36" s="70">
        <v>309.10000000000002</v>
      </c>
      <c r="X36" s="68">
        <v>323.89999999999998</v>
      </c>
      <c r="Y36" s="69">
        <v>310.89999999999998</v>
      </c>
      <c r="Z36" s="69">
        <v>345</v>
      </c>
      <c r="AA36" s="70">
        <v>333.5</v>
      </c>
      <c r="AB36" s="68">
        <v>326.60000000000002</v>
      </c>
      <c r="AC36" s="69">
        <v>306.10000000000002</v>
      </c>
      <c r="AD36" s="69">
        <v>166</v>
      </c>
      <c r="AE36" s="70">
        <v>19</v>
      </c>
      <c r="AF36" s="68">
        <v>0</v>
      </c>
      <c r="AG36" s="69">
        <v>275.60000000000002</v>
      </c>
      <c r="AH36" s="69">
        <v>0</v>
      </c>
      <c r="AI36" s="70">
        <v>0</v>
      </c>
      <c r="AJ36" s="68">
        <v>0</v>
      </c>
      <c r="AK36" s="69">
        <v>0</v>
      </c>
      <c r="AL36" s="69">
        <v>0</v>
      </c>
      <c r="AM36" s="70">
        <v>41.3</v>
      </c>
      <c r="AN36" s="68">
        <v>43.9</v>
      </c>
      <c r="AO36" s="69">
        <v>42.7</v>
      </c>
      <c r="AP36" s="69">
        <v>42.8</v>
      </c>
      <c r="AQ36" s="70">
        <v>42</v>
      </c>
      <c r="AR36" s="68">
        <v>46.8</v>
      </c>
      <c r="AS36" s="69">
        <v>40.299999999999997</v>
      </c>
      <c r="AT36" s="69">
        <v>34.700000000000003</v>
      </c>
      <c r="AU36" s="70">
        <v>35.200000000000003</v>
      </c>
      <c r="AV36" s="68">
        <v>31</v>
      </c>
      <c r="AW36" s="69">
        <v>31</v>
      </c>
      <c r="AX36" s="69">
        <v>36.9</v>
      </c>
      <c r="AY36" s="70">
        <v>28</v>
      </c>
      <c r="AZ36" s="68">
        <v>27</v>
      </c>
      <c r="BA36" s="69">
        <v>26</v>
      </c>
      <c r="BB36" s="69">
        <v>25</v>
      </c>
      <c r="BC36" s="70">
        <v>25</v>
      </c>
      <c r="BD36" s="68">
        <v>11</v>
      </c>
      <c r="BE36" s="69">
        <v>12</v>
      </c>
      <c r="BF36" s="69">
        <v>11</v>
      </c>
      <c r="BG36" s="70">
        <v>9</v>
      </c>
      <c r="BH36" s="68">
        <v>192</v>
      </c>
      <c r="BI36" s="69">
        <v>0</v>
      </c>
      <c r="BJ36" s="69">
        <v>0</v>
      </c>
      <c r="BK36" s="70">
        <v>0</v>
      </c>
      <c r="BL36" s="68">
        <v>0</v>
      </c>
      <c r="BM36" s="69">
        <v>0</v>
      </c>
      <c r="BN36" s="69">
        <v>0</v>
      </c>
      <c r="BO36" s="70">
        <v>0</v>
      </c>
      <c r="BP36" s="69">
        <v>0</v>
      </c>
      <c r="BQ36" s="69">
        <v>0</v>
      </c>
      <c r="BR36" s="69">
        <v>0</v>
      </c>
      <c r="BS36" s="70">
        <v>0</v>
      </c>
      <c r="BT36" s="69">
        <v>0</v>
      </c>
      <c r="BU36" s="69">
        <v>0</v>
      </c>
      <c r="BV36" s="69">
        <v>0</v>
      </c>
      <c r="BW36" s="70">
        <v>0</v>
      </c>
      <c r="BX36" s="68">
        <v>0</v>
      </c>
      <c r="BY36" s="69">
        <v>0</v>
      </c>
      <c r="BZ36" s="69">
        <v>0</v>
      </c>
      <c r="CA36" s="70">
        <v>0</v>
      </c>
      <c r="CB36" s="68">
        <v>0</v>
      </c>
      <c r="CC36" s="69">
        <f>CB36</f>
        <v>0</v>
      </c>
      <c r="CD36" s="69">
        <v>0</v>
      </c>
      <c r="CE36" s="70">
        <v>0</v>
      </c>
      <c r="CF36" s="68">
        <v>0</v>
      </c>
      <c r="CG36" s="69">
        <v>0</v>
      </c>
      <c r="CH36" s="69">
        <v>0</v>
      </c>
      <c r="CI36" s="70">
        <v>0</v>
      </c>
      <c r="CJ36" s="68">
        <v>0</v>
      </c>
      <c r="CK36" s="69">
        <v>0</v>
      </c>
      <c r="CL36" s="69">
        <v>0</v>
      </c>
      <c r="CM36" s="70">
        <v>0</v>
      </c>
      <c r="CN36" s="68">
        <v>0</v>
      </c>
      <c r="CO36" s="1230">
        <v>0</v>
      </c>
      <c r="CP36" s="69">
        <v>0</v>
      </c>
      <c r="CQ36" s="70">
        <v>0</v>
      </c>
      <c r="CR36" s="68">
        <v>0</v>
      </c>
      <c r="CS36" s="1230">
        <v>0</v>
      </c>
      <c r="CT36" s="66">
        <f t="shared" ref="CT36:CT39" si="246">CS36</f>
        <v>0</v>
      </c>
      <c r="CU36" s="67">
        <f t="shared" ref="CU36:CU39" si="247">CT36</f>
        <v>0</v>
      </c>
      <c r="CV36" s="66">
        <f t="shared" ref="CV36:CV39" si="248">CU36</f>
        <v>0</v>
      </c>
      <c r="CW36" s="66">
        <f t="shared" ref="CW36:CW39" si="249">CV36</f>
        <v>0</v>
      </c>
      <c r="CX36" s="66">
        <f t="shared" ref="CX36:CX39" si="250">CW36</f>
        <v>0</v>
      </c>
      <c r="CY36" s="67">
        <f t="shared" ref="CY36:CY39" si="251">CX36</f>
        <v>0</v>
      </c>
      <c r="CZ36" s="66">
        <f t="shared" ref="CZ36:CZ39" si="252">CY36</f>
        <v>0</v>
      </c>
      <c r="DA36" s="66">
        <f t="shared" ref="DA36:DA39" si="253">CZ36</f>
        <v>0</v>
      </c>
      <c r="DB36" s="66">
        <f t="shared" ref="DB36:DB39" si="254">DA36</f>
        <v>0</v>
      </c>
      <c r="DC36" s="67">
        <f t="shared" ref="DC36:DC39" si="255">DB36</f>
        <v>0</v>
      </c>
      <c r="DD36" s="894"/>
      <c r="DE36" s="66"/>
      <c r="DF36" s="66"/>
      <c r="DG36" s="66">
        <f>O36</f>
        <v>239.8</v>
      </c>
      <c r="DH36" s="66">
        <f>S36</f>
        <v>284.2</v>
      </c>
      <c r="DI36" s="66">
        <f>W36</f>
        <v>309.10000000000002</v>
      </c>
      <c r="DJ36" s="66">
        <f>AA36</f>
        <v>333.5</v>
      </c>
      <c r="DK36" s="66">
        <f>AE36</f>
        <v>19</v>
      </c>
      <c r="DL36" s="66">
        <f>AI36</f>
        <v>0</v>
      </c>
      <c r="DM36" s="66">
        <f>AM36</f>
        <v>41.3</v>
      </c>
      <c r="DN36" s="66">
        <f>AQ36</f>
        <v>42</v>
      </c>
      <c r="DO36" s="66">
        <f>AU36</f>
        <v>35.200000000000003</v>
      </c>
      <c r="DP36" s="66">
        <f>AY36</f>
        <v>28</v>
      </c>
      <c r="DQ36" s="66">
        <f>BC36</f>
        <v>25</v>
      </c>
      <c r="DR36" s="66">
        <f>BG36</f>
        <v>9</v>
      </c>
      <c r="DS36" s="66">
        <f>BK36</f>
        <v>0</v>
      </c>
      <c r="DT36" s="66">
        <f>BO36</f>
        <v>0</v>
      </c>
      <c r="DU36" s="66">
        <f>BS36</f>
        <v>0</v>
      </c>
      <c r="DV36" s="66">
        <f>BW36</f>
        <v>0</v>
      </c>
      <c r="DW36" s="66">
        <f>CA36</f>
        <v>0</v>
      </c>
      <c r="DX36" s="66">
        <f>CE36</f>
        <v>0</v>
      </c>
      <c r="DY36" s="66">
        <f>CI36</f>
        <v>0</v>
      </c>
      <c r="DZ36" s="66">
        <f>CM36</f>
        <v>0</v>
      </c>
      <c r="EA36" s="66">
        <f t="shared" si="237"/>
        <v>0</v>
      </c>
      <c r="EB36" s="66">
        <f t="shared" si="238"/>
        <v>0</v>
      </c>
      <c r="EC36" s="66">
        <f t="shared" si="239"/>
        <v>0</v>
      </c>
      <c r="ED36" s="67">
        <f t="shared" si="240"/>
        <v>0</v>
      </c>
      <c r="EE36" s="98"/>
      <c r="EF36" s="65"/>
      <c r="EG36" s="66">
        <f>L36</f>
        <v>163.4</v>
      </c>
      <c r="EH36" s="66">
        <f>P36</f>
        <v>254.7</v>
      </c>
      <c r="EI36" s="66">
        <f>T36</f>
        <v>264.5</v>
      </c>
      <c r="EJ36" s="66">
        <f>X36</f>
        <v>323.89999999999998</v>
      </c>
      <c r="EK36" s="66">
        <f>AB36</f>
        <v>326.60000000000002</v>
      </c>
      <c r="EL36" s="66">
        <f>AF36</f>
        <v>0</v>
      </c>
      <c r="EM36" s="66">
        <f>AJ36</f>
        <v>0</v>
      </c>
      <c r="EN36" s="66">
        <f>AN36</f>
        <v>43.9</v>
      </c>
      <c r="EO36" s="66">
        <f>AR36</f>
        <v>46.8</v>
      </c>
      <c r="EP36" s="66">
        <f>AV36</f>
        <v>31</v>
      </c>
      <c r="EQ36" s="66">
        <f>AZ36</f>
        <v>27</v>
      </c>
      <c r="ER36" s="66">
        <f>BD36</f>
        <v>11</v>
      </c>
      <c r="ES36" s="66">
        <f>BH36</f>
        <v>192</v>
      </c>
      <c r="ET36" s="66">
        <f>BL36</f>
        <v>0</v>
      </c>
      <c r="EU36" s="66">
        <f>BP36</f>
        <v>0</v>
      </c>
      <c r="EV36" s="66">
        <f>BT36</f>
        <v>0</v>
      </c>
      <c r="EW36" s="66">
        <f>BX36</f>
        <v>0</v>
      </c>
      <c r="EX36" s="66">
        <f>CB36</f>
        <v>0</v>
      </c>
      <c r="EY36" s="66">
        <f>CF36</f>
        <v>0</v>
      </c>
      <c r="EZ36" s="66">
        <f t="shared" si="241"/>
        <v>0</v>
      </c>
      <c r="FA36" s="66">
        <f t="shared" si="242"/>
        <v>0</v>
      </c>
      <c r="FB36" s="66">
        <f t="shared" si="243"/>
        <v>0</v>
      </c>
      <c r="FC36" s="66">
        <f t="shared" si="244"/>
        <v>0</v>
      </c>
      <c r="FD36" s="67">
        <f t="shared" si="245"/>
        <v>0</v>
      </c>
      <c r="FE36" s="862"/>
      <c r="FF36" s="1398"/>
      <c r="FG36" s="1398"/>
      <c r="FH36" s="1398"/>
      <c r="FO36" s="7"/>
      <c r="FP36" s="769"/>
      <c r="FQ36" s="855"/>
    </row>
    <row r="37" spans="1:173" ht="14.25" customHeight="1">
      <c r="A37" s="7"/>
      <c r="B37" s="430" t="s">
        <v>383</v>
      </c>
      <c r="C37" s="25"/>
      <c r="D37" s="68"/>
      <c r="E37" s="69"/>
      <c r="F37" s="69"/>
      <c r="G37" s="70"/>
      <c r="H37" s="68"/>
      <c r="I37" s="69"/>
      <c r="J37" s="69"/>
      <c r="K37" s="70"/>
      <c r="L37" s="68">
        <v>0</v>
      </c>
      <c r="M37" s="69">
        <v>0</v>
      </c>
      <c r="N37" s="69">
        <v>0</v>
      </c>
      <c r="O37" s="70">
        <v>0</v>
      </c>
      <c r="P37" s="68">
        <v>0</v>
      </c>
      <c r="Q37" s="69">
        <v>0</v>
      </c>
      <c r="R37" s="69">
        <v>0</v>
      </c>
      <c r="S37" s="70">
        <v>0</v>
      </c>
      <c r="T37" s="68">
        <v>0</v>
      </c>
      <c r="U37" s="69">
        <v>0</v>
      </c>
      <c r="V37" s="69">
        <v>0</v>
      </c>
      <c r="W37" s="70">
        <v>0</v>
      </c>
      <c r="X37" s="68">
        <v>0</v>
      </c>
      <c r="Y37" s="69">
        <v>0</v>
      </c>
      <c r="Z37" s="69">
        <v>0</v>
      </c>
      <c r="AA37" s="70">
        <v>0</v>
      </c>
      <c r="AB37" s="68">
        <v>0</v>
      </c>
      <c r="AC37" s="69">
        <v>0</v>
      </c>
      <c r="AD37" s="69">
        <v>0</v>
      </c>
      <c r="AE37" s="70">
        <v>0</v>
      </c>
      <c r="AF37" s="68">
        <v>0</v>
      </c>
      <c r="AG37" s="69">
        <v>0</v>
      </c>
      <c r="AH37" s="69">
        <v>0</v>
      </c>
      <c r="AI37" s="70">
        <v>0</v>
      </c>
      <c r="AJ37" s="68">
        <v>0</v>
      </c>
      <c r="AK37" s="69">
        <v>0</v>
      </c>
      <c r="AL37" s="69">
        <v>0</v>
      </c>
      <c r="AM37" s="70">
        <v>0</v>
      </c>
      <c r="AN37" s="68">
        <v>0</v>
      </c>
      <c r="AO37" s="69">
        <v>0</v>
      </c>
      <c r="AP37" s="69">
        <v>0</v>
      </c>
      <c r="AQ37" s="70">
        <v>0</v>
      </c>
      <c r="AR37" s="68">
        <v>0</v>
      </c>
      <c r="AS37" s="69">
        <v>0</v>
      </c>
      <c r="AT37" s="69">
        <v>0</v>
      </c>
      <c r="AU37" s="70">
        <v>0</v>
      </c>
      <c r="AV37" s="68">
        <v>0</v>
      </c>
      <c r="AW37" s="69">
        <v>0</v>
      </c>
      <c r="AX37" s="69">
        <v>0</v>
      </c>
      <c r="AY37" s="70">
        <v>0</v>
      </c>
      <c r="AZ37" s="68">
        <v>0</v>
      </c>
      <c r="BA37" s="69">
        <v>0</v>
      </c>
      <c r="BB37" s="69">
        <v>0</v>
      </c>
      <c r="BC37" s="70">
        <v>0</v>
      </c>
      <c r="BD37" s="68">
        <v>0</v>
      </c>
      <c r="BE37" s="69">
        <v>0</v>
      </c>
      <c r="BF37" s="69">
        <v>0</v>
      </c>
      <c r="BG37" s="70">
        <v>0</v>
      </c>
      <c r="BH37" s="68">
        <v>0</v>
      </c>
      <c r="BI37" s="69">
        <v>0</v>
      </c>
      <c r="BJ37" s="69">
        <v>0</v>
      </c>
      <c r="BK37" s="70">
        <v>0</v>
      </c>
      <c r="BL37" s="68">
        <v>0</v>
      </c>
      <c r="BM37" s="69">
        <v>0</v>
      </c>
      <c r="BN37" s="69">
        <v>0</v>
      </c>
      <c r="BO37" s="70">
        <v>0</v>
      </c>
      <c r="BP37" s="69">
        <v>0</v>
      </c>
      <c r="BQ37" s="69">
        <v>0</v>
      </c>
      <c r="BR37" s="69">
        <v>0</v>
      </c>
      <c r="BS37" s="70">
        <v>0</v>
      </c>
      <c r="BT37" s="69">
        <v>0</v>
      </c>
      <c r="BU37" s="69">
        <v>0</v>
      </c>
      <c r="BV37" s="69">
        <v>0</v>
      </c>
      <c r="BW37" s="70">
        <v>0</v>
      </c>
      <c r="BX37" s="68">
        <v>0</v>
      </c>
      <c r="BY37" s="69">
        <v>0</v>
      </c>
      <c r="BZ37" s="69">
        <v>0</v>
      </c>
      <c r="CA37" s="70">
        <v>0</v>
      </c>
      <c r="CB37" s="68">
        <v>0</v>
      </c>
      <c r="CC37" s="69">
        <f>CB37</f>
        <v>0</v>
      </c>
      <c r="CD37" s="69">
        <v>0</v>
      </c>
      <c r="CE37" s="70">
        <v>0</v>
      </c>
      <c r="CF37" s="68">
        <v>0</v>
      </c>
      <c r="CG37" s="69">
        <v>0</v>
      </c>
      <c r="CH37" s="69">
        <v>0</v>
      </c>
      <c r="CI37" s="70">
        <v>0</v>
      </c>
      <c r="CJ37" s="68">
        <v>0</v>
      </c>
      <c r="CK37" s="69">
        <v>0</v>
      </c>
      <c r="CL37" s="69">
        <v>0</v>
      </c>
      <c r="CM37" s="70">
        <v>0</v>
      </c>
      <c r="CN37" s="68">
        <v>0</v>
      </c>
      <c r="CO37" s="1230">
        <v>0</v>
      </c>
      <c r="CP37" s="69">
        <v>0</v>
      </c>
      <c r="CQ37" s="70">
        <v>0</v>
      </c>
      <c r="CR37" s="68">
        <v>0</v>
      </c>
      <c r="CS37" s="1230">
        <v>0</v>
      </c>
      <c r="CT37" s="66">
        <f t="shared" si="246"/>
        <v>0</v>
      </c>
      <c r="CU37" s="67">
        <f t="shared" si="247"/>
        <v>0</v>
      </c>
      <c r="CV37" s="66">
        <f t="shared" si="248"/>
        <v>0</v>
      </c>
      <c r="CW37" s="66">
        <f t="shared" si="249"/>
        <v>0</v>
      </c>
      <c r="CX37" s="66">
        <f t="shared" si="250"/>
        <v>0</v>
      </c>
      <c r="CY37" s="67">
        <f t="shared" si="251"/>
        <v>0</v>
      </c>
      <c r="CZ37" s="66">
        <f t="shared" si="252"/>
        <v>0</v>
      </c>
      <c r="DA37" s="66">
        <f t="shared" si="253"/>
        <v>0</v>
      </c>
      <c r="DB37" s="66">
        <f t="shared" si="254"/>
        <v>0</v>
      </c>
      <c r="DC37" s="67">
        <f t="shared" si="255"/>
        <v>0</v>
      </c>
      <c r="DD37" s="894"/>
      <c r="DE37" s="66"/>
      <c r="DF37" s="66"/>
      <c r="DG37" s="66">
        <f>O37</f>
        <v>0</v>
      </c>
      <c r="DH37" s="66">
        <f>S37</f>
        <v>0</v>
      </c>
      <c r="DI37" s="66">
        <f>W37</f>
        <v>0</v>
      </c>
      <c r="DJ37" s="66">
        <f>AA37</f>
        <v>0</v>
      </c>
      <c r="DK37" s="66">
        <f>AE37</f>
        <v>0</v>
      </c>
      <c r="DL37" s="66">
        <f>AI37</f>
        <v>0</v>
      </c>
      <c r="DM37" s="66">
        <f>AM37</f>
        <v>0</v>
      </c>
      <c r="DN37" s="66">
        <f>AQ37</f>
        <v>0</v>
      </c>
      <c r="DO37" s="66">
        <f>AU37</f>
        <v>0</v>
      </c>
      <c r="DP37" s="66">
        <f>AY37</f>
        <v>0</v>
      </c>
      <c r="DQ37" s="66">
        <f>BC37</f>
        <v>0</v>
      </c>
      <c r="DR37" s="66">
        <f>BG37</f>
        <v>0</v>
      </c>
      <c r="DS37" s="66">
        <f>BK37</f>
        <v>0</v>
      </c>
      <c r="DT37" s="66">
        <f>BO37</f>
        <v>0</v>
      </c>
      <c r="DU37" s="66">
        <f>BS37</f>
        <v>0</v>
      </c>
      <c r="DV37" s="66">
        <f>BW37</f>
        <v>0</v>
      </c>
      <c r="DW37" s="66">
        <f>CA37</f>
        <v>0</v>
      </c>
      <c r="DX37" s="66">
        <f>CE37</f>
        <v>0</v>
      </c>
      <c r="DY37" s="66">
        <f>CI37</f>
        <v>0</v>
      </c>
      <c r="DZ37" s="66">
        <f>CM37</f>
        <v>0</v>
      </c>
      <c r="EA37" s="66">
        <f t="shared" si="237"/>
        <v>0</v>
      </c>
      <c r="EB37" s="66">
        <f t="shared" si="238"/>
        <v>0</v>
      </c>
      <c r="EC37" s="66">
        <f t="shared" si="239"/>
        <v>0</v>
      </c>
      <c r="ED37" s="67">
        <f t="shared" si="240"/>
        <v>0</v>
      </c>
      <c r="EE37" s="98"/>
      <c r="EF37" s="65"/>
      <c r="EG37" s="66">
        <f>L37</f>
        <v>0</v>
      </c>
      <c r="EH37" s="66">
        <f>P37</f>
        <v>0</v>
      </c>
      <c r="EI37" s="66">
        <f>T37</f>
        <v>0</v>
      </c>
      <c r="EJ37" s="66">
        <f>X37</f>
        <v>0</v>
      </c>
      <c r="EK37" s="66">
        <f>AB37</f>
        <v>0</v>
      </c>
      <c r="EL37" s="66">
        <f>AF37</f>
        <v>0</v>
      </c>
      <c r="EM37" s="66">
        <f>AJ37</f>
        <v>0</v>
      </c>
      <c r="EN37" s="66">
        <f>AN37</f>
        <v>0</v>
      </c>
      <c r="EO37" s="66">
        <f>AR37</f>
        <v>0</v>
      </c>
      <c r="EP37" s="66">
        <f>AV37</f>
        <v>0</v>
      </c>
      <c r="EQ37" s="66">
        <f>AZ37</f>
        <v>0</v>
      </c>
      <c r="ER37" s="66">
        <f>BD37</f>
        <v>0</v>
      </c>
      <c r="ES37" s="66">
        <f>BH37</f>
        <v>0</v>
      </c>
      <c r="ET37" s="66">
        <f>BL37</f>
        <v>0</v>
      </c>
      <c r="EU37" s="66">
        <f>BP37</f>
        <v>0</v>
      </c>
      <c r="EV37" s="66">
        <f>BT37</f>
        <v>0</v>
      </c>
      <c r="EW37" s="66">
        <f>BX37</f>
        <v>0</v>
      </c>
      <c r="EX37" s="66">
        <f>CB37</f>
        <v>0</v>
      </c>
      <c r="EY37" s="66">
        <f>CF37</f>
        <v>0</v>
      </c>
      <c r="EZ37" s="66">
        <f t="shared" si="241"/>
        <v>0</v>
      </c>
      <c r="FA37" s="66">
        <f t="shared" si="242"/>
        <v>0</v>
      </c>
      <c r="FB37" s="66">
        <f t="shared" si="243"/>
        <v>0</v>
      </c>
      <c r="FC37" s="66">
        <f t="shared" si="244"/>
        <v>0</v>
      </c>
      <c r="FD37" s="67">
        <f t="shared" si="245"/>
        <v>0</v>
      </c>
      <c r="FE37" s="862"/>
      <c r="FF37" s="1398"/>
      <c r="FG37" s="1398"/>
      <c r="FH37" s="1398"/>
      <c r="FO37" s="7"/>
      <c r="FP37" s="769"/>
      <c r="FQ37" s="855"/>
    </row>
    <row r="38" spans="1:173" ht="14.25" customHeight="1">
      <c r="A38" s="7"/>
      <c r="B38" s="430" t="s">
        <v>384</v>
      </c>
      <c r="C38" s="25"/>
      <c r="D38" s="68"/>
      <c r="E38" s="69"/>
      <c r="F38" s="69"/>
      <c r="G38" s="70"/>
      <c r="H38" s="68"/>
      <c r="I38" s="69"/>
      <c r="J38" s="69"/>
      <c r="K38" s="70"/>
      <c r="L38" s="68">
        <v>61.8</v>
      </c>
      <c r="M38" s="69">
        <v>68.7</v>
      </c>
      <c r="N38" s="69">
        <v>79.400000000000006</v>
      </c>
      <c r="O38" s="70">
        <v>79.7</v>
      </c>
      <c r="P38" s="68">
        <v>71.099999999999994</v>
      </c>
      <c r="Q38" s="69">
        <v>58.7</v>
      </c>
      <c r="R38" s="69">
        <v>61</v>
      </c>
      <c r="S38" s="70">
        <v>61.4</v>
      </c>
      <c r="T38" s="68">
        <v>69.7</v>
      </c>
      <c r="U38" s="69">
        <v>85.7</v>
      </c>
      <c r="V38" s="69">
        <v>82</v>
      </c>
      <c r="W38" s="70">
        <v>74.2</v>
      </c>
      <c r="X38" s="68">
        <v>81.400000000000006</v>
      </c>
      <c r="Y38" s="69">
        <v>72.3</v>
      </c>
      <c r="Z38" s="69">
        <v>77.599999999999994</v>
      </c>
      <c r="AA38" s="70">
        <v>85.5</v>
      </c>
      <c r="AB38" s="68">
        <v>88.6</v>
      </c>
      <c r="AC38" s="69">
        <v>88.6</v>
      </c>
      <c r="AD38" s="69">
        <v>91.1</v>
      </c>
      <c r="AE38" s="70">
        <v>77.400000000000006</v>
      </c>
      <c r="AF38" s="68">
        <v>70.7</v>
      </c>
      <c r="AG38" s="69">
        <v>74.599999999999994</v>
      </c>
      <c r="AH38" s="69">
        <v>135</v>
      </c>
      <c r="AI38" s="70">
        <v>135.5</v>
      </c>
      <c r="AJ38" s="68">
        <v>133.5</v>
      </c>
      <c r="AK38" s="69">
        <v>144.19999999999999</v>
      </c>
      <c r="AL38" s="69">
        <v>157.30000000000001</v>
      </c>
      <c r="AM38" s="70">
        <v>155.80000000000001</v>
      </c>
      <c r="AN38" s="68">
        <v>96.8</v>
      </c>
      <c r="AO38" s="69">
        <v>100.6</v>
      </c>
      <c r="AP38" s="69">
        <v>110</v>
      </c>
      <c r="AQ38" s="70">
        <v>103.2</v>
      </c>
      <c r="AR38" s="68">
        <v>114</v>
      </c>
      <c r="AS38" s="69">
        <v>127.1</v>
      </c>
      <c r="AT38" s="69">
        <v>121</v>
      </c>
      <c r="AU38" s="70">
        <v>125.6</v>
      </c>
      <c r="AV38" s="68">
        <v>116.8</v>
      </c>
      <c r="AW38" s="69">
        <v>376.7</v>
      </c>
      <c r="AX38" s="69">
        <v>446.8</v>
      </c>
      <c r="AY38" s="70">
        <v>445.1</v>
      </c>
      <c r="AZ38" s="68">
        <v>452</v>
      </c>
      <c r="BA38" s="69">
        <v>402</v>
      </c>
      <c r="BB38" s="69">
        <v>408</v>
      </c>
      <c r="BC38" s="70">
        <v>421</v>
      </c>
      <c r="BD38" s="68">
        <v>438</v>
      </c>
      <c r="BE38" s="69">
        <v>345</v>
      </c>
      <c r="BF38" s="69">
        <v>343</v>
      </c>
      <c r="BG38" s="70">
        <v>329</v>
      </c>
      <c r="BH38" s="68">
        <v>332</v>
      </c>
      <c r="BI38" s="69">
        <v>261</v>
      </c>
      <c r="BJ38" s="69">
        <v>260</v>
      </c>
      <c r="BK38" s="70">
        <v>249</v>
      </c>
      <c r="BL38" s="68">
        <v>250</v>
      </c>
      <c r="BM38" s="69">
        <v>293</v>
      </c>
      <c r="BN38" s="69">
        <v>582</v>
      </c>
      <c r="BO38" s="70">
        <v>527</v>
      </c>
      <c r="BP38" s="69">
        <v>517</v>
      </c>
      <c r="BQ38" s="69">
        <v>526</v>
      </c>
      <c r="BR38" s="69">
        <v>562</v>
      </c>
      <c r="BS38" s="70">
        <v>559</v>
      </c>
      <c r="BT38" s="69">
        <v>508</v>
      </c>
      <c r="BU38" s="69">
        <v>513</v>
      </c>
      <c r="BV38" s="69">
        <v>717</v>
      </c>
      <c r="BW38" s="70">
        <v>630</v>
      </c>
      <c r="BX38" s="68">
        <v>574</v>
      </c>
      <c r="BY38" s="69">
        <v>534</v>
      </c>
      <c r="BZ38" s="69">
        <v>420</v>
      </c>
      <c r="CA38" s="70">
        <v>535</v>
      </c>
      <c r="CB38" s="68">
        <v>875</v>
      </c>
      <c r="CC38" s="69">
        <v>858</v>
      </c>
      <c r="CD38" s="69">
        <v>813</v>
      </c>
      <c r="CE38" s="70">
        <f>57+1102</f>
        <v>1159</v>
      </c>
      <c r="CF38" s="68">
        <f>969+53</f>
        <v>1022</v>
      </c>
      <c r="CG38" s="69">
        <f>887+51</f>
        <v>938</v>
      </c>
      <c r="CH38" s="69">
        <f>764+48</f>
        <v>812</v>
      </c>
      <c r="CI38" s="70">
        <v>698</v>
      </c>
      <c r="CJ38" s="68">
        <f>720+42</f>
        <v>762</v>
      </c>
      <c r="CK38" s="69">
        <f>636+39</f>
        <v>675</v>
      </c>
      <c r="CL38" s="69">
        <f>CK38-127</f>
        <v>548</v>
      </c>
      <c r="CM38" s="70">
        <v>623</v>
      </c>
      <c r="CN38" s="68">
        <v>632</v>
      </c>
      <c r="CO38" s="69">
        <f>677+28</f>
        <v>705</v>
      </c>
      <c r="CP38" s="69">
        <f>CO38-85</f>
        <v>620</v>
      </c>
      <c r="CQ38" s="70">
        <v>661</v>
      </c>
      <c r="CR38" s="68">
        <f>553+18</f>
        <v>571</v>
      </c>
      <c r="CS38" s="66">
        <v>760</v>
      </c>
      <c r="CT38" s="66">
        <f t="shared" si="246"/>
        <v>760</v>
      </c>
      <c r="CU38" s="67">
        <f t="shared" si="247"/>
        <v>760</v>
      </c>
      <c r="CV38" s="66">
        <f t="shared" si="248"/>
        <v>760</v>
      </c>
      <c r="CW38" s="66">
        <f t="shared" si="249"/>
        <v>760</v>
      </c>
      <c r="CX38" s="66">
        <f t="shared" si="250"/>
        <v>760</v>
      </c>
      <c r="CY38" s="67">
        <f t="shared" si="251"/>
        <v>760</v>
      </c>
      <c r="CZ38" s="66">
        <f t="shared" si="252"/>
        <v>760</v>
      </c>
      <c r="DA38" s="66">
        <f t="shared" si="253"/>
        <v>760</v>
      </c>
      <c r="DB38" s="66">
        <f t="shared" si="254"/>
        <v>760</v>
      </c>
      <c r="DC38" s="67">
        <f t="shared" si="255"/>
        <v>760</v>
      </c>
      <c r="DD38" s="894"/>
      <c r="DE38" s="66"/>
      <c r="DF38" s="66"/>
      <c r="DG38" s="66">
        <f>O38</f>
        <v>79.7</v>
      </c>
      <c r="DH38" s="66">
        <f>S38</f>
        <v>61.4</v>
      </c>
      <c r="DI38" s="66">
        <f>W38</f>
        <v>74.2</v>
      </c>
      <c r="DJ38" s="66">
        <f>AA38</f>
        <v>85.5</v>
      </c>
      <c r="DK38" s="66">
        <f>AE38</f>
        <v>77.400000000000006</v>
      </c>
      <c r="DL38" s="66">
        <f>AI38</f>
        <v>135.5</v>
      </c>
      <c r="DM38" s="66">
        <f>AM38</f>
        <v>155.80000000000001</v>
      </c>
      <c r="DN38" s="66">
        <f>AQ38</f>
        <v>103.2</v>
      </c>
      <c r="DO38" s="66">
        <f>AU38</f>
        <v>125.6</v>
      </c>
      <c r="DP38" s="66">
        <f>AY38</f>
        <v>445.1</v>
      </c>
      <c r="DQ38" s="66">
        <f>BC38</f>
        <v>421</v>
      </c>
      <c r="DR38" s="66">
        <f>BG38</f>
        <v>329</v>
      </c>
      <c r="DS38" s="66">
        <f>BK38</f>
        <v>249</v>
      </c>
      <c r="DT38" s="66">
        <f>BO38</f>
        <v>527</v>
      </c>
      <c r="DU38" s="66">
        <f>BS38</f>
        <v>559</v>
      </c>
      <c r="DV38" s="66">
        <f>BW38</f>
        <v>630</v>
      </c>
      <c r="DW38" s="66">
        <f>CA38</f>
        <v>535</v>
      </c>
      <c r="DX38" s="66">
        <f>CE38</f>
        <v>1159</v>
      </c>
      <c r="DY38" s="66">
        <f>CI38</f>
        <v>698</v>
      </c>
      <c r="DZ38" s="66">
        <f>CM38</f>
        <v>623</v>
      </c>
      <c r="EA38" s="66">
        <f t="shared" si="237"/>
        <v>661</v>
      </c>
      <c r="EB38" s="66">
        <f t="shared" si="238"/>
        <v>760</v>
      </c>
      <c r="EC38" s="66">
        <f t="shared" si="239"/>
        <v>760</v>
      </c>
      <c r="ED38" s="67">
        <f t="shared" si="240"/>
        <v>760</v>
      </c>
      <c r="EE38" s="98"/>
      <c r="EF38" s="65"/>
      <c r="EG38" s="66">
        <f>L38</f>
        <v>61.8</v>
      </c>
      <c r="EH38" s="66">
        <f>P38</f>
        <v>71.099999999999994</v>
      </c>
      <c r="EI38" s="66">
        <f>T38</f>
        <v>69.7</v>
      </c>
      <c r="EJ38" s="66">
        <f>X38</f>
        <v>81.400000000000006</v>
      </c>
      <c r="EK38" s="66">
        <f>AB38</f>
        <v>88.6</v>
      </c>
      <c r="EL38" s="66">
        <f>AF38</f>
        <v>70.7</v>
      </c>
      <c r="EM38" s="66">
        <f>AJ38</f>
        <v>133.5</v>
      </c>
      <c r="EN38" s="66">
        <f>AN38</f>
        <v>96.8</v>
      </c>
      <c r="EO38" s="66">
        <f>AR38</f>
        <v>114</v>
      </c>
      <c r="EP38" s="66">
        <f>AV38</f>
        <v>116.8</v>
      </c>
      <c r="EQ38" s="66">
        <f>AZ38</f>
        <v>452</v>
      </c>
      <c r="ER38" s="66">
        <f>BD38</f>
        <v>438</v>
      </c>
      <c r="ES38" s="66">
        <f>BH38</f>
        <v>332</v>
      </c>
      <c r="ET38" s="66">
        <f>BL38</f>
        <v>250</v>
      </c>
      <c r="EU38" s="66">
        <f>BP38</f>
        <v>517</v>
      </c>
      <c r="EV38" s="66">
        <f>BT38</f>
        <v>508</v>
      </c>
      <c r="EW38" s="66">
        <f>BX38</f>
        <v>574</v>
      </c>
      <c r="EX38" s="66">
        <f>CB38</f>
        <v>875</v>
      </c>
      <c r="EY38" s="66">
        <f>CF38</f>
        <v>1022</v>
      </c>
      <c r="EZ38" s="66">
        <f t="shared" si="241"/>
        <v>762</v>
      </c>
      <c r="FA38" s="66">
        <f t="shared" si="242"/>
        <v>632</v>
      </c>
      <c r="FB38" s="66">
        <f t="shared" si="243"/>
        <v>571</v>
      </c>
      <c r="FC38" s="66">
        <f t="shared" si="244"/>
        <v>760</v>
      </c>
      <c r="FD38" s="67">
        <f t="shared" si="245"/>
        <v>760</v>
      </c>
      <c r="FE38" s="1159"/>
      <c r="FF38" s="1399"/>
      <c r="FG38" s="1399"/>
      <c r="FH38" s="1399"/>
      <c r="FO38" s="7"/>
      <c r="FP38" s="769"/>
      <c r="FQ38" s="855"/>
    </row>
    <row r="39" spans="1:173" ht="14.25" customHeight="1">
      <c r="A39" s="7"/>
      <c r="B39" s="430" t="s">
        <v>373</v>
      </c>
      <c r="C39" s="25"/>
      <c r="D39" s="68"/>
      <c r="E39" s="69"/>
      <c r="F39" s="69"/>
      <c r="G39" s="70"/>
      <c r="H39" s="68"/>
      <c r="I39" s="69"/>
      <c r="J39" s="69"/>
      <c r="K39" s="70"/>
      <c r="L39" s="68">
        <v>57.3</v>
      </c>
      <c r="M39" s="69">
        <v>125.9</v>
      </c>
      <c r="N39" s="69">
        <v>132.9</v>
      </c>
      <c r="O39" s="70">
        <v>136.5</v>
      </c>
      <c r="P39" s="68">
        <v>132.6</v>
      </c>
      <c r="Q39" s="69">
        <v>142.9</v>
      </c>
      <c r="R39" s="69">
        <v>145.4</v>
      </c>
      <c r="S39" s="70">
        <v>152.1</v>
      </c>
      <c r="T39" s="68">
        <v>157.9</v>
      </c>
      <c r="U39" s="69">
        <v>160.4</v>
      </c>
      <c r="V39" s="69">
        <v>162.9</v>
      </c>
      <c r="W39" s="70">
        <v>168.3</v>
      </c>
      <c r="X39" s="68">
        <v>183.5</v>
      </c>
      <c r="Y39" s="69">
        <v>186</v>
      </c>
      <c r="Z39" s="69">
        <v>189.9</v>
      </c>
      <c r="AA39" s="70">
        <v>199.3</v>
      </c>
      <c r="AB39" s="68">
        <v>200.4</v>
      </c>
      <c r="AC39" s="69">
        <v>144.4</v>
      </c>
      <c r="AD39" s="69">
        <v>124.1</v>
      </c>
      <c r="AE39" s="70">
        <v>0</v>
      </c>
      <c r="AF39" s="68">
        <v>0</v>
      </c>
      <c r="AG39" s="69">
        <v>0</v>
      </c>
      <c r="AH39" s="69">
        <v>0</v>
      </c>
      <c r="AI39" s="70">
        <v>0</v>
      </c>
      <c r="AJ39" s="68">
        <v>0</v>
      </c>
      <c r="AK39" s="69">
        <v>0</v>
      </c>
      <c r="AL39" s="69">
        <v>0</v>
      </c>
      <c r="AM39" s="70">
        <v>0</v>
      </c>
      <c r="AN39" s="68">
        <v>0</v>
      </c>
      <c r="AO39" s="69">
        <v>0</v>
      </c>
      <c r="AP39" s="69">
        <v>0</v>
      </c>
      <c r="AQ39" s="70">
        <v>0</v>
      </c>
      <c r="AR39" s="68">
        <v>0</v>
      </c>
      <c r="AS39" s="69">
        <v>0</v>
      </c>
      <c r="AT39" s="69">
        <v>0</v>
      </c>
      <c r="AU39" s="70">
        <v>0</v>
      </c>
      <c r="AV39" s="68">
        <v>0</v>
      </c>
      <c r="AW39" s="69">
        <v>498.6</v>
      </c>
      <c r="AX39" s="69">
        <v>1112.4000000000001</v>
      </c>
      <c r="AY39" s="70">
        <v>1568</v>
      </c>
      <c r="AZ39" s="68">
        <v>1982</v>
      </c>
      <c r="BA39" s="69">
        <v>2283</v>
      </c>
      <c r="BB39" s="69">
        <v>2327</v>
      </c>
      <c r="BC39" s="70">
        <v>2607</v>
      </c>
      <c r="BD39" s="68">
        <v>2760</v>
      </c>
      <c r="BE39" s="69">
        <v>2808</v>
      </c>
      <c r="BF39" s="69">
        <v>2811</v>
      </c>
      <c r="BG39" s="70">
        <v>2865</v>
      </c>
      <c r="BH39" s="68">
        <v>2702</v>
      </c>
      <c r="BI39" s="69">
        <v>2344</v>
      </c>
      <c r="BJ39" s="69">
        <v>2130</v>
      </c>
      <c r="BK39" s="70">
        <v>1986</v>
      </c>
      <c r="BL39" s="68">
        <v>1896</v>
      </c>
      <c r="BM39" s="69">
        <v>1816</v>
      </c>
      <c r="BN39" s="69">
        <v>1787</v>
      </c>
      <c r="BO39" s="70">
        <v>1796</v>
      </c>
      <c r="BP39" s="69">
        <v>1768</v>
      </c>
      <c r="BQ39" s="69">
        <v>1500</v>
      </c>
      <c r="BR39" s="69">
        <v>1449</v>
      </c>
      <c r="BS39" s="70">
        <v>1382</v>
      </c>
      <c r="BT39" s="69">
        <v>1438</v>
      </c>
      <c r="BU39" s="69">
        <v>1373</v>
      </c>
      <c r="BV39" s="69">
        <v>675</v>
      </c>
      <c r="BW39" s="70">
        <v>717</v>
      </c>
      <c r="BX39" s="68">
        <v>717</v>
      </c>
      <c r="BY39" s="69">
        <v>729</v>
      </c>
      <c r="BZ39" s="69">
        <v>698</v>
      </c>
      <c r="CA39" s="70">
        <v>864</v>
      </c>
      <c r="CB39" s="68">
        <v>927</v>
      </c>
      <c r="CC39" s="69">
        <f>760+91</f>
        <v>851</v>
      </c>
      <c r="CD39" s="69">
        <f>757+88</f>
        <v>845</v>
      </c>
      <c r="CE39" s="70">
        <v>802</v>
      </c>
      <c r="CF39" s="68">
        <v>815</v>
      </c>
      <c r="CG39" s="69">
        <v>815</v>
      </c>
      <c r="CH39" s="69">
        <v>897</v>
      </c>
      <c r="CI39" s="70">
        <v>937</v>
      </c>
      <c r="CJ39" s="68">
        <v>974</v>
      </c>
      <c r="CK39" s="69">
        <v>975</v>
      </c>
      <c r="CL39" s="69">
        <v>847</v>
      </c>
      <c r="CM39" s="70">
        <v>848</v>
      </c>
      <c r="CN39" s="68">
        <v>848</v>
      </c>
      <c r="CO39" s="69">
        <v>848</v>
      </c>
      <c r="CP39" s="69">
        <v>848</v>
      </c>
      <c r="CQ39" s="70">
        <v>848</v>
      </c>
      <c r="CR39" s="68">
        <v>867</v>
      </c>
      <c r="CS39" s="69">
        <v>869</v>
      </c>
      <c r="CT39" s="66">
        <f t="shared" si="246"/>
        <v>869</v>
      </c>
      <c r="CU39" s="67">
        <f t="shared" si="247"/>
        <v>869</v>
      </c>
      <c r="CV39" s="66">
        <f t="shared" si="248"/>
        <v>869</v>
      </c>
      <c r="CW39" s="66">
        <f t="shared" si="249"/>
        <v>869</v>
      </c>
      <c r="CX39" s="66">
        <f t="shared" si="250"/>
        <v>869</v>
      </c>
      <c r="CY39" s="67">
        <f t="shared" si="251"/>
        <v>869</v>
      </c>
      <c r="CZ39" s="66">
        <f t="shared" si="252"/>
        <v>869</v>
      </c>
      <c r="DA39" s="66">
        <f t="shared" si="253"/>
        <v>869</v>
      </c>
      <c r="DB39" s="66">
        <f t="shared" si="254"/>
        <v>869</v>
      </c>
      <c r="DC39" s="67">
        <f t="shared" si="255"/>
        <v>869</v>
      </c>
      <c r="DD39" s="894"/>
      <c r="DE39" s="66"/>
      <c r="DF39" s="66"/>
      <c r="DG39" s="66">
        <f>O39</f>
        <v>136.5</v>
      </c>
      <c r="DH39" s="66">
        <f>S39</f>
        <v>152.1</v>
      </c>
      <c r="DI39" s="66">
        <f>W39</f>
        <v>168.3</v>
      </c>
      <c r="DJ39" s="66">
        <f>AA39</f>
        <v>199.3</v>
      </c>
      <c r="DK39" s="66">
        <f>AE39</f>
        <v>0</v>
      </c>
      <c r="DL39" s="66">
        <f>AI39</f>
        <v>0</v>
      </c>
      <c r="DM39" s="66">
        <f>AM39</f>
        <v>0</v>
      </c>
      <c r="DN39" s="66">
        <f>AQ39</f>
        <v>0</v>
      </c>
      <c r="DO39" s="66">
        <f>AU39</f>
        <v>0</v>
      </c>
      <c r="DP39" s="66">
        <f>AY39</f>
        <v>1568</v>
      </c>
      <c r="DQ39" s="66">
        <f>BC39</f>
        <v>2607</v>
      </c>
      <c r="DR39" s="66">
        <f>BG39</f>
        <v>2865</v>
      </c>
      <c r="DS39" s="66">
        <f>BK39</f>
        <v>1986</v>
      </c>
      <c r="DT39" s="66">
        <f>BO39</f>
        <v>1796</v>
      </c>
      <c r="DU39" s="66">
        <f>BS39</f>
        <v>1382</v>
      </c>
      <c r="DV39" s="66">
        <f>BW39</f>
        <v>717</v>
      </c>
      <c r="DW39" s="66">
        <f>CA39</f>
        <v>864</v>
      </c>
      <c r="DX39" s="66">
        <f>CE39</f>
        <v>802</v>
      </c>
      <c r="DY39" s="66">
        <f>CI39</f>
        <v>937</v>
      </c>
      <c r="DZ39" s="66">
        <f>CM39</f>
        <v>848</v>
      </c>
      <c r="EA39" s="66">
        <f t="shared" si="237"/>
        <v>848</v>
      </c>
      <c r="EB39" s="66">
        <f t="shared" si="238"/>
        <v>869</v>
      </c>
      <c r="EC39" s="66">
        <f t="shared" si="239"/>
        <v>869</v>
      </c>
      <c r="ED39" s="67">
        <f t="shared" si="240"/>
        <v>869</v>
      </c>
      <c r="EE39" s="98"/>
      <c r="EF39" s="65"/>
      <c r="EG39" s="66">
        <f>L39</f>
        <v>57.3</v>
      </c>
      <c r="EH39" s="66">
        <f>P39</f>
        <v>132.6</v>
      </c>
      <c r="EI39" s="66">
        <f>T39</f>
        <v>157.9</v>
      </c>
      <c r="EJ39" s="66">
        <f>X39</f>
        <v>183.5</v>
      </c>
      <c r="EK39" s="66">
        <f>AB39</f>
        <v>200.4</v>
      </c>
      <c r="EL39" s="66">
        <f>AF39</f>
        <v>0</v>
      </c>
      <c r="EM39" s="66">
        <f>AJ39</f>
        <v>0</v>
      </c>
      <c r="EN39" s="66">
        <f>AN39</f>
        <v>0</v>
      </c>
      <c r="EO39" s="66">
        <f>AR39</f>
        <v>0</v>
      </c>
      <c r="EP39" s="66">
        <f>AV39</f>
        <v>0</v>
      </c>
      <c r="EQ39" s="66">
        <f>AZ39</f>
        <v>1982</v>
      </c>
      <c r="ER39" s="66">
        <f>BD39</f>
        <v>2760</v>
      </c>
      <c r="ES39" s="66">
        <f>BH39</f>
        <v>2702</v>
      </c>
      <c r="ET39" s="66">
        <f>BL39</f>
        <v>1896</v>
      </c>
      <c r="EU39" s="66">
        <f>BP39</f>
        <v>1768</v>
      </c>
      <c r="EV39" s="66">
        <f>BT39</f>
        <v>1438</v>
      </c>
      <c r="EW39" s="66">
        <f>BX39</f>
        <v>717</v>
      </c>
      <c r="EX39" s="66">
        <f>CB39</f>
        <v>927</v>
      </c>
      <c r="EY39" s="66">
        <f>CF39</f>
        <v>815</v>
      </c>
      <c r="EZ39" s="66">
        <f t="shared" si="241"/>
        <v>974</v>
      </c>
      <c r="FA39" s="66">
        <f t="shared" si="242"/>
        <v>848</v>
      </c>
      <c r="FB39" s="66">
        <f t="shared" si="243"/>
        <v>867</v>
      </c>
      <c r="FC39" s="66">
        <f t="shared" si="244"/>
        <v>869</v>
      </c>
      <c r="FD39" s="67">
        <f t="shared" si="245"/>
        <v>869</v>
      </c>
      <c r="FE39" s="862"/>
      <c r="FF39" s="1398"/>
      <c r="FG39" s="1398"/>
      <c r="FH39" s="1398"/>
      <c r="FO39" s="7"/>
      <c r="FP39" s="769"/>
      <c r="FQ39" s="855"/>
    </row>
    <row r="40" spans="1:173" ht="14.25" customHeight="1">
      <c r="A40" s="7"/>
      <c r="B40" s="433"/>
      <c r="C40" s="23"/>
      <c r="D40" s="68"/>
      <c r="E40" s="69"/>
      <c r="F40" s="69"/>
      <c r="G40" s="70"/>
      <c r="H40" s="68"/>
      <c r="I40" s="69"/>
      <c r="J40" s="69"/>
      <c r="K40" s="70"/>
      <c r="L40" s="68"/>
      <c r="M40" s="69"/>
      <c r="N40" s="69"/>
      <c r="O40" s="70"/>
      <c r="P40" s="68"/>
      <c r="Q40" s="69"/>
      <c r="R40" s="69"/>
      <c r="S40" s="70"/>
      <c r="T40" s="68"/>
      <c r="U40" s="69"/>
      <c r="V40" s="69"/>
      <c r="W40" s="70"/>
      <c r="X40" s="68"/>
      <c r="Y40" s="69"/>
      <c r="Z40" s="69"/>
      <c r="AA40" s="70"/>
      <c r="AB40" s="68"/>
      <c r="AC40" s="69"/>
      <c r="AD40" s="69"/>
      <c r="AE40" s="70"/>
      <c r="AF40" s="68"/>
      <c r="AG40" s="69"/>
      <c r="AH40" s="69"/>
      <c r="AI40" s="70"/>
      <c r="AJ40" s="68"/>
      <c r="AK40" s="69"/>
      <c r="AL40" s="69"/>
      <c r="AM40" s="70"/>
      <c r="AN40" s="68"/>
      <c r="AO40" s="69"/>
      <c r="AP40" s="69"/>
      <c r="AQ40" s="70"/>
      <c r="AR40" s="68"/>
      <c r="AS40" s="69"/>
      <c r="AT40" s="69"/>
      <c r="AU40" s="70"/>
      <c r="AV40" s="68"/>
      <c r="AW40" s="69"/>
      <c r="AX40" s="69"/>
      <c r="AY40" s="70"/>
      <c r="AZ40" s="68"/>
      <c r="BA40" s="69"/>
      <c r="BB40" s="69"/>
      <c r="BC40" s="70"/>
      <c r="BD40" s="68"/>
      <c r="BE40" s="69"/>
      <c r="BF40" s="69"/>
      <c r="BG40" s="70"/>
      <c r="BH40" s="68"/>
      <c r="BI40" s="69"/>
      <c r="BJ40" s="69"/>
      <c r="BK40" s="70"/>
      <c r="BL40" s="68"/>
      <c r="BM40" s="69"/>
      <c r="BN40" s="69"/>
      <c r="BO40" s="70"/>
      <c r="BP40" s="69"/>
      <c r="BQ40" s="69"/>
      <c r="BR40" s="69"/>
      <c r="BS40" s="70"/>
      <c r="BT40" s="69"/>
      <c r="BU40" s="69"/>
      <c r="BV40" s="69"/>
      <c r="BW40" s="70"/>
      <c r="BX40" s="68"/>
      <c r="BY40" s="69"/>
      <c r="BZ40" s="69"/>
      <c r="CA40" s="70"/>
      <c r="CB40" s="68"/>
      <c r="CC40" s="69"/>
      <c r="CD40" s="69"/>
      <c r="CE40" s="70"/>
      <c r="CF40" s="68"/>
      <c r="CG40" s="69"/>
      <c r="CH40" s="69"/>
      <c r="CI40" s="70"/>
      <c r="CJ40" s="68"/>
      <c r="CK40" s="69"/>
      <c r="CL40" s="69"/>
      <c r="CM40" s="70"/>
      <c r="CN40" s="68"/>
      <c r="CO40" s="1287"/>
      <c r="CP40" s="69"/>
      <c r="CQ40" s="70"/>
      <c r="CR40" s="68"/>
      <c r="CS40" s="1287"/>
      <c r="CT40" s="69"/>
      <c r="CU40" s="70"/>
      <c r="CV40" s="69"/>
      <c r="CW40" s="69"/>
      <c r="CX40" s="69"/>
      <c r="CY40" s="70"/>
      <c r="CZ40" s="69"/>
      <c r="DA40" s="69"/>
      <c r="DB40" s="69"/>
      <c r="DC40" s="70"/>
      <c r="DD40" s="894"/>
      <c r="DE40" s="69"/>
      <c r="DF40" s="69"/>
      <c r="DG40" s="69"/>
      <c r="DH40" s="69"/>
      <c r="DI40" s="69"/>
      <c r="DJ40" s="69"/>
      <c r="DK40" s="69"/>
      <c r="DL40" s="69"/>
      <c r="DM40" s="69"/>
      <c r="DN40" s="69"/>
      <c r="DO40" s="69"/>
      <c r="DP40" s="69"/>
      <c r="DQ40" s="69"/>
      <c r="DR40" s="69"/>
      <c r="DS40" s="69"/>
      <c r="DT40" s="69"/>
      <c r="DU40" s="69"/>
      <c r="DV40" s="69"/>
      <c r="DW40" s="69"/>
      <c r="DX40" s="69"/>
      <c r="DY40" s="69"/>
      <c r="DZ40" s="69"/>
      <c r="EA40" s="69"/>
      <c r="EB40" s="69"/>
      <c r="EC40" s="69"/>
      <c r="ED40" s="70"/>
      <c r="EE40" s="98"/>
      <c r="EF40" s="68"/>
      <c r="EG40" s="69"/>
      <c r="EH40" s="69"/>
      <c r="EI40" s="69"/>
      <c r="EJ40" s="69"/>
      <c r="EK40" s="69"/>
      <c r="EL40" s="69"/>
      <c r="EM40" s="69"/>
      <c r="EN40" s="69"/>
      <c r="EO40" s="69"/>
      <c r="EP40" s="69"/>
      <c r="EQ40" s="69"/>
      <c r="ER40" s="69"/>
      <c r="ES40" s="69"/>
      <c r="ET40" s="69"/>
      <c r="EU40" s="69"/>
      <c r="EV40" s="69"/>
      <c r="EW40" s="69"/>
      <c r="EX40" s="69"/>
      <c r="EY40" s="69"/>
      <c r="EZ40" s="69"/>
      <c r="FA40" s="69"/>
      <c r="FB40" s="69"/>
      <c r="FC40" s="69"/>
      <c r="FD40" s="70"/>
      <c r="FE40" s="862"/>
      <c r="FF40" s="1398"/>
      <c r="FG40" s="1398"/>
      <c r="FH40" s="1398"/>
      <c r="FO40" s="7"/>
      <c r="FP40" s="769"/>
      <c r="FQ40" s="855"/>
    </row>
    <row r="41" spans="1:173" ht="14.25" customHeight="1">
      <c r="A41" s="7"/>
      <c r="B41" s="429" t="s">
        <v>295</v>
      </c>
      <c r="C41" s="116"/>
      <c r="D41" s="376"/>
      <c r="E41" s="375"/>
      <c r="F41" s="375"/>
      <c r="G41" s="374"/>
      <c r="H41" s="376"/>
      <c r="I41" s="375"/>
      <c r="J41" s="375"/>
      <c r="K41" s="374"/>
      <c r="L41" s="376">
        <v>2528.1999999999998</v>
      </c>
      <c r="M41" s="375">
        <v>2680.9</v>
      </c>
      <c r="N41" s="375">
        <v>2789.1</v>
      </c>
      <c r="O41" s="374">
        <v>2883.1</v>
      </c>
      <c r="P41" s="376">
        <v>2896.2</v>
      </c>
      <c r="Q41" s="375">
        <v>2874.8</v>
      </c>
      <c r="R41" s="375">
        <v>2773.9</v>
      </c>
      <c r="S41" s="374">
        <v>2693</v>
      </c>
      <c r="T41" s="376">
        <v>3836.2</v>
      </c>
      <c r="U41" s="375">
        <v>3945.1</v>
      </c>
      <c r="V41" s="375">
        <v>3925.5</v>
      </c>
      <c r="W41" s="374">
        <v>3964.1</v>
      </c>
      <c r="X41" s="376">
        <v>4386.1000000000004</v>
      </c>
      <c r="Y41" s="375">
        <v>4733.6000000000004</v>
      </c>
      <c r="Z41" s="375">
        <v>5604.7</v>
      </c>
      <c r="AA41" s="374">
        <v>6432</v>
      </c>
      <c r="AB41" s="376">
        <v>7496.2</v>
      </c>
      <c r="AC41" s="375">
        <v>7465.9</v>
      </c>
      <c r="AD41" s="375">
        <v>7198.6</v>
      </c>
      <c r="AE41" s="374">
        <v>7134.8</v>
      </c>
      <c r="AF41" s="376">
        <v>6903.3</v>
      </c>
      <c r="AG41" s="375">
        <v>6896.8</v>
      </c>
      <c r="AH41" s="375">
        <v>6893.8</v>
      </c>
      <c r="AI41" s="374">
        <v>6306.4</v>
      </c>
      <c r="AJ41" s="376">
        <v>6018</v>
      </c>
      <c r="AK41" s="375">
        <v>5296.1</v>
      </c>
      <c r="AL41" s="375">
        <v>5087.2</v>
      </c>
      <c r="AM41" s="374">
        <v>4971</v>
      </c>
      <c r="AN41" s="376">
        <v>5429.1</v>
      </c>
      <c r="AO41" s="375">
        <v>5405.5</v>
      </c>
      <c r="AP41" s="375">
        <v>5509.5</v>
      </c>
      <c r="AQ41" s="374">
        <v>5614.8</v>
      </c>
      <c r="AR41" s="376">
        <v>5779.4</v>
      </c>
      <c r="AS41" s="375">
        <v>5909.2</v>
      </c>
      <c r="AT41" s="375">
        <v>5791.6</v>
      </c>
      <c r="AU41" s="374">
        <v>5846.8</v>
      </c>
      <c r="AV41" s="376">
        <v>5923.5</v>
      </c>
      <c r="AW41" s="375">
        <v>6954.2</v>
      </c>
      <c r="AX41" s="375">
        <v>7086.8</v>
      </c>
      <c r="AY41" s="374">
        <v>8113.7</v>
      </c>
      <c r="AZ41" s="376">
        <v>8279</v>
      </c>
      <c r="BA41" s="375">
        <v>8249</v>
      </c>
      <c r="BB41" s="375">
        <v>7887</v>
      </c>
      <c r="BC41" s="374">
        <v>7752</v>
      </c>
      <c r="BD41" s="376">
        <v>7501</v>
      </c>
      <c r="BE41" s="375">
        <v>6738</v>
      </c>
      <c r="BF41" s="375">
        <v>6508</v>
      </c>
      <c r="BG41" s="374">
        <v>6178</v>
      </c>
      <c r="BH41" s="376">
        <v>5484</v>
      </c>
      <c r="BI41" s="375">
        <v>4742</v>
      </c>
      <c r="BJ41" s="375">
        <v>4697</v>
      </c>
      <c r="BK41" s="374">
        <v>4953</v>
      </c>
      <c r="BL41" s="376">
        <v>5195</v>
      </c>
      <c r="BM41" s="375">
        <v>5602</v>
      </c>
      <c r="BN41" s="375">
        <v>7680</v>
      </c>
      <c r="BO41" s="374">
        <v>8020</v>
      </c>
      <c r="BP41" s="375">
        <v>8226</v>
      </c>
      <c r="BQ41" s="375">
        <v>8462</v>
      </c>
      <c r="BR41" s="375">
        <v>8583</v>
      </c>
      <c r="BS41" s="374">
        <v>8470</v>
      </c>
      <c r="BT41" s="375">
        <v>8271</v>
      </c>
      <c r="BU41" s="375">
        <v>7986</v>
      </c>
      <c r="BV41" s="375">
        <v>7811</v>
      </c>
      <c r="BW41" s="374">
        <v>7700</v>
      </c>
      <c r="BX41" s="376">
        <v>7469</v>
      </c>
      <c r="BY41" s="375">
        <v>7231</v>
      </c>
      <c r="BZ41" s="375">
        <v>7328</v>
      </c>
      <c r="CA41" s="374">
        <v>9142</v>
      </c>
      <c r="CB41" s="376">
        <v>9219</v>
      </c>
      <c r="CC41" s="375">
        <v>9284</v>
      </c>
      <c r="CD41" s="375">
        <v>9940</v>
      </c>
      <c r="CE41" s="374">
        <v>10771</v>
      </c>
      <c r="CF41" s="376">
        <v>11678</v>
      </c>
      <c r="CG41" s="375">
        <v>12426</v>
      </c>
      <c r="CH41" s="375">
        <v>12458</v>
      </c>
      <c r="CI41" s="374">
        <v>12302</v>
      </c>
      <c r="CJ41" s="376">
        <v>12301</v>
      </c>
      <c r="CK41" s="375">
        <v>12264</v>
      </c>
      <c r="CL41" s="375">
        <v>12187</v>
      </c>
      <c r="CM41" s="374">
        <v>12080</v>
      </c>
      <c r="CN41" s="376">
        <v>12320</v>
      </c>
      <c r="CO41" s="375">
        <v>14287</v>
      </c>
      <c r="CP41" s="375">
        <v>16171</v>
      </c>
      <c r="CQ41" s="374">
        <v>18621</v>
      </c>
      <c r="CR41" s="376">
        <v>22526</v>
      </c>
      <c r="CS41" s="375">
        <v>25697</v>
      </c>
      <c r="CT41" s="108">
        <f t="shared" ref="CT41:CU41" si="256">CT70</f>
        <v>29270.20960533871</v>
      </c>
      <c r="CU41" s="109">
        <f t="shared" si="256"/>
        <v>32787.475605939086</v>
      </c>
      <c r="CV41" s="108">
        <f t="shared" ref="CV41:CY41" si="257">CV70</f>
        <v>35605.46201835027</v>
      </c>
      <c r="CW41" s="108">
        <f t="shared" si="257"/>
        <v>37977.387238154799</v>
      </c>
      <c r="CX41" s="108">
        <f t="shared" si="257"/>
        <v>39916.459218758588</v>
      </c>
      <c r="CY41" s="108">
        <f t="shared" si="257"/>
        <v>41627.658646099953</v>
      </c>
      <c r="CZ41" s="108">
        <f t="shared" ref="CZ41:DC41" si="258">CZ70</f>
        <v>43164.439601656173</v>
      </c>
      <c r="DA41" s="108">
        <f t="shared" si="258"/>
        <v>44568.012256150054</v>
      </c>
      <c r="DB41" s="108">
        <f t="shared" si="258"/>
        <v>45910.199726049752</v>
      </c>
      <c r="DC41" s="108">
        <f t="shared" si="258"/>
        <v>47212.478857896262</v>
      </c>
      <c r="DD41" s="894"/>
      <c r="DE41" s="66"/>
      <c r="DF41" s="66"/>
      <c r="DG41" s="66">
        <f>O41</f>
        <v>2883.1</v>
      </c>
      <c r="DH41" s="66">
        <f>S41</f>
        <v>2693</v>
      </c>
      <c r="DI41" s="66">
        <f>W41</f>
        <v>3964.1</v>
      </c>
      <c r="DJ41" s="66">
        <f>AA41</f>
        <v>6432</v>
      </c>
      <c r="DK41" s="66">
        <f>AE41</f>
        <v>7134.8</v>
      </c>
      <c r="DL41" s="66">
        <f>AI41</f>
        <v>6306.4</v>
      </c>
      <c r="DM41" s="66">
        <f>AM41</f>
        <v>4971</v>
      </c>
      <c r="DN41" s="66">
        <f>AQ41</f>
        <v>5614.8</v>
      </c>
      <c r="DO41" s="66">
        <f>AU41</f>
        <v>5846.8</v>
      </c>
      <c r="DP41" s="66">
        <f>AY41</f>
        <v>8113.7</v>
      </c>
      <c r="DQ41" s="66">
        <f>BC41</f>
        <v>7752</v>
      </c>
      <c r="DR41" s="66">
        <f>BG41</f>
        <v>6178</v>
      </c>
      <c r="DS41" s="66">
        <f>BK41</f>
        <v>4953</v>
      </c>
      <c r="DT41" s="66">
        <f>BO41</f>
        <v>8020</v>
      </c>
      <c r="DU41" s="66">
        <f>BS41</f>
        <v>8470</v>
      </c>
      <c r="DV41" s="66">
        <f>BW41</f>
        <v>7700</v>
      </c>
      <c r="DW41" s="66">
        <f>CA41</f>
        <v>9142</v>
      </c>
      <c r="DX41" s="66">
        <f>CE41</f>
        <v>10771</v>
      </c>
      <c r="DY41" s="66">
        <f>CI41</f>
        <v>12302</v>
      </c>
      <c r="DZ41" s="66">
        <f>CM41</f>
        <v>12080</v>
      </c>
      <c r="EA41" s="66">
        <f t="shared" ref="EA41" si="259">CQ41</f>
        <v>18621</v>
      </c>
      <c r="EB41" s="66">
        <f>CU41</f>
        <v>32787.475605939086</v>
      </c>
      <c r="EC41" s="66">
        <f>CY41</f>
        <v>41627.658646099953</v>
      </c>
      <c r="ED41" s="67">
        <f>DC41</f>
        <v>47212.478857896262</v>
      </c>
      <c r="EE41" s="98"/>
      <c r="EF41" s="65"/>
      <c r="EG41" s="66">
        <f>L41</f>
        <v>2528.1999999999998</v>
      </c>
      <c r="EH41" s="66">
        <f>P41</f>
        <v>2896.2</v>
      </c>
      <c r="EI41" s="66">
        <f>T41</f>
        <v>3836.2</v>
      </c>
      <c r="EJ41" s="66">
        <f>X41</f>
        <v>4386.1000000000004</v>
      </c>
      <c r="EK41" s="66">
        <f>AB41</f>
        <v>7496.2</v>
      </c>
      <c r="EL41" s="66">
        <f>AF41</f>
        <v>6903.3</v>
      </c>
      <c r="EM41" s="66">
        <f>AJ41</f>
        <v>6018</v>
      </c>
      <c r="EN41" s="66">
        <f>AN41</f>
        <v>5429.1</v>
      </c>
      <c r="EO41" s="66">
        <f>AR41</f>
        <v>5779.4</v>
      </c>
      <c r="EP41" s="66">
        <f>AV41</f>
        <v>5923.5</v>
      </c>
      <c r="EQ41" s="66">
        <f>AZ41</f>
        <v>8279</v>
      </c>
      <c r="ER41" s="66">
        <f>BD41</f>
        <v>7501</v>
      </c>
      <c r="ES41" s="66">
        <f>BH41</f>
        <v>5484</v>
      </c>
      <c r="ET41" s="66">
        <f>BL41</f>
        <v>5195</v>
      </c>
      <c r="EU41" s="66">
        <f>BP41</f>
        <v>8226</v>
      </c>
      <c r="EV41" s="66">
        <f>BT41</f>
        <v>8271</v>
      </c>
      <c r="EW41" s="66">
        <f>BX41</f>
        <v>7469</v>
      </c>
      <c r="EX41" s="66">
        <f>CB41</f>
        <v>9219</v>
      </c>
      <c r="EY41" s="66">
        <f>CF41</f>
        <v>11678</v>
      </c>
      <c r="EZ41" s="66">
        <f>CJ41</f>
        <v>12301</v>
      </c>
      <c r="FA41" s="66">
        <f>CN41</f>
        <v>12320</v>
      </c>
      <c r="FB41" s="66">
        <f>CR41</f>
        <v>22526</v>
      </c>
      <c r="FC41" s="66">
        <f>CV41</f>
        <v>35605.46201835027</v>
      </c>
      <c r="FD41" s="67">
        <f>CZ41</f>
        <v>43164.439601656173</v>
      </c>
      <c r="FE41" s="862"/>
      <c r="FF41" s="1398"/>
      <c r="FG41" s="1398"/>
      <c r="FH41" s="1398"/>
      <c r="FO41" s="7"/>
      <c r="FP41" s="769"/>
      <c r="FQ41" s="855"/>
    </row>
    <row r="42" spans="1:173" ht="14.25" customHeight="1">
      <c r="A42" s="7"/>
      <c r="B42" s="435"/>
      <c r="C42" s="23"/>
      <c r="D42" s="68"/>
      <c r="E42" s="69"/>
      <c r="F42" s="69"/>
      <c r="G42" s="69"/>
      <c r="H42" s="68"/>
      <c r="I42" s="69"/>
      <c r="J42" s="69"/>
      <c r="K42" s="69"/>
      <c r="L42" s="68"/>
      <c r="M42" s="69"/>
      <c r="N42" s="69"/>
      <c r="O42" s="69"/>
      <c r="P42" s="68"/>
      <c r="Q42" s="69"/>
      <c r="R42" s="69"/>
      <c r="S42" s="69"/>
      <c r="T42" s="68"/>
      <c r="U42" s="69"/>
      <c r="V42" s="69"/>
      <c r="W42" s="69"/>
      <c r="X42" s="68"/>
      <c r="Y42" s="69"/>
      <c r="Z42" s="69"/>
      <c r="AA42" s="69"/>
      <c r="AB42" s="68"/>
      <c r="AC42" s="69"/>
      <c r="AD42" s="69"/>
      <c r="AE42" s="69"/>
      <c r="AF42" s="68"/>
      <c r="AG42" s="69"/>
      <c r="AH42" s="69"/>
      <c r="AI42" s="69"/>
      <c r="AJ42" s="68"/>
      <c r="AK42" s="69"/>
      <c r="AL42" s="69"/>
      <c r="AM42" s="69"/>
      <c r="AN42" s="68"/>
      <c r="AO42" s="69"/>
      <c r="AP42" s="69"/>
      <c r="AQ42" s="69"/>
      <c r="AR42" s="68"/>
      <c r="AS42" s="69"/>
      <c r="AT42" s="69"/>
      <c r="AU42" s="69"/>
      <c r="AV42" s="68"/>
      <c r="AW42" s="69"/>
      <c r="AX42" s="69"/>
      <c r="AY42" s="69"/>
      <c r="AZ42" s="68"/>
      <c r="BA42" s="69"/>
      <c r="BB42" s="69"/>
      <c r="BC42" s="69"/>
      <c r="BD42" s="68"/>
      <c r="BE42" s="69"/>
      <c r="BF42" s="69"/>
      <c r="BG42" s="69"/>
      <c r="BH42" s="68"/>
      <c r="BI42" s="69"/>
      <c r="BJ42" s="69"/>
      <c r="BK42" s="69"/>
      <c r="BL42" s="68"/>
      <c r="BM42" s="69"/>
      <c r="BN42" s="69"/>
      <c r="BO42" s="69"/>
      <c r="BP42" s="68"/>
      <c r="BQ42" s="69"/>
      <c r="BR42" s="69"/>
      <c r="BS42" s="70"/>
      <c r="BT42" s="69"/>
      <c r="BU42" s="69"/>
      <c r="BV42" s="69"/>
      <c r="BW42" s="70"/>
      <c r="BX42" s="68"/>
      <c r="BY42" s="69"/>
      <c r="BZ42" s="69"/>
      <c r="CA42" s="70"/>
      <c r="CB42" s="68"/>
      <c r="CC42" s="69"/>
      <c r="CD42" s="69"/>
      <c r="CE42" s="70"/>
      <c r="CF42" s="68"/>
      <c r="CG42" s="69"/>
      <c r="CH42" s="69"/>
      <c r="CI42" s="70"/>
      <c r="CJ42" s="68"/>
      <c r="CK42" s="69"/>
      <c r="CL42" s="69"/>
      <c r="CM42" s="70"/>
      <c r="CN42" s="68"/>
      <c r="CO42" s="1287"/>
      <c r="CP42" s="69"/>
      <c r="CQ42" s="70"/>
      <c r="CR42" s="68"/>
      <c r="CS42" s="1287"/>
      <c r="CT42" s="69"/>
      <c r="CU42" s="70"/>
      <c r="CV42" s="69"/>
      <c r="CW42" s="69"/>
      <c r="CX42" s="69"/>
      <c r="CY42" s="70"/>
      <c r="CZ42" s="69"/>
      <c r="DA42" s="69"/>
      <c r="DB42" s="69"/>
      <c r="DC42" s="70"/>
      <c r="DD42" s="894"/>
      <c r="DE42" s="69"/>
      <c r="DF42" s="69"/>
      <c r="DG42" s="69"/>
      <c r="DH42" s="69"/>
      <c r="DI42" s="69"/>
      <c r="DJ42" s="69"/>
      <c r="DK42" s="69"/>
      <c r="DL42" s="69"/>
      <c r="DM42" s="69"/>
      <c r="DN42" s="69"/>
      <c r="DO42" s="69"/>
      <c r="DP42" s="69"/>
      <c r="DQ42" s="69"/>
      <c r="DR42" s="69"/>
      <c r="DS42" s="69"/>
      <c r="DT42" s="69"/>
      <c r="DU42" s="69"/>
      <c r="DV42" s="69"/>
      <c r="DW42" s="69"/>
      <c r="DX42" s="69"/>
      <c r="DY42" s="69"/>
      <c r="DZ42" s="69"/>
      <c r="EA42" s="69"/>
      <c r="EB42" s="69"/>
      <c r="EC42" s="69"/>
      <c r="ED42" s="70"/>
      <c r="EE42" s="18"/>
      <c r="EF42" s="68"/>
      <c r="EG42" s="69"/>
      <c r="EH42" s="69"/>
      <c r="EI42" s="69"/>
      <c r="EJ42" s="69"/>
      <c r="EK42" s="69"/>
      <c r="EL42" s="69"/>
      <c r="EM42" s="69"/>
      <c r="EN42" s="69"/>
      <c r="EO42" s="69"/>
      <c r="EP42" s="69"/>
      <c r="EQ42" s="69"/>
      <c r="ER42" s="69"/>
      <c r="ES42" s="69"/>
      <c r="ET42" s="69"/>
      <c r="EU42" s="69"/>
      <c r="EV42" s="69"/>
      <c r="EW42" s="69"/>
      <c r="EX42" s="69"/>
      <c r="EY42" s="69"/>
      <c r="EZ42" s="69"/>
      <c r="FA42" s="69"/>
      <c r="FB42" s="69"/>
      <c r="FC42" s="69"/>
      <c r="FD42" s="70"/>
      <c r="FE42" s="862"/>
      <c r="FF42" s="1398"/>
      <c r="FG42" s="1398"/>
      <c r="FH42" s="1398"/>
      <c r="FO42" s="7"/>
    </row>
    <row r="43" spans="1:173" ht="14.25" customHeight="1">
      <c r="A43" s="7"/>
      <c r="B43" s="434" t="s">
        <v>296</v>
      </c>
      <c r="C43" s="118"/>
      <c r="D43" s="115"/>
      <c r="E43" s="113"/>
      <c r="F43" s="113"/>
      <c r="G43" s="114"/>
      <c r="H43" s="115"/>
      <c r="I43" s="113"/>
      <c r="J43" s="113"/>
      <c r="K43" s="114"/>
      <c r="L43" s="115">
        <f t="shared" ref="L43:AQ43" si="260">L41+L33+SUM(L35:L39)</f>
        <v>3720.7</v>
      </c>
      <c r="M43" s="113">
        <f t="shared" si="260"/>
        <v>4064.2</v>
      </c>
      <c r="N43" s="113">
        <f t="shared" si="260"/>
        <v>4154.5</v>
      </c>
      <c r="O43" s="114">
        <f t="shared" si="260"/>
        <v>4851.3</v>
      </c>
      <c r="P43" s="115">
        <f t="shared" si="260"/>
        <v>4902.7</v>
      </c>
      <c r="Q43" s="113">
        <f t="shared" si="260"/>
        <v>4839.1000000000004</v>
      </c>
      <c r="R43" s="113">
        <f t="shared" si="260"/>
        <v>4733.3</v>
      </c>
      <c r="S43" s="114">
        <f t="shared" si="260"/>
        <v>4688.3</v>
      </c>
      <c r="T43" s="115">
        <f t="shared" si="260"/>
        <v>6787.5999999999995</v>
      </c>
      <c r="U43" s="113">
        <f t="shared" si="260"/>
        <v>6771.1999999999989</v>
      </c>
      <c r="V43" s="113">
        <f t="shared" si="260"/>
        <v>6785.6</v>
      </c>
      <c r="W43" s="114">
        <f t="shared" si="260"/>
        <v>6965.2</v>
      </c>
      <c r="X43" s="115">
        <f t="shared" si="260"/>
        <v>7581.4</v>
      </c>
      <c r="Y43" s="113">
        <f t="shared" si="260"/>
        <v>7734.8</v>
      </c>
      <c r="Z43" s="113">
        <f t="shared" si="260"/>
        <v>8210.7999999999993</v>
      </c>
      <c r="AA43" s="114">
        <f t="shared" si="260"/>
        <v>9631.5</v>
      </c>
      <c r="AB43" s="115">
        <f t="shared" si="260"/>
        <v>9801.5</v>
      </c>
      <c r="AC43" s="113">
        <f t="shared" si="260"/>
        <v>9116.7000000000007</v>
      </c>
      <c r="AD43" s="113">
        <f t="shared" si="260"/>
        <v>8848.4000000000015</v>
      </c>
      <c r="AE43" s="114">
        <f t="shared" si="260"/>
        <v>8363.2000000000007</v>
      </c>
      <c r="AF43" s="115">
        <f t="shared" si="260"/>
        <v>8022.1</v>
      </c>
      <c r="AG43" s="113">
        <f t="shared" si="260"/>
        <v>8196.4</v>
      </c>
      <c r="AH43" s="113">
        <f t="shared" si="260"/>
        <v>8120.4000000000005</v>
      </c>
      <c r="AI43" s="114">
        <f t="shared" si="260"/>
        <v>7555.4</v>
      </c>
      <c r="AJ43" s="115">
        <f t="shared" si="260"/>
        <v>7385.2</v>
      </c>
      <c r="AK43" s="113">
        <f t="shared" si="260"/>
        <v>7336.4000000000005</v>
      </c>
      <c r="AL43" s="113">
        <f t="shared" si="260"/>
        <v>7142.5999999999995</v>
      </c>
      <c r="AM43" s="114">
        <f t="shared" si="260"/>
        <v>7158.2000000000007</v>
      </c>
      <c r="AN43" s="115">
        <f t="shared" si="260"/>
        <v>7552.1</v>
      </c>
      <c r="AO43" s="113">
        <f t="shared" si="260"/>
        <v>7525.9000000000005</v>
      </c>
      <c r="AP43" s="113">
        <f t="shared" si="260"/>
        <v>7637.7</v>
      </c>
      <c r="AQ43" s="114">
        <f t="shared" si="260"/>
        <v>7760</v>
      </c>
      <c r="AR43" s="115">
        <f t="shared" ref="AR43:BW43" si="261">AR41+AR33+SUM(AR35:AR39)</f>
        <v>7892.5999999999995</v>
      </c>
      <c r="AS43" s="113">
        <f t="shared" si="261"/>
        <v>8078.9</v>
      </c>
      <c r="AT43" s="113">
        <f t="shared" si="261"/>
        <v>8086.2000000000007</v>
      </c>
      <c r="AU43" s="114">
        <f t="shared" si="261"/>
        <v>8006.4</v>
      </c>
      <c r="AV43" s="115">
        <f t="shared" si="261"/>
        <v>8009.5</v>
      </c>
      <c r="AW43" s="113">
        <f t="shared" si="261"/>
        <v>9377.4</v>
      </c>
      <c r="AX43" s="113">
        <f t="shared" si="261"/>
        <v>10300.700000000001</v>
      </c>
      <c r="AY43" s="114">
        <f t="shared" si="261"/>
        <v>12221.300000000001</v>
      </c>
      <c r="AZ43" s="115">
        <f t="shared" si="261"/>
        <v>13074</v>
      </c>
      <c r="BA43" s="113">
        <f t="shared" si="261"/>
        <v>13376</v>
      </c>
      <c r="BB43" s="113">
        <f t="shared" si="261"/>
        <v>14417</v>
      </c>
      <c r="BC43" s="114">
        <f t="shared" si="261"/>
        <v>14818</v>
      </c>
      <c r="BD43" s="115">
        <f t="shared" si="261"/>
        <v>14498</v>
      </c>
      <c r="BE43" s="113">
        <f t="shared" si="261"/>
        <v>13785</v>
      </c>
      <c r="BF43" s="113">
        <f t="shared" si="261"/>
        <v>13616</v>
      </c>
      <c r="BG43" s="114">
        <f t="shared" si="261"/>
        <v>13430</v>
      </c>
      <c r="BH43" s="115">
        <f t="shared" si="261"/>
        <v>12676</v>
      </c>
      <c r="BI43" s="113">
        <f t="shared" si="261"/>
        <v>11526</v>
      </c>
      <c r="BJ43" s="113">
        <f t="shared" si="261"/>
        <v>11664</v>
      </c>
      <c r="BK43" s="114">
        <f t="shared" si="261"/>
        <v>11459</v>
      </c>
      <c r="BL43" s="115">
        <f t="shared" si="261"/>
        <v>11726</v>
      </c>
      <c r="BM43" s="113">
        <f t="shared" si="261"/>
        <v>11952</v>
      </c>
      <c r="BN43" s="113">
        <f t="shared" si="261"/>
        <v>14377</v>
      </c>
      <c r="BO43" s="114">
        <f t="shared" si="261"/>
        <v>14693</v>
      </c>
      <c r="BP43" s="113">
        <f t="shared" si="261"/>
        <v>14617</v>
      </c>
      <c r="BQ43" s="113">
        <f t="shared" si="261"/>
        <v>14398</v>
      </c>
      <c r="BR43" s="113">
        <f t="shared" si="261"/>
        <v>14570</v>
      </c>
      <c r="BS43" s="114">
        <f t="shared" si="261"/>
        <v>14752</v>
      </c>
      <c r="BT43" s="113">
        <f t="shared" si="261"/>
        <v>14211</v>
      </c>
      <c r="BU43" s="113">
        <f t="shared" si="261"/>
        <v>14139</v>
      </c>
      <c r="BV43" s="113">
        <f t="shared" si="261"/>
        <v>14316</v>
      </c>
      <c r="BW43" s="114">
        <f t="shared" si="261"/>
        <v>14328</v>
      </c>
      <c r="BX43" s="115">
        <f t="shared" ref="BX43:CC43" si="262">BX41+BX33+SUM(BX35:BX39)</f>
        <v>14067</v>
      </c>
      <c r="BY43" s="113">
        <f t="shared" si="262"/>
        <v>13912</v>
      </c>
      <c r="BZ43" s="113">
        <f t="shared" si="262"/>
        <v>14055</v>
      </c>
      <c r="CA43" s="114">
        <f t="shared" si="262"/>
        <v>19118</v>
      </c>
      <c r="CB43" s="115">
        <f t="shared" si="262"/>
        <v>19794</v>
      </c>
      <c r="CC43" s="113">
        <f t="shared" si="262"/>
        <v>20615</v>
      </c>
      <c r="CD43" s="113">
        <f t="shared" ref="CD43:CI43" si="263">CD41+CD33+SUM(CD35:CD39)</f>
        <v>20495</v>
      </c>
      <c r="CE43" s="114">
        <f t="shared" si="263"/>
        <v>22498</v>
      </c>
      <c r="CF43" s="115">
        <f>CF41+CF33+SUM(CF35:CF39)</f>
        <v>22542</v>
      </c>
      <c r="CG43" s="113">
        <f t="shared" si="263"/>
        <v>23818</v>
      </c>
      <c r="CH43" s="113">
        <f>CH41+CH33+SUM(CH35:CH39)</f>
        <v>25136</v>
      </c>
      <c r="CI43" s="114">
        <f t="shared" si="263"/>
        <v>24143</v>
      </c>
      <c r="CJ43" s="115">
        <f t="shared" ref="CJ43:CM43" si="264">CJ41+CJ33+SUM(CJ35:CJ39)</f>
        <v>24388</v>
      </c>
      <c r="CK43" s="113">
        <f t="shared" si="264"/>
        <v>24819</v>
      </c>
      <c r="CL43" s="113">
        <f t="shared" si="264"/>
        <v>27001</v>
      </c>
      <c r="CM43" s="114">
        <f t="shared" si="264"/>
        <v>27540</v>
      </c>
      <c r="CN43" s="115">
        <f t="shared" ref="CN43:CQ43" si="265">CN41+CN33+SUM(CN35:CN39)</f>
        <v>27836</v>
      </c>
      <c r="CO43" s="1238">
        <f t="shared" si="265"/>
        <v>32355</v>
      </c>
      <c r="CP43" s="113">
        <f t="shared" si="265"/>
        <v>33267</v>
      </c>
      <c r="CQ43" s="114">
        <f t="shared" si="265"/>
        <v>35336</v>
      </c>
      <c r="CR43" s="115">
        <f t="shared" ref="CR43:CS43" si="266">CR41+CR33+SUM(CR35:CR39)</f>
        <v>37191</v>
      </c>
      <c r="CS43" s="1238">
        <f t="shared" si="266"/>
        <v>41263</v>
      </c>
      <c r="CT43" s="113">
        <f t="shared" ref="CT43:CU43" si="267">CT41+CT33+SUM(CT35:CT39)</f>
        <v>46418.195700105585</v>
      </c>
      <c r="CU43" s="114">
        <f t="shared" si="267"/>
        <v>50199.656865331686</v>
      </c>
      <c r="CV43" s="113">
        <f t="shared" ref="CV43:CY43" si="268">CV41+CV33+SUM(CV35:CV39)</f>
        <v>53173.972876225598</v>
      </c>
      <c r="CW43" s="113">
        <f t="shared" si="268"/>
        <v>55373.045654132133</v>
      </c>
      <c r="CX43" s="113">
        <f t="shared" si="268"/>
        <v>57778.534612907184</v>
      </c>
      <c r="CY43" s="114">
        <f t="shared" si="268"/>
        <v>59834.392296534337</v>
      </c>
      <c r="CZ43" s="113">
        <f t="shared" ref="CZ43:DC43" si="269">CZ41+CZ33+SUM(CZ35:CZ39)</f>
        <v>61509.68515233638</v>
      </c>
      <c r="DA43" s="113">
        <f t="shared" si="269"/>
        <v>63088.408728230475</v>
      </c>
      <c r="DB43" s="113">
        <f t="shared" si="269"/>
        <v>64558.502538160028</v>
      </c>
      <c r="DC43" s="114">
        <f t="shared" si="269"/>
        <v>66018.570979142009</v>
      </c>
      <c r="DD43" s="894"/>
      <c r="DE43" s="113"/>
      <c r="DF43" s="113"/>
      <c r="DG43" s="113">
        <f t="shared" ref="DG43:EB43" si="270">DG41+DG33+SUM(DG35:DG39)</f>
        <v>4851.3</v>
      </c>
      <c r="DH43" s="113">
        <f t="shared" si="270"/>
        <v>4688.3</v>
      </c>
      <c r="DI43" s="113">
        <f t="shared" si="270"/>
        <v>6965.2</v>
      </c>
      <c r="DJ43" s="113">
        <f t="shared" si="270"/>
        <v>9631.5</v>
      </c>
      <c r="DK43" s="113">
        <f t="shared" si="270"/>
        <v>8363.2000000000007</v>
      </c>
      <c r="DL43" s="113">
        <f t="shared" si="270"/>
        <v>7555.4</v>
      </c>
      <c r="DM43" s="113">
        <f t="shared" si="270"/>
        <v>7158.2000000000007</v>
      </c>
      <c r="DN43" s="113">
        <f t="shared" si="270"/>
        <v>7760</v>
      </c>
      <c r="DO43" s="113">
        <f t="shared" si="270"/>
        <v>8006.4</v>
      </c>
      <c r="DP43" s="113">
        <f t="shared" si="270"/>
        <v>12221.300000000001</v>
      </c>
      <c r="DQ43" s="113">
        <f t="shared" si="270"/>
        <v>14818</v>
      </c>
      <c r="DR43" s="113">
        <f t="shared" si="270"/>
        <v>13430</v>
      </c>
      <c r="DS43" s="113">
        <f t="shared" si="270"/>
        <v>11459</v>
      </c>
      <c r="DT43" s="113">
        <f t="shared" si="270"/>
        <v>14693</v>
      </c>
      <c r="DU43" s="113">
        <f t="shared" si="270"/>
        <v>14752</v>
      </c>
      <c r="DV43" s="113">
        <f t="shared" si="270"/>
        <v>14328</v>
      </c>
      <c r="DW43" s="113">
        <f t="shared" si="270"/>
        <v>19118</v>
      </c>
      <c r="DX43" s="113">
        <f t="shared" si="270"/>
        <v>22498</v>
      </c>
      <c r="DY43" s="113">
        <f t="shared" si="270"/>
        <v>24143</v>
      </c>
      <c r="DZ43" s="113">
        <f>DZ41+DZ33+SUM(DZ35:DZ39)</f>
        <v>27540</v>
      </c>
      <c r="EA43" s="113">
        <f t="shared" si="270"/>
        <v>35336</v>
      </c>
      <c r="EB43" s="113">
        <f t="shared" si="270"/>
        <v>50199.656865331686</v>
      </c>
      <c r="EC43" s="113">
        <f t="shared" ref="EC43:ED43" si="271">EC41+EC33+SUM(EC35:EC39)</f>
        <v>59834.392296534337</v>
      </c>
      <c r="ED43" s="106">
        <f t="shared" si="271"/>
        <v>66018.570979142009</v>
      </c>
      <c r="EE43" s="18"/>
      <c r="EF43" s="115"/>
      <c r="EG43" s="113">
        <f t="shared" ref="EG43:EY43" si="272">EG41+EG33+SUM(EG35:EG39)</f>
        <v>3720.7</v>
      </c>
      <c r="EH43" s="113">
        <f t="shared" si="272"/>
        <v>4902.7</v>
      </c>
      <c r="EI43" s="113">
        <f t="shared" si="272"/>
        <v>6787.5999999999995</v>
      </c>
      <c r="EJ43" s="113">
        <f t="shared" si="272"/>
        <v>7581.4</v>
      </c>
      <c r="EK43" s="113">
        <f t="shared" si="272"/>
        <v>9801.5</v>
      </c>
      <c r="EL43" s="113">
        <f t="shared" si="272"/>
        <v>8022.1</v>
      </c>
      <c r="EM43" s="113">
        <f t="shared" si="272"/>
        <v>7385.2</v>
      </c>
      <c r="EN43" s="113">
        <f t="shared" si="272"/>
        <v>7552.1</v>
      </c>
      <c r="EO43" s="113">
        <f t="shared" si="272"/>
        <v>7892.5999999999995</v>
      </c>
      <c r="EP43" s="113">
        <f t="shared" si="272"/>
        <v>8009.5</v>
      </c>
      <c r="EQ43" s="113">
        <f t="shared" si="272"/>
        <v>13074</v>
      </c>
      <c r="ER43" s="113">
        <f t="shared" si="272"/>
        <v>14498</v>
      </c>
      <c r="ES43" s="113">
        <f t="shared" si="272"/>
        <v>12676</v>
      </c>
      <c r="ET43" s="113">
        <f t="shared" si="272"/>
        <v>11726</v>
      </c>
      <c r="EU43" s="113">
        <f t="shared" si="272"/>
        <v>14617</v>
      </c>
      <c r="EV43" s="113">
        <f t="shared" si="272"/>
        <v>14211</v>
      </c>
      <c r="EW43" s="113">
        <f t="shared" si="272"/>
        <v>14067</v>
      </c>
      <c r="EX43" s="113">
        <f t="shared" si="272"/>
        <v>19794</v>
      </c>
      <c r="EY43" s="113">
        <f t="shared" si="272"/>
        <v>22542</v>
      </c>
      <c r="EZ43" s="113">
        <f t="shared" ref="EZ43:FA43" si="273">EZ41+EZ33+SUM(EZ35:EZ39)</f>
        <v>24388</v>
      </c>
      <c r="FA43" s="113">
        <f t="shared" si="273"/>
        <v>27836</v>
      </c>
      <c r="FB43" s="113">
        <f t="shared" ref="FB43:FC43" si="274">FB41+FB33+SUM(FB35:FB39)</f>
        <v>37191</v>
      </c>
      <c r="FC43" s="113">
        <f t="shared" si="274"/>
        <v>53173.972876225598</v>
      </c>
      <c r="FD43" s="105">
        <f t="shared" ref="FD43" si="275">FD41+FD33+SUM(FD35:FD39)</f>
        <v>61509.68515233638</v>
      </c>
      <c r="FE43" s="862"/>
      <c r="FF43" s="1398"/>
      <c r="FG43" s="1398"/>
      <c r="FH43" s="1398"/>
      <c r="FO43" s="7"/>
    </row>
    <row r="44" spans="1:173" ht="14.25" customHeight="1">
      <c r="A44" s="7"/>
      <c r="B44" s="436"/>
      <c r="C44" s="59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60"/>
      <c r="BQ44" s="93"/>
      <c r="BR44" s="60"/>
      <c r="BS44" s="60"/>
      <c r="BT44" s="60"/>
      <c r="BU44" s="60"/>
      <c r="BV44" s="60"/>
      <c r="BW44" s="119"/>
      <c r="BX44" s="60"/>
      <c r="BY44" s="60"/>
      <c r="BZ44" s="60"/>
      <c r="CA44" s="119"/>
      <c r="CB44" s="60"/>
      <c r="CC44" s="60"/>
      <c r="CD44" s="60"/>
      <c r="CE44" s="119"/>
      <c r="CF44" s="60"/>
      <c r="CG44" s="60"/>
      <c r="CH44" s="60"/>
      <c r="CI44" s="119"/>
      <c r="CJ44" s="60"/>
      <c r="CK44" s="60"/>
      <c r="CL44" s="60"/>
      <c r="CM44" s="119"/>
      <c r="CN44" s="60"/>
      <c r="CO44" s="1229"/>
      <c r="CP44" s="60"/>
      <c r="CQ44" s="119"/>
      <c r="CR44" s="60"/>
      <c r="CS44" s="60"/>
      <c r="CT44" s="60"/>
      <c r="CU44" s="119"/>
      <c r="CV44" s="60"/>
      <c r="CW44" s="60"/>
      <c r="CX44" s="60"/>
      <c r="CY44" s="119"/>
      <c r="CZ44" s="60"/>
      <c r="DA44" s="60"/>
      <c r="DB44" s="60"/>
      <c r="DC44" s="119"/>
      <c r="DD44" s="13"/>
      <c r="DE44" s="93"/>
      <c r="DF44" s="93"/>
      <c r="DG44" s="93"/>
      <c r="DH44" s="93"/>
      <c r="DI44" s="93"/>
      <c r="DJ44" s="93"/>
      <c r="DK44" s="93"/>
      <c r="DL44" s="93"/>
      <c r="DM44" s="93"/>
      <c r="DN44" s="93"/>
      <c r="DO44" s="93"/>
      <c r="DP44" s="93"/>
      <c r="DQ44" s="93"/>
      <c r="DR44" s="93"/>
      <c r="DS44" s="93"/>
      <c r="DT44" s="93"/>
      <c r="DU44" s="93"/>
      <c r="DV44" s="93"/>
      <c r="DW44" s="93"/>
      <c r="DX44" s="93"/>
      <c r="DY44" s="93"/>
      <c r="DZ44" s="93"/>
      <c r="EA44" s="93"/>
      <c r="EB44" s="93"/>
      <c r="EC44" s="93"/>
      <c r="ED44" s="1428"/>
      <c r="EE44" s="7"/>
      <c r="EF44" s="93"/>
      <c r="EG44" s="93"/>
      <c r="EH44" s="93"/>
      <c r="EI44" s="93"/>
      <c r="EJ44" s="93"/>
      <c r="EK44" s="93"/>
      <c r="EL44" s="93"/>
      <c r="EM44" s="93"/>
      <c r="EN44" s="93"/>
      <c r="EO44" s="93"/>
      <c r="EP44" s="93"/>
      <c r="EQ44" s="93"/>
      <c r="ER44" s="93"/>
      <c r="ES44" s="93"/>
      <c r="ET44" s="93"/>
      <c r="EU44" s="93"/>
      <c r="EV44" s="93"/>
      <c r="EW44" s="93"/>
      <c r="EX44" s="93"/>
      <c r="EY44" s="93"/>
      <c r="EZ44" s="93"/>
      <c r="FA44" s="93"/>
      <c r="FB44" s="93"/>
      <c r="FC44" s="93"/>
      <c r="FD44" s="1428"/>
      <c r="FE44" s="1398"/>
      <c r="FF44" s="1398"/>
      <c r="FG44" s="1398"/>
      <c r="FH44" s="1398"/>
      <c r="FO44" s="7"/>
    </row>
    <row r="45" spans="1:173" ht="14.25" customHeight="1">
      <c r="A45" s="7"/>
      <c r="B45" s="437" t="s">
        <v>297</v>
      </c>
      <c r="C45" s="121"/>
      <c r="D45" s="124"/>
      <c r="E45" s="122"/>
      <c r="F45" s="122"/>
      <c r="G45" s="123"/>
      <c r="H45" s="124"/>
      <c r="I45" s="122"/>
      <c r="J45" s="122"/>
      <c r="K45" s="123"/>
      <c r="L45" s="124">
        <f>IF(ROUND(L43-L24,4)=0,0,L43-L24)</f>
        <v>0</v>
      </c>
      <c r="M45" s="122">
        <f t="shared" ref="M45:BX45" si="276">IF(ROUND(M43-M24,4)=0,0,M43-M24)</f>
        <v>0</v>
      </c>
      <c r="N45" s="122">
        <f t="shared" si="276"/>
        <v>0</v>
      </c>
      <c r="O45" s="123">
        <f t="shared" si="276"/>
        <v>0</v>
      </c>
      <c r="P45" s="124">
        <f t="shared" si="276"/>
        <v>0</v>
      </c>
      <c r="Q45" s="122">
        <f t="shared" si="276"/>
        <v>0</v>
      </c>
      <c r="R45" s="122">
        <f t="shared" si="276"/>
        <v>0</v>
      </c>
      <c r="S45" s="123">
        <f t="shared" si="276"/>
        <v>0</v>
      </c>
      <c r="T45" s="124">
        <f t="shared" si="276"/>
        <v>0</v>
      </c>
      <c r="U45" s="122">
        <f t="shared" si="276"/>
        <v>0</v>
      </c>
      <c r="V45" s="122">
        <f t="shared" si="276"/>
        <v>0</v>
      </c>
      <c r="W45" s="123">
        <f t="shared" si="276"/>
        <v>0</v>
      </c>
      <c r="X45" s="124">
        <f t="shared" si="276"/>
        <v>0</v>
      </c>
      <c r="Y45" s="122">
        <f t="shared" si="276"/>
        <v>0</v>
      </c>
      <c r="Z45" s="122">
        <f t="shared" si="276"/>
        <v>0</v>
      </c>
      <c r="AA45" s="123">
        <f t="shared" si="276"/>
        <v>0</v>
      </c>
      <c r="AB45" s="124">
        <f t="shared" si="276"/>
        <v>0</v>
      </c>
      <c r="AC45" s="122">
        <f t="shared" si="276"/>
        <v>0</v>
      </c>
      <c r="AD45" s="122">
        <f t="shared" si="276"/>
        <v>0</v>
      </c>
      <c r="AE45" s="123">
        <f t="shared" si="276"/>
        <v>0</v>
      </c>
      <c r="AF45" s="124">
        <f t="shared" si="276"/>
        <v>0</v>
      </c>
      <c r="AG45" s="122">
        <f t="shared" si="276"/>
        <v>0</v>
      </c>
      <c r="AH45" s="122">
        <f t="shared" si="276"/>
        <v>0</v>
      </c>
      <c r="AI45" s="123">
        <f t="shared" si="276"/>
        <v>0</v>
      </c>
      <c r="AJ45" s="124">
        <f t="shared" si="276"/>
        <v>0</v>
      </c>
      <c r="AK45" s="122">
        <f t="shared" si="276"/>
        <v>0</v>
      </c>
      <c r="AL45" s="122">
        <f t="shared" si="276"/>
        <v>0</v>
      </c>
      <c r="AM45" s="123">
        <f t="shared" si="276"/>
        <v>0</v>
      </c>
      <c r="AN45" s="124">
        <f t="shared" si="276"/>
        <v>0</v>
      </c>
      <c r="AO45" s="122">
        <f t="shared" si="276"/>
        <v>0</v>
      </c>
      <c r="AP45" s="122">
        <f t="shared" si="276"/>
        <v>0</v>
      </c>
      <c r="AQ45" s="123">
        <f t="shared" si="276"/>
        <v>0</v>
      </c>
      <c r="AR45" s="124">
        <f t="shared" si="276"/>
        <v>0</v>
      </c>
      <c r="AS45" s="122">
        <f t="shared" si="276"/>
        <v>0</v>
      </c>
      <c r="AT45" s="122">
        <f t="shared" si="276"/>
        <v>0</v>
      </c>
      <c r="AU45" s="123">
        <f t="shared" si="276"/>
        <v>0</v>
      </c>
      <c r="AV45" s="124">
        <f t="shared" si="276"/>
        <v>0</v>
      </c>
      <c r="AW45" s="122">
        <f t="shared" si="276"/>
        <v>0</v>
      </c>
      <c r="AX45" s="122">
        <f t="shared" si="276"/>
        <v>0</v>
      </c>
      <c r="AY45" s="123">
        <f t="shared" si="276"/>
        <v>0</v>
      </c>
      <c r="AZ45" s="124">
        <f t="shared" si="276"/>
        <v>0</v>
      </c>
      <c r="BA45" s="122">
        <f t="shared" si="276"/>
        <v>0</v>
      </c>
      <c r="BB45" s="122">
        <f t="shared" si="276"/>
        <v>0</v>
      </c>
      <c r="BC45" s="123">
        <f t="shared" si="276"/>
        <v>0</v>
      </c>
      <c r="BD45" s="124">
        <f t="shared" si="276"/>
        <v>0</v>
      </c>
      <c r="BE45" s="122">
        <f t="shared" si="276"/>
        <v>0</v>
      </c>
      <c r="BF45" s="122">
        <f t="shared" si="276"/>
        <v>0</v>
      </c>
      <c r="BG45" s="123">
        <f t="shared" si="276"/>
        <v>0</v>
      </c>
      <c r="BH45" s="124">
        <f t="shared" si="276"/>
        <v>0</v>
      </c>
      <c r="BI45" s="122">
        <f t="shared" si="276"/>
        <v>0</v>
      </c>
      <c r="BJ45" s="122">
        <f t="shared" si="276"/>
        <v>0</v>
      </c>
      <c r="BK45" s="123">
        <f t="shared" si="276"/>
        <v>0</v>
      </c>
      <c r="BL45" s="124">
        <f t="shared" si="276"/>
        <v>0</v>
      </c>
      <c r="BM45" s="122">
        <f t="shared" si="276"/>
        <v>0</v>
      </c>
      <c r="BN45" s="122">
        <f t="shared" si="276"/>
        <v>0</v>
      </c>
      <c r="BO45" s="123">
        <f t="shared" si="276"/>
        <v>0</v>
      </c>
      <c r="BP45" s="122">
        <f t="shared" si="276"/>
        <v>0</v>
      </c>
      <c r="BQ45" s="122">
        <f t="shared" si="276"/>
        <v>0</v>
      </c>
      <c r="BR45" s="122">
        <f t="shared" si="276"/>
        <v>0</v>
      </c>
      <c r="BS45" s="123">
        <f t="shared" si="276"/>
        <v>0</v>
      </c>
      <c r="BT45" s="122">
        <f t="shared" si="276"/>
        <v>0</v>
      </c>
      <c r="BU45" s="122">
        <f t="shared" si="276"/>
        <v>0</v>
      </c>
      <c r="BV45" s="122">
        <f t="shared" si="276"/>
        <v>0</v>
      </c>
      <c r="BW45" s="123">
        <f t="shared" si="276"/>
        <v>0</v>
      </c>
      <c r="BX45" s="122">
        <f t="shared" si="276"/>
        <v>0</v>
      </c>
      <c r="BY45" s="122">
        <f t="shared" ref="BY45:CL45" si="277">IF(ROUND(BY43-BY24,4)=0,0,BY43-BY24)</f>
        <v>0</v>
      </c>
      <c r="BZ45" s="122">
        <f t="shared" si="277"/>
        <v>0</v>
      </c>
      <c r="CA45" s="123">
        <f t="shared" si="277"/>
        <v>0</v>
      </c>
      <c r="CB45" s="122">
        <f t="shared" si="277"/>
        <v>0</v>
      </c>
      <c r="CC45" s="122">
        <f>IF(ROUND(CC43-CC24,4)=0,0,CC43-CC24)</f>
        <v>0</v>
      </c>
      <c r="CD45" s="122">
        <f>IF(ROUND(CD43-CD24,4)=0,0,CD43-CD24)</f>
        <v>0</v>
      </c>
      <c r="CE45" s="123">
        <f>IF(ROUND(CE43-CE24,4)=0,0,CE43-CE24)</f>
        <v>0</v>
      </c>
      <c r="CF45" s="122">
        <f>IF(ROUND(CF43-CF24,4)=0,0,CF43-CF24)</f>
        <v>0</v>
      </c>
      <c r="CG45" s="122">
        <f t="shared" si="277"/>
        <v>0</v>
      </c>
      <c r="CH45" s="122">
        <f>IF(ROUND(CH43-CH24,4)=0,0,CH43-CH24)</f>
        <v>0</v>
      </c>
      <c r="CI45" s="123">
        <f t="shared" si="277"/>
        <v>0</v>
      </c>
      <c r="CJ45" s="122">
        <f t="shared" si="277"/>
        <v>0</v>
      </c>
      <c r="CK45" s="122">
        <f t="shared" si="277"/>
        <v>0</v>
      </c>
      <c r="CL45" s="122">
        <f t="shared" si="277"/>
        <v>0</v>
      </c>
      <c r="CM45" s="123">
        <f t="shared" ref="CM45:CP45" si="278">IF(ROUND(CM43-CM24,4)=0,0,CM43-CM24)</f>
        <v>0</v>
      </c>
      <c r="CN45" s="122">
        <f t="shared" si="278"/>
        <v>0</v>
      </c>
      <c r="CO45" s="1239">
        <f t="shared" si="278"/>
        <v>0</v>
      </c>
      <c r="CP45" s="1239">
        <f t="shared" si="278"/>
        <v>0</v>
      </c>
      <c r="CQ45" s="123">
        <f t="shared" ref="CQ45" si="279">IF(ROUND(CQ43-CQ24,4)=0,0,CQ43-CQ24)</f>
        <v>0</v>
      </c>
      <c r="CR45" s="122">
        <f t="shared" ref="CR45:CU45" si="280">IF(ROUND(CR43-CR24,4)=0,0,CR43-CR24)</f>
        <v>0</v>
      </c>
      <c r="CS45" s="122">
        <f t="shared" si="280"/>
        <v>0</v>
      </c>
      <c r="CT45" s="122">
        <f t="shared" si="280"/>
        <v>0</v>
      </c>
      <c r="CU45" s="123">
        <f t="shared" si="280"/>
        <v>0</v>
      </c>
      <c r="CV45" s="1239">
        <f t="shared" ref="CV45:CY45" si="281">IF(ROUND(CV43-CV24,4)=0,0,CV43-CV24)</f>
        <v>0</v>
      </c>
      <c r="CW45" s="1239">
        <f t="shared" si="281"/>
        <v>0</v>
      </c>
      <c r="CX45" s="1239">
        <f t="shared" si="281"/>
        <v>0</v>
      </c>
      <c r="CY45" s="123">
        <f t="shared" si="281"/>
        <v>0</v>
      </c>
      <c r="CZ45" s="1239">
        <f t="shared" ref="CZ45:DC45" si="282">IF(ROUND(CZ43-CZ24,4)=0,0,CZ43-CZ24)</f>
        <v>0</v>
      </c>
      <c r="DA45" s="1239">
        <f t="shared" si="282"/>
        <v>0</v>
      </c>
      <c r="DB45" s="1239">
        <f t="shared" si="282"/>
        <v>0</v>
      </c>
      <c r="DC45" s="123">
        <f t="shared" si="282"/>
        <v>0</v>
      </c>
      <c r="DD45" s="18"/>
      <c r="DE45" s="122"/>
      <c r="DF45" s="122"/>
      <c r="DG45" s="122">
        <f t="shared" ref="DG45:EB45" si="283">IF(ROUND(DG43-DG24,4)=0,0,DG43-DG24)</f>
        <v>0</v>
      </c>
      <c r="DH45" s="122">
        <f t="shared" si="283"/>
        <v>0</v>
      </c>
      <c r="DI45" s="122">
        <f t="shared" si="283"/>
        <v>0</v>
      </c>
      <c r="DJ45" s="122">
        <f t="shared" si="283"/>
        <v>0</v>
      </c>
      <c r="DK45" s="122">
        <f t="shared" si="283"/>
        <v>0</v>
      </c>
      <c r="DL45" s="122">
        <f t="shared" si="283"/>
        <v>0</v>
      </c>
      <c r="DM45" s="122">
        <f t="shared" si="283"/>
        <v>0</v>
      </c>
      <c r="DN45" s="122">
        <f t="shared" si="283"/>
        <v>0</v>
      </c>
      <c r="DO45" s="122">
        <f t="shared" si="283"/>
        <v>0</v>
      </c>
      <c r="DP45" s="122">
        <f t="shared" si="283"/>
        <v>0</v>
      </c>
      <c r="DQ45" s="122">
        <f t="shared" si="283"/>
        <v>0</v>
      </c>
      <c r="DR45" s="122">
        <f t="shared" si="283"/>
        <v>0</v>
      </c>
      <c r="DS45" s="122">
        <f t="shared" si="283"/>
        <v>0</v>
      </c>
      <c r="DT45" s="122">
        <f t="shared" si="283"/>
        <v>0</v>
      </c>
      <c r="DU45" s="1239">
        <f t="shared" si="283"/>
        <v>0</v>
      </c>
      <c r="DV45" s="1239">
        <f t="shared" si="283"/>
        <v>0</v>
      </c>
      <c r="DW45" s="1239">
        <f t="shared" si="283"/>
        <v>0</v>
      </c>
      <c r="DX45" s="1239">
        <f t="shared" si="283"/>
        <v>0</v>
      </c>
      <c r="DY45" s="1239">
        <f t="shared" si="283"/>
        <v>0</v>
      </c>
      <c r="DZ45" s="1239">
        <f t="shared" si="283"/>
        <v>0</v>
      </c>
      <c r="EA45" s="122">
        <f t="shared" si="283"/>
        <v>0</v>
      </c>
      <c r="EB45" s="1239">
        <f t="shared" si="283"/>
        <v>0</v>
      </c>
      <c r="EC45" s="1239">
        <f t="shared" ref="EC45:ED45" si="284">IF(ROUND(EC43-EC24,4)=0,0,EC43-EC24)</f>
        <v>0</v>
      </c>
      <c r="ED45" s="1427">
        <f t="shared" si="284"/>
        <v>0</v>
      </c>
      <c r="EE45" s="18"/>
      <c r="EF45" s="124"/>
      <c r="EG45" s="122">
        <f t="shared" ref="EG45:EY45" si="285">IF(ROUND(EG43-EG24,4)=0,0,EG43-EG24)</f>
        <v>0</v>
      </c>
      <c r="EH45" s="122">
        <f t="shared" si="285"/>
        <v>0</v>
      </c>
      <c r="EI45" s="122">
        <f t="shared" si="285"/>
        <v>0</v>
      </c>
      <c r="EJ45" s="122">
        <f t="shared" si="285"/>
        <v>0</v>
      </c>
      <c r="EK45" s="122">
        <f t="shared" si="285"/>
        <v>0</v>
      </c>
      <c r="EL45" s="122">
        <f t="shared" si="285"/>
        <v>0</v>
      </c>
      <c r="EM45" s="122">
        <f t="shared" si="285"/>
        <v>0</v>
      </c>
      <c r="EN45" s="122">
        <f t="shared" si="285"/>
        <v>0</v>
      </c>
      <c r="EO45" s="122">
        <f t="shared" si="285"/>
        <v>0</v>
      </c>
      <c r="EP45" s="122">
        <f t="shared" si="285"/>
        <v>0</v>
      </c>
      <c r="EQ45" s="122">
        <f t="shared" si="285"/>
        <v>0</v>
      </c>
      <c r="ER45" s="122">
        <f t="shared" si="285"/>
        <v>0</v>
      </c>
      <c r="ES45" s="122">
        <f t="shared" si="285"/>
        <v>0</v>
      </c>
      <c r="ET45" s="122">
        <f t="shared" si="285"/>
        <v>0</v>
      </c>
      <c r="EU45" s="122">
        <f t="shared" si="285"/>
        <v>0</v>
      </c>
      <c r="EV45" s="122">
        <f t="shared" si="285"/>
        <v>0</v>
      </c>
      <c r="EW45" s="122">
        <f t="shared" si="285"/>
        <v>0</v>
      </c>
      <c r="EX45" s="122">
        <f t="shared" si="285"/>
        <v>0</v>
      </c>
      <c r="EY45" s="122">
        <f t="shared" si="285"/>
        <v>0</v>
      </c>
      <c r="EZ45" s="1239">
        <f t="shared" ref="EZ45:FA45" si="286">IF(ROUND(EZ43-EZ24,4)=0,0,EZ43-EZ24)</f>
        <v>0</v>
      </c>
      <c r="FA45" s="1239">
        <f t="shared" si="286"/>
        <v>0</v>
      </c>
      <c r="FB45" s="1239">
        <f t="shared" ref="FB45:FC45" si="287">IF(ROUND(FB43-FB24,4)=0,0,FB43-FB24)</f>
        <v>0</v>
      </c>
      <c r="FC45" s="1239">
        <f t="shared" si="287"/>
        <v>0</v>
      </c>
      <c r="FD45" s="217">
        <f t="shared" ref="FD45" si="288">IF(ROUND(FD43-FD24,4)=0,0,FD43-FD24)</f>
        <v>0</v>
      </c>
      <c r="FE45" s="862"/>
      <c r="FF45" s="1398"/>
      <c r="FG45" s="1398"/>
      <c r="FH45" s="1398"/>
      <c r="FO45" s="7"/>
    </row>
    <row r="46" spans="1:173" ht="14.25" customHeight="1">
      <c r="A46" s="7"/>
      <c r="B46" s="438"/>
      <c r="C46" s="59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125"/>
      <c r="BS46" s="125"/>
      <c r="BT46" s="60"/>
      <c r="BU46" s="383"/>
      <c r="BV46" s="125"/>
      <c r="BW46" s="383"/>
      <c r="BX46" s="60"/>
      <c r="BY46" s="383"/>
      <c r="BZ46" s="383"/>
      <c r="CA46" s="383"/>
      <c r="CB46" s="383"/>
      <c r="CC46" s="383"/>
      <c r="CD46" s="383"/>
      <c r="CE46" s="383"/>
      <c r="CF46" s="383"/>
      <c r="CG46" s="383"/>
      <c r="CH46" s="383"/>
      <c r="CI46" s="383"/>
      <c r="CJ46" s="383"/>
      <c r="CK46" s="383"/>
      <c r="CL46" s="383"/>
      <c r="CM46" s="383"/>
      <c r="CN46" s="383"/>
      <c r="CO46" s="1241"/>
      <c r="CP46" s="126"/>
      <c r="CQ46" s="126"/>
      <c r="CR46" s="126"/>
      <c r="CS46" s="126"/>
      <c r="CT46" s="126"/>
      <c r="CU46" s="126"/>
      <c r="CV46" s="126"/>
      <c r="CW46" s="126"/>
      <c r="CX46" s="126"/>
      <c r="CY46" s="126"/>
      <c r="CZ46" s="126"/>
      <c r="DA46" s="126"/>
      <c r="DB46" s="126"/>
      <c r="DC46" s="126"/>
      <c r="DD46" s="13"/>
      <c r="DE46" s="93"/>
      <c r="DF46" s="93"/>
      <c r="DG46" s="93"/>
      <c r="DH46" s="93"/>
      <c r="DI46" s="93"/>
      <c r="DJ46" s="93"/>
      <c r="DK46" s="93"/>
      <c r="DL46" s="93"/>
      <c r="DM46" s="93"/>
      <c r="DN46" s="93"/>
      <c r="DO46" s="93"/>
      <c r="DP46" s="93"/>
      <c r="DQ46" s="93"/>
      <c r="DR46" s="93"/>
      <c r="DS46" s="93"/>
      <c r="DT46" s="61"/>
      <c r="DU46" s="93"/>
      <c r="DV46" s="93"/>
      <c r="DW46" s="93"/>
      <c r="DX46" s="93"/>
      <c r="DY46" s="93"/>
      <c r="DZ46" s="93"/>
      <c r="EA46" s="127"/>
      <c r="EB46" s="127"/>
      <c r="EC46" s="127"/>
      <c r="ED46" s="127"/>
      <c r="EE46" s="7"/>
      <c r="EF46" s="93"/>
      <c r="EG46" s="93"/>
      <c r="EH46" s="93"/>
      <c r="EI46" s="93"/>
      <c r="EJ46" s="93"/>
      <c r="EK46" s="93"/>
      <c r="EL46" s="93"/>
      <c r="EM46" s="93"/>
      <c r="EN46" s="93"/>
      <c r="EO46" s="93"/>
      <c r="EP46" s="93"/>
      <c r="EQ46" s="93"/>
      <c r="ER46" s="93"/>
      <c r="ES46" s="93"/>
      <c r="ET46" s="93"/>
      <c r="EU46" s="93"/>
      <c r="EV46" s="61"/>
      <c r="EW46" s="127"/>
      <c r="EX46" s="127"/>
      <c r="EY46" s="127"/>
      <c r="EZ46" s="127"/>
      <c r="FA46" s="127"/>
      <c r="FB46" s="127"/>
      <c r="FC46" s="127"/>
      <c r="FD46" s="127"/>
      <c r="FE46" s="13"/>
      <c r="FF46" s="13"/>
      <c r="FG46" s="13"/>
      <c r="FH46" s="13"/>
      <c r="FO46" s="7"/>
    </row>
    <row r="47" spans="1:173" ht="14.25" customHeight="1">
      <c r="A47" s="7"/>
      <c r="B47" s="439"/>
      <c r="C47" s="59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125"/>
      <c r="BT47" s="60"/>
      <c r="BU47" s="60"/>
      <c r="BV47" s="60"/>
      <c r="BW47" s="128"/>
      <c r="BX47" s="60"/>
      <c r="BY47" s="60"/>
      <c r="BZ47" s="60"/>
      <c r="CA47" s="128"/>
      <c r="CB47" s="60"/>
      <c r="CC47" s="60"/>
      <c r="CD47" s="60"/>
      <c r="CE47" s="128"/>
      <c r="CF47" s="60"/>
      <c r="CG47" s="60"/>
      <c r="CH47" s="60"/>
      <c r="CI47" s="128"/>
      <c r="CJ47" s="60"/>
      <c r="CK47" s="60"/>
      <c r="CL47" s="60"/>
      <c r="CM47" s="128"/>
      <c r="CN47" s="60"/>
      <c r="CO47" s="1229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128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O47" s="7"/>
    </row>
    <row r="48" spans="1:173" ht="14.25" customHeight="1">
      <c r="A48" s="7"/>
      <c r="B48" s="440" t="s">
        <v>298</v>
      </c>
      <c r="C48" s="130"/>
      <c r="D48" s="15" t="str">
        <f t="shared" ref="D48:AY48" si="289">D6</f>
        <v>F1Q95A</v>
      </c>
      <c r="E48" s="16" t="str">
        <f t="shared" si="289"/>
        <v>F2Q95A</v>
      </c>
      <c r="F48" s="16" t="str">
        <f t="shared" si="289"/>
        <v>F3Q95A</v>
      </c>
      <c r="G48" s="17" t="str">
        <f t="shared" si="289"/>
        <v>F4Q95A</v>
      </c>
      <c r="H48" s="15" t="str">
        <f t="shared" si="289"/>
        <v>F1Q96A</v>
      </c>
      <c r="I48" s="16" t="str">
        <f t="shared" si="289"/>
        <v>F2Q96A</v>
      </c>
      <c r="J48" s="16" t="str">
        <f t="shared" si="289"/>
        <v>F3Q96A</v>
      </c>
      <c r="K48" s="17" t="str">
        <f t="shared" si="289"/>
        <v>F4Q96A</v>
      </c>
      <c r="L48" s="15" t="str">
        <f t="shared" si="289"/>
        <v>F1Q97A</v>
      </c>
      <c r="M48" s="16" t="str">
        <f t="shared" si="289"/>
        <v>F2Q97A</v>
      </c>
      <c r="N48" s="16" t="str">
        <f t="shared" si="289"/>
        <v>F3Q97A</v>
      </c>
      <c r="O48" s="17" t="str">
        <f t="shared" si="289"/>
        <v>F4Q97A</v>
      </c>
      <c r="P48" s="15" t="str">
        <f t="shared" si="289"/>
        <v>F1Q98A</v>
      </c>
      <c r="Q48" s="16" t="str">
        <f t="shared" si="289"/>
        <v>F2Q98A</v>
      </c>
      <c r="R48" s="16" t="str">
        <f t="shared" si="289"/>
        <v>F3Q98A</v>
      </c>
      <c r="S48" s="17" t="str">
        <f t="shared" si="289"/>
        <v>F4Q98A</v>
      </c>
      <c r="T48" s="15" t="str">
        <f t="shared" si="289"/>
        <v>F1Q99A</v>
      </c>
      <c r="U48" s="16" t="str">
        <f t="shared" si="289"/>
        <v>F2Q99A</v>
      </c>
      <c r="V48" s="16" t="str">
        <f t="shared" si="289"/>
        <v>F3Q99A</v>
      </c>
      <c r="W48" s="17" t="str">
        <f t="shared" si="289"/>
        <v>F4Q99A</v>
      </c>
      <c r="X48" s="15" t="str">
        <f t="shared" si="289"/>
        <v>F1Q00A</v>
      </c>
      <c r="Y48" s="16" t="str">
        <f t="shared" si="289"/>
        <v>F2Q00A</v>
      </c>
      <c r="Z48" s="16" t="str">
        <f t="shared" si="289"/>
        <v>F3Q00A</v>
      </c>
      <c r="AA48" s="17" t="str">
        <f t="shared" si="289"/>
        <v>F4Q00A</v>
      </c>
      <c r="AB48" s="15" t="str">
        <f t="shared" si="289"/>
        <v>F1Q01A</v>
      </c>
      <c r="AC48" s="16" t="str">
        <f t="shared" si="289"/>
        <v>F2Q01A</v>
      </c>
      <c r="AD48" s="16" t="str">
        <f t="shared" si="289"/>
        <v>F3Q01A</v>
      </c>
      <c r="AE48" s="17" t="str">
        <f t="shared" si="289"/>
        <v>F4Q01A</v>
      </c>
      <c r="AF48" s="15" t="str">
        <f t="shared" si="289"/>
        <v>F1Q02A</v>
      </c>
      <c r="AG48" s="16" t="str">
        <f t="shared" si="289"/>
        <v>F2Q02A</v>
      </c>
      <c r="AH48" s="16" t="str">
        <f t="shared" si="289"/>
        <v>F3Q02A</v>
      </c>
      <c r="AI48" s="17" t="str">
        <f t="shared" si="289"/>
        <v>F4Q02A</v>
      </c>
      <c r="AJ48" s="15" t="str">
        <f t="shared" si="289"/>
        <v>F1Q03A</v>
      </c>
      <c r="AK48" s="16" t="str">
        <f t="shared" si="289"/>
        <v>F2Q03A</v>
      </c>
      <c r="AL48" s="16" t="str">
        <f t="shared" si="289"/>
        <v>F3Q03A</v>
      </c>
      <c r="AM48" s="17" t="str">
        <f t="shared" si="289"/>
        <v>F4Q03A</v>
      </c>
      <c r="AN48" s="15" t="str">
        <f t="shared" si="289"/>
        <v>F1Q04A</v>
      </c>
      <c r="AO48" s="16" t="str">
        <f t="shared" si="289"/>
        <v>F2Q04A</v>
      </c>
      <c r="AP48" s="16" t="str">
        <f t="shared" si="289"/>
        <v>F3Q04A</v>
      </c>
      <c r="AQ48" s="17" t="str">
        <f t="shared" si="289"/>
        <v>F4Q04A</v>
      </c>
      <c r="AR48" s="15" t="str">
        <f t="shared" si="289"/>
        <v>F1Q05A</v>
      </c>
      <c r="AS48" s="16" t="str">
        <f t="shared" si="289"/>
        <v>F2Q05A</v>
      </c>
      <c r="AT48" s="16" t="str">
        <f t="shared" si="289"/>
        <v>F3Q05A</v>
      </c>
      <c r="AU48" s="17" t="str">
        <f t="shared" si="289"/>
        <v>F4Q05A</v>
      </c>
      <c r="AV48" s="15" t="str">
        <f t="shared" si="289"/>
        <v>F1Q06A</v>
      </c>
      <c r="AW48" s="16" t="str">
        <f t="shared" si="289"/>
        <v>F2Q06A</v>
      </c>
      <c r="AX48" s="16" t="str">
        <f t="shared" si="289"/>
        <v>F3Q06A</v>
      </c>
      <c r="AY48" s="17" t="str">
        <f t="shared" si="289"/>
        <v>F4Q06A</v>
      </c>
      <c r="AZ48" s="15" t="str">
        <f>AZ6</f>
        <v>F1Q07A</v>
      </c>
      <c r="BA48" s="16" t="str">
        <f>BA6</f>
        <v>F2Q07A</v>
      </c>
      <c r="BB48" s="16" t="str">
        <f>BB6</f>
        <v>F3Q07A</v>
      </c>
      <c r="BC48" s="17" t="str">
        <f>BC6</f>
        <v>F4Q07A</v>
      </c>
      <c r="BD48" s="15" t="str">
        <f t="shared" ref="BD48:CL48" si="290">BD6</f>
        <v>F1Q08A</v>
      </c>
      <c r="BE48" s="16" t="str">
        <f t="shared" si="290"/>
        <v>F2Q08A</v>
      </c>
      <c r="BF48" s="16" t="str">
        <f t="shared" si="290"/>
        <v>F3Q08A</v>
      </c>
      <c r="BG48" s="17" t="str">
        <f t="shared" si="290"/>
        <v>F4Q08A</v>
      </c>
      <c r="BH48" s="15" t="str">
        <f>BH6</f>
        <v>F1Q09A</v>
      </c>
      <c r="BI48" s="16" t="str">
        <f>BI6</f>
        <v>F2Q09A</v>
      </c>
      <c r="BJ48" s="16" t="str">
        <f>BJ6</f>
        <v>F3Q09A</v>
      </c>
      <c r="BK48" s="17" t="str">
        <f>BK6</f>
        <v>F4Q09A</v>
      </c>
      <c r="BL48" s="15" t="str">
        <f t="shared" si="290"/>
        <v>F1Q10A</v>
      </c>
      <c r="BM48" s="16" t="str">
        <f t="shared" si="290"/>
        <v>F2Q10A</v>
      </c>
      <c r="BN48" s="16" t="str">
        <f t="shared" si="290"/>
        <v>F3Q10A</v>
      </c>
      <c r="BO48" s="17" t="str">
        <f t="shared" si="290"/>
        <v>F4Q10A</v>
      </c>
      <c r="BP48" s="15" t="str">
        <f>BP6</f>
        <v>F1Q11A</v>
      </c>
      <c r="BQ48" s="16" t="str">
        <f t="shared" si="290"/>
        <v>F2Q11A</v>
      </c>
      <c r="BR48" s="16" t="str">
        <f t="shared" si="290"/>
        <v>F3Q11A</v>
      </c>
      <c r="BS48" s="17" t="str">
        <f t="shared" si="290"/>
        <v>F4Q11A</v>
      </c>
      <c r="BT48" s="15" t="str">
        <f t="shared" ref="BT48:BY48" si="291">BT6</f>
        <v>F1Q12A</v>
      </c>
      <c r="BU48" s="16" t="str">
        <f t="shared" si="291"/>
        <v>F2Q12A</v>
      </c>
      <c r="BV48" s="16" t="str">
        <f t="shared" si="291"/>
        <v>F3Q12A</v>
      </c>
      <c r="BW48" s="17" t="str">
        <f t="shared" si="291"/>
        <v>F4Q12A</v>
      </c>
      <c r="BX48" s="15" t="str">
        <f t="shared" si="291"/>
        <v>F1Q13A</v>
      </c>
      <c r="BY48" s="16" t="str">
        <f t="shared" si="291"/>
        <v>F2Q13A</v>
      </c>
      <c r="BZ48" s="16" t="str">
        <f t="shared" si="290"/>
        <v>F3Q13</v>
      </c>
      <c r="CA48" s="17" t="str">
        <f t="shared" si="290"/>
        <v>F4Q13</v>
      </c>
      <c r="CB48" s="15" t="str">
        <f t="shared" si="290"/>
        <v>F1Q14</v>
      </c>
      <c r="CC48" s="16" t="str">
        <f t="shared" si="290"/>
        <v>F2Q14A</v>
      </c>
      <c r="CD48" s="16" t="str">
        <f t="shared" si="290"/>
        <v>F3Q14A</v>
      </c>
      <c r="CE48" s="17" t="str">
        <f t="shared" si="290"/>
        <v>F4Q14</v>
      </c>
      <c r="CF48" s="15" t="str">
        <f t="shared" si="290"/>
        <v>F1Q15A</v>
      </c>
      <c r="CG48" s="16" t="str">
        <f t="shared" si="290"/>
        <v>F2Q15A</v>
      </c>
      <c r="CH48" s="16" t="str">
        <f t="shared" si="290"/>
        <v>F3Q15A</v>
      </c>
      <c r="CI48" s="17" t="str">
        <f t="shared" si="290"/>
        <v>F4Q15A</v>
      </c>
      <c r="CJ48" s="15" t="str">
        <f t="shared" si="290"/>
        <v>F1Q16A</v>
      </c>
      <c r="CK48" s="16" t="str">
        <f t="shared" si="290"/>
        <v>F2Q16A</v>
      </c>
      <c r="CL48" s="16" t="str">
        <f t="shared" si="290"/>
        <v>F3Q16A</v>
      </c>
      <c r="CM48" s="17" t="str">
        <f t="shared" ref="CM48:CO48" si="292">CM6</f>
        <v>F4Q16A</v>
      </c>
      <c r="CN48" s="15" t="str">
        <f t="shared" si="292"/>
        <v>F1Q17A</v>
      </c>
      <c r="CO48" s="1227" t="str">
        <f t="shared" si="292"/>
        <v>F2Q17A</v>
      </c>
      <c r="CP48" s="16" t="str">
        <f t="shared" ref="CP48:CU48" si="293">CP6</f>
        <v>F3Q17A</v>
      </c>
      <c r="CQ48" s="17" t="str">
        <f t="shared" si="293"/>
        <v>F4Q17A</v>
      </c>
      <c r="CR48" s="16" t="str">
        <f t="shared" si="293"/>
        <v>F1Q18A</v>
      </c>
      <c r="CS48" s="16" t="str">
        <f t="shared" si="293"/>
        <v>F2Q18A</v>
      </c>
      <c r="CT48" s="16" t="str">
        <f t="shared" si="293"/>
        <v>F3Q18E</v>
      </c>
      <c r="CU48" s="17" t="str">
        <f t="shared" si="293"/>
        <v>F4Q18E</v>
      </c>
      <c r="CV48" s="1319" t="str">
        <f t="shared" ref="CV48:CY48" si="294">CV6</f>
        <v>F1Q19E</v>
      </c>
      <c r="CW48" s="1319" t="str">
        <f t="shared" si="294"/>
        <v>F2Q19E</v>
      </c>
      <c r="CX48" s="1319" t="str">
        <f t="shared" si="294"/>
        <v>F3Q19E</v>
      </c>
      <c r="CY48" s="1320" t="str">
        <f t="shared" si="294"/>
        <v>F4Q19E</v>
      </c>
      <c r="CZ48" s="1319" t="str">
        <f t="shared" ref="CZ48:DC48" si="295">CZ6</f>
        <v>F1Q20E</v>
      </c>
      <c r="DA48" s="1319" t="str">
        <f t="shared" si="295"/>
        <v>F2Q20E</v>
      </c>
      <c r="DB48" s="1319" t="str">
        <f t="shared" si="295"/>
        <v>F3Q20E</v>
      </c>
      <c r="DC48" s="1320" t="str">
        <f t="shared" si="295"/>
        <v>F4Q20E</v>
      </c>
      <c r="DD48" s="18"/>
      <c r="DE48" s="404" t="str">
        <f t="shared" ref="DE48:DN48" si="296">DE6</f>
        <v>FY1995A</v>
      </c>
      <c r="DF48" s="16" t="str">
        <f t="shared" si="296"/>
        <v>FY1996A</v>
      </c>
      <c r="DG48" s="16" t="str">
        <f t="shared" si="296"/>
        <v>FY1997A</v>
      </c>
      <c r="DH48" s="16" t="str">
        <f t="shared" si="296"/>
        <v>FY1998A</v>
      </c>
      <c r="DI48" s="16" t="str">
        <f t="shared" si="296"/>
        <v>FY1999A</v>
      </c>
      <c r="DJ48" s="16" t="str">
        <f t="shared" si="296"/>
        <v>FY2000A</v>
      </c>
      <c r="DK48" s="16" t="str">
        <f t="shared" si="296"/>
        <v>FY2001A</v>
      </c>
      <c r="DL48" s="16" t="str">
        <f t="shared" si="296"/>
        <v>FY2002A</v>
      </c>
      <c r="DM48" s="16" t="str">
        <f t="shared" si="296"/>
        <v>FY2003A</v>
      </c>
      <c r="DN48" s="16" t="str">
        <f t="shared" si="296"/>
        <v>FY2004A</v>
      </c>
      <c r="DO48" s="16" t="str">
        <f>DO6</f>
        <v>FY2005A</v>
      </c>
      <c r="DP48" s="16" t="str">
        <f>DP6</f>
        <v>FY2006A</v>
      </c>
      <c r="DQ48" s="16" t="str">
        <f>DQ6</f>
        <v>FY2007A</v>
      </c>
      <c r="DR48" s="16" t="str">
        <f>DR6</f>
        <v>FY2008A</v>
      </c>
      <c r="DS48" s="16" t="str">
        <f>DS6</f>
        <v>FY2009A</v>
      </c>
      <c r="DT48" s="16" t="str">
        <f t="shared" ref="DT48:EB48" si="297">DT6</f>
        <v>FY2010A</v>
      </c>
      <c r="DU48" s="1319" t="str">
        <f t="shared" si="297"/>
        <v>FY2011A</v>
      </c>
      <c r="DV48" s="1319" t="str">
        <f t="shared" si="297"/>
        <v>FY2012A</v>
      </c>
      <c r="DW48" s="1319" t="str">
        <f t="shared" si="297"/>
        <v>FY2013A</v>
      </c>
      <c r="DX48" s="1319" t="str">
        <f t="shared" si="297"/>
        <v>FY2014A</v>
      </c>
      <c r="DY48" s="1319" t="str">
        <f t="shared" si="297"/>
        <v>FY2015A</v>
      </c>
      <c r="DZ48" s="1319" t="str">
        <f t="shared" si="297"/>
        <v>FY2016A</v>
      </c>
      <c r="EA48" s="16" t="str">
        <f t="shared" si="297"/>
        <v>FY2017A</v>
      </c>
      <c r="EB48" s="1319" t="str">
        <f t="shared" si="297"/>
        <v>FY2018E</v>
      </c>
      <c r="EC48" s="1319" t="str">
        <f t="shared" ref="EC48:ED48" si="298">EC6</f>
        <v>FY2019E</v>
      </c>
      <c r="ED48" s="1426" t="str">
        <f t="shared" si="298"/>
        <v>FY2020E</v>
      </c>
      <c r="EE48" s="18"/>
      <c r="EF48" s="1318" t="str">
        <f t="shared" ref="EF48:EO48" si="299">EF4</f>
        <v>CY1995</v>
      </c>
      <c r="EG48" s="1319" t="str">
        <f t="shared" si="299"/>
        <v>CY1996</v>
      </c>
      <c r="EH48" s="1319" t="str">
        <f t="shared" si="299"/>
        <v>CY1997</v>
      </c>
      <c r="EI48" s="1319" t="str">
        <f t="shared" si="299"/>
        <v>CY1998</v>
      </c>
      <c r="EJ48" s="1319" t="str">
        <f t="shared" si="299"/>
        <v>CY1999</v>
      </c>
      <c r="EK48" s="1319" t="str">
        <f t="shared" si="299"/>
        <v>CY2000</v>
      </c>
      <c r="EL48" s="1319" t="str">
        <f t="shared" si="299"/>
        <v>CY2001</v>
      </c>
      <c r="EM48" s="1319" t="str">
        <f t="shared" si="299"/>
        <v>CY2002</v>
      </c>
      <c r="EN48" s="1319" t="str">
        <f t="shared" si="299"/>
        <v>CY2003</v>
      </c>
      <c r="EO48" s="1319" t="str">
        <f t="shared" si="299"/>
        <v>CY2004</v>
      </c>
      <c r="EP48" s="1319" t="str">
        <f>EP4</f>
        <v>CY2005</v>
      </c>
      <c r="EQ48" s="1319" t="str">
        <f t="shared" ref="EQ48:EX48" si="300">EQ4</f>
        <v>CY2006</v>
      </c>
      <c r="ER48" s="1319" t="str">
        <f t="shared" si="300"/>
        <v>CY2007</v>
      </c>
      <c r="ES48" s="1319" t="str">
        <f t="shared" si="300"/>
        <v>CY2008</v>
      </c>
      <c r="ET48" s="1319" t="str">
        <f t="shared" si="300"/>
        <v>CY2009</v>
      </c>
      <c r="EU48" s="1319" t="str">
        <f t="shared" si="300"/>
        <v>CY2010</v>
      </c>
      <c r="EV48" s="16" t="str">
        <f t="shared" si="300"/>
        <v>CY2011</v>
      </c>
      <c r="EW48" s="16" t="str">
        <f t="shared" si="300"/>
        <v>CY2012</v>
      </c>
      <c r="EX48" s="16" t="str">
        <f t="shared" si="300"/>
        <v>CY2013</v>
      </c>
      <c r="EY48" s="16" t="str">
        <f>EY4</f>
        <v>CY2014</v>
      </c>
      <c r="EZ48" s="1319" t="str">
        <f t="shared" ref="EZ48:FC48" si="301">EZ4</f>
        <v>CY2015</v>
      </c>
      <c r="FA48" s="1319" t="str">
        <f t="shared" si="301"/>
        <v>CY2016</v>
      </c>
      <c r="FB48" s="1319" t="str">
        <f t="shared" si="301"/>
        <v>CY2017</v>
      </c>
      <c r="FC48" s="1319" t="str">
        <f t="shared" si="301"/>
        <v>CY2018</v>
      </c>
      <c r="FD48" s="20" t="str">
        <f t="shared" ref="FD48" si="302">FD4</f>
        <v>CY2019</v>
      </c>
      <c r="FE48" s="21"/>
      <c r="FF48" s="13"/>
      <c r="FG48" s="13"/>
      <c r="FH48" s="13"/>
      <c r="FO48" s="7"/>
    </row>
    <row r="49" spans="1:171" ht="14.25" customHeight="1">
      <c r="A49" s="7"/>
      <c r="B49" s="433" t="s">
        <v>299</v>
      </c>
      <c r="C49" s="23"/>
      <c r="D49" s="65"/>
      <c r="E49" s="66"/>
      <c r="F49" s="66"/>
      <c r="G49" s="67"/>
      <c r="H49" s="65"/>
      <c r="I49" s="66"/>
      <c r="J49" s="66"/>
      <c r="K49" s="67"/>
      <c r="L49" s="65">
        <f t="shared" ref="L49:AQ49" si="303">L11/(L55*4)*360</f>
        <v>38.974042027194066</v>
      </c>
      <c r="M49" s="66">
        <f t="shared" si="303"/>
        <v>31.225747546222323</v>
      </c>
      <c r="N49" s="66">
        <f t="shared" si="303"/>
        <v>34.255958549222797</v>
      </c>
      <c r="O49" s="67">
        <f t="shared" si="303"/>
        <v>43.649334178820546</v>
      </c>
      <c r="P49" s="65">
        <f t="shared" si="303"/>
        <v>41.046693826386715</v>
      </c>
      <c r="Q49" s="66">
        <f t="shared" si="303"/>
        <v>41.709905660377359</v>
      </c>
      <c r="R49" s="66">
        <f t="shared" si="303"/>
        <v>58.433164680920513</v>
      </c>
      <c r="S49" s="67">
        <f t="shared" si="303"/>
        <v>63.65409622886866</v>
      </c>
      <c r="T49" s="65">
        <f t="shared" si="303"/>
        <v>54.616935483870961</v>
      </c>
      <c r="U49" s="66">
        <f t="shared" si="303"/>
        <v>51.931175667771491</v>
      </c>
      <c r="V49" s="66">
        <f t="shared" si="303"/>
        <v>58.503125723547122</v>
      </c>
      <c r="W49" s="67">
        <f t="shared" si="303"/>
        <v>57.6739452257587</v>
      </c>
      <c r="X49" s="65">
        <f t="shared" si="303"/>
        <v>61.379772270596114</v>
      </c>
      <c r="Y49" s="66">
        <f t="shared" si="303"/>
        <v>68.002760762660685</v>
      </c>
      <c r="Z49" s="66">
        <f t="shared" si="303"/>
        <v>66.257562105805135</v>
      </c>
      <c r="AA49" s="67">
        <f t="shared" si="303"/>
        <v>61.42466822794691</v>
      </c>
      <c r="AB49" s="65">
        <f t="shared" si="303"/>
        <v>56.842708068210747</v>
      </c>
      <c r="AC49" s="66">
        <f t="shared" si="303"/>
        <v>48.931218917143653</v>
      </c>
      <c r="AD49" s="66">
        <f t="shared" si="303"/>
        <v>74.657216179885125</v>
      </c>
      <c r="AE49" s="67">
        <f t="shared" si="303"/>
        <v>148.33229231730149</v>
      </c>
      <c r="AF49" s="65">
        <f t="shared" si="303"/>
        <v>62.972399150743108</v>
      </c>
      <c r="AG49" s="66">
        <f t="shared" si="303"/>
        <v>64.458894565722247</v>
      </c>
      <c r="AH49" s="66">
        <f t="shared" si="303"/>
        <v>68.270228215767631</v>
      </c>
      <c r="AI49" s="67">
        <f t="shared" si="303"/>
        <v>64.720588235294116</v>
      </c>
      <c r="AJ49" s="65">
        <f t="shared" si="303"/>
        <v>58.261567654357023</v>
      </c>
      <c r="AK49" s="66">
        <f t="shared" si="303"/>
        <v>55.329936305732488</v>
      </c>
      <c r="AL49" s="66">
        <f t="shared" si="303"/>
        <v>60.86392793776443</v>
      </c>
      <c r="AM49" s="67">
        <f t="shared" si="303"/>
        <v>65.081598199212152</v>
      </c>
      <c r="AN49" s="65">
        <f t="shared" si="303"/>
        <v>58.826770231213878</v>
      </c>
      <c r="AO49" s="66">
        <f t="shared" si="303"/>
        <v>64.543895055499505</v>
      </c>
      <c r="AP49" s="66">
        <f t="shared" si="303"/>
        <v>62.028116045845273</v>
      </c>
      <c r="AQ49" s="67">
        <f t="shared" si="303"/>
        <v>58.554490413723514</v>
      </c>
      <c r="AR49" s="65">
        <f t="shared" ref="AR49:BW49" si="304">AR11/(AR55*4)*360</f>
        <v>61.471078314686977</v>
      </c>
      <c r="AS49" s="66">
        <f t="shared" si="304"/>
        <v>64.559981649973238</v>
      </c>
      <c r="AT49" s="66">
        <f t="shared" si="304"/>
        <v>62.783153101878199</v>
      </c>
      <c r="AU49" s="67">
        <f t="shared" si="304"/>
        <v>56.84210526315789</v>
      </c>
      <c r="AV49" s="65">
        <f t="shared" si="304"/>
        <v>53.221471581730064</v>
      </c>
      <c r="AW49" s="66">
        <f t="shared" si="304"/>
        <v>68.084081632653067</v>
      </c>
      <c r="AX49" s="66">
        <f t="shared" si="304"/>
        <v>55.256420025908717</v>
      </c>
      <c r="AY49" s="67">
        <f t="shared" si="304"/>
        <v>62.653997378768018</v>
      </c>
      <c r="AZ49" s="65">
        <f t="shared" si="304"/>
        <v>58.588235294117652</v>
      </c>
      <c r="BA49" s="66">
        <f t="shared" si="304"/>
        <v>59.474421864050449</v>
      </c>
      <c r="BB49" s="66">
        <f t="shared" si="304"/>
        <v>58.353941267387938</v>
      </c>
      <c r="BC49" s="67">
        <f t="shared" si="304"/>
        <v>62.254697286012522</v>
      </c>
      <c r="BD49" s="65">
        <f t="shared" si="304"/>
        <v>62.560260586319217</v>
      </c>
      <c r="BE49" s="66">
        <f t="shared" si="304"/>
        <v>59.205298013245034</v>
      </c>
      <c r="BF49" s="66">
        <f t="shared" si="304"/>
        <v>59.779706275033377</v>
      </c>
      <c r="BG49" s="67">
        <f t="shared" si="304"/>
        <v>64.099378881987576</v>
      </c>
      <c r="BH49" s="65">
        <f t="shared" si="304"/>
        <v>66.18402282453637</v>
      </c>
      <c r="BI49" s="66">
        <f t="shared" si="304"/>
        <v>59.274924471299087</v>
      </c>
      <c r="BJ49" s="66">
        <f t="shared" si="304"/>
        <v>61.03074141048824</v>
      </c>
      <c r="BK49" s="67">
        <f t="shared" si="304"/>
        <v>55.161290322580648</v>
      </c>
      <c r="BL49" s="65">
        <f t="shared" si="304"/>
        <v>56.431034482758626</v>
      </c>
      <c r="BM49" s="66">
        <f t="shared" si="304"/>
        <v>49.199388067312597</v>
      </c>
      <c r="BN49" s="66">
        <f t="shared" si="304"/>
        <v>61.67832167832168</v>
      </c>
      <c r="BO49" s="67">
        <f t="shared" si="304"/>
        <v>55.270758122743686</v>
      </c>
      <c r="BP49" s="65">
        <f t="shared" si="304"/>
        <v>54.4316163410302</v>
      </c>
      <c r="BQ49" s="66">
        <f t="shared" si="304"/>
        <v>55.547186530793091</v>
      </c>
      <c r="BR49" s="66">
        <f t="shared" si="304"/>
        <v>62.903225806451616</v>
      </c>
      <c r="BS49" s="67">
        <f t="shared" si="304"/>
        <v>62.957943925233643</v>
      </c>
      <c r="BT49" s="65">
        <f t="shared" si="304"/>
        <v>59.555023923444978</v>
      </c>
      <c r="BU49" s="66">
        <f t="shared" si="304"/>
        <v>55.594823295171729</v>
      </c>
      <c r="BV49" s="66">
        <f t="shared" si="304"/>
        <v>55.234806629834253</v>
      </c>
      <c r="BW49" s="67">
        <f t="shared" si="304"/>
        <v>59.098318899643402</v>
      </c>
      <c r="BX49" s="65">
        <f>BX11/(BX55*4)*360</f>
        <v>55.894220283533258</v>
      </c>
      <c r="BY49" s="66">
        <f>BY11/(BY55*4)*360</f>
        <v>53.09913378248315</v>
      </c>
      <c r="BZ49" s="66">
        <f>BZ11/(BZ55*4)*360</f>
        <v>58.356341673856775</v>
      </c>
      <c r="CA49" s="67">
        <f>+BZ49</f>
        <v>58.356341673856775</v>
      </c>
      <c r="CB49" s="632">
        <f t="shared" ref="CB49:CG49" si="305">CB11/(CB55*4)*360</f>
        <v>63.080158337456709</v>
      </c>
      <c r="CC49" s="66">
        <f t="shared" si="305"/>
        <v>61.928414901387875</v>
      </c>
      <c r="CD49" s="66">
        <f t="shared" si="305"/>
        <v>61.36363636363636</v>
      </c>
      <c r="CE49" s="66">
        <f t="shared" si="305"/>
        <v>61.873669268985097</v>
      </c>
      <c r="CF49" s="632">
        <f t="shared" si="305"/>
        <v>52.409796632407605</v>
      </c>
      <c r="CG49" s="66">
        <f t="shared" si="305"/>
        <v>59.647143542966873</v>
      </c>
      <c r="CH49" s="66">
        <f>CH11/(CH55*4)*360</f>
        <v>59.096807682325462</v>
      </c>
      <c r="CI49" s="141">
        <f t="shared" ref="CI49:CK49" si="306">CI11/(CI55*4)*360</f>
        <v>62.674999999999997</v>
      </c>
      <c r="CJ49" s="632">
        <f t="shared" si="306"/>
        <v>59.722388059701494</v>
      </c>
      <c r="CK49" s="66">
        <f t="shared" si="306"/>
        <v>60.858895705521476</v>
      </c>
      <c r="CL49" s="66">
        <f t="shared" ref="CL49:CN49" si="307">CL11/(CL55*4)*360</f>
        <v>64.378881987577643</v>
      </c>
      <c r="CM49" s="141">
        <f t="shared" si="307"/>
        <v>57.85514454460678</v>
      </c>
      <c r="CN49" s="632">
        <f t="shared" si="307"/>
        <v>55.609571788413092</v>
      </c>
      <c r="CO49" s="1281">
        <f t="shared" ref="CO49" si="308">+CN49</f>
        <v>55.609571788413092</v>
      </c>
      <c r="CP49" s="630">
        <f t="shared" ref="CP49:CR49" si="309">CP11/(CP55*4)*360</f>
        <v>56.54509522098455</v>
      </c>
      <c r="CQ49" s="631">
        <f t="shared" si="309"/>
        <v>55.117302052785924</v>
      </c>
      <c r="CR49" s="630">
        <f t="shared" si="309"/>
        <v>51.277377627517268</v>
      </c>
      <c r="CS49" s="630">
        <v>62</v>
      </c>
      <c r="CT49" s="630">
        <f t="shared" ref="CT49" si="310">+CS49</f>
        <v>62</v>
      </c>
      <c r="CU49" s="631">
        <f t="shared" ref="CU49" si="311">+CT49</f>
        <v>62</v>
      </c>
      <c r="CV49" s="1281">
        <v>60</v>
      </c>
      <c r="CW49" s="1281">
        <v>62</v>
      </c>
      <c r="CX49" s="1281">
        <f t="shared" ref="CX49" si="312">+CW49</f>
        <v>62</v>
      </c>
      <c r="CY49" s="631">
        <f t="shared" ref="CY49" si="313">+CX49</f>
        <v>62</v>
      </c>
      <c r="CZ49" s="1281">
        <v>60</v>
      </c>
      <c r="DA49" s="1281">
        <v>62</v>
      </c>
      <c r="DB49" s="1281">
        <f t="shared" ref="DB49" si="314">+DA49</f>
        <v>62</v>
      </c>
      <c r="DC49" s="631">
        <f t="shared" ref="DC49" si="315">+DB49</f>
        <v>62</v>
      </c>
      <c r="DD49" s="98"/>
      <c r="DE49" s="131"/>
      <c r="DF49" s="66"/>
      <c r="DG49" s="66">
        <f t="shared" ref="DG49:DY49" si="316">DG11/DG55*360</f>
        <v>46.993030863319589</v>
      </c>
      <c r="DH49" s="66">
        <f t="shared" si="316"/>
        <v>58.248768717152025</v>
      </c>
      <c r="DI49" s="66">
        <f t="shared" si="316"/>
        <v>66.242295430393199</v>
      </c>
      <c r="DJ49" s="66">
        <f t="shared" si="316"/>
        <v>89.04375707280272</v>
      </c>
      <c r="DK49" s="66">
        <f t="shared" si="316"/>
        <v>72.404278563987887</v>
      </c>
      <c r="DL49" s="66">
        <f t="shared" si="316"/>
        <v>74.794901506373108</v>
      </c>
      <c r="DM49" s="66">
        <f t="shared" si="316"/>
        <v>74.822890046258848</v>
      </c>
      <c r="DN49" s="66">
        <f t="shared" si="316"/>
        <v>63.242359565868952</v>
      </c>
      <c r="DO49" s="405">
        <f t="shared" si="316"/>
        <v>58.600877013237159</v>
      </c>
      <c r="DP49" s="66">
        <f t="shared" si="316"/>
        <v>65.281365576102417</v>
      </c>
      <c r="DQ49" s="66">
        <f t="shared" si="316"/>
        <v>62.911392405063296</v>
      </c>
      <c r="DR49" s="66">
        <f t="shared" si="316"/>
        <v>63.605546995377509</v>
      </c>
      <c r="DS49" s="66">
        <f t="shared" si="316"/>
        <v>59.812617114303563</v>
      </c>
      <c r="DT49" s="66">
        <f t="shared" si="316"/>
        <v>64.979957557179915</v>
      </c>
      <c r="DU49" s="66">
        <f t="shared" si="316"/>
        <v>61.324533454710974</v>
      </c>
      <c r="DV49" s="66">
        <f t="shared" si="316"/>
        <v>56.356570318192858</v>
      </c>
      <c r="DW49" s="66">
        <f t="shared" si="316"/>
        <v>92.410448583709893</v>
      </c>
      <c r="DX49" s="66">
        <f t="shared" si="316"/>
        <v>63.954028609854504</v>
      </c>
      <c r="DY49" s="66">
        <f t="shared" si="316"/>
        <v>55.73863636363636</v>
      </c>
      <c r="DZ49" s="66">
        <f>DZ11/DZ55*360</f>
        <v>60.043551899346724</v>
      </c>
      <c r="EA49" s="66">
        <f>EA11/EA55*360</f>
        <v>66.589902568644817</v>
      </c>
      <c r="EB49" s="66">
        <f>EB11/EB55*360</f>
        <v>64.695702327879047</v>
      </c>
      <c r="EC49" s="66">
        <f>EC11/EC55*360</f>
        <v>60.047516103700964</v>
      </c>
      <c r="ED49" s="67">
        <f>ED11/ED55*360</f>
        <v>62.695676989540225</v>
      </c>
      <c r="EE49" s="18"/>
      <c r="EF49" s="65"/>
      <c r="EG49" s="66">
        <f t="shared" ref="EG49:EY49" si="317">EG11/EG55*360</f>
        <v>35.514533337505085</v>
      </c>
      <c r="EH49" s="66">
        <f t="shared" si="317"/>
        <v>41.972921729377525</v>
      </c>
      <c r="EI49" s="66">
        <f t="shared" si="317"/>
        <v>60.587084148727989</v>
      </c>
      <c r="EJ49" s="66">
        <f t="shared" si="317"/>
        <v>76.471106372128617</v>
      </c>
      <c r="EK49" s="66">
        <f t="shared" si="317"/>
        <v>54.221507366887707</v>
      </c>
      <c r="EL49" s="66">
        <f t="shared" si="317"/>
        <v>38.29567462879276</v>
      </c>
      <c r="EM49" s="66">
        <f t="shared" si="317"/>
        <v>56.017121605501373</v>
      </c>
      <c r="EN49" s="66">
        <f t="shared" si="317"/>
        <v>74.153811123128605</v>
      </c>
      <c r="EO49" s="66">
        <f t="shared" si="317"/>
        <v>67.998156803370406</v>
      </c>
      <c r="EP49" s="66">
        <f t="shared" si="317"/>
        <v>58.19459220747936</v>
      </c>
      <c r="EQ49" s="66">
        <f t="shared" si="317"/>
        <v>65.903284503832225</v>
      </c>
      <c r="ER49" s="66">
        <f t="shared" si="317"/>
        <v>67.472334445810645</v>
      </c>
      <c r="ES49" s="66">
        <f t="shared" si="317"/>
        <v>65.024526979677645</v>
      </c>
      <c r="ET49" s="66">
        <f t="shared" si="317"/>
        <v>76.397588017895345</v>
      </c>
      <c r="EU49" s="66">
        <f t="shared" si="317"/>
        <v>54.516344229486329</v>
      </c>
      <c r="EV49" s="66">
        <f t="shared" si="317"/>
        <v>57.718525388360774</v>
      </c>
      <c r="EW49" s="66">
        <f t="shared" si="317"/>
        <v>51.396339934820759</v>
      </c>
      <c r="EX49" s="66">
        <f t="shared" si="317"/>
        <v>90.406878822799399</v>
      </c>
      <c r="EY49" s="66">
        <f t="shared" si="317"/>
        <v>56.763573923855766</v>
      </c>
      <c r="EZ49" s="66">
        <f t="shared" ref="EZ49:FC49" si="318">EZ11/EZ55*360</f>
        <v>53.462489144231412</v>
      </c>
      <c r="FA49" s="66">
        <f t="shared" si="318"/>
        <v>67.83009447730241</v>
      </c>
      <c r="FB49" s="66">
        <f t="shared" si="318"/>
        <v>60.261714532498374</v>
      </c>
      <c r="FC49" s="66">
        <f t="shared" si="318"/>
        <v>59.419190871570656</v>
      </c>
      <c r="FD49" s="141">
        <f t="shared" ref="FD49" si="319">FD11/FD55*360</f>
        <v>59.060552899824465</v>
      </c>
      <c r="FE49" s="21"/>
      <c r="FF49" s="13"/>
      <c r="FG49" s="13"/>
      <c r="FH49" s="13"/>
      <c r="FO49" s="7"/>
    </row>
    <row r="50" spans="1:171" ht="14.25" customHeight="1">
      <c r="A50" s="7"/>
      <c r="B50" s="433" t="s">
        <v>300</v>
      </c>
      <c r="C50" s="23"/>
      <c r="D50" s="65"/>
      <c r="E50" s="66"/>
      <c r="F50" s="66"/>
      <c r="G50" s="66"/>
      <c r="H50" s="65"/>
      <c r="I50" s="66"/>
      <c r="J50" s="66"/>
      <c r="K50" s="66"/>
      <c r="L50" s="65">
        <f t="shared" ref="L50:AY50" si="320">360/L51</f>
        <v>7.5356790529431095</v>
      </c>
      <c r="M50" s="66">
        <f t="shared" si="320"/>
        <v>7.9288513717214357</v>
      </c>
      <c r="N50" s="66">
        <f t="shared" si="320"/>
        <v>6.9038767923526292</v>
      </c>
      <c r="O50" s="66">
        <f t="shared" si="320"/>
        <v>5.8018494055482162</v>
      </c>
      <c r="P50" s="65">
        <f t="shared" si="320"/>
        <v>6.2077274615704203</v>
      </c>
      <c r="Q50" s="66">
        <f t="shared" si="320"/>
        <v>6.6116071428571423</v>
      </c>
      <c r="R50" s="66">
        <f t="shared" si="320"/>
        <v>6.4008449960390816</v>
      </c>
      <c r="S50" s="66">
        <f t="shared" si="320"/>
        <v>8.9495018893850897</v>
      </c>
      <c r="T50" s="65">
        <f t="shared" si="320"/>
        <v>7.5216426193118764</v>
      </c>
      <c r="U50" s="66">
        <f t="shared" si="320"/>
        <v>8.1677171827898061</v>
      </c>
      <c r="V50" s="66">
        <f t="shared" si="320"/>
        <v>6.1137032842582109</v>
      </c>
      <c r="W50" s="66">
        <f t="shared" si="320"/>
        <v>9.3278643697019401</v>
      </c>
      <c r="X50" s="65">
        <f t="shared" si="320"/>
        <v>4.4903788930767705</v>
      </c>
      <c r="Y50" s="66">
        <f t="shared" si="320"/>
        <v>3.9478336472974926</v>
      </c>
      <c r="Z50" s="66">
        <f t="shared" si="320"/>
        <v>5.5608539816113458</v>
      </c>
      <c r="AA50" s="66">
        <f t="shared" si="320"/>
        <v>5.5346197502837686</v>
      </c>
      <c r="AB50" s="65">
        <f t="shared" si="320"/>
        <v>3.1531566640685891</v>
      </c>
      <c r="AC50" s="66">
        <f t="shared" si="320"/>
        <v>3.0335641048111475</v>
      </c>
      <c r="AD50" s="66">
        <f t="shared" si="320"/>
        <v>5.2311737987090599</v>
      </c>
      <c r="AE50" s="66">
        <f t="shared" si="320"/>
        <v>8.6059865607819166</v>
      </c>
      <c r="AF50" s="65">
        <f t="shared" si="320"/>
        <v>5.6452328159645226</v>
      </c>
      <c r="AG50" s="66">
        <f t="shared" si="320"/>
        <v>3.6734842951059168</v>
      </c>
      <c r="AH50" s="66">
        <f t="shared" si="320"/>
        <v>3.5134741442097597</v>
      </c>
      <c r="AI50" s="66">
        <f t="shared" si="320"/>
        <v>7.0201686835350205</v>
      </c>
      <c r="AJ50" s="65">
        <f t="shared" si="320"/>
        <v>5.0341463414634138</v>
      </c>
      <c r="AK50" s="66">
        <f t="shared" si="320"/>
        <v>10.882304974177767</v>
      </c>
      <c r="AL50" s="66">
        <f t="shared" si="320"/>
        <v>6.1396427742983066</v>
      </c>
      <c r="AM50" s="66">
        <f t="shared" si="320"/>
        <v>6.8902731193100148</v>
      </c>
      <c r="AN50" s="65">
        <f t="shared" si="320"/>
        <v>8.0588812561334642</v>
      </c>
      <c r="AO50" s="66">
        <f t="shared" si="320"/>
        <v>6.6708576560395159</v>
      </c>
      <c r="AP50" s="66">
        <f t="shared" si="320"/>
        <v>5.4773623896299082</v>
      </c>
      <c r="AQ50" s="66">
        <f t="shared" si="320"/>
        <v>5.5118491610448022</v>
      </c>
      <c r="AR50" s="65">
        <f t="shared" si="320"/>
        <v>4.7479444286929402</v>
      </c>
      <c r="AS50" s="66">
        <f t="shared" si="320"/>
        <v>5.0692174837252546</v>
      </c>
      <c r="AT50" s="66">
        <f t="shared" si="320"/>
        <v>4.6817467037619442</v>
      </c>
      <c r="AU50" s="66">
        <f t="shared" si="320"/>
        <v>5.0581983149708361</v>
      </c>
      <c r="AV50" s="65">
        <f t="shared" si="320"/>
        <v>6.1597537739997072</v>
      </c>
      <c r="AW50" s="66">
        <f t="shared" si="320"/>
        <v>5.7708454810495624</v>
      </c>
      <c r="AX50" s="66">
        <f t="shared" si="320"/>
        <v>4.9143428785794674</v>
      </c>
      <c r="AY50" s="66">
        <f t="shared" si="320"/>
        <v>4.3568757789779813</v>
      </c>
      <c r="AZ50" s="65">
        <f t="shared" ref="AZ50:CM50" si="321">360/AZ51</f>
        <v>3.9066427289048473</v>
      </c>
      <c r="BA50" s="66">
        <f t="shared" si="321"/>
        <v>3.3101314771848411</v>
      </c>
      <c r="BB50" s="66">
        <f t="shared" si="321"/>
        <v>3.2795031055900621</v>
      </c>
      <c r="BC50" s="66">
        <f t="shared" si="321"/>
        <v>3.3002610966057437</v>
      </c>
      <c r="BD50" s="65">
        <f t="shared" si="321"/>
        <v>4.2411642411642418</v>
      </c>
      <c r="BE50" s="66">
        <f t="shared" si="321"/>
        <v>3.8702553485162179</v>
      </c>
      <c r="BF50" s="66">
        <f t="shared" si="321"/>
        <v>3.9917412250516175</v>
      </c>
      <c r="BG50" s="66">
        <f t="shared" si="321"/>
        <v>4.6909372579395825</v>
      </c>
      <c r="BH50" s="65">
        <f t="shared" si="321"/>
        <v>8.3850509626274068</v>
      </c>
      <c r="BI50" s="66">
        <f t="shared" si="321"/>
        <v>5.8672875436554133</v>
      </c>
      <c r="BJ50" s="66">
        <f t="shared" si="321"/>
        <v>4</v>
      </c>
      <c r="BK50" s="66">
        <f t="shared" si="321"/>
        <v>4.5876393110435663</v>
      </c>
      <c r="BL50" s="65">
        <f t="shared" si="321"/>
        <v>5.0028929604628738</v>
      </c>
      <c r="BM50" s="66">
        <f t="shared" si="321"/>
        <v>4.9079069767441865</v>
      </c>
      <c r="BN50" s="66">
        <f t="shared" si="321"/>
        <v>3.2970807097882084</v>
      </c>
      <c r="BO50" s="66">
        <f t="shared" si="321"/>
        <v>3.868926553672317</v>
      </c>
      <c r="BP50" s="65">
        <f t="shared" si="321"/>
        <v>3.6532769556025366</v>
      </c>
      <c r="BQ50" s="66">
        <f t="shared" si="321"/>
        <v>3.7240674501788456</v>
      </c>
      <c r="BR50" s="66">
        <f t="shared" si="321"/>
        <v>3.2127659574468086</v>
      </c>
      <c r="BS50" s="66">
        <f t="shared" si="321"/>
        <v>3.4980769230769231</v>
      </c>
      <c r="BT50" s="65">
        <f t="shared" si="321"/>
        <v>3.4048640915593706</v>
      </c>
      <c r="BU50" s="66">
        <f t="shared" si="321"/>
        <v>3.4579529072561268</v>
      </c>
      <c r="BV50" s="66">
        <f t="shared" si="321"/>
        <v>4.092925026399155</v>
      </c>
      <c r="BW50" s="66">
        <f t="shared" si="321"/>
        <v>3.8498896247240619</v>
      </c>
      <c r="BX50" s="65">
        <f t="shared" si="321"/>
        <v>3.5324959038776624</v>
      </c>
      <c r="BY50" s="66">
        <f t="shared" si="321"/>
        <v>3.9790819291109818</v>
      </c>
      <c r="BZ50" s="66">
        <f t="shared" si="321"/>
        <v>4.0692840646651263</v>
      </c>
      <c r="CA50" s="66">
        <f t="shared" ref="CA50:DC50" si="322">360/CA51</f>
        <v>4.0692840646651263</v>
      </c>
      <c r="CB50" s="879">
        <f>360/CB51</f>
        <v>4.4912566083773893</v>
      </c>
      <c r="CC50" s="66">
        <f t="shared" si="321"/>
        <v>4.3931762794476041</v>
      </c>
      <c r="CD50" s="66">
        <f t="shared" si="321"/>
        <v>4.1295418641390205</v>
      </c>
      <c r="CE50" s="66">
        <f t="shared" si="321"/>
        <v>4.6305498981670068</v>
      </c>
      <c r="CF50" s="879">
        <f>360/CF51</f>
        <v>4.7957516339869279</v>
      </c>
      <c r="CG50" s="66">
        <f t="shared" si="321"/>
        <v>4.6461926798485491</v>
      </c>
      <c r="CH50" s="66">
        <f t="shared" si="321"/>
        <v>4.4535909281814359</v>
      </c>
      <c r="CI50" s="67">
        <f t="shared" si="321"/>
        <v>4.4957264957264966</v>
      </c>
      <c r="CJ50" s="879">
        <f>360/CJ51</f>
        <v>4.1084188911704311</v>
      </c>
      <c r="CK50" s="66">
        <f t="shared" si="321"/>
        <v>3.6119631901840492</v>
      </c>
      <c r="CL50" s="66">
        <f t="shared" si="321"/>
        <v>3.2876712328767126</v>
      </c>
      <c r="CM50" s="67">
        <f t="shared" si="321"/>
        <v>3.6524749048113536</v>
      </c>
      <c r="CN50" s="879">
        <f>360/CN51</f>
        <v>4.3040000000000003</v>
      </c>
      <c r="CO50" s="1230">
        <f t="shared" ref="CO50:CQ50" si="323">360/CO51</f>
        <v>4.3040000000000003</v>
      </c>
      <c r="CP50" s="66">
        <f t="shared" si="323"/>
        <v>3.8603133159268923</v>
      </c>
      <c r="CQ50" s="67">
        <f t="shared" si="323"/>
        <v>3.8757604867114952</v>
      </c>
      <c r="CR50" s="66">
        <f>360/CR51</f>
        <v>3.868354430379747</v>
      </c>
      <c r="CS50" s="66">
        <f t="shared" si="322"/>
        <v>4.2352941176470589</v>
      </c>
      <c r="CT50" s="66">
        <f t="shared" si="322"/>
        <v>4.2352941176470589</v>
      </c>
      <c r="CU50" s="67">
        <f t="shared" si="322"/>
        <v>4.2352941176470589</v>
      </c>
      <c r="CV50" s="66">
        <f t="shared" si="322"/>
        <v>4.2352941176470589</v>
      </c>
      <c r="CW50" s="66">
        <f t="shared" si="322"/>
        <v>4.2352941176470589</v>
      </c>
      <c r="CX50" s="66">
        <f t="shared" si="322"/>
        <v>4.2352941176470589</v>
      </c>
      <c r="CY50" s="67">
        <f t="shared" si="322"/>
        <v>4.2352941176470589</v>
      </c>
      <c r="CZ50" s="66">
        <f t="shared" si="322"/>
        <v>4.2352941176470589</v>
      </c>
      <c r="DA50" s="66">
        <f t="shared" si="322"/>
        <v>4.2352941176470589</v>
      </c>
      <c r="DB50" s="66">
        <f t="shared" si="322"/>
        <v>4.2352941176470589</v>
      </c>
      <c r="DC50" s="67">
        <f t="shared" si="322"/>
        <v>4.2352941176470589</v>
      </c>
      <c r="DD50" s="98"/>
      <c r="DE50" s="66"/>
      <c r="DF50" s="66"/>
      <c r="DG50" s="66">
        <f t="shared" ref="DG50:DN50" si="324">360/DG51</f>
        <v>5.5904887714663136</v>
      </c>
      <c r="DH50" s="66">
        <f t="shared" si="324"/>
        <v>9.4294057025077276</v>
      </c>
      <c r="DI50" s="66">
        <f t="shared" si="324"/>
        <v>8.0678151490292596</v>
      </c>
      <c r="DJ50" s="66">
        <f t="shared" si="324"/>
        <v>4.4187003405221343</v>
      </c>
      <c r="DK50" s="66">
        <f t="shared" si="324"/>
        <v>7.7890450010181222</v>
      </c>
      <c r="DL50" s="66">
        <f t="shared" si="324"/>
        <v>4.9497616428309508</v>
      </c>
      <c r="DM50" s="66">
        <f t="shared" si="324"/>
        <v>7.4365117393387639</v>
      </c>
      <c r="DN50" s="66">
        <f t="shared" si="324"/>
        <v>5.3442311018854864</v>
      </c>
      <c r="DO50" s="66">
        <f t="shared" ref="DO50:ED50" si="325">360/DO51</f>
        <v>4.8404406999351908</v>
      </c>
      <c r="DP50" s="66">
        <f t="shared" si="325"/>
        <v>4.2289156626506026</v>
      </c>
      <c r="DQ50" s="66">
        <f t="shared" si="325"/>
        <v>3.0091383812010446</v>
      </c>
      <c r="DR50" s="66">
        <f t="shared" si="325"/>
        <v>4.5670023237800157</v>
      </c>
      <c r="DS50" s="66">
        <f t="shared" si="325"/>
        <v>5.3110435663627156</v>
      </c>
      <c r="DT50" s="66">
        <f t="shared" si="325"/>
        <v>3.2587570621468926</v>
      </c>
      <c r="DU50" s="66">
        <f t="shared" si="325"/>
        <v>3.3798076923076921</v>
      </c>
      <c r="DV50" s="66">
        <f t="shared" si="325"/>
        <v>4.0099337748344368</v>
      </c>
      <c r="DW50" s="66">
        <f t="shared" si="325"/>
        <v>2.7278218195545487</v>
      </c>
      <c r="DX50" s="66">
        <f t="shared" si="325"/>
        <v>4.4484725050916492</v>
      </c>
      <c r="DY50" s="66">
        <f t="shared" si="325"/>
        <v>4.6910256410256412</v>
      </c>
      <c r="DZ50" s="66">
        <f t="shared" si="325"/>
        <v>3.424714434060228</v>
      </c>
      <c r="EA50" s="66">
        <f t="shared" si="325"/>
        <v>3.8059558117195005</v>
      </c>
      <c r="EB50" s="66">
        <f t="shared" si="325"/>
        <v>4.0033647602360274</v>
      </c>
      <c r="EC50" s="66">
        <f t="shared" si="325"/>
        <v>3.8627716533331853</v>
      </c>
      <c r="ED50" s="67">
        <f t="shared" si="325"/>
        <v>4.0762659047426544</v>
      </c>
      <c r="EE50" s="18"/>
      <c r="EF50" s="65"/>
      <c r="EG50" s="66">
        <f t="shared" ref="EG50:EO50" si="326">360/EG51</f>
        <v>7.3436369615258137</v>
      </c>
      <c r="EH50" s="66">
        <f t="shared" si="326"/>
        <v>5.6364769422517664</v>
      </c>
      <c r="EI50" s="66">
        <f t="shared" si="326"/>
        <v>7.4236958934517219</v>
      </c>
      <c r="EJ50" s="66">
        <f t="shared" si="326"/>
        <v>5.6310255901606814</v>
      </c>
      <c r="EK50" s="66">
        <f t="shared" si="326"/>
        <v>3.2711418550272793</v>
      </c>
      <c r="EL50" s="66">
        <f t="shared" si="326"/>
        <v>8.098891352549888</v>
      </c>
      <c r="EM50" s="66">
        <f t="shared" si="326"/>
        <v>4.8527874564459941</v>
      </c>
      <c r="EN50" s="66">
        <f t="shared" si="326"/>
        <v>7.8577036310107955</v>
      </c>
      <c r="EO50" s="66">
        <f t="shared" si="326"/>
        <v>4.4026084491068893</v>
      </c>
      <c r="EP50" s="66">
        <f t="shared" ref="EP50:FD50" si="327">360/EP51</f>
        <v>5.7860178806976403</v>
      </c>
      <c r="EQ50" s="66">
        <f t="shared" si="327"/>
        <v>3.6884201077199279</v>
      </c>
      <c r="ER50" s="66">
        <f t="shared" si="327"/>
        <v>3.501039501039501</v>
      </c>
      <c r="ES50" s="66">
        <f t="shared" si="327"/>
        <v>7.040770101925256</v>
      </c>
      <c r="ET50" s="66">
        <f t="shared" si="327"/>
        <v>4.5207328833172618</v>
      </c>
      <c r="EU50" s="66">
        <f t="shared" si="327"/>
        <v>3.2764270613107822</v>
      </c>
      <c r="EV50" s="66">
        <f t="shared" si="327"/>
        <v>3.3795898903195041</v>
      </c>
      <c r="EW50" s="66">
        <f t="shared" si="327"/>
        <v>3.8765701802293826</v>
      </c>
      <c r="EX50" s="66">
        <f t="shared" si="327"/>
        <v>3.4038226921512806</v>
      </c>
      <c r="EY50" s="66">
        <f t="shared" si="327"/>
        <v>4.5322712418300659</v>
      </c>
      <c r="EZ50" s="66">
        <f t="shared" si="327"/>
        <v>4.3297741273100616</v>
      </c>
      <c r="FA50" s="66">
        <f t="shared" si="327"/>
        <v>3.7643636363636364</v>
      </c>
      <c r="FB50" s="66">
        <f t="shared" si="327"/>
        <v>3.7920886075949367</v>
      </c>
      <c r="FC50" s="66">
        <f t="shared" si="327"/>
        <v>3.9129976492387599</v>
      </c>
      <c r="FD50" s="67">
        <f t="shared" si="327"/>
        <v>3.9198135080513627</v>
      </c>
      <c r="FE50" s="21"/>
      <c r="FF50" s="13"/>
      <c r="FG50" s="13"/>
      <c r="FH50" s="13"/>
      <c r="FO50" s="7"/>
    </row>
    <row r="51" spans="1:171" ht="14.25" customHeight="1">
      <c r="A51" s="7"/>
      <c r="B51" s="433" t="s">
        <v>301</v>
      </c>
      <c r="C51" s="23"/>
      <c r="D51" s="65"/>
      <c r="E51" s="66"/>
      <c r="F51" s="66"/>
      <c r="G51" s="67"/>
      <c r="H51" s="65"/>
      <c r="I51" s="66"/>
      <c r="J51" s="66"/>
      <c r="K51" s="67"/>
      <c r="L51" s="65">
        <f t="shared" ref="L51:AQ51" si="328">(L12/L56)*90</f>
        <v>47.772735206842391</v>
      </c>
      <c r="M51" s="66">
        <f t="shared" si="328"/>
        <v>45.403802281368819</v>
      </c>
      <c r="N51" s="66">
        <f t="shared" si="328"/>
        <v>52.144615384615385</v>
      </c>
      <c r="O51" s="67">
        <f t="shared" si="328"/>
        <v>62.049180327868861</v>
      </c>
      <c r="P51" s="65">
        <f t="shared" si="328"/>
        <v>57.992236648373705</v>
      </c>
      <c r="Q51" s="66">
        <f t="shared" si="328"/>
        <v>54.449696151249157</v>
      </c>
      <c r="R51" s="66">
        <f t="shared" si="328"/>
        <v>56.242574257425737</v>
      </c>
      <c r="S51" s="67">
        <f t="shared" si="328"/>
        <v>40.225702441271309</v>
      </c>
      <c r="T51" s="65">
        <f t="shared" si="328"/>
        <v>47.861885790172636</v>
      </c>
      <c r="U51" s="66">
        <f t="shared" si="328"/>
        <v>44.075962957992211</v>
      </c>
      <c r="V51" s="66">
        <f t="shared" si="328"/>
        <v>58.884113811499702</v>
      </c>
      <c r="W51" s="67">
        <f t="shared" si="328"/>
        <v>38.594043151969984</v>
      </c>
      <c r="X51" s="65">
        <f t="shared" si="328"/>
        <v>80.171408376038173</v>
      </c>
      <c r="Y51" s="66">
        <f t="shared" si="328"/>
        <v>91.189252679489073</v>
      </c>
      <c r="Z51" s="66">
        <f t="shared" si="328"/>
        <v>64.738258042820306</v>
      </c>
      <c r="AA51" s="67">
        <f t="shared" si="328"/>
        <v>65.045118949958976</v>
      </c>
      <c r="AB51" s="65">
        <f t="shared" si="328"/>
        <v>114.17130144605117</v>
      </c>
      <c r="AC51" s="66">
        <f t="shared" si="328"/>
        <v>118.67229027039518</v>
      </c>
      <c r="AD51" s="66">
        <f t="shared" si="328"/>
        <v>68.818206745270089</v>
      </c>
      <c r="AE51" s="67">
        <f t="shared" si="328"/>
        <v>41.831345826235101</v>
      </c>
      <c r="AF51" s="65">
        <f t="shared" si="328"/>
        <v>63.770620581304009</v>
      </c>
      <c r="AG51" s="66">
        <f t="shared" si="328"/>
        <v>97.999602306621597</v>
      </c>
      <c r="AH51" s="66">
        <f t="shared" si="328"/>
        <v>102.46268656716418</v>
      </c>
      <c r="AI51" s="67">
        <f t="shared" si="328"/>
        <v>51.280819055578768</v>
      </c>
      <c r="AJ51" s="65">
        <f t="shared" si="328"/>
        <v>71.511627906976756</v>
      </c>
      <c r="AK51" s="66">
        <f t="shared" si="328"/>
        <v>33.081226895793783</v>
      </c>
      <c r="AL51" s="66">
        <f t="shared" si="328"/>
        <v>58.635333232582745</v>
      </c>
      <c r="AM51" s="67">
        <f t="shared" si="328"/>
        <v>52.247566063977743</v>
      </c>
      <c r="AN51" s="65">
        <f t="shared" si="328"/>
        <v>44.671212859230394</v>
      </c>
      <c r="AO51" s="66">
        <f t="shared" si="328"/>
        <v>53.966074313408718</v>
      </c>
      <c r="AP51" s="66">
        <f t="shared" si="328"/>
        <v>65.725065166689532</v>
      </c>
      <c r="AQ51" s="67">
        <f t="shared" si="328"/>
        <v>65.313833793622891</v>
      </c>
      <c r="AR51" s="65">
        <f t="shared" ref="AR51:BW51" si="329">(AR12/AR56)*90</f>
        <v>75.822285919025433</v>
      </c>
      <c r="AS51" s="66">
        <f t="shared" si="329"/>
        <v>71.016878079463268</v>
      </c>
      <c r="AT51" s="66">
        <f t="shared" si="329"/>
        <v>76.894377842083514</v>
      </c>
      <c r="AU51" s="67">
        <f t="shared" si="329"/>
        <v>71.171586715867164</v>
      </c>
      <c r="AV51" s="65">
        <f t="shared" si="329"/>
        <v>58.443894546492807</v>
      </c>
      <c r="AW51" s="66">
        <f t="shared" si="329"/>
        <v>62.382540163685967</v>
      </c>
      <c r="AX51" s="66">
        <f t="shared" si="329"/>
        <v>73.25496183206107</v>
      </c>
      <c r="AY51" s="67">
        <f t="shared" si="329"/>
        <v>82.628015638409451</v>
      </c>
      <c r="AZ51" s="65">
        <f t="shared" si="329"/>
        <v>92.150735294117652</v>
      </c>
      <c r="BA51" s="66">
        <f t="shared" si="329"/>
        <v>108.7570093457944</v>
      </c>
      <c r="BB51" s="66">
        <f t="shared" si="329"/>
        <v>109.77272727272728</v>
      </c>
      <c r="BC51" s="67">
        <f t="shared" si="329"/>
        <v>109.08227848101266</v>
      </c>
      <c r="BD51" s="65">
        <f t="shared" si="329"/>
        <v>84.882352941176464</v>
      </c>
      <c r="BE51" s="66">
        <f t="shared" si="329"/>
        <v>93.017118402282463</v>
      </c>
      <c r="BF51" s="66">
        <f t="shared" si="329"/>
        <v>90.186206896551724</v>
      </c>
      <c r="BG51" s="67">
        <f t="shared" si="329"/>
        <v>76.743725231175688</v>
      </c>
      <c r="BH51" s="65">
        <f t="shared" si="329"/>
        <v>42.933549432739056</v>
      </c>
      <c r="BI51" s="66">
        <f t="shared" si="329"/>
        <v>61.357142857142861</v>
      </c>
      <c r="BJ51" s="66">
        <f t="shared" si="329"/>
        <v>90</v>
      </c>
      <c r="BK51" s="67">
        <f t="shared" si="329"/>
        <v>78.471731448763251</v>
      </c>
      <c r="BL51" s="65">
        <f t="shared" si="329"/>
        <v>71.958365458750961</v>
      </c>
      <c r="BM51" s="66">
        <f t="shared" si="329"/>
        <v>73.351023502653518</v>
      </c>
      <c r="BN51" s="66">
        <f t="shared" si="329"/>
        <v>109.1875</v>
      </c>
      <c r="BO51" s="67">
        <f t="shared" si="329"/>
        <v>93.049065420560737</v>
      </c>
      <c r="BP51" s="65">
        <f t="shared" si="329"/>
        <v>98.541666666666671</v>
      </c>
      <c r="BQ51" s="66">
        <f t="shared" si="329"/>
        <v>96.668496158068052</v>
      </c>
      <c r="BR51" s="66">
        <f t="shared" si="329"/>
        <v>112.05298013245033</v>
      </c>
      <c r="BS51" s="67">
        <f t="shared" si="329"/>
        <v>102.91368884002199</v>
      </c>
      <c r="BT51" s="65">
        <f t="shared" si="329"/>
        <v>105.73109243697479</v>
      </c>
      <c r="BU51" s="66">
        <f t="shared" si="329"/>
        <v>104.10783768760423</v>
      </c>
      <c r="BV51" s="66">
        <f t="shared" si="329"/>
        <v>87.956656346749227</v>
      </c>
      <c r="BW51" s="67">
        <f t="shared" si="329"/>
        <v>93.5091743119266</v>
      </c>
      <c r="BX51" s="65">
        <f>(BX12/BX56)*90</f>
        <v>101.91094619666049</v>
      </c>
      <c r="BY51" s="66">
        <f>(BY12/BY56)*90</f>
        <v>90.473130841121502</v>
      </c>
      <c r="BZ51" s="66">
        <f>(BZ12/BZ56)*90</f>
        <v>88.467650397275833</v>
      </c>
      <c r="CA51" s="67">
        <f>+BZ51</f>
        <v>88.467650397275833</v>
      </c>
      <c r="CB51" s="632">
        <f t="shared" ref="CB51:CG51" si="330">(CB12/CB56)*90</f>
        <v>80.155740673668959</v>
      </c>
      <c r="CC51" s="66">
        <f t="shared" si="330"/>
        <v>81.945266272189343</v>
      </c>
      <c r="CD51" s="66">
        <f t="shared" si="330"/>
        <v>87.17674062739097</v>
      </c>
      <c r="CE51" s="66">
        <f t="shared" si="330"/>
        <v>77.744546094299778</v>
      </c>
      <c r="CF51" s="632">
        <f t="shared" si="330"/>
        <v>75.066439522998294</v>
      </c>
      <c r="CG51" s="66">
        <f t="shared" si="330"/>
        <v>77.482796088373775</v>
      </c>
      <c r="CH51" s="66">
        <f>(CH12/CH56)*90</f>
        <v>80.83364768012072</v>
      </c>
      <c r="CI51" s="67">
        <f t="shared" ref="CI51:CK51" si="331">(CI12/CI56)*90</f>
        <v>80.076045627376416</v>
      </c>
      <c r="CJ51" s="632">
        <f t="shared" si="331"/>
        <v>87.624950019991999</v>
      </c>
      <c r="CK51" s="66">
        <f t="shared" si="331"/>
        <v>99.668789808917197</v>
      </c>
      <c r="CL51" s="66">
        <f t="shared" ref="CL51:CN51" si="332">(CL12/CL56)*90</f>
        <v>109.49999999999999</v>
      </c>
      <c r="CM51" s="67">
        <f t="shared" si="332"/>
        <v>98.563305534495825</v>
      </c>
      <c r="CN51" s="632">
        <f t="shared" si="332"/>
        <v>83.643122676579921</v>
      </c>
      <c r="CO51" s="1281">
        <f t="shared" ref="CO51:CO52" si="333">+CN51</f>
        <v>83.643122676579921</v>
      </c>
      <c r="CP51" s="630">
        <f t="shared" ref="CP51:CR51" si="334">(CP12/CP56)*90</f>
        <v>93.256679066621587</v>
      </c>
      <c r="CQ51" s="631">
        <f t="shared" si="334"/>
        <v>92.884996695307336</v>
      </c>
      <c r="CR51" s="630">
        <f t="shared" si="334"/>
        <v>93.062827225130889</v>
      </c>
      <c r="CS51" s="630">
        <v>85</v>
      </c>
      <c r="CT51" s="630">
        <v>85</v>
      </c>
      <c r="CU51" s="631">
        <f t="shared" ref="CU51:CU52" si="335">+CT51</f>
        <v>85</v>
      </c>
      <c r="CV51" s="1281">
        <v>85</v>
      </c>
      <c r="CW51" s="1281">
        <v>85</v>
      </c>
      <c r="CX51" s="1281">
        <v>85</v>
      </c>
      <c r="CY51" s="631">
        <f t="shared" ref="CY51:CY52" si="336">+CX51</f>
        <v>85</v>
      </c>
      <c r="CZ51" s="1281">
        <v>85</v>
      </c>
      <c r="DA51" s="1281">
        <v>85</v>
      </c>
      <c r="DB51" s="1281">
        <v>85</v>
      </c>
      <c r="DC51" s="631">
        <f t="shared" ref="DC51:DC52" si="337">+DB51</f>
        <v>85</v>
      </c>
      <c r="DD51" s="98"/>
      <c r="DE51" s="66"/>
      <c r="DF51" s="66"/>
      <c r="DG51" s="66">
        <f t="shared" ref="DG51:DY51" si="338">(DG12/DG56)*360</f>
        <v>64.395085066162579</v>
      </c>
      <c r="DH51" s="66">
        <f t="shared" si="338"/>
        <v>38.178440016029732</v>
      </c>
      <c r="DI51" s="66">
        <f t="shared" si="338"/>
        <v>44.62174620390455</v>
      </c>
      <c r="DJ51" s="66">
        <f t="shared" si="338"/>
        <v>81.47191985357864</v>
      </c>
      <c r="DK51" s="66">
        <f t="shared" si="338"/>
        <v>46.218759803408972</v>
      </c>
      <c r="DL51" s="66">
        <f t="shared" si="338"/>
        <v>72.730774929619187</v>
      </c>
      <c r="DM51" s="66">
        <f t="shared" si="338"/>
        <v>48.409793814432987</v>
      </c>
      <c r="DN51" s="66">
        <f t="shared" si="338"/>
        <v>67.362356368344393</v>
      </c>
      <c r="DO51" s="66">
        <f t="shared" si="338"/>
        <v>74.373393316195376</v>
      </c>
      <c r="DP51" s="66">
        <f t="shared" si="338"/>
        <v>85.128205128205124</v>
      </c>
      <c r="DQ51" s="66">
        <f t="shared" si="338"/>
        <v>119.63557483731019</v>
      </c>
      <c r="DR51" s="66">
        <f t="shared" si="338"/>
        <v>78.826322930800544</v>
      </c>
      <c r="DS51" s="66">
        <f t="shared" si="338"/>
        <v>67.783288821060665</v>
      </c>
      <c r="DT51" s="66">
        <f t="shared" si="338"/>
        <v>110.47156726768377</v>
      </c>
      <c r="DU51" s="66">
        <f t="shared" si="338"/>
        <v>106.51493598862021</v>
      </c>
      <c r="DV51" s="66">
        <f t="shared" si="338"/>
        <v>89.777043765483072</v>
      </c>
      <c r="DW51" s="66">
        <f t="shared" si="338"/>
        <v>131.97342928314421</v>
      </c>
      <c r="DX51" s="66">
        <f t="shared" si="338"/>
        <v>80.926655068217201</v>
      </c>
      <c r="DY51" s="66">
        <f t="shared" si="338"/>
        <v>76.742279311287234</v>
      </c>
      <c r="DZ51" s="66">
        <f>(DZ12/DZ56)*360</f>
        <v>105.11825348696181</v>
      </c>
      <c r="EA51" s="66">
        <f>(EA12/EA56)*360</f>
        <v>94.588591620393743</v>
      </c>
      <c r="EB51" s="66">
        <f>(EB12/EB56)*360</f>
        <v>89.92435652522839</v>
      </c>
      <c r="EC51" s="66">
        <f>(EC12/EC56)*360</f>
        <v>93.197328837534585</v>
      </c>
      <c r="ED51" s="67">
        <f>(ED12/ED56)*360</f>
        <v>88.31612274879987</v>
      </c>
      <c r="EE51" s="18"/>
      <c r="EF51" s="65"/>
      <c r="EG51" s="66">
        <f t="shared" ref="EG51:EY51" si="339">(EG12/EG56)*360</f>
        <v>49.022031166039767</v>
      </c>
      <c r="EH51" s="66">
        <f t="shared" si="339"/>
        <v>63.869683791553022</v>
      </c>
      <c r="EI51" s="66">
        <f t="shared" si="339"/>
        <v>48.493365726032508</v>
      </c>
      <c r="EJ51" s="66">
        <f t="shared" si="339"/>
        <v>63.931515535827529</v>
      </c>
      <c r="EK51" s="66">
        <f t="shared" si="339"/>
        <v>110.05331347728966</v>
      </c>
      <c r="EL51" s="66">
        <f t="shared" si="339"/>
        <v>44.450528390735371</v>
      </c>
      <c r="EM51" s="66">
        <f t="shared" si="339"/>
        <v>74.184168012924061</v>
      </c>
      <c r="EN51" s="66">
        <f t="shared" si="339"/>
        <v>45.81491195204196</v>
      </c>
      <c r="EO51" s="66">
        <f t="shared" si="339"/>
        <v>81.769706336939734</v>
      </c>
      <c r="EP51" s="66">
        <f t="shared" si="339"/>
        <v>62.218957393991587</v>
      </c>
      <c r="EQ51" s="66">
        <f t="shared" si="339"/>
        <v>97.602764730219775</v>
      </c>
      <c r="ER51" s="66">
        <f t="shared" si="339"/>
        <v>102.82660332541568</v>
      </c>
      <c r="ES51" s="66">
        <f t="shared" si="339"/>
        <v>51.130770468071411</v>
      </c>
      <c r="ET51" s="66">
        <f t="shared" si="339"/>
        <v>79.63310580204778</v>
      </c>
      <c r="EU51" s="66">
        <f t="shared" si="339"/>
        <v>109.87578641716406</v>
      </c>
      <c r="EV51" s="66">
        <f t="shared" si="339"/>
        <v>106.52180047975166</v>
      </c>
      <c r="EW51" s="66">
        <f t="shared" si="339"/>
        <v>92.865595942519022</v>
      </c>
      <c r="EX51" s="66">
        <f t="shared" si="339"/>
        <v>105.76344086021507</v>
      </c>
      <c r="EY51" s="66">
        <f t="shared" si="339"/>
        <v>79.430374042361422</v>
      </c>
      <c r="EZ51" s="66">
        <f t="shared" ref="EZ51:FC51" si="340">(EZ12/EZ56)*360</f>
        <v>83.145214834487334</v>
      </c>
      <c r="FA51" s="66">
        <f t="shared" si="340"/>
        <v>95.633693972179287</v>
      </c>
      <c r="FB51" s="66">
        <f t="shared" si="340"/>
        <v>94.934490528248347</v>
      </c>
      <c r="FC51" s="66">
        <f t="shared" si="340"/>
        <v>92.00107750385051</v>
      </c>
      <c r="FD51" s="67">
        <f t="shared" ref="FD51" si="341">(FD12/FD56)*360</f>
        <v>91.841103986338624</v>
      </c>
      <c r="FE51" s="21"/>
      <c r="FF51" s="13"/>
      <c r="FG51" s="13"/>
      <c r="FH51" s="13"/>
      <c r="FO51" s="7"/>
    </row>
    <row r="52" spans="1:171" ht="14.25" customHeight="1">
      <c r="A52" s="7"/>
      <c r="B52" s="433" t="s">
        <v>302</v>
      </c>
      <c r="C52" s="23"/>
      <c r="D52" s="65"/>
      <c r="E52" s="66"/>
      <c r="F52" s="66"/>
      <c r="G52" s="67"/>
      <c r="H52" s="65"/>
      <c r="I52" s="66"/>
      <c r="J52" s="66"/>
      <c r="K52" s="67"/>
      <c r="L52" s="65">
        <f t="shared" ref="L52:AQ52" si="342">(L27/L56)*90</f>
        <v>67.079769593297257</v>
      </c>
      <c r="M52" s="66">
        <f t="shared" si="342"/>
        <v>71.397718631178719</v>
      </c>
      <c r="N52" s="66">
        <f t="shared" si="342"/>
        <v>64.536923076923088</v>
      </c>
      <c r="O52" s="67">
        <f t="shared" si="342"/>
        <v>74.603825136612031</v>
      </c>
      <c r="P52" s="65">
        <f t="shared" si="342"/>
        <v>79.471288984071748</v>
      </c>
      <c r="Q52" s="66">
        <f t="shared" si="342"/>
        <v>70.359216745442268</v>
      </c>
      <c r="R52" s="66">
        <f t="shared" si="342"/>
        <v>78.28217821782178</v>
      </c>
      <c r="S52" s="67">
        <f t="shared" si="342"/>
        <v>63.095347766006462</v>
      </c>
      <c r="T52" s="65">
        <f t="shared" si="342"/>
        <v>83.373173970783526</v>
      </c>
      <c r="U52" s="66">
        <f t="shared" si="342"/>
        <v>67.666085089249762</v>
      </c>
      <c r="V52" s="66">
        <f t="shared" si="342"/>
        <v>79.663604030823947</v>
      </c>
      <c r="W52" s="67">
        <f t="shared" si="342"/>
        <v>74.444183864915573</v>
      </c>
      <c r="X52" s="65">
        <f t="shared" si="342"/>
        <v>140.52659480473582</v>
      </c>
      <c r="Y52" s="66">
        <f t="shared" si="342"/>
        <v>104.36352958449567</v>
      </c>
      <c r="Z52" s="66">
        <f t="shared" si="342"/>
        <v>90.554870530209612</v>
      </c>
      <c r="AA52" s="67">
        <f t="shared" si="342"/>
        <v>135.27686628383918</v>
      </c>
      <c r="AB52" s="65">
        <f t="shared" si="342"/>
        <v>142.48053392658511</v>
      </c>
      <c r="AC52" s="66">
        <f t="shared" si="342"/>
        <v>76.927432401201756</v>
      </c>
      <c r="AD52" s="66">
        <f t="shared" si="342"/>
        <v>53.517959967096246</v>
      </c>
      <c r="AE52" s="67">
        <f t="shared" si="342"/>
        <v>43.688245315161844</v>
      </c>
      <c r="AF52" s="65">
        <f t="shared" si="342"/>
        <v>65.241162608012559</v>
      </c>
      <c r="AG52" s="66">
        <f t="shared" si="342"/>
        <v>69.902565122290724</v>
      </c>
      <c r="AH52" s="66">
        <f t="shared" si="342"/>
        <v>78.850746268656707</v>
      </c>
      <c r="AI52" s="67">
        <f t="shared" si="342"/>
        <v>52.098829920601759</v>
      </c>
      <c r="AJ52" s="65">
        <f t="shared" si="342"/>
        <v>84.007475083056477</v>
      </c>
      <c r="AK52" s="66">
        <f t="shared" si="342"/>
        <v>55.911679488460386</v>
      </c>
      <c r="AL52" s="66">
        <f t="shared" si="342"/>
        <v>85.865195708024771</v>
      </c>
      <c r="AM52" s="67">
        <f t="shared" si="342"/>
        <v>89.461752433936027</v>
      </c>
      <c r="AN52" s="65">
        <f t="shared" si="342"/>
        <v>81.133706770579622</v>
      </c>
      <c r="AO52" s="66">
        <f t="shared" si="342"/>
        <v>88.909531502423263</v>
      </c>
      <c r="AP52" s="66">
        <f t="shared" si="342"/>
        <v>92.667032514748257</v>
      </c>
      <c r="AQ52" s="67">
        <f t="shared" si="342"/>
        <v>89.9548079337183</v>
      </c>
      <c r="AR52" s="65">
        <f t="shared" ref="AR52:BW52" si="343">(AR27/AR56)*90</f>
        <v>84.743819419562882</v>
      </c>
      <c r="AS52" s="66">
        <f t="shared" si="343"/>
        <v>69.252542195198657</v>
      </c>
      <c r="AT52" s="66">
        <f t="shared" si="343"/>
        <v>68.225506407606446</v>
      </c>
      <c r="AU52" s="67">
        <f t="shared" si="343"/>
        <v>69.418819188191875</v>
      </c>
      <c r="AV52" s="65">
        <f t="shared" si="343"/>
        <v>61.758827448367754</v>
      </c>
      <c r="AW52" s="66">
        <f t="shared" si="343"/>
        <v>82.78872385571384</v>
      </c>
      <c r="AX52" s="66">
        <f t="shared" si="343"/>
        <v>87.196946564885494</v>
      </c>
      <c r="AY52" s="67">
        <f t="shared" si="343"/>
        <v>113.15438161533326</v>
      </c>
      <c r="AZ52" s="65">
        <f t="shared" si="343"/>
        <v>130.53308823529412</v>
      </c>
      <c r="BA52" s="66">
        <f t="shared" si="343"/>
        <v>115.73831775700936</v>
      </c>
      <c r="BB52" s="66">
        <f t="shared" si="343"/>
        <v>94.318181818181827</v>
      </c>
      <c r="BC52" s="67">
        <f t="shared" si="343"/>
        <v>98.615506329113913</v>
      </c>
      <c r="BD52" s="65">
        <f t="shared" si="343"/>
        <v>77.470588235294116</v>
      </c>
      <c r="BE52" s="66">
        <f t="shared" si="343"/>
        <v>83.388017118402288</v>
      </c>
      <c r="BF52" s="66">
        <f t="shared" si="343"/>
        <v>85.282758620689648</v>
      </c>
      <c r="BG52" s="67">
        <f t="shared" si="343"/>
        <v>66.043593130779385</v>
      </c>
      <c r="BH52" s="65">
        <f t="shared" si="343"/>
        <v>45.850891410048618</v>
      </c>
      <c r="BI52" s="66">
        <f t="shared" si="343"/>
        <v>67.857142857142861</v>
      </c>
      <c r="BJ52" s="66">
        <f t="shared" si="343"/>
        <v>93.423423423423429</v>
      </c>
      <c r="BK52" s="67">
        <f t="shared" si="343"/>
        <v>82.446996466431088</v>
      </c>
      <c r="BL52" s="65">
        <f t="shared" si="343"/>
        <v>73.484965304548965</v>
      </c>
      <c r="BM52" s="66">
        <f t="shared" si="343"/>
        <v>70.96285064442759</v>
      </c>
      <c r="BN52" s="66">
        <f t="shared" si="343"/>
        <v>93.250000000000014</v>
      </c>
      <c r="BO52" s="67">
        <f t="shared" si="343"/>
        <v>79.328271028037378</v>
      </c>
      <c r="BP52" s="65">
        <f t="shared" si="343"/>
        <v>94.947916666666671</v>
      </c>
      <c r="BQ52" s="66">
        <f t="shared" si="343"/>
        <v>89.654226125137214</v>
      </c>
      <c r="BR52" s="66">
        <f t="shared" si="343"/>
        <v>103.60024081878386</v>
      </c>
      <c r="BS52" s="67">
        <f t="shared" si="343"/>
        <v>90.54425508521166</v>
      </c>
      <c r="BT52" s="65">
        <f t="shared" si="343"/>
        <v>71.243697478991592</v>
      </c>
      <c r="BU52" s="66">
        <f t="shared" si="343"/>
        <v>72.890494719288498</v>
      </c>
      <c r="BV52" s="66">
        <f t="shared" si="343"/>
        <v>71.842105263157904</v>
      </c>
      <c r="BW52" s="67">
        <f t="shared" si="343"/>
        <v>84.684633027522935</v>
      </c>
      <c r="BX52" s="65">
        <f>(BX27/BX56)*90</f>
        <v>88.16326530612244</v>
      </c>
      <c r="BY52" s="66">
        <f>(BY27/BY56)*90</f>
        <v>78.75</v>
      </c>
      <c r="BZ52" s="66">
        <f>(BZ27/BZ56)*90</f>
        <v>81.214528944381385</v>
      </c>
      <c r="CA52" s="67">
        <f>+BZ52</f>
        <v>81.214528944381385</v>
      </c>
      <c r="CB52" s="632">
        <f t="shared" ref="CB52:CG52" si="344">(CB27/CB56)*90</f>
        <v>85.729808040565018</v>
      </c>
      <c r="CC52" s="66">
        <f t="shared" si="344"/>
        <v>89.167899408284029</v>
      </c>
      <c r="CD52" s="66">
        <f t="shared" si="344"/>
        <v>97.368018362662582</v>
      </c>
      <c r="CE52" s="66">
        <f t="shared" si="344"/>
        <v>85.439831104855728</v>
      </c>
      <c r="CF52" s="632">
        <f t="shared" si="344"/>
        <v>90.919931856899495</v>
      </c>
      <c r="CG52" s="66">
        <f t="shared" si="344"/>
        <v>86.772908366533869</v>
      </c>
      <c r="CH52" s="66">
        <f>(CH27/CH56)*90</f>
        <v>108.77404752923425</v>
      </c>
      <c r="CI52" s="67">
        <f t="shared" ref="CI52:CK52" si="345">(CI27/CI56)*90</f>
        <v>89.349809885931563</v>
      </c>
      <c r="CJ52" s="632">
        <f t="shared" si="345"/>
        <v>100.18392642942824</v>
      </c>
      <c r="CK52" s="66">
        <f t="shared" si="345"/>
        <v>117.97452229299363</v>
      </c>
      <c r="CL52" s="66">
        <f t="shared" ref="CL52:CN52" si="346">(CL27/CL56)*90</f>
        <v>134.96250000000001</v>
      </c>
      <c r="CM52" s="67">
        <f t="shared" si="346"/>
        <v>132.33889310083399</v>
      </c>
      <c r="CN52" s="632">
        <f t="shared" si="346"/>
        <v>126.37715444406894</v>
      </c>
      <c r="CO52" s="1281">
        <f t="shared" si="333"/>
        <v>126.37715444406894</v>
      </c>
      <c r="CP52" s="630">
        <f t="shared" ref="CP52:CR52" si="347">(CP27/CP56)*90</f>
        <v>111.27494081839703</v>
      </c>
      <c r="CQ52" s="631">
        <f t="shared" si="347"/>
        <v>108.97554527428949</v>
      </c>
      <c r="CR52" s="630">
        <f t="shared" si="347"/>
        <v>110.90968586387434</v>
      </c>
      <c r="CS52" s="630">
        <f t="shared" ref="CS52" si="348">+CR52</f>
        <v>110.90968586387434</v>
      </c>
      <c r="CT52" s="630">
        <f t="shared" ref="CT52" si="349">+CS52</f>
        <v>110.90968586387434</v>
      </c>
      <c r="CU52" s="631">
        <f t="shared" si="335"/>
        <v>110.90968586387434</v>
      </c>
      <c r="CV52" s="1281">
        <v>108</v>
      </c>
      <c r="CW52" s="1281">
        <f t="shared" ref="CW52" si="350">+CV52</f>
        <v>108</v>
      </c>
      <c r="CX52" s="1281">
        <f t="shared" ref="CX52" si="351">+CW52</f>
        <v>108</v>
      </c>
      <c r="CY52" s="631">
        <f t="shared" si="336"/>
        <v>108</v>
      </c>
      <c r="CZ52" s="1281">
        <v>108</v>
      </c>
      <c r="DA52" s="1281">
        <f t="shared" ref="DA52" si="352">+CZ52</f>
        <v>108</v>
      </c>
      <c r="DB52" s="1281">
        <f t="shared" ref="DB52" si="353">+DA52</f>
        <v>108</v>
      </c>
      <c r="DC52" s="631">
        <f t="shared" si="337"/>
        <v>108</v>
      </c>
      <c r="DD52" s="98"/>
      <c r="DE52" s="66"/>
      <c r="DF52" s="66"/>
      <c r="DG52" s="66">
        <f t="shared" ref="DG52:DY52" si="354">(DG27/DG56)*360</f>
        <v>77.424385633270333</v>
      </c>
      <c r="DH52" s="66">
        <f t="shared" si="354"/>
        <v>59.884148785019498</v>
      </c>
      <c r="DI52" s="66">
        <f t="shared" si="354"/>
        <v>86.071041214750522</v>
      </c>
      <c r="DJ52" s="66">
        <f t="shared" si="354"/>
        <v>169.44032366824004</v>
      </c>
      <c r="DK52" s="66">
        <f t="shared" si="354"/>
        <v>48.270417233085851</v>
      </c>
      <c r="DL52" s="66">
        <f t="shared" si="354"/>
        <v>73.890946806934352</v>
      </c>
      <c r="DM52" s="66">
        <f t="shared" si="354"/>
        <v>82.890463917525778</v>
      </c>
      <c r="DN52" s="66">
        <f t="shared" si="354"/>
        <v>92.776177374979781</v>
      </c>
      <c r="DO52" s="66">
        <f t="shared" si="354"/>
        <v>72.541773778920316</v>
      </c>
      <c r="DP52" s="66">
        <f t="shared" si="354"/>
        <v>116.57824933687</v>
      </c>
      <c r="DQ52" s="66">
        <f t="shared" si="354"/>
        <v>108.15618221258134</v>
      </c>
      <c r="DR52" s="66">
        <f t="shared" si="354"/>
        <v>67.835820895522389</v>
      </c>
      <c r="DS52" s="66">
        <f t="shared" si="354"/>
        <v>71.217092712705067</v>
      </c>
      <c r="DT52" s="66">
        <f t="shared" si="354"/>
        <v>94.181692094313448</v>
      </c>
      <c r="DU52" s="66">
        <f t="shared" si="354"/>
        <v>93.712660028449491</v>
      </c>
      <c r="DV52" s="66">
        <f t="shared" si="354"/>
        <v>81.304706853839804</v>
      </c>
      <c r="DW52" s="66">
        <f t="shared" si="354"/>
        <v>105.36949903127595</v>
      </c>
      <c r="DX52" s="66">
        <f t="shared" si="354"/>
        <v>88.936910539327897</v>
      </c>
      <c r="DY52" s="66">
        <f t="shared" si="354"/>
        <v>85.629953539218363</v>
      </c>
      <c r="DZ52" s="66">
        <f>(DZ27/DZ56)*360</f>
        <v>141.14008489993935</v>
      </c>
      <c r="EA52" s="66">
        <f>(EA27/EA56)*360</f>
        <v>110.97425542655225</v>
      </c>
      <c r="EB52" s="66">
        <f>(EB27/EB56)*360</f>
        <v>117.33508392616612</v>
      </c>
      <c r="EC52" s="66">
        <f>(EC27/EC56)*360</f>
        <v>118.41542958180862</v>
      </c>
      <c r="ED52" s="67">
        <f>(ED27/ED56)*360</f>
        <v>112.21342655141629</v>
      </c>
      <c r="EE52" s="18"/>
      <c r="EF52" s="65"/>
      <c r="EG52" s="66">
        <f t="shared" ref="EG52:EY52" si="355">(EG27/EG56)*360</f>
        <v>68.833960236432034</v>
      </c>
      <c r="EH52" s="66">
        <f t="shared" si="355"/>
        <v>87.525613621286951</v>
      </c>
      <c r="EI52" s="66">
        <f t="shared" si="355"/>
        <v>84.473182582694818</v>
      </c>
      <c r="EJ52" s="66">
        <f t="shared" si="355"/>
        <v>112.06087507926442</v>
      </c>
      <c r="EK52" s="66">
        <f t="shared" si="355"/>
        <v>137.3414743112435</v>
      </c>
      <c r="EL52" s="66">
        <f t="shared" si="355"/>
        <v>45.475551661829932</v>
      </c>
      <c r="EM52" s="66">
        <f t="shared" si="355"/>
        <v>87.147011308562185</v>
      </c>
      <c r="EN52" s="66">
        <f t="shared" si="355"/>
        <v>83.21094042712626</v>
      </c>
      <c r="EO52" s="66">
        <f t="shared" si="355"/>
        <v>91.391035548686261</v>
      </c>
      <c r="EP52" s="66">
        <f t="shared" si="355"/>
        <v>65.748011550737118</v>
      </c>
      <c r="EQ52" s="66">
        <f t="shared" si="355"/>
        <v>138.2559809194675</v>
      </c>
      <c r="ER52" s="66">
        <f t="shared" si="355"/>
        <v>93.847980997624703</v>
      </c>
      <c r="ES52" s="66">
        <f t="shared" si="355"/>
        <v>54.605115007238219</v>
      </c>
      <c r="ET52" s="66">
        <f t="shared" si="355"/>
        <v>81.322525597269617</v>
      </c>
      <c r="EU52" s="66">
        <f t="shared" si="355"/>
        <v>105.86868849814485</v>
      </c>
      <c r="EV52" s="66">
        <f t="shared" si="355"/>
        <v>71.776492168759702</v>
      </c>
      <c r="EW52" s="66">
        <f t="shared" si="355"/>
        <v>80.338123415046496</v>
      </c>
      <c r="EX52" s="66">
        <f t="shared" si="355"/>
        <v>113.11827956989247</v>
      </c>
      <c r="EY52" s="66">
        <f t="shared" si="355"/>
        <v>96.20549797205949</v>
      </c>
      <c r="EZ52" s="66">
        <f t="shared" ref="EZ52:FC52" si="356">(EZ27/EZ56)*360</f>
        <v>95.062126529450822</v>
      </c>
      <c r="FA52" s="66">
        <f t="shared" si="356"/>
        <v>144.49381761978361</v>
      </c>
      <c r="FB52" s="66">
        <f t="shared" si="356"/>
        <v>113.14028206626054</v>
      </c>
      <c r="FC52" s="66">
        <f t="shared" si="356"/>
        <v>116.89548671077478</v>
      </c>
      <c r="FD52" s="67">
        <f t="shared" ref="FD52" si="357">(FD27/FD56)*360</f>
        <v>116.69222624146555</v>
      </c>
      <c r="FE52" s="21"/>
      <c r="FF52" s="13"/>
      <c r="FG52" s="13"/>
      <c r="FH52" s="13"/>
      <c r="FO52" s="7"/>
    </row>
    <row r="53" spans="1:171" ht="14.25" customHeight="1">
      <c r="A53" s="7"/>
      <c r="B53" s="441" t="s">
        <v>303</v>
      </c>
      <c r="C53" s="23"/>
      <c r="D53" s="77"/>
      <c r="E53" s="77"/>
      <c r="F53" s="77"/>
      <c r="G53" s="78"/>
      <c r="H53" s="77"/>
      <c r="I53" s="77"/>
      <c r="J53" s="77"/>
      <c r="K53" s="78"/>
      <c r="L53" s="77">
        <f t="shared" ref="L53:AQ53" si="358">L14/L55</f>
        <v>8.638923224831753E-2</v>
      </c>
      <c r="M53" s="77">
        <f t="shared" si="358"/>
        <v>7.3385071901392374E-2</v>
      </c>
      <c r="N53" s="77">
        <f t="shared" si="358"/>
        <v>7.5958549222797919E-2</v>
      </c>
      <c r="O53" s="78">
        <f t="shared" si="358"/>
        <v>7.5671105474529682E-2</v>
      </c>
      <c r="P53" s="77">
        <f t="shared" si="358"/>
        <v>6.8212681500052233E-2</v>
      </c>
      <c r="Q53" s="77">
        <f t="shared" si="358"/>
        <v>0.12106918238993711</v>
      </c>
      <c r="R53" s="77">
        <f t="shared" si="358"/>
        <v>0.14199445079157824</v>
      </c>
      <c r="S53" s="78">
        <f t="shared" si="358"/>
        <v>9.9985551220921828E-2</v>
      </c>
      <c r="T53" s="77">
        <f t="shared" si="358"/>
        <v>0.10446068548387097</v>
      </c>
      <c r="U53" s="77">
        <f t="shared" si="358"/>
        <v>8.3252095925131608E-2</v>
      </c>
      <c r="V53" s="77">
        <f t="shared" si="358"/>
        <v>0.10569576290808058</v>
      </c>
      <c r="W53" s="78">
        <f t="shared" si="358"/>
        <v>0.14637305699481865</v>
      </c>
      <c r="X53" s="77">
        <f t="shared" si="358"/>
        <v>8.9752176825184188E-2</v>
      </c>
      <c r="Y53" s="77">
        <f t="shared" si="358"/>
        <v>0.10016392028297817</v>
      </c>
      <c r="Z53" s="77">
        <f t="shared" si="358"/>
        <v>7.9868708971553612E-2</v>
      </c>
      <c r="AA53" s="78">
        <f t="shared" si="358"/>
        <v>6.917338884551999E-2</v>
      </c>
      <c r="AB53" s="77">
        <f t="shared" si="358"/>
        <v>0.14482056502926954</v>
      </c>
      <c r="AC53" s="77">
        <f t="shared" si="358"/>
        <v>0.15013606080510461</v>
      </c>
      <c r="AD53" s="77">
        <f t="shared" si="358"/>
        <v>0.21019186117560798</v>
      </c>
      <c r="AE53" s="78">
        <f t="shared" si="358"/>
        <v>0.36789506558400947</v>
      </c>
      <c r="AF53" s="77">
        <f t="shared" si="358"/>
        <v>0.10544939844302903</v>
      </c>
      <c r="AG53" s="77">
        <f t="shared" si="358"/>
        <v>0.79609846725499311</v>
      </c>
      <c r="AH53" s="77">
        <f t="shared" si="358"/>
        <v>5.1867219917012444E-2</v>
      </c>
      <c r="AI53" s="78">
        <f t="shared" si="358"/>
        <v>6.6577540106951869E-2</v>
      </c>
      <c r="AJ53" s="77">
        <f t="shared" si="358"/>
        <v>8.1447963800904966E-2</v>
      </c>
      <c r="AK53" s="77">
        <f t="shared" si="358"/>
        <v>6.5859872611464976E-2</v>
      </c>
      <c r="AL53" s="77">
        <f t="shared" si="358"/>
        <v>4.326463764159956E-2</v>
      </c>
      <c r="AM53" s="78">
        <f t="shared" si="358"/>
        <v>6.2239729881823296E-2</v>
      </c>
      <c r="AN53" s="77">
        <f t="shared" si="358"/>
        <v>5.942919075144508E-2</v>
      </c>
      <c r="AO53" s="77">
        <f t="shared" si="358"/>
        <v>6.0544904137235116E-2</v>
      </c>
      <c r="AP53" s="77">
        <f t="shared" si="358"/>
        <v>4.566618911174785E-2</v>
      </c>
      <c r="AQ53" s="78">
        <f t="shared" si="358"/>
        <v>4.7006390850992258E-2</v>
      </c>
      <c r="AR53" s="77">
        <f t="shared" ref="AR53:BW53" si="359">AR14/AR55</f>
        <v>5.8081409188288358E-2</v>
      </c>
      <c r="AS53" s="77">
        <f t="shared" si="359"/>
        <v>4.9009863139383672E-2</v>
      </c>
      <c r="AT53" s="77">
        <f t="shared" si="359"/>
        <v>5.9476380193511667E-2</v>
      </c>
      <c r="AU53" s="78">
        <f t="shared" si="359"/>
        <v>5.5096199713785973E-2</v>
      </c>
      <c r="AV53" s="77">
        <f t="shared" si="359"/>
        <v>5.6469378763401384E-2</v>
      </c>
      <c r="AW53" s="77">
        <f t="shared" si="359"/>
        <v>7.0612244897959184E-2</v>
      </c>
      <c r="AX53" s="77">
        <f t="shared" si="359"/>
        <v>6.5152785186314108E-2</v>
      </c>
      <c r="AY53" s="78">
        <f t="shared" si="359"/>
        <v>7.3394495412844027E-2</v>
      </c>
      <c r="AZ53" s="77">
        <f t="shared" si="359"/>
        <v>6.8627450980392163E-2</v>
      </c>
      <c r="BA53" s="77">
        <f t="shared" si="359"/>
        <v>6.9376313945339871E-2</v>
      </c>
      <c r="BB53" s="77">
        <f t="shared" si="359"/>
        <v>6.1051004636785165E-2</v>
      </c>
      <c r="BC53" s="78">
        <f t="shared" si="359"/>
        <v>6.4022268615170491E-2</v>
      </c>
      <c r="BD53" s="77">
        <f t="shared" si="359"/>
        <v>7.2312703583061883E-2</v>
      </c>
      <c r="BE53" s="77">
        <f t="shared" si="359"/>
        <v>7.9470198675496692E-2</v>
      </c>
      <c r="BF53" s="77">
        <f t="shared" si="359"/>
        <v>6.4753004005340453E-2</v>
      </c>
      <c r="BG53" s="78">
        <f t="shared" si="359"/>
        <v>6.487232574189096E-2</v>
      </c>
      <c r="BH53" s="77">
        <f t="shared" si="359"/>
        <v>6.7760342368045651E-2</v>
      </c>
      <c r="BI53" s="77">
        <f t="shared" si="359"/>
        <v>7.8549848942598186E-2</v>
      </c>
      <c r="BJ53" s="77">
        <f t="shared" si="359"/>
        <v>6.6003616636528026E-2</v>
      </c>
      <c r="BK53" s="78">
        <f t="shared" si="359"/>
        <v>5.683563748079877E-2</v>
      </c>
      <c r="BL53" s="77">
        <f t="shared" si="359"/>
        <v>4.3678160919540229E-2</v>
      </c>
      <c r="BM53" s="77">
        <f t="shared" si="359"/>
        <v>3.6715961244263129E-2</v>
      </c>
      <c r="BN53" s="77">
        <f t="shared" si="359"/>
        <v>4.195804195804196E-2</v>
      </c>
      <c r="BO53" s="78">
        <f t="shared" si="359"/>
        <v>4.7733654231849179E-2</v>
      </c>
      <c r="BP53" s="77">
        <f t="shared" si="359"/>
        <v>5.2397868561278864E-2</v>
      </c>
      <c r="BQ53" s="77">
        <f t="shared" si="359"/>
        <v>5.3167922020381037E-2</v>
      </c>
      <c r="BR53" s="77">
        <f t="shared" si="359"/>
        <v>4.067321178120617E-2</v>
      </c>
      <c r="BS53" s="78">
        <f t="shared" si="359"/>
        <v>4.4392523364485979E-2</v>
      </c>
      <c r="BT53" s="77">
        <f t="shared" si="359"/>
        <v>4.5933014354066985E-2</v>
      </c>
      <c r="BU53" s="77">
        <f t="shared" si="359"/>
        <v>0.12095569935291189</v>
      </c>
      <c r="BV53" s="77">
        <f t="shared" si="359"/>
        <v>3.591160220994475E-2</v>
      </c>
      <c r="BW53" s="78">
        <f t="shared" si="359"/>
        <v>4.9923586347427405E-2</v>
      </c>
      <c r="BX53" s="77">
        <f t="shared" ref="BX53:CG53" si="360">BX14/BX55</f>
        <v>4.0348964013086151E-2</v>
      </c>
      <c r="BY53" s="77">
        <f t="shared" si="360"/>
        <v>9.095283926852743E-2</v>
      </c>
      <c r="BZ53" s="77">
        <f t="shared" si="360"/>
        <v>4.2709232096635033E-2</v>
      </c>
      <c r="CA53" s="78">
        <f t="shared" si="360"/>
        <v>9.7080548716144924E-2</v>
      </c>
      <c r="CB53" s="132">
        <f t="shared" si="360"/>
        <v>5.1212271152894603E-2</v>
      </c>
      <c r="CC53" s="77">
        <f t="shared" si="360"/>
        <v>4.8453859264670072E-2</v>
      </c>
      <c r="CD53" s="77">
        <f t="shared" si="360"/>
        <v>4.8719236564540434E-2</v>
      </c>
      <c r="CE53" s="78">
        <f t="shared" si="360"/>
        <v>8.2801040927371658E-2</v>
      </c>
      <c r="CF53" s="132">
        <f t="shared" si="360"/>
        <v>7.2381368904439095E-2</v>
      </c>
      <c r="CG53" s="77">
        <f t="shared" si="360"/>
        <v>7.225156024963994E-2</v>
      </c>
      <c r="CH53" s="77">
        <f>CH14/CH55</f>
        <v>6.1510511289903973E-2</v>
      </c>
      <c r="CI53" s="78">
        <f t="shared" ref="CI53:CK53" si="361">CI14/CI55</f>
        <v>6.3333333333333339E-2</v>
      </c>
      <c r="CJ53" s="132">
        <f t="shared" si="361"/>
        <v>6.2985074626865672E-2</v>
      </c>
      <c r="CK53" s="77">
        <f t="shared" si="361"/>
        <v>6.0668029993183367E-2</v>
      </c>
      <c r="CL53" s="77">
        <f t="shared" ref="CL53:CO53" si="362">CL14/CL55</f>
        <v>4.6928916494133888E-2</v>
      </c>
      <c r="CM53" s="78">
        <f t="shared" si="362"/>
        <v>4.3518806341311785E-2</v>
      </c>
      <c r="CN53" s="132">
        <f t="shared" si="362"/>
        <v>3.3249370277078083E-2</v>
      </c>
      <c r="CO53" s="1231">
        <f t="shared" si="362"/>
        <v>3.3562822719449228E-2</v>
      </c>
      <c r="CP53" s="77">
        <f t="shared" ref="CP53:CR53" si="363">CP14/CP55</f>
        <v>2.3715415019762844E-2</v>
      </c>
      <c r="CQ53" s="78">
        <f t="shared" si="363"/>
        <v>2.3949169110459433E-2</v>
      </c>
      <c r="CR53" s="77">
        <f t="shared" si="363"/>
        <v>2.1755108040570337E-2</v>
      </c>
      <c r="CS53" s="77">
        <f t="shared" ref="CS53:CU53" si="364">CS14/CS55</f>
        <v>2.3534213032240511E-2</v>
      </c>
      <c r="CT53" s="77">
        <f t="shared" si="364"/>
        <v>2.2747387286902003E-2</v>
      </c>
      <c r="CU53" s="78">
        <f t="shared" si="364"/>
        <v>2.2526774770377768E-2</v>
      </c>
      <c r="CV53" s="1231">
        <f t="shared" ref="CV53:CY53" si="365">CV14/CV55</f>
        <v>2.3226881947079191E-2</v>
      </c>
      <c r="CW53" s="1231">
        <f t="shared" si="365"/>
        <v>2.54974220966145E-2</v>
      </c>
      <c r="CX53" s="1231">
        <f t="shared" si="365"/>
        <v>2.5978837090811904E-2</v>
      </c>
      <c r="CY53" s="78">
        <f t="shared" si="365"/>
        <v>2.5918391250776066E-2</v>
      </c>
      <c r="CZ53" s="1231">
        <f t="shared" ref="CZ53:DC53" si="366">CZ14/CZ55</f>
        <v>2.6343537898740575E-2</v>
      </c>
      <c r="DA53" s="1231">
        <f t="shared" si="366"/>
        <v>2.6377958573718798E-2</v>
      </c>
      <c r="DB53" s="1231">
        <f t="shared" si="366"/>
        <v>2.6263973386551009E-2</v>
      </c>
      <c r="DC53" s="78">
        <f t="shared" si="366"/>
        <v>2.5938880161306938E-2</v>
      </c>
      <c r="DD53" s="133"/>
      <c r="DE53" s="77"/>
      <c r="DF53" s="77"/>
      <c r="DG53" s="77">
        <f t="shared" ref="DG53:DY53" si="367">DG14/DG55</f>
        <v>2.0366946380315745E-2</v>
      </c>
      <c r="DH53" s="77">
        <f t="shared" si="367"/>
        <v>2.2873764585330383E-2</v>
      </c>
      <c r="DI53" s="77">
        <f t="shared" si="367"/>
        <v>4.2029755579171095E-2</v>
      </c>
      <c r="DJ53" s="77">
        <f t="shared" si="367"/>
        <v>2.5069156293222681E-2</v>
      </c>
      <c r="DK53" s="77">
        <f t="shared" si="367"/>
        <v>4.4894433293528782E-2</v>
      </c>
      <c r="DL53" s="77">
        <f t="shared" si="367"/>
        <v>1.9235225955967553E-2</v>
      </c>
      <c r="DM53" s="77">
        <f t="shared" si="367"/>
        <v>1.7888914049105552E-2</v>
      </c>
      <c r="DN53" s="77">
        <f t="shared" si="367"/>
        <v>1.2692429953226466E-2</v>
      </c>
      <c r="DO53" s="77">
        <f t="shared" si="367"/>
        <v>1.4200237695176428E-2</v>
      </c>
      <c r="DP53" s="77">
        <f t="shared" si="367"/>
        <v>1.9118065433854907E-2</v>
      </c>
      <c r="DQ53" s="77">
        <f t="shared" si="367"/>
        <v>1.6174402250351619E-2</v>
      </c>
      <c r="DR53" s="77">
        <f t="shared" si="367"/>
        <v>1.6093134737202534E-2</v>
      </c>
      <c r="DS53" s="77">
        <f t="shared" si="367"/>
        <v>1.5407037268373933E-2</v>
      </c>
      <c r="DT53" s="77">
        <f t="shared" si="367"/>
        <v>1.4029709974062721E-2</v>
      </c>
      <c r="DU53" s="1231">
        <f t="shared" si="367"/>
        <v>1.0810195721438326E-2</v>
      </c>
      <c r="DV53" s="1231">
        <f t="shared" si="367"/>
        <v>1.1901870293903327E-2</v>
      </c>
      <c r="DW53" s="1231">
        <f t="shared" si="367"/>
        <v>3.0419927256695692E-2</v>
      </c>
      <c r="DX53" s="1231">
        <f t="shared" si="367"/>
        <v>2.1396258711333903E-2</v>
      </c>
      <c r="DY53" s="1231">
        <f t="shared" si="367"/>
        <v>1.408102766798419E-2</v>
      </c>
      <c r="DZ53" s="1231">
        <f>DZ14/DZ55</f>
        <v>1.1291233163964836E-2</v>
      </c>
      <c r="EA53" s="77">
        <f>EA14/EA55</f>
        <v>7.2335400059049303E-3</v>
      </c>
      <c r="EB53" s="1231">
        <f>EB14/EB55</f>
        <v>5.8765544957723225E-3</v>
      </c>
      <c r="EC53" s="1231">
        <f>EC14/EC55</f>
        <v>6.2755444194072486E-3</v>
      </c>
      <c r="ED53" s="78">
        <f>ED14/ED55</f>
        <v>6.5574824679987612E-3</v>
      </c>
      <c r="EE53" s="18"/>
      <c r="EF53" s="132"/>
      <c r="EG53" s="77">
        <f t="shared" ref="EG53:EY53" si="368">EG14/EG55</f>
        <v>1.9680235286755735E-2</v>
      </c>
      <c r="EH53" s="77">
        <f t="shared" si="368"/>
        <v>1.7437979010334607E-2</v>
      </c>
      <c r="EI53" s="77">
        <f t="shared" si="368"/>
        <v>2.8969807100922562E-2</v>
      </c>
      <c r="EJ53" s="77">
        <f t="shared" si="368"/>
        <v>2.7954845738392714E-2</v>
      </c>
      <c r="EK53" s="77">
        <f t="shared" si="368"/>
        <v>3.453560535939184E-2</v>
      </c>
      <c r="EL53" s="77">
        <f t="shared" si="368"/>
        <v>1.6031848504411444E-2</v>
      </c>
      <c r="EM53" s="77">
        <f t="shared" si="368"/>
        <v>1.957757350361378E-2</v>
      </c>
      <c r="EN53" s="77">
        <f t="shared" si="368"/>
        <v>1.8728297375761371E-2</v>
      </c>
      <c r="EO53" s="77">
        <f t="shared" si="368"/>
        <v>1.6062142057797338E-2</v>
      </c>
      <c r="EP53" s="77">
        <f t="shared" si="368"/>
        <v>1.5436497581146997E-2</v>
      </c>
      <c r="EQ53" s="77">
        <f t="shared" si="368"/>
        <v>1.9298987262668404E-2</v>
      </c>
      <c r="ER53" s="77">
        <f t="shared" si="368"/>
        <v>1.949762866678377E-2</v>
      </c>
      <c r="ES53" s="77">
        <f t="shared" si="368"/>
        <v>1.6643307638402244E-2</v>
      </c>
      <c r="ET53" s="77">
        <f t="shared" si="368"/>
        <v>1.4783116125267459E-2</v>
      </c>
      <c r="EU53" s="77">
        <f t="shared" si="368"/>
        <v>1.3119857682899711E-2</v>
      </c>
      <c r="EV53" s="77">
        <f t="shared" si="368"/>
        <v>1.1129144447020635E-2</v>
      </c>
      <c r="EW53" s="77">
        <f t="shared" si="368"/>
        <v>9.2755076460265731E-3</v>
      </c>
      <c r="EX53" s="77">
        <f t="shared" si="368"/>
        <v>1.8349437106639482E-2</v>
      </c>
      <c r="EY53" s="77">
        <f t="shared" si="368"/>
        <v>1.9598555272662681E-2</v>
      </c>
      <c r="EZ53" s="1231">
        <f t="shared" ref="EZ53:FC53" si="369">EZ14/EZ55</f>
        <v>1.409579798249716E-2</v>
      </c>
      <c r="FA53" s="1231">
        <f t="shared" si="369"/>
        <v>1.0139027575082572E-2</v>
      </c>
      <c r="FB53" s="1231">
        <f t="shared" si="369"/>
        <v>6.3917080544158931E-3</v>
      </c>
      <c r="FC53" s="1231">
        <f t="shared" si="369"/>
        <v>5.7505105490205715E-3</v>
      </c>
      <c r="FD53" s="78">
        <f t="shared" ref="FD53" si="370">FD14/FD55</f>
        <v>6.4827663068212438E-3</v>
      </c>
      <c r="FE53" s="21"/>
      <c r="FF53" s="13"/>
      <c r="FG53" s="13"/>
      <c r="FH53" s="13"/>
      <c r="FO53" s="7"/>
    </row>
    <row r="54" spans="1:171" ht="14.25" customHeight="1">
      <c r="A54" s="7"/>
      <c r="B54" s="433"/>
      <c r="C54" s="23"/>
      <c r="D54" s="95"/>
      <c r="E54" s="93"/>
      <c r="F54" s="93"/>
      <c r="G54" s="93"/>
      <c r="H54" s="95"/>
      <c r="I54" s="93"/>
      <c r="J54" s="93"/>
      <c r="K54" s="93"/>
      <c r="L54" s="95"/>
      <c r="M54" s="93"/>
      <c r="N54" s="93"/>
      <c r="O54" s="93"/>
      <c r="P54" s="95"/>
      <c r="Q54" s="93"/>
      <c r="R54" s="93"/>
      <c r="S54" s="93"/>
      <c r="T54" s="95"/>
      <c r="U54" s="93"/>
      <c r="V54" s="93"/>
      <c r="W54" s="93"/>
      <c r="X54" s="95"/>
      <c r="Y54" s="93"/>
      <c r="Z54" s="93"/>
      <c r="AA54" s="93"/>
      <c r="AB54" s="95"/>
      <c r="AC54" s="93"/>
      <c r="AD54" s="93"/>
      <c r="AE54" s="93"/>
      <c r="AF54" s="95"/>
      <c r="AG54" s="93"/>
      <c r="AH54" s="93"/>
      <c r="AI54" s="93"/>
      <c r="AJ54" s="95"/>
      <c r="AK54" s="93"/>
      <c r="AL54" s="93"/>
      <c r="AM54" s="93"/>
      <c r="AN54" s="95"/>
      <c r="AO54" s="93"/>
      <c r="AP54" s="93"/>
      <c r="AQ54" s="93"/>
      <c r="AR54" s="95"/>
      <c r="AS54" s="93"/>
      <c r="AT54" s="93"/>
      <c r="AU54" s="93"/>
      <c r="AV54" s="95"/>
      <c r="AW54" s="93"/>
      <c r="AX54" s="93"/>
      <c r="AY54" s="93"/>
      <c r="AZ54" s="95"/>
      <c r="BA54" s="93"/>
      <c r="BB54" s="93"/>
      <c r="BC54" s="93"/>
      <c r="BD54" s="95"/>
      <c r="BE54" s="93"/>
      <c r="BF54" s="93"/>
      <c r="BG54" s="93"/>
      <c r="BH54" s="95"/>
      <c r="BI54" s="93"/>
      <c r="BJ54" s="93"/>
      <c r="BK54" s="93"/>
      <c r="BL54" s="95"/>
      <c r="BM54" s="93"/>
      <c r="BN54" s="93"/>
      <c r="BO54" s="93"/>
      <c r="BP54" s="95"/>
      <c r="BQ54" s="93"/>
      <c r="BR54" s="93"/>
      <c r="BS54" s="93"/>
      <c r="BT54" s="95"/>
      <c r="BU54" s="93"/>
      <c r="BV54" s="93"/>
      <c r="BW54" s="93"/>
      <c r="BX54" s="95"/>
      <c r="BY54" s="93"/>
      <c r="BZ54" s="93"/>
      <c r="CA54" s="93"/>
      <c r="CB54" s="95"/>
      <c r="CC54" s="93"/>
      <c r="CD54" s="93"/>
      <c r="CE54" s="93"/>
      <c r="CF54" s="95"/>
      <c r="CG54" s="93"/>
      <c r="CH54" s="93"/>
      <c r="CI54" s="94"/>
      <c r="CJ54" s="95"/>
      <c r="CK54" s="93"/>
      <c r="CL54" s="93"/>
      <c r="CM54" s="94"/>
      <c r="CN54" s="95"/>
      <c r="CO54" s="1234"/>
      <c r="CP54" s="93"/>
      <c r="CQ54" s="94"/>
      <c r="CR54" s="93"/>
      <c r="CS54" s="93"/>
      <c r="CT54" s="93"/>
      <c r="CU54" s="94"/>
      <c r="CV54" s="93"/>
      <c r="CW54" s="93"/>
      <c r="CX54" s="93"/>
      <c r="CY54" s="94"/>
      <c r="CZ54" s="93"/>
      <c r="DA54" s="93"/>
      <c r="DB54" s="93"/>
      <c r="DC54" s="94"/>
      <c r="DD54" s="18"/>
      <c r="DE54" s="93"/>
      <c r="DF54" s="93"/>
      <c r="DG54" s="93"/>
      <c r="DH54" s="93"/>
      <c r="DI54" s="93"/>
      <c r="DJ54" s="93"/>
      <c r="DK54" s="93"/>
      <c r="DL54" s="93"/>
      <c r="DM54" s="93"/>
      <c r="DN54" s="93"/>
      <c r="DO54" s="93"/>
      <c r="DP54" s="93"/>
      <c r="DQ54" s="93"/>
      <c r="DR54" s="93"/>
      <c r="DS54" s="93"/>
      <c r="DT54" s="93"/>
      <c r="DU54" s="93"/>
      <c r="DV54" s="93"/>
      <c r="DW54" s="93"/>
      <c r="DX54" s="93"/>
      <c r="DY54" s="93"/>
      <c r="DZ54" s="93"/>
      <c r="EA54" s="93"/>
      <c r="EB54" s="93"/>
      <c r="EC54" s="93"/>
      <c r="ED54" s="94"/>
      <c r="EE54" s="18"/>
      <c r="EF54" s="95"/>
      <c r="EG54" s="93"/>
      <c r="EH54" s="93"/>
      <c r="EI54" s="93"/>
      <c r="EJ54" s="93"/>
      <c r="EK54" s="93"/>
      <c r="EL54" s="93"/>
      <c r="EM54" s="93"/>
      <c r="EN54" s="93"/>
      <c r="EO54" s="93"/>
      <c r="EP54" s="93"/>
      <c r="EQ54" s="93"/>
      <c r="ER54" s="93"/>
      <c r="ES54" s="93"/>
      <c r="ET54" s="93"/>
      <c r="EU54" s="93"/>
      <c r="EV54" s="93"/>
      <c r="EW54" s="93"/>
      <c r="EX54" s="93"/>
      <c r="EY54" s="93"/>
      <c r="EZ54" s="93"/>
      <c r="FA54" s="93"/>
      <c r="FB54" s="93"/>
      <c r="FC54" s="93"/>
      <c r="FD54" s="94"/>
      <c r="FE54" s="21"/>
      <c r="FF54" s="13"/>
      <c r="FG54" s="13"/>
      <c r="FH54" s="13"/>
      <c r="FO54" s="7"/>
    </row>
    <row r="55" spans="1:171" ht="14.25" customHeight="1">
      <c r="A55" s="7"/>
      <c r="B55" s="433" t="s">
        <v>304</v>
      </c>
      <c r="C55" s="23"/>
      <c r="D55" s="136"/>
      <c r="E55" s="134"/>
      <c r="F55" s="134"/>
      <c r="G55" s="134"/>
      <c r="H55" s="136"/>
      <c r="I55" s="134"/>
      <c r="J55" s="134"/>
      <c r="K55" s="134"/>
      <c r="L55" s="136">
        <f>IS!L7</f>
        <v>728.1</v>
      </c>
      <c r="M55" s="134">
        <f>IS!M7</f>
        <v>876.2</v>
      </c>
      <c r="N55" s="134">
        <f>IS!N7</f>
        <v>965</v>
      </c>
      <c r="O55" s="134">
        <f>IS!O7</f>
        <v>946.2</v>
      </c>
      <c r="P55" s="136">
        <f>IS!P7</f>
        <v>957.3</v>
      </c>
      <c r="Q55" s="134">
        <f>IS!Q7</f>
        <v>763.2</v>
      </c>
      <c r="R55" s="134">
        <f>IS!R7</f>
        <v>612.70000000000005</v>
      </c>
      <c r="S55" s="134">
        <f>IS!S7</f>
        <v>692.1</v>
      </c>
      <c r="T55" s="136">
        <f>IS!T7</f>
        <v>793.6</v>
      </c>
      <c r="U55" s="134">
        <f>IS!U7</f>
        <v>1025.8</v>
      </c>
      <c r="V55" s="134">
        <f>IS!V7</f>
        <v>863.8</v>
      </c>
      <c r="W55" s="134">
        <f>IS!W7</f>
        <v>1080.8</v>
      </c>
      <c r="X55" s="136">
        <f>IS!X7</f>
        <v>1343.7</v>
      </c>
      <c r="Y55" s="134">
        <f>IS!Y7</f>
        <v>1159.0999999999999</v>
      </c>
      <c r="Z55" s="134">
        <f>IS!Z7</f>
        <v>1553.8</v>
      </c>
      <c r="AA55" s="134">
        <f>IS!AA7</f>
        <v>2305.8000000000002</v>
      </c>
      <c r="AB55" s="136">
        <f>IS!AB7</f>
        <v>1571.6</v>
      </c>
      <c r="AC55" s="134">
        <f>IS!AC7</f>
        <v>1065.7</v>
      </c>
      <c r="AD55" s="134">
        <f>IS!AD7</f>
        <v>818.3</v>
      </c>
      <c r="AE55" s="134">
        <f>IS!AE7</f>
        <v>480.30000000000064</v>
      </c>
      <c r="AF55" s="136">
        <f>IS!AF7</f>
        <v>423.9</v>
      </c>
      <c r="AG55" s="134">
        <f>IS!AG7</f>
        <v>645.9</v>
      </c>
      <c r="AH55" s="134">
        <f>IS!AH7</f>
        <v>771.2</v>
      </c>
      <c r="AI55" s="134">
        <f>IS!AI7</f>
        <v>748</v>
      </c>
      <c r="AJ55" s="136">
        <f>IS!AJ7</f>
        <v>685.1</v>
      </c>
      <c r="AK55" s="134">
        <f>IS!AK7</f>
        <v>785</v>
      </c>
      <c r="AL55" s="134">
        <f>IS!AL7</f>
        <v>732.7</v>
      </c>
      <c r="AM55" s="134">
        <f>IS!AM7</f>
        <v>888.5</v>
      </c>
      <c r="AN55" s="136">
        <f>IS!AN7</f>
        <v>1107.2</v>
      </c>
      <c r="AO55" s="134">
        <f>IS!AO7</f>
        <v>991</v>
      </c>
      <c r="AP55" s="134">
        <f>IS!AP7</f>
        <v>1116.8</v>
      </c>
      <c r="AQ55" s="134">
        <f>IS!AQ7</f>
        <v>1189.2</v>
      </c>
      <c r="AR55" s="136">
        <f>IS!AR7</f>
        <v>1260.3</v>
      </c>
      <c r="AS55" s="134">
        <f>IS!AS7</f>
        <v>1307.9000000000001</v>
      </c>
      <c r="AT55" s="134">
        <f>IS!AT7</f>
        <v>1054.2</v>
      </c>
      <c r="AU55" s="134">
        <f>IS!AU7</f>
        <v>1257.8</v>
      </c>
      <c r="AV55" s="136">
        <f>IS!AV7</f>
        <v>1361.8</v>
      </c>
      <c r="AW55" s="134">
        <f>IS!AW7</f>
        <v>1225</v>
      </c>
      <c r="AX55" s="134">
        <f>IS!AX7</f>
        <v>1312.3</v>
      </c>
      <c r="AY55" s="134">
        <f>IS!AY7</f>
        <v>1373.4</v>
      </c>
      <c r="AZ55" s="136">
        <f>IS!AZ7</f>
        <v>1530</v>
      </c>
      <c r="BA55" s="134">
        <f>IS!BA7</f>
        <v>1427</v>
      </c>
      <c r="BB55" s="134">
        <f>IS!BB7</f>
        <v>1294</v>
      </c>
      <c r="BC55" s="134">
        <f>IS!BC7</f>
        <v>1437</v>
      </c>
      <c r="BD55" s="136">
        <f>IS!BD7</f>
        <v>1535</v>
      </c>
      <c r="BE55" s="134">
        <f>IS!BE7</f>
        <v>1359</v>
      </c>
      <c r="BF55" s="134">
        <f>IS!BF7</f>
        <v>1498</v>
      </c>
      <c r="BG55" s="134">
        <f>IS!BG7</f>
        <v>1449</v>
      </c>
      <c r="BH55" s="136">
        <f>IS!BH7</f>
        <v>1402</v>
      </c>
      <c r="BI55" s="134">
        <f>IS!BI7</f>
        <v>993</v>
      </c>
      <c r="BJ55" s="134">
        <f>IS!BJ7</f>
        <v>1106</v>
      </c>
      <c r="BK55" s="134">
        <f>IS!BK7</f>
        <v>1302</v>
      </c>
      <c r="BL55" s="136">
        <f>IS!BL7</f>
        <v>1740</v>
      </c>
      <c r="BM55" s="134">
        <f>IS!BM7</f>
        <v>1961</v>
      </c>
      <c r="BN55" s="134">
        <f>IS!BN7</f>
        <v>2288</v>
      </c>
      <c r="BO55" s="134">
        <f>IS!BO7</f>
        <v>2493</v>
      </c>
      <c r="BP55" s="136">
        <f>IS!BP7</f>
        <v>2252</v>
      </c>
      <c r="BQ55" s="134">
        <f>IS!BQ7</f>
        <v>2257</v>
      </c>
      <c r="BR55" s="134">
        <f>IS!BR7</f>
        <v>2139</v>
      </c>
      <c r="BS55" s="134">
        <f>IS!BS7</f>
        <v>2140</v>
      </c>
      <c r="BT55" s="136">
        <f>IS!BT7</f>
        <v>2090</v>
      </c>
      <c r="BU55" s="134">
        <f>IS!BU7</f>
        <v>2009</v>
      </c>
      <c r="BV55" s="134">
        <f>IS!BV7</f>
        <v>2172</v>
      </c>
      <c r="BW55" s="134">
        <f>IS!BW7</f>
        <v>1963</v>
      </c>
      <c r="BX55" s="136">
        <f>IS!BX7</f>
        <v>1834</v>
      </c>
      <c r="BY55" s="134">
        <f>IS!BY7</f>
        <v>2078</v>
      </c>
      <c r="BZ55" s="134">
        <f>IS!BZ7</f>
        <v>2318</v>
      </c>
      <c r="CA55" s="134">
        <f>IS!CA7</f>
        <v>2843</v>
      </c>
      <c r="CB55" s="136">
        <f>IS!CB7</f>
        <v>4042</v>
      </c>
      <c r="CC55" s="134">
        <f>IS!CC7</f>
        <v>4107</v>
      </c>
      <c r="CD55" s="134">
        <f>IS!CD7</f>
        <v>3982</v>
      </c>
      <c r="CE55" s="134">
        <f>IS!CE7</f>
        <v>4227</v>
      </c>
      <c r="CF55" s="136">
        <f>IS!CF7</f>
        <v>4573</v>
      </c>
      <c r="CG55" s="134">
        <f>IS!CG7</f>
        <v>4166</v>
      </c>
      <c r="CH55" s="134">
        <f>IS!CH7</f>
        <v>3853</v>
      </c>
      <c r="CI55" s="135">
        <f>IS!CI7</f>
        <v>3600</v>
      </c>
      <c r="CJ55" s="136">
        <f>IS!CJ7</f>
        <v>3350</v>
      </c>
      <c r="CK55" s="134">
        <f>IS!CK7</f>
        <v>2934</v>
      </c>
      <c r="CL55" s="134">
        <f>IS!CL7</f>
        <v>2898</v>
      </c>
      <c r="CM55" s="135">
        <f>IS!CM7</f>
        <v>3217</v>
      </c>
      <c r="CN55" s="136">
        <f>IS!CN7</f>
        <v>3970</v>
      </c>
      <c r="CO55" s="1243">
        <f>IS!CO7</f>
        <v>4648</v>
      </c>
      <c r="CP55" s="134">
        <f>IS!CP7</f>
        <v>5566</v>
      </c>
      <c r="CQ55" s="135">
        <f>IS!CQ7</f>
        <v>6138</v>
      </c>
      <c r="CR55" s="134">
        <f>IS!CR7</f>
        <v>6803</v>
      </c>
      <c r="CS55" s="134">
        <f>IS!CS7</f>
        <v>7351</v>
      </c>
      <c r="CT55" s="134">
        <f>IS!CT7</f>
        <v>7605.2690279561812</v>
      </c>
      <c r="CU55" s="135">
        <f>IS!CU7</f>
        <v>7679.7500646870822</v>
      </c>
      <c r="CV55" s="134">
        <f>IS!CV7</f>
        <v>7448.266211287777</v>
      </c>
      <c r="CW55" s="134">
        <f>IS!CW7</f>
        <v>6784.9996499438512</v>
      </c>
      <c r="CX55" s="134">
        <f>IS!CX7</f>
        <v>6659.2665174064305</v>
      </c>
      <c r="CY55" s="135">
        <f>IS!CY7</f>
        <v>6674.796993614329</v>
      </c>
      <c r="CZ55" s="134">
        <f>IS!CZ7</f>
        <v>6567.0754120034399</v>
      </c>
      <c r="DA55" s="134">
        <f>IS!DA7</f>
        <v>6558.5060161693264</v>
      </c>
      <c r="DB55" s="134">
        <f>IS!DB7</f>
        <v>6586.9698180774158</v>
      </c>
      <c r="DC55" s="135">
        <f>IS!DC7</f>
        <v>6669.5246257417211</v>
      </c>
      <c r="DD55" s="18"/>
      <c r="DE55" s="134"/>
      <c r="DF55" s="134"/>
      <c r="DG55" s="134">
        <f>IS!DG7</f>
        <v>3515.5</v>
      </c>
      <c r="DH55" s="134">
        <f>IS!DH7</f>
        <v>3025.2999999999997</v>
      </c>
      <c r="DI55" s="134">
        <f>IS!DI7</f>
        <v>3764</v>
      </c>
      <c r="DJ55" s="134">
        <f>IS!DJ7</f>
        <v>6362.4000000000005</v>
      </c>
      <c r="DK55" s="134">
        <f>IS!DK7</f>
        <v>3935.900000000001</v>
      </c>
      <c r="DL55" s="134">
        <f>IS!DL7</f>
        <v>2589</v>
      </c>
      <c r="DM55" s="134">
        <f>IS!DM7</f>
        <v>3091.3</v>
      </c>
      <c r="DN55" s="134">
        <f>IS!DN7</f>
        <v>4404.2</v>
      </c>
      <c r="DO55" s="134">
        <f>IS!DO7</f>
        <v>4880.2</v>
      </c>
      <c r="DP55" s="134">
        <f>IS!DP7</f>
        <v>5272.5</v>
      </c>
      <c r="DQ55" s="134">
        <f>IS!DQ7</f>
        <v>5688</v>
      </c>
      <c r="DR55" s="134">
        <f>IS!DR7</f>
        <v>5841</v>
      </c>
      <c r="DS55" s="134">
        <f>IS!DS7</f>
        <v>4803</v>
      </c>
      <c r="DT55" s="134">
        <f>IS!DT7</f>
        <v>8482</v>
      </c>
      <c r="DU55" s="134">
        <f>IS!DU7</f>
        <v>8788</v>
      </c>
      <c r="DV55" s="134">
        <f>IS!DV7</f>
        <v>8234</v>
      </c>
      <c r="DW55" s="134">
        <f>IS!DW7</f>
        <v>9073</v>
      </c>
      <c r="DX55" s="134">
        <f>IS!DX7</f>
        <v>16358</v>
      </c>
      <c r="DY55" s="134">
        <f>IS!DY7</f>
        <v>16192</v>
      </c>
      <c r="DZ55" s="134">
        <f>IS!DZ7</f>
        <v>12399</v>
      </c>
      <c r="EA55" s="134">
        <f>IS!EA7</f>
        <v>20322</v>
      </c>
      <c r="EB55" s="134">
        <f>IS!EB7</f>
        <v>29439.019092643262</v>
      </c>
      <c r="EC55" s="134">
        <f>IS!EC7</f>
        <v>27567.329372252389</v>
      </c>
      <c r="ED55" s="135">
        <f>IS!ED7</f>
        <v>26382.075871991899</v>
      </c>
      <c r="EE55" s="18"/>
      <c r="EF55" s="136"/>
      <c r="EG55" s="134">
        <f>IS!EG7</f>
        <v>3196.1</v>
      </c>
      <c r="EH55" s="134">
        <f>IS!EH7</f>
        <v>3744.7</v>
      </c>
      <c r="EI55" s="134">
        <f>IS!EI7</f>
        <v>2861.6</v>
      </c>
      <c r="EJ55" s="134">
        <f>IS!EJ7</f>
        <v>4314.0999999999995</v>
      </c>
      <c r="EK55" s="134">
        <f>IS!EK7</f>
        <v>6590.2999999999993</v>
      </c>
      <c r="EL55" s="134">
        <f>IS!EL7</f>
        <v>2788.2000000000007</v>
      </c>
      <c r="EM55" s="134">
        <f>IS!EM7</f>
        <v>2850.2</v>
      </c>
      <c r="EN55" s="134">
        <f>IS!EN7</f>
        <v>3513.3999999999996</v>
      </c>
      <c r="EO55" s="134">
        <f>IS!EO7</f>
        <v>4557.3</v>
      </c>
      <c r="EP55" s="134">
        <f>IS!EP7</f>
        <v>4981.7000000000007</v>
      </c>
      <c r="EQ55" s="134">
        <f>IS!EQ7</f>
        <v>5440.7000000000007</v>
      </c>
      <c r="ER55" s="134">
        <f>IS!ER7</f>
        <v>5693</v>
      </c>
      <c r="ES55" s="134">
        <f>IS!ES7</f>
        <v>5708</v>
      </c>
      <c r="ET55" s="134">
        <f>IS!ET7</f>
        <v>5141</v>
      </c>
      <c r="EU55" s="134">
        <f>IS!EU7</f>
        <v>8994</v>
      </c>
      <c r="EV55" s="134">
        <f>IS!EV7</f>
        <v>8626</v>
      </c>
      <c r="EW55" s="134">
        <f>IS!EW7</f>
        <v>7978</v>
      </c>
      <c r="EX55" s="134">
        <f>IS!EX7</f>
        <v>11281</v>
      </c>
      <c r="EY55" s="134">
        <f>IS!EY7</f>
        <v>16889</v>
      </c>
      <c r="EZ55" s="134">
        <f>IS!EZ7</f>
        <v>14969</v>
      </c>
      <c r="FA55" s="134">
        <f>IS!FA7</f>
        <v>13019</v>
      </c>
      <c r="FB55" s="134">
        <f>IS!FB7</f>
        <v>23155</v>
      </c>
      <c r="FC55" s="134">
        <f>IS!FC7</f>
        <v>30084.285303931039</v>
      </c>
      <c r="FD55" s="135">
        <f>IS!FD7</f>
        <v>26686.138572968048</v>
      </c>
      <c r="FE55" s="21"/>
      <c r="FF55" s="13"/>
      <c r="FG55" s="13"/>
      <c r="FH55" s="13"/>
      <c r="FO55" s="7"/>
    </row>
    <row r="56" spans="1:171" ht="14.25" customHeight="1">
      <c r="A56" s="7"/>
      <c r="B56" s="435" t="s">
        <v>305</v>
      </c>
      <c r="C56" s="57"/>
      <c r="D56" s="139"/>
      <c r="E56" s="137"/>
      <c r="F56" s="137"/>
      <c r="G56" s="137"/>
      <c r="H56" s="139"/>
      <c r="I56" s="137"/>
      <c r="J56" s="137"/>
      <c r="K56" s="137"/>
      <c r="L56" s="139">
        <f>IS!L12</f>
        <v>572.9</v>
      </c>
      <c r="M56" s="137">
        <f>IS!M12</f>
        <v>657.5</v>
      </c>
      <c r="N56" s="137">
        <f>IS!N12</f>
        <v>650</v>
      </c>
      <c r="O56" s="137">
        <f>IS!O12</f>
        <v>658.8</v>
      </c>
      <c r="P56" s="139">
        <f>IS!P12</f>
        <v>747.1</v>
      </c>
      <c r="Q56" s="137">
        <f>IS!Q12</f>
        <v>740.5</v>
      </c>
      <c r="R56" s="137">
        <f>IS!R12</f>
        <v>606</v>
      </c>
      <c r="S56" s="137">
        <f>IS!S12</f>
        <v>651.29999999999995</v>
      </c>
      <c r="T56" s="139">
        <f>IS!T12</f>
        <v>677.7</v>
      </c>
      <c r="U56" s="137">
        <f>IS!U12</f>
        <v>745.1</v>
      </c>
      <c r="V56" s="137">
        <f>IS!V12</f>
        <v>674.8</v>
      </c>
      <c r="W56" s="137">
        <f>IS!W12</f>
        <v>852.8</v>
      </c>
      <c r="X56" s="139">
        <f>IS!X12</f>
        <v>565.9</v>
      </c>
      <c r="Y56" s="137">
        <f>IS!Y12</f>
        <v>681.1</v>
      </c>
      <c r="Z56" s="137">
        <f>IS!Z12</f>
        <v>892.1</v>
      </c>
      <c r="AA56" s="137">
        <f>IS!AA12</f>
        <v>975.2</v>
      </c>
      <c r="AB56" s="139">
        <f>IS!AB12</f>
        <v>809.1</v>
      </c>
      <c r="AC56" s="137">
        <f>IS!AC12</f>
        <v>865.4</v>
      </c>
      <c r="AD56" s="137">
        <f>IS!AD12</f>
        <v>1094.0999999999999</v>
      </c>
      <c r="AE56" s="137">
        <f>IS!AE12</f>
        <v>1056.5999999999999</v>
      </c>
      <c r="AF56" s="139">
        <f>IS!AF12</f>
        <v>636.5</v>
      </c>
      <c r="AG56" s="137">
        <f>IS!AG12</f>
        <v>502.9</v>
      </c>
      <c r="AH56" s="137">
        <f>IS!AH12</f>
        <v>603</v>
      </c>
      <c r="AI56" s="137">
        <f>IS!AI12</f>
        <v>957.2</v>
      </c>
      <c r="AJ56" s="139">
        <f>IS!AJ12</f>
        <v>722.4</v>
      </c>
      <c r="AK56" s="137">
        <f>IS!AK12</f>
        <v>1000.9</v>
      </c>
      <c r="AL56" s="137">
        <f>IS!AL12</f>
        <v>661.7</v>
      </c>
      <c r="AM56" s="137">
        <f>IS!AM12</f>
        <v>719</v>
      </c>
      <c r="AN56" s="139">
        <f>IS!AN12</f>
        <v>821.2</v>
      </c>
      <c r="AO56" s="137">
        <f>IS!AO12</f>
        <v>742.8</v>
      </c>
      <c r="AP56" s="137">
        <f>IS!AP12</f>
        <v>728.9</v>
      </c>
      <c r="AQ56" s="137">
        <f>IS!AQ12</f>
        <v>796.6</v>
      </c>
      <c r="AR56" s="139">
        <f>IS!AR12</f>
        <v>837.3</v>
      </c>
      <c r="AS56" s="137">
        <f>IS!AS12</f>
        <v>953.9</v>
      </c>
      <c r="AT56" s="137">
        <f>IS!AT12</f>
        <v>967.6</v>
      </c>
      <c r="AU56" s="137">
        <f>IS!AU12</f>
        <v>975.6</v>
      </c>
      <c r="AV56" s="139">
        <f>IS!AV12</f>
        <v>1050.7</v>
      </c>
      <c r="AW56" s="137">
        <f>IS!AW12</f>
        <v>989.7</v>
      </c>
      <c r="AX56" s="137">
        <f>IS!AX12</f>
        <v>982.5</v>
      </c>
      <c r="AY56" s="137">
        <f>IS!AY12</f>
        <v>1048.7</v>
      </c>
      <c r="AZ56" s="139">
        <f>IS!AZ12</f>
        <v>1088</v>
      </c>
      <c r="BA56" s="137">
        <f>IS!BA12</f>
        <v>1070</v>
      </c>
      <c r="BB56" s="137">
        <f>IS!BB12</f>
        <v>1188</v>
      </c>
      <c r="BC56" s="137">
        <f>IS!BC12</f>
        <v>1264</v>
      </c>
      <c r="BD56" s="139">
        <f>IS!BD12</f>
        <v>1530</v>
      </c>
      <c r="BE56" s="137">
        <f>IS!BE12</f>
        <v>1402</v>
      </c>
      <c r="BF56" s="137">
        <f>IS!BF12</f>
        <v>1450</v>
      </c>
      <c r="BG56" s="137">
        <f>IS!BG12</f>
        <v>1514</v>
      </c>
      <c r="BH56" s="139">
        <f>IS!BH12</f>
        <v>1851</v>
      </c>
      <c r="BI56" s="137">
        <f>IS!BI12</f>
        <v>1260</v>
      </c>
      <c r="BJ56" s="137">
        <f>IS!BJ12</f>
        <v>999</v>
      </c>
      <c r="BK56" s="137">
        <f>IS!BK12</f>
        <v>1132</v>
      </c>
      <c r="BL56" s="139">
        <f>IS!BL12</f>
        <v>1297</v>
      </c>
      <c r="BM56" s="137">
        <f>IS!BM12</f>
        <v>1319</v>
      </c>
      <c r="BN56" s="137">
        <f>IS!BN12</f>
        <v>1440</v>
      </c>
      <c r="BO56" s="137">
        <f>IS!BO12</f>
        <v>1712</v>
      </c>
      <c r="BP56" s="139">
        <f>IS!BP12</f>
        <v>1728</v>
      </c>
      <c r="BQ56" s="137">
        <f>IS!BQ12</f>
        <v>1822</v>
      </c>
      <c r="BR56" s="137">
        <f>IS!BR12</f>
        <v>1661</v>
      </c>
      <c r="BS56" s="137">
        <f>IS!BS12</f>
        <v>1819</v>
      </c>
      <c r="BT56" s="139">
        <f>IS!BT12</f>
        <v>1785</v>
      </c>
      <c r="BU56" s="137">
        <f>IS!BU12</f>
        <v>1799</v>
      </c>
      <c r="BV56" s="137">
        <f>IS!BV12</f>
        <v>1938</v>
      </c>
      <c r="BW56" s="137">
        <f>IS!BW12</f>
        <v>1744</v>
      </c>
      <c r="BX56" s="139">
        <f>IS!BX12</f>
        <v>1617</v>
      </c>
      <c r="BY56" s="137">
        <f>IS!BY12</f>
        <v>1712</v>
      </c>
      <c r="BZ56" s="137">
        <f>IS!BZ12</f>
        <v>1762</v>
      </c>
      <c r="CA56" s="137">
        <f>IS!CA12</f>
        <v>2135</v>
      </c>
      <c r="CB56" s="139">
        <f>IS!CB12</f>
        <v>2761</v>
      </c>
      <c r="CC56" s="137">
        <f>IS!CC12</f>
        <v>2704</v>
      </c>
      <c r="CD56" s="137">
        <f>IS!CD12</f>
        <v>2614</v>
      </c>
      <c r="CE56" s="137">
        <f>IS!CE12</f>
        <v>2842</v>
      </c>
      <c r="CF56" s="139">
        <f>IS!CF12</f>
        <v>2935</v>
      </c>
      <c r="CG56" s="137">
        <f>IS!CG12</f>
        <v>2761</v>
      </c>
      <c r="CH56" s="137">
        <f>IS!CH12</f>
        <v>2651</v>
      </c>
      <c r="CI56" s="138">
        <f>IS!CI12</f>
        <v>2630</v>
      </c>
      <c r="CJ56" s="139">
        <f>IS!CJ12</f>
        <v>2501</v>
      </c>
      <c r="CK56" s="137">
        <f>IS!CK12</f>
        <v>2355</v>
      </c>
      <c r="CL56" s="137">
        <f>IS!CL12</f>
        <v>2400</v>
      </c>
      <c r="CM56" s="138">
        <f>IS!CM12</f>
        <v>2638</v>
      </c>
      <c r="CN56" s="139">
        <f>IS!CN12</f>
        <v>2959</v>
      </c>
      <c r="CO56" s="1244">
        <f>IS!CO12</f>
        <v>2944</v>
      </c>
      <c r="CP56" s="137">
        <f>IS!CP12</f>
        <v>2957</v>
      </c>
      <c r="CQ56" s="138">
        <f>IS!CQ12</f>
        <v>3026</v>
      </c>
      <c r="CR56" s="137">
        <f>IS!CR12</f>
        <v>3056</v>
      </c>
      <c r="CS56" s="137">
        <f>IS!CS12</f>
        <v>3081</v>
      </c>
      <c r="CT56" s="137">
        <f>IS!CT12</f>
        <v>3129.3006890616907</v>
      </c>
      <c r="CU56" s="138">
        <f>IS!CU12</f>
        <v>3332.0563140616905</v>
      </c>
      <c r="CV56" s="137">
        <f>IS!CV12</f>
        <v>3539.963469911429</v>
      </c>
      <c r="CW56" s="137">
        <f>IS!CW12</f>
        <v>3383.5846274387068</v>
      </c>
      <c r="CX56" s="137">
        <f>IS!CX12</f>
        <v>3759.730175811218</v>
      </c>
      <c r="CY56" s="138">
        <f>IS!CY12</f>
        <v>4034.2067352718736</v>
      </c>
      <c r="CZ56" s="137">
        <f>IS!CZ12</f>
        <v>4136.687962507729</v>
      </c>
      <c r="DA56" s="137">
        <f>IS!DA12</f>
        <v>4269.491636062643</v>
      </c>
      <c r="DB56" s="137">
        <f>IS!DB12</f>
        <v>4362.7113295550289</v>
      </c>
      <c r="DC56" s="138">
        <f>IS!DC12</f>
        <v>4480.61652137069</v>
      </c>
      <c r="DD56" s="18"/>
      <c r="DE56" s="137"/>
      <c r="DF56" s="137"/>
      <c r="DG56" s="137">
        <f>IS!DG12</f>
        <v>2539.1999999999998</v>
      </c>
      <c r="DH56" s="137">
        <f>IS!DH12</f>
        <v>2744.8999999999996</v>
      </c>
      <c r="DI56" s="137">
        <f>IS!DI12</f>
        <v>2950.4000000000005</v>
      </c>
      <c r="DJ56" s="137">
        <f>IS!DJ12</f>
        <v>3114.3</v>
      </c>
      <c r="DK56" s="137">
        <f>IS!DK12</f>
        <v>3825.2</v>
      </c>
      <c r="DL56" s="137">
        <f>IS!DL12</f>
        <v>2699.6000000000004</v>
      </c>
      <c r="DM56" s="137">
        <f>IS!DM12</f>
        <v>3104</v>
      </c>
      <c r="DN56" s="137">
        <f>IS!DN12</f>
        <v>3089.5</v>
      </c>
      <c r="DO56" s="137">
        <f>IS!DO12</f>
        <v>3734.3999999999996</v>
      </c>
      <c r="DP56" s="137">
        <f>IS!DP12</f>
        <v>4071.6000000000004</v>
      </c>
      <c r="DQ56" s="137">
        <f>IS!DQ12</f>
        <v>4610</v>
      </c>
      <c r="DR56" s="137">
        <f>IS!DR12</f>
        <v>5896</v>
      </c>
      <c r="DS56" s="137">
        <f>IS!DS12</f>
        <v>5242</v>
      </c>
      <c r="DT56" s="137">
        <f>IS!DT12</f>
        <v>5768</v>
      </c>
      <c r="DU56" s="137">
        <f>IS!DU12</f>
        <v>7030</v>
      </c>
      <c r="DV56" s="137">
        <f>IS!DV12</f>
        <v>7266</v>
      </c>
      <c r="DW56" s="137">
        <f>IS!DW12</f>
        <v>7226</v>
      </c>
      <c r="DX56" s="137">
        <f>IS!DX12</f>
        <v>10921</v>
      </c>
      <c r="DY56" s="137">
        <f>IS!DY12</f>
        <v>10977</v>
      </c>
      <c r="DZ56" s="137">
        <f>IS!DZ12</f>
        <v>9894</v>
      </c>
      <c r="EA56" s="137">
        <f>IS!EA12</f>
        <v>11886</v>
      </c>
      <c r="EB56" s="137">
        <f>IS!EB12</f>
        <v>12598.357003123381</v>
      </c>
      <c r="EC56" s="137">
        <f>IS!EC12</f>
        <v>14717.485008433228</v>
      </c>
      <c r="ED56" s="138">
        <f>IS!ED12</f>
        <v>17249.507449496094</v>
      </c>
      <c r="EE56" s="18"/>
      <c r="EF56" s="139"/>
      <c r="EG56" s="137">
        <f>IS!EG12</f>
        <v>2233.1999999999998</v>
      </c>
      <c r="EH56" s="137">
        <f>IS!EH12</f>
        <v>2713.4</v>
      </c>
      <c r="EI56" s="137">
        <f>IS!EI12</f>
        <v>2675.5</v>
      </c>
      <c r="EJ56" s="137">
        <f>IS!EJ12</f>
        <v>2838.6</v>
      </c>
      <c r="EK56" s="137">
        <f>IS!EK12</f>
        <v>3357.5</v>
      </c>
      <c r="EL56" s="137">
        <f>IS!EL12</f>
        <v>3652.6</v>
      </c>
      <c r="EM56" s="137">
        <f>IS!EM12</f>
        <v>2785.5000000000005</v>
      </c>
      <c r="EN56" s="137">
        <f>IS!EN12</f>
        <v>3202.8</v>
      </c>
      <c r="EO56" s="137">
        <f>IS!EO12</f>
        <v>3105.5999999999995</v>
      </c>
      <c r="EP56" s="137">
        <f>IS!EP12</f>
        <v>3947.8</v>
      </c>
      <c r="EQ56" s="137">
        <f>IS!EQ12</f>
        <v>4108.8999999999996</v>
      </c>
      <c r="ER56" s="137">
        <f>IS!ER12</f>
        <v>5052</v>
      </c>
      <c r="ES56" s="137">
        <f>IS!ES12</f>
        <v>6217</v>
      </c>
      <c r="ET56" s="137">
        <f>IS!ET12</f>
        <v>4688</v>
      </c>
      <c r="EU56" s="137">
        <f>IS!EU12</f>
        <v>6199</v>
      </c>
      <c r="EV56" s="137">
        <f>IS!EV12</f>
        <v>7087</v>
      </c>
      <c r="EW56" s="137">
        <f>IS!EW12</f>
        <v>7098</v>
      </c>
      <c r="EX56" s="137">
        <f>IS!EX12</f>
        <v>8370</v>
      </c>
      <c r="EY56" s="137">
        <f>IS!EY12</f>
        <v>11095</v>
      </c>
      <c r="EZ56" s="137">
        <f>IS!EZ12</f>
        <v>10543</v>
      </c>
      <c r="FA56" s="137">
        <f>IS!FA12</f>
        <v>10352</v>
      </c>
      <c r="FB56" s="137">
        <f>IS!FB12</f>
        <v>11983</v>
      </c>
      <c r="FC56" s="137">
        <f>IS!FC12</f>
        <v>13082.32047303481</v>
      </c>
      <c r="FD56" s="138">
        <f>IS!FD12</f>
        <v>15314.209501029527</v>
      </c>
      <c r="FE56" s="21"/>
      <c r="FF56" s="13"/>
      <c r="FG56" s="13"/>
      <c r="FH56" s="13"/>
      <c r="FO56" s="7"/>
    </row>
    <row r="57" spans="1:171" ht="14.25" customHeight="1">
      <c r="A57" s="7"/>
      <c r="B57" s="405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1228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13"/>
      <c r="DE57" s="59"/>
      <c r="DF57" s="59"/>
      <c r="DG57" s="59"/>
      <c r="DH57" s="59"/>
      <c r="DI57" s="59"/>
      <c r="DJ57" s="59"/>
      <c r="DK57" s="59"/>
      <c r="DL57" s="59"/>
      <c r="DM57" s="59"/>
      <c r="DN57" s="59"/>
      <c r="DO57" s="59"/>
      <c r="DP57" s="59"/>
      <c r="DQ57" s="59"/>
      <c r="DR57" s="59"/>
      <c r="DS57" s="59"/>
      <c r="DT57" s="59"/>
      <c r="DU57" s="59"/>
      <c r="DV57" s="59"/>
      <c r="DW57" s="59"/>
      <c r="DX57" s="59"/>
      <c r="DY57" s="59"/>
      <c r="DZ57" s="59"/>
      <c r="EA57" s="59"/>
      <c r="EB57" s="59"/>
      <c r="EC57" s="59"/>
      <c r="ED57" s="59"/>
      <c r="EE57" s="7"/>
      <c r="EF57" s="59"/>
      <c r="EG57" s="59"/>
      <c r="EH57" s="59"/>
      <c r="EI57" s="59"/>
      <c r="EJ57" s="59"/>
      <c r="EK57" s="59"/>
      <c r="EL57" s="59"/>
      <c r="EM57" s="59"/>
      <c r="EN57" s="59"/>
      <c r="EO57" s="59"/>
      <c r="EP57" s="59"/>
      <c r="EQ57" s="59"/>
      <c r="ER57" s="59"/>
      <c r="ES57" s="59"/>
      <c r="ET57" s="59"/>
      <c r="EU57" s="59"/>
      <c r="EV57" s="59"/>
      <c r="EW57" s="59"/>
      <c r="EX57" s="59"/>
      <c r="EY57" s="59"/>
      <c r="EZ57" s="59"/>
      <c r="FA57" s="59"/>
      <c r="FB57" s="59"/>
      <c r="FC57" s="59"/>
      <c r="FD57" s="59"/>
      <c r="FE57" s="13"/>
      <c r="FF57" s="13"/>
      <c r="FG57" s="13"/>
      <c r="FH57" s="13"/>
      <c r="FO57" s="7"/>
    </row>
    <row r="58" spans="1:171" ht="14.25" customHeight="1">
      <c r="A58" s="7"/>
      <c r="B58" s="43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62"/>
      <c r="BX58" s="59"/>
      <c r="BY58" s="59"/>
      <c r="BZ58" s="59"/>
      <c r="CA58" s="62"/>
      <c r="CB58" s="59"/>
      <c r="CC58" s="59"/>
      <c r="CD58" s="59"/>
      <c r="CE58" s="62"/>
      <c r="CF58" s="59"/>
      <c r="CG58" s="59"/>
      <c r="CH58" s="59"/>
      <c r="CI58" s="62"/>
      <c r="CJ58" s="59"/>
      <c r="CK58" s="59"/>
      <c r="CL58" s="59"/>
      <c r="CM58" s="62"/>
      <c r="CN58" s="59"/>
      <c r="CO58" s="1228"/>
      <c r="CP58" s="59"/>
      <c r="CQ58" s="62"/>
      <c r="CR58" s="59"/>
      <c r="CS58" s="59"/>
      <c r="CT58" s="59"/>
      <c r="CU58" s="62"/>
      <c r="CV58" s="59"/>
      <c r="CW58" s="59"/>
      <c r="CX58" s="59"/>
      <c r="CY58" s="62"/>
      <c r="CZ58" s="59"/>
      <c r="DA58" s="59"/>
      <c r="DB58" s="59"/>
      <c r="DC58" s="62"/>
      <c r="DD58" s="13"/>
      <c r="DE58" s="59"/>
      <c r="DF58" s="59"/>
      <c r="DG58" s="59"/>
      <c r="DH58" s="59"/>
      <c r="DI58" s="59"/>
      <c r="DJ58" s="59"/>
      <c r="DK58" s="59"/>
      <c r="DL58" s="59"/>
      <c r="DM58" s="59"/>
      <c r="DN58" s="59"/>
      <c r="DO58" s="59"/>
      <c r="DP58" s="59"/>
      <c r="DQ58" s="59"/>
      <c r="DR58" s="59"/>
      <c r="DS58" s="59"/>
      <c r="DT58" s="59"/>
      <c r="DU58" s="59"/>
      <c r="DV58" s="59"/>
      <c r="DW58" s="59"/>
      <c r="DX58" s="59"/>
      <c r="DY58" s="59"/>
      <c r="DZ58" s="59"/>
      <c r="EA58" s="59"/>
      <c r="EB58" s="59"/>
      <c r="EC58" s="59"/>
      <c r="ED58" s="59"/>
      <c r="EE58" s="7"/>
      <c r="EF58" s="59"/>
      <c r="EG58" s="59"/>
      <c r="EH58" s="59"/>
      <c r="EI58" s="59"/>
      <c r="EJ58" s="59"/>
      <c r="EK58" s="59"/>
      <c r="EL58" s="59"/>
      <c r="EM58" s="59"/>
      <c r="EN58" s="59"/>
      <c r="EO58" s="59"/>
      <c r="EP58" s="59"/>
      <c r="EQ58" s="59"/>
      <c r="ER58" s="59"/>
      <c r="ES58" s="59"/>
      <c r="ET58" s="59"/>
      <c r="EU58" s="59"/>
      <c r="EV58" s="59"/>
      <c r="EW58" s="59"/>
      <c r="EX58" s="59"/>
      <c r="EY58" s="59"/>
      <c r="EZ58" s="59"/>
      <c r="FA58" s="59"/>
      <c r="FB58" s="59"/>
      <c r="FC58" s="59"/>
      <c r="FD58" s="59"/>
      <c r="FE58" s="13"/>
      <c r="FF58" s="13"/>
      <c r="FG58" s="13"/>
      <c r="FH58" s="13"/>
      <c r="FO58" s="7"/>
    </row>
    <row r="59" spans="1:171" ht="14.25" customHeight="1">
      <c r="A59" s="7"/>
      <c r="B59" s="440" t="s">
        <v>306</v>
      </c>
      <c r="C59" s="130"/>
      <c r="D59" s="15" t="str">
        <f t="shared" ref="D59:AY59" si="371">D48</f>
        <v>F1Q95A</v>
      </c>
      <c r="E59" s="16" t="str">
        <f t="shared" si="371"/>
        <v>F2Q95A</v>
      </c>
      <c r="F59" s="16" t="str">
        <f t="shared" si="371"/>
        <v>F3Q95A</v>
      </c>
      <c r="G59" s="17" t="str">
        <f t="shared" si="371"/>
        <v>F4Q95A</v>
      </c>
      <c r="H59" s="15" t="str">
        <f t="shared" si="371"/>
        <v>F1Q96A</v>
      </c>
      <c r="I59" s="16" t="str">
        <f t="shared" si="371"/>
        <v>F2Q96A</v>
      </c>
      <c r="J59" s="16" t="str">
        <f t="shared" si="371"/>
        <v>F3Q96A</v>
      </c>
      <c r="K59" s="17" t="str">
        <f t="shared" si="371"/>
        <v>F4Q96A</v>
      </c>
      <c r="L59" s="15" t="str">
        <f t="shared" si="371"/>
        <v>F1Q97A</v>
      </c>
      <c r="M59" s="16" t="str">
        <f t="shared" si="371"/>
        <v>F2Q97A</v>
      </c>
      <c r="N59" s="16" t="str">
        <f t="shared" si="371"/>
        <v>F3Q97A</v>
      </c>
      <c r="O59" s="17" t="str">
        <f t="shared" si="371"/>
        <v>F4Q97A</v>
      </c>
      <c r="P59" s="15" t="str">
        <f t="shared" si="371"/>
        <v>F1Q98A</v>
      </c>
      <c r="Q59" s="16" t="str">
        <f t="shared" si="371"/>
        <v>F2Q98A</v>
      </c>
      <c r="R59" s="16" t="str">
        <f t="shared" si="371"/>
        <v>F3Q98A</v>
      </c>
      <c r="S59" s="17" t="str">
        <f t="shared" si="371"/>
        <v>F4Q98A</v>
      </c>
      <c r="T59" s="15" t="str">
        <f t="shared" si="371"/>
        <v>F1Q99A</v>
      </c>
      <c r="U59" s="16" t="str">
        <f t="shared" si="371"/>
        <v>F2Q99A</v>
      </c>
      <c r="V59" s="16" t="str">
        <f t="shared" si="371"/>
        <v>F3Q99A</v>
      </c>
      <c r="W59" s="17" t="str">
        <f t="shared" si="371"/>
        <v>F4Q99A</v>
      </c>
      <c r="X59" s="15" t="str">
        <f t="shared" si="371"/>
        <v>F1Q00A</v>
      </c>
      <c r="Y59" s="16" t="str">
        <f t="shared" si="371"/>
        <v>F2Q00A</v>
      </c>
      <c r="Z59" s="16" t="str">
        <f t="shared" si="371"/>
        <v>F3Q00A</v>
      </c>
      <c r="AA59" s="17" t="str">
        <f t="shared" si="371"/>
        <v>F4Q00A</v>
      </c>
      <c r="AB59" s="15" t="str">
        <f t="shared" si="371"/>
        <v>F1Q01A</v>
      </c>
      <c r="AC59" s="16" t="str">
        <f t="shared" si="371"/>
        <v>F2Q01A</v>
      </c>
      <c r="AD59" s="16" t="str">
        <f t="shared" si="371"/>
        <v>F3Q01A</v>
      </c>
      <c r="AE59" s="17" t="str">
        <f t="shared" si="371"/>
        <v>F4Q01A</v>
      </c>
      <c r="AF59" s="15" t="str">
        <f t="shared" si="371"/>
        <v>F1Q02A</v>
      </c>
      <c r="AG59" s="16" t="str">
        <f t="shared" si="371"/>
        <v>F2Q02A</v>
      </c>
      <c r="AH59" s="16" t="str">
        <f t="shared" si="371"/>
        <v>F3Q02A</v>
      </c>
      <c r="AI59" s="17" t="str">
        <f t="shared" si="371"/>
        <v>F4Q02A</v>
      </c>
      <c r="AJ59" s="15" t="str">
        <f t="shared" si="371"/>
        <v>F1Q03A</v>
      </c>
      <c r="AK59" s="16" t="str">
        <f t="shared" si="371"/>
        <v>F2Q03A</v>
      </c>
      <c r="AL59" s="16" t="str">
        <f t="shared" si="371"/>
        <v>F3Q03A</v>
      </c>
      <c r="AM59" s="17" t="str">
        <f t="shared" si="371"/>
        <v>F4Q03A</v>
      </c>
      <c r="AN59" s="15" t="str">
        <f t="shared" si="371"/>
        <v>F1Q04A</v>
      </c>
      <c r="AO59" s="16" t="str">
        <f t="shared" si="371"/>
        <v>F2Q04A</v>
      </c>
      <c r="AP59" s="16" t="str">
        <f t="shared" si="371"/>
        <v>F3Q04A</v>
      </c>
      <c r="AQ59" s="17" t="str">
        <f t="shared" si="371"/>
        <v>F4Q04A</v>
      </c>
      <c r="AR59" s="15" t="str">
        <f t="shared" si="371"/>
        <v>F1Q05A</v>
      </c>
      <c r="AS59" s="16" t="str">
        <f t="shared" si="371"/>
        <v>F2Q05A</v>
      </c>
      <c r="AT59" s="16" t="str">
        <f t="shared" si="371"/>
        <v>F3Q05A</v>
      </c>
      <c r="AU59" s="17" t="str">
        <f t="shared" si="371"/>
        <v>F4Q05A</v>
      </c>
      <c r="AV59" s="15" t="str">
        <f t="shared" si="371"/>
        <v>F1Q06A</v>
      </c>
      <c r="AW59" s="16" t="str">
        <f t="shared" si="371"/>
        <v>F2Q06A</v>
      </c>
      <c r="AX59" s="16" t="str">
        <f t="shared" si="371"/>
        <v>F3Q06A</v>
      </c>
      <c r="AY59" s="17" t="str">
        <f t="shared" si="371"/>
        <v>F4Q06A</v>
      </c>
      <c r="AZ59" s="15" t="str">
        <f>AZ48</f>
        <v>F1Q07A</v>
      </c>
      <c r="BA59" s="16" t="str">
        <f>BA48</f>
        <v>F2Q07A</v>
      </c>
      <c r="BB59" s="16" t="str">
        <f>BB48</f>
        <v>F3Q07A</v>
      </c>
      <c r="BC59" s="17" t="str">
        <f>BC48</f>
        <v>F4Q07A</v>
      </c>
      <c r="BD59" s="15" t="str">
        <f t="shared" ref="BD59:CL59" si="372">BD48</f>
        <v>F1Q08A</v>
      </c>
      <c r="BE59" s="16" t="str">
        <f t="shared" si="372"/>
        <v>F2Q08A</v>
      </c>
      <c r="BF59" s="16" t="str">
        <f t="shared" si="372"/>
        <v>F3Q08A</v>
      </c>
      <c r="BG59" s="17" t="str">
        <f t="shared" si="372"/>
        <v>F4Q08A</v>
      </c>
      <c r="BH59" s="15" t="str">
        <f>BH48</f>
        <v>F1Q09A</v>
      </c>
      <c r="BI59" s="16" t="str">
        <f>BI48</f>
        <v>F2Q09A</v>
      </c>
      <c r="BJ59" s="16" t="str">
        <f>BJ48</f>
        <v>F3Q09A</v>
      </c>
      <c r="BK59" s="17" t="str">
        <f>BK48</f>
        <v>F4Q09A</v>
      </c>
      <c r="BL59" s="15" t="str">
        <f t="shared" si="372"/>
        <v>F1Q10A</v>
      </c>
      <c r="BM59" s="16" t="str">
        <f t="shared" si="372"/>
        <v>F2Q10A</v>
      </c>
      <c r="BN59" s="16" t="str">
        <f t="shared" si="372"/>
        <v>F3Q10A</v>
      </c>
      <c r="BO59" s="17" t="str">
        <f t="shared" si="372"/>
        <v>F4Q10A</v>
      </c>
      <c r="BP59" s="15" t="str">
        <f t="shared" si="372"/>
        <v>F1Q11A</v>
      </c>
      <c r="BQ59" s="16" t="str">
        <f t="shared" si="372"/>
        <v>F2Q11A</v>
      </c>
      <c r="BR59" s="16" t="str">
        <f t="shared" si="372"/>
        <v>F3Q11A</v>
      </c>
      <c r="BS59" s="17" t="str">
        <f t="shared" si="372"/>
        <v>F4Q11A</v>
      </c>
      <c r="BT59" s="15" t="str">
        <f>BT48</f>
        <v>F1Q12A</v>
      </c>
      <c r="BU59" s="16" t="str">
        <f>BU48</f>
        <v>F2Q12A</v>
      </c>
      <c r="BV59" s="16" t="str">
        <f>BV48</f>
        <v>F3Q12A</v>
      </c>
      <c r="BW59" s="17" t="str">
        <f>BW48</f>
        <v>F4Q12A</v>
      </c>
      <c r="BX59" s="15" t="str">
        <f>BX48</f>
        <v>F1Q13A</v>
      </c>
      <c r="BY59" s="16" t="str">
        <f t="shared" si="372"/>
        <v>F2Q13A</v>
      </c>
      <c r="BZ59" s="16" t="str">
        <f t="shared" si="372"/>
        <v>F3Q13</v>
      </c>
      <c r="CA59" s="17" t="str">
        <f t="shared" si="372"/>
        <v>F4Q13</v>
      </c>
      <c r="CB59" s="15" t="str">
        <f t="shared" si="372"/>
        <v>F1Q14</v>
      </c>
      <c r="CC59" s="16" t="str">
        <f>CC48</f>
        <v>F2Q14A</v>
      </c>
      <c r="CD59" s="16" t="str">
        <f t="shared" si="372"/>
        <v>F3Q14A</v>
      </c>
      <c r="CE59" s="17" t="str">
        <f t="shared" si="372"/>
        <v>F4Q14</v>
      </c>
      <c r="CF59" s="15" t="str">
        <f t="shared" si="372"/>
        <v>F1Q15A</v>
      </c>
      <c r="CG59" s="16" t="str">
        <f t="shared" si="372"/>
        <v>F2Q15A</v>
      </c>
      <c r="CH59" s="16" t="str">
        <f t="shared" si="372"/>
        <v>F3Q15A</v>
      </c>
      <c r="CI59" s="17" t="str">
        <f t="shared" si="372"/>
        <v>F4Q15A</v>
      </c>
      <c r="CJ59" s="15" t="str">
        <f t="shared" si="372"/>
        <v>F1Q16A</v>
      </c>
      <c r="CK59" s="16" t="str">
        <f t="shared" si="372"/>
        <v>F2Q16A</v>
      </c>
      <c r="CL59" s="16" t="str">
        <f t="shared" si="372"/>
        <v>F3Q16A</v>
      </c>
      <c r="CM59" s="17" t="str">
        <f t="shared" ref="CM59:CO59" si="373">CM48</f>
        <v>F4Q16A</v>
      </c>
      <c r="CN59" s="15" t="str">
        <f t="shared" si="373"/>
        <v>F1Q17A</v>
      </c>
      <c r="CO59" s="1227" t="str">
        <f t="shared" si="373"/>
        <v>F2Q17A</v>
      </c>
      <c r="CP59" s="16" t="str">
        <f t="shared" ref="CP59:CU59" si="374">CP48</f>
        <v>F3Q17A</v>
      </c>
      <c r="CQ59" s="17" t="str">
        <f t="shared" si="374"/>
        <v>F4Q17A</v>
      </c>
      <c r="CR59" s="16" t="str">
        <f t="shared" si="374"/>
        <v>F1Q18A</v>
      </c>
      <c r="CS59" s="16" t="str">
        <f t="shared" si="374"/>
        <v>F2Q18A</v>
      </c>
      <c r="CT59" s="16" t="str">
        <f t="shared" si="374"/>
        <v>F3Q18E</v>
      </c>
      <c r="CU59" s="17" t="str">
        <f t="shared" si="374"/>
        <v>F4Q18E</v>
      </c>
      <c r="CV59" s="1319" t="str">
        <f t="shared" ref="CV59:CY59" si="375">CV48</f>
        <v>F1Q19E</v>
      </c>
      <c r="CW59" s="1319" t="str">
        <f t="shared" si="375"/>
        <v>F2Q19E</v>
      </c>
      <c r="CX59" s="1319" t="str">
        <f t="shared" si="375"/>
        <v>F3Q19E</v>
      </c>
      <c r="CY59" s="1320" t="str">
        <f t="shared" si="375"/>
        <v>F4Q19E</v>
      </c>
      <c r="CZ59" s="1319" t="str">
        <f t="shared" ref="CZ59:DC59" si="376">CZ48</f>
        <v>F1Q20E</v>
      </c>
      <c r="DA59" s="1319" t="str">
        <f t="shared" si="376"/>
        <v>F2Q20E</v>
      </c>
      <c r="DB59" s="1319" t="str">
        <f t="shared" si="376"/>
        <v>F3Q20E</v>
      </c>
      <c r="DC59" s="1320" t="str">
        <f t="shared" si="376"/>
        <v>F4Q20E</v>
      </c>
      <c r="DD59" s="18"/>
      <c r="DE59" s="404" t="str">
        <f t="shared" ref="DE59:DN59" si="377">DE48</f>
        <v>FY1995A</v>
      </c>
      <c r="DF59" s="16" t="str">
        <f t="shared" si="377"/>
        <v>FY1996A</v>
      </c>
      <c r="DG59" s="16" t="str">
        <f t="shared" si="377"/>
        <v>FY1997A</v>
      </c>
      <c r="DH59" s="16" t="str">
        <f t="shared" si="377"/>
        <v>FY1998A</v>
      </c>
      <c r="DI59" s="16" t="str">
        <f t="shared" si="377"/>
        <v>FY1999A</v>
      </c>
      <c r="DJ59" s="16" t="str">
        <f t="shared" si="377"/>
        <v>FY2000A</v>
      </c>
      <c r="DK59" s="16" t="str">
        <f t="shared" si="377"/>
        <v>FY2001A</v>
      </c>
      <c r="DL59" s="16" t="str">
        <f t="shared" si="377"/>
        <v>FY2002A</v>
      </c>
      <c r="DM59" s="16" t="str">
        <f t="shared" si="377"/>
        <v>FY2003A</v>
      </c>
      <c r="DN59" s="16" t="str">
        <f t="shared" si="377"/>
        <v>FY2004A</v>
      </c>
      <c r="DO59" s="16" t="str">
        <f>DO48</f>
        <v>FY2005A</v>
      </c>
      <c r="DP59" s="16" t="str">
        <f>DP48</f>
        <v>FY2006A</v>
      </c>
      <c r="DQ59" s="16" t="str">
        <f>DQ48</f>
        <v>FY2007A</v>
      </c>
      <c r="DR59" s="16" t="str">
        <f>DR48</f>
        <v>FY2008A</v>
      </c>
      <c r="DS59" s="16" t="str">
        <f>DS48</f>
        <v>FY2009A</v>
      </c>
      <c r="DT59" s="16" t="str">
        <f t="shared" ref="DT59:EB59" si="378">DT48</f>
        <v>FY2010A</v>
      </c>
      <c r="DU59" s="1319" t="str">
        <f t="shared" si="378"/>
        <v>FY2011A</v>
      </c>
      <c r="DV59" s="1319" t="str">
        <f t="shared" si="378"/>
        <v>FY2012A</v>
      </c>
      <c r="DW59" s="1319" t="str">
        <f t="shared" si="378"/>
        <v>FY2013A</v>
      </c>
      <c r="DX59" s="1319" t="str">
        <f t="shared" si="378"/>
        <v>FY2014A</v>
      </c>
      <c r="DY59" s="1319" t="str">
        <f t="shared" si="378"/>
        <v>FY2015A</v>
      </c>
      <c r="DZ59" s="1319" t="str">
        <f t="shared" si="378"/>
        <v>FY2016A</v>
      </c>
      <c r="EA59" s="16" t="str">
        <f t="shared" si="378"/>
        <v>FY2017A</v>
      </c>
      <c r="EB59" s="1319" t="str">
        <f t="shared" si="378"/>
        <v>FY2018E</v>
      </c>
      <c r="EC59" s="1319" t="str">
        <f t="shared" ref="EC59:ED59" si="379">EC48</f>
        <v>FY2019E</v>
      </c>
      <c r="ED59" s="1320" t="str">
        <f t="shared" si="379"/>
        <v>FY2020E</v>
      </c>
      <c r="EE59" s="18"/>
      <c r="EF59" s="1318" t="str">
        <f t="shared" ref="EF59:EO59" si="380">EF48</f>
        <v>CY1995</v>
      </c>
      <c r="EG59" s="1319" t="str">
        <f t="shared" si="380"/>
        <v>CY1996</v>
      </c>
      <c r="EH59" s="1319" t="str">
        <f t="shared" si="380"/>
        <v>CY1997</v>
      </c>
      <c r="EI59" s="1319" t="str">
        <f t="shared" si="380"/>
        <v>CY1998</v>
      </c>
      <c r="EJ59" s="1319" t="str">
        <f t="shared" si="380"/>
        <v>CY1999</v>
      </c>
      <c r="EK59" s="1319" t="str">
        <f t="shared" si="380"/>
        <v>CY2000</v>
      </c>
      <c r="EL59" s="1319" t="str">
        <f t="shared" si="380"/>
        <v>CY2001</v>
      </c>
      <c r="EM59" s="1319" t="str">
        <f t="shared" si="380"/>
        <v>CY2002</v>
      </c>
      <c r="EN59" s="1319" t="str">
        <f t="shared" si="380"/>
        <v>CY2003</v>
      </c>
      <c r="EO59" s="1319" t="str">
        <f t="shared" si="380"/>
        <v>CY2004</v>
      </c>
      <c r="EP59" s="1319" t="str">
        <f t="shared" ref="EP59:EX59" si="381">EP48</f>
        <v>CY2005</v>
      </c>
      <c r="EQ59" s="1319" t="str">
        <f t="shared" si="381"/>
        <v>CY2006</v>
      </c>
      <c r="ER59" s="1319" t="str">
        <f t="shared" si="381"/>
        <v>CY2007</v>
      </c>
      <c r="ES59" s="1319" t="str">
        <f t="shared" si="381"/>
        <v>CY2008</v>
      </c>
      <c r="ET59" s="1319" t="str">
        <f t="shared" si="381"/>
        <v>CY2009</v>
      </c>
      <c r="EU59" s="1319" t="str">
        <f t="shared" si="381"/>
        <v>CY2010</v>
      </c>
      <c r="EV59" s="16" t="str">
        <f t="shared" si="381"/>
        <v>CY2011</v>
      </c>
      <c r="EW59" s="16" t="str">
        <f t="shared" si="381"/>
        <v>CY2012</v>
      </c>
      <c r="EX59" s="16" t="str">
        <f t="shared" si="381"/>
        <v>CY2013</v>
      </c>
      <c r="EY59" s="16" t="str">
        <f>EY48</f>
        <v>CY2014</v>
      </c>
      <c r="EZ59" s="1319" t="str">
        <f t="shared" ref="EZ59:FC59" si="382">EZ48</f>
        <v>CY2015</v>
      </c>
      <c r="FA59" s="1319" t="str">
        <f t="shared" si="382"/>
        <v>CY2016</v>
      </c>
      <c r="FB59" s="1319" t="str">
        <f t="shared" si="382"/>
        <v>CY2017</v>
      </c>
      <c r="FC59" s="1319" t="str">
        <f t="shared" si="382"/>
        <v>CY2018</v>
      </c>
      <c r="FD59" s="20" t="str">
        <f t="shared" ref="FD59" si="383">FD48</f>
        <v>CY2019</v>
      </c>
      <c r="FE59" s="21"/>
      <c r="FF59" s="13"/>
      <c r="FG59" s="13"/>
      <c r="FH59" s="13"/>
      <c r="FO59" s="7"/>
    </row>
    <row r="60" spans="1:171" ht="14.25" customHeight="1">
      <c r="A60" s="7"/>
      <c r="B60" s="442" t="s">
        <v>307</v>
      </c>
      <c r="C60" s="140"/>
      <c r="D60" s="370"/>
      <c r="E60" s="372"/>
      <c r="F60" s="372"/>
      <c r="G60" s="373"/>
      <c r="H60" s="370"/>
      <c r="I60" s="372"/>
      <c r="J60" s="372"/>
      <c r="K60" s="373"/>
      <c r="L60" s="370">
        <v>0</v>
      </c>
      <c r="M60" s="372">
        <v>0</v>
      </c>
      <c r="N60" s="372">
        <v>0</v>
      </c>
      <c r="O60" s="373">
        <v>0</v>
      </c>
      <c r="P60" s="370">
        <v>0</v>
      </c>
      <c r="Q60" s="372">
        <v>0</v>
      </c>
      <c r="R60" s="372">
        <v>0</v>
      </c>
      <c r="S60" s="373">
        <v>0</v>
      </c>
      <c r="T60" s="370">
        <v>0</v>
      </c>
      <c r="U60" s="372">
        <v>0</v>
      </c>
      <c r="V60" s="372">
        <v>0</v>
      </c>
      <c r="W60" s="373">
        <v>0</v>
      </c>
      <c r="X60" s="370">
        <v>0</v>
      </c>
      <c r="Y60" s="372">
        <v>0</v>
      </c>
      <c r="Z60" s="372">
        <v>0</v>
      </c>
      <c r="AA60" s="373">
        <v>0</v>
      </c>
      <c r="AB60" s="370">
        <v>0</v>
      </c>
      <c r="AC60" s="372">
        <v>0</v>
      </c>
      <c r="AD60" s="372">
        <v>0</v>
      </c>
      <c r="AE60" s="373">
        <v>0</v>
      </c>
      <c r="AF60" s="370">
        <v>0</v>
      </c>
      <c r="AG60" s="372">
        <v>0</v>
      </c>
      <c r="AH60" s="372">
        <v>0</v>
      </c>
      <c r="AI60" s="373">
        <v>0</v>
      </c>
      <c r="AJ60" s="370">
        <v>0</v>
      </c>
      <c r="AK60" s="372">
        <v>0</v>
      </c>
      <c r="AL60" s="372">
        <v>0</v>
      </c>
      <c r="AM60" s="373">
        <v>0</v>
      </c>
      <c r="AN60" s="370">
        <v>0</v>
      </c>
      <c r="AO60" s="372">
        <v>0</v>
      </c>
      <c r="AP60" s="372">
        <v>0</v>
      </c>
      <c r="AQ60" s="373">
        <v>0</v>
      </c>
      <c r="AR60" s="370">
        <v>0</v>
      </c>
      <c r="AS60" s="372">
        <v>0</v>
      </c>
      <c r="AT60" s="372">
        <v>0</v>
      </c>
      <c r="AU60" s="373">
        <v>0</v>
      </c>
      <c r="AV60" s="370">
        <v>0</v>
      </c>
      <c r="AW60" s="372">
        <v>0</v>
      </c>
      <c r="AX60" s="372">
        <v>0</v>
      </c>
      <c r="AY60" s="373">
        <v>0</v>
      </c>
      <c r="AZ60" s="370">
        <v>0</v>
      </c>
      <c r="BA60" s="372">
        <v>0</v>
      </c>
      <c r="BB60" s="372">
        <v>0</v>
      </c>
      <c r="BC60" s="373">
        <v>0</v>
      </c>
      <c r="BD60" s="370">
        <v>0</v>
      </c>
      <c r="BE60" s="372">
        <v>0</v>
      </c>
      <c r="BF60" s="372">
        <v>0</v>
      </c>
      <c r="BG60" s="373">
        <v>0</v>
      </c>
      <c r="BH60" s="370">
        <v>0</v>
      </c>
      <c r="BI60" s="372">
        <v>0</v>
      </c>
      <c r="BJ60" s="372">
        <v>0</v>
      </c>
      <c r="BK60" s="373">
        <v>0</v>
      </c>
      <c r="BL60" s="370">
        <v>0</v>
      </c>
      <c r="BM60" s="372">
        <v>0</v>
      </c>
      <c r="BN60" s="372">
        <v>0</v>
      </c>
      <c r="BO60" s="373">
        <v>0</v>
      </c>
      <c r="BP60" s="372">
        <v>0</v>
      </c>
      <c r="BQ60" s="372">
        <v>0</v>
      </c>
      <c r="BR60" s="372">
        <v>0</v>
      </c>
      <c r="BS60" s="373">
        <v>0</v>
      </c>
      <c r="BT60" s="372">
        <v>0</v>
      </c>
      <c r="BU60" s="372">
        <f>BT60</f>
        <v>0</v>
      </c>
      <c r="BV60" s="372">
        <v>0</v>
      </c>
      <c r="BW60" s="373">
        <v>0</v>
      </c>
      <c r="BX60" s="372">
        <v>0</v>
      </c>
      <c r="BY60" s="372">
        <f>BX60</f>
        <v>0</v>
      </c>
      <c r="BZ60" s="372">
        <f t="shared" ref="BZ60:CE60" si="384">BY60</f>
        <v>0</v>
      </c>
      <c r="CA60" s="373">
        <v>0</v>
      </c>
      <c r="CB60" s="372">
        <v>0</v>
      </c>
      <c r="CC60" s="372">
        <f t="shared" si="384"/>
        <v>0</v>
      </c>
      <c r="CD60" s="372">
        <f t="shared" si="384"/>
        <v>0</v>
      </c>
      <c r="CE60" s="373">
        <f t="shared" si="384"/>
        <v>0</v>
      </c>
      <c r="CF60" s="372">
        <v>0</v>
      </c>
      <c r="CG60" s="372">
        <v>0</v>
      </c>
      <c r="CH60" s="372">
        <v>0</v>
      </c>
      <c r="CI60" s="373">
        <v>0</v>
      </c>
      <c r="CJ60" s="372">
        <v>0</v>
      </c>
      <c r="CK60" s="372">
        <v>0</v>
      </c>
      <c r="CL60" s="372">
        <f t="shared" ref="CL60" si="385">CK60</f>
        <v>0</v>
      </c>
      <c r="CM60" s="373">
        <v>0</v>
      </c>
      <c r="CN60" s="372">
        <v>0</v>
      </c>
      <c r="CO60" s="1260">
        <v>0</v>
      </c>
      <c r="CP60" s="1260">
        <f t="shared" ref="CP60:CP61" si="386">CO60</f>
        <v>0</v>
      </c>
      <c r="CQ60" s="373">
        <f t="shared" ref="CQ60" si="387">CP60</f>
        <v>0</v>
      </c>
      <c r="CR60" s="372">
        <v>0</v>
      </c>
      <c r="CS60" s="66">
        <f t="shared" ref="CS60:CS61" si="388">CR60</f>
        <v>0</v>
      </c>
      <c r="CT60" s="66">
        <f t="shared" ref="CT60:CT62" si="389">CS60</f>
        <v>0</v>
      </c>
      <c r="CU60" s="141">
        <f t="shared" ref="CU60:CU62" si="390">CT60</f>
        <v>0</v>
      </c>
      <c r="CV60" s="66">
        <f t="shared" ref="CV60:CV62" si="391">CU60</f>
        <v>0</v>
      </c>
      <c r="CW60" s="66">
        <f t="shared" ref="CW60:CW62" si="392">CV60</f>
        <v>0</v>
      </c>
      <c r="CX60" s="66">
        <f t="shared" ref="CX60:CX62" si="393">CW60</f>
        <v>0</v>
      </c>
      <c r="CY60" s="141">
        <f t="shared" ref="CY60:CY62" si="394">CX60</f>
        <v>0</v>
      </c>
      <c r="CZ60" s="66">
        <f t="shared" ref="CZ60:CZ62" si="395">CY60</f>
        <v>0</v>
      </c>
      <c r="DA60" s="66">
        <f t="shared" ref="DA60:DA62" si="396">CZ60</f>
        <v>0</v>
      </c>
      <c r="DB60" s="66">
        <f t="shared" ref="DB60:DB62" si="397">DA60</f>
        <v>0</v>
      </c>
      <c r="DC60" s="141">
        <f t="shared" ref="DC60:DC62" si="398">DB60</f>
        <v>0</v>
      </c>
      <c r="DD60" s="18"/>
      <c r="DE60" s="131"/>
      <c r="DF60" s="131"/>
      <c r="DG60" s="131">
        <f>O60</f>
        <v>0</v>
      </c>
      <c r="DH60" s="131">
        <f>S60</f>
        <v>0</v>
      </c>
      <c r="DI60" s="131">
        <f>W60</f>
        <v>0</v>
      </c>
      <c r="DJ60" s="131">
        <f>AA60</f>
        <v>0</v>
      </c>
      <c r="DK60" s="131">
        <f>AE60</f>
        <v>0</v>
      </c>
      <c r="DL60" s="131">
        <f>AI60</f>
        <v>0</v>
      </c>
      <c r="DM60" s="131">
        <f>AM60</f>
        <v>0</v>
      </c>
      <c r="DN60" s="131">
        <f>AQ60</f>
        <v>0</v>
      </c>
      <c r="DO60" s="131">
        <f>AU60</f>
        <v>0</v>
      </c>
      <c r="DP60" s="131">
        <f>AY60</f>
        <v>0</v>
      </c>
      <c r="DQ60" s="131">
        <f>BC60</f>
        <v>0</v>
      </c>
      <c r="DR60" s="131">
        <f>BG60</f>
        <v>0</v>
      </c>
      <c r="DS60" s="131">
        <f>BK60</f>
        <v>0</v>
      </c>
      <c r="DT60" s="131">
        <f>BO60</f>
        <v>0</v>
      </c>
      <c r="DU60" s="131">
        <f>BS60</f>
        <v>0</v>
      </c>
      <c r="DV60" s="131">
        <f>BW60</f>
        <v>0</v>
      </c>
      <c r="DW60" s="131">
        <f>CA60</f>
        <v>0</v>
      </c>
      <c r="DX60" s="131">
        <f>CE60</f>
        <v>0</v>
      </c>
      <c r="DY60" s="131">
        <f>CI60</f>
        <v>0</v>
      </c>
      <c r="DZ60" s="131">
        <f>CM60</f>
        <v>0</v>
      </c>
      <c r="EA60" s="131">
        <f>CQ60</f>
        <v>0</v>
      </c>
      <c r="EB60" s="131">
        <f t="shared" ref="EB60:EB63" si="399">CU60</f>
        <v>0</v>
      </c>
      <c r="EC60" s="131">
        <f>CY60</f>
        <v>0</v>
      </c>
      <c r="ED60" s="141">
        <f>DC60</f>
        <v>0</v>
      </c>
      <c r="EE60" s="98"/>
      <c r="EF60" s="142"/>
      <c r="EG60" s="131">
        <f>L60</f>
        <v>0</v>
      </c>
      <c r="EH60" s="131">
        <f>P60</f>
        <v>0</v>
      </c>
      <c r="EI60" s="131">
        <f>T60</f>
        <v>0</v>
      </c>
      <c r="EJ60" s="131">
        <f>X60</f>
        <v>0</v>
      </c>
      <c r="EK60" s="131">
        <f>AB60</f>
        <v>0</v>
      </c>
      <c r="EL60" s="131">
        <f>AF60</f>
        <v>0</v>
      </c>
      <c r="EM60" s="131">
        <f>AJ60</f>
        <v>0</v>
      </c>
      <c r="EN60" s="131">
        <f>AN60</f>
        <v>0</v>
      </c>
      <c r="EO60" s="131">
        <f>AR60</f>
        <v>0</v>
      </c>
      <c r="EP60" s="131">
        <f>AV60</f>
        <v>0</v>
      </c>
      <c r="EQ60" s="131">
        <f>AZ60</f>
        <v>0</v>
      </c>
      <c r="ER60" s="131">
        <f>BD60</f>
        <v>0</v>
      </c>
      <c r="ES60" s="131">
        <f>BH60</f>
        <v>0</v>
      </c>
      <c r="ET60" s="131">
        <f>BL60</f>
        <v>0</v>
      </c>
      <c r="EU60" s="131">
        <f>BP60</f>
        <v>0</v>
      </c>
      <c r="EV60" s="66">
        <f>BT60</f>
        <v>0</v>
      </c>
      <c r="EW60" s="66">
        <f>BX60</f>
        <v>0</v>
      </c>
      <c r="EX60" s="66">
        <f>CB60</f>
        <v>0</v>
      </c>
      <c r="EY60" s="66">
        <f t="shared" ref="EY60:EZ63" si="400">CF60</f>
        <v>0</v>
      </c>
      <c r="EZ60" s="66">
        <f t="shared" si="400"/>
        <v>0</v>
      </c>
      <c r="FA60" s="66">
        <f>CN60</f>
        <v>0</v>
      </c>
      <c r="FB60" s="66">
        <f>CR60</f>
        <v>0</v>
      </c>
      <c r="FC60" s="66">
        <f>CV60</f>
        <v>0</v>
      </c>
      <c r="FD60" s="141">
        <f>CZ60</f>
        <v>0</v>
      </c>
      <c r="FE60" s="21"/>
      <c r="FF60" s="13"/>
      <c r="FG60" s="13"/>
      <c r="FH60" s="13"/>
      <c r="FO60" s="7"/>
    </row>
    <row r="61" spans="1:171" ht="14.25" customHeight="1">
      <c r="A61" s="7"/>
      <c r="B61" s="443" t="s">
        <v>308</v>
      </c>
      <c r="C61" s="82"/>
      <c r="D61" s="68"/>
      <c r="E61" s="69"/>
      <c r="F61" s="69"/>
      <c r="G61" s="70"/>
      <c r="H61" s="68"/>
      <c r="I61" s="69"/>
      <c r="J61" s="69"/>
      <c r="K61" s="70"/>
      <c r="L61" s="68">
        <v>20.9</v>
      </c>
      <c r="M61" s="69">
        <v>21</v>
      </c>
      <c r="N61" s="69">
        <v>21.1</v>
      </c>
      <c r="O61" s="70">
        <v>21.1</v>
      </c>
      <c r="P61" s="68">
        <v>21.1</v>
      </c>
      <c r="Q61" s="69">
        <v>21.3</v>
      </c>
      <c r="R61" s="69">
        <v>21.3</v>
      </c>
      <c r="S61" s="70">
        <v>21.4</v>
      </c>
      <c r="T61" s="68">
        <v>24.7</v>
      </c>
      <c r="U61" s="69">
        <v>26.6</v>
      </c>
      <c r="V61" s="69">
        <v>26.7</v>
      </c>
      <c r="W61" s="70">
        <v>26.8</v>
      </c>
      <c r="X61" s="68">
        <v>27</v>
      </c>
      <c r="Y61" s="69">
        <v>27.3</v>
      </c>
      <c r="Z61" s="69">
        <v>55.3</v>
      </c>
      <c r="AA61" s="70">
        <v>56.7</v>
      </c>
      <c r="AB61" s="68">
        <v>59.3</v>
      </c>
      <c r="AC61" s="69">
        <v>59.5</v>
      </c>
      <c r="AD61" s="69">
        <v>59.7</v>
      </c>
      <c r="AE61" s="70">
        <v>59.8</v>
      </c>
      <c r="AF61" s="68">
        <v>60</v>
      </c>
      <c r="AG61" s="69">
        <v>60.1</v>
      </c>
      <c r="AH61" s="69">
        <v>60.2</v>
      </c>
      <c r="AI61" s="70">
        <v>60.3</v>
      </c>
      <c r="AJ61" s="68">
        <v>60.5</v>
      </c>
      <c r="AK61" s="69">
        <v>60.6</v>
      </c>
      <c r="AL61" s="69">
        <v>60.7</v>
      </c>
      <c r="AM61" s="70">
        <v>60.8</v>
      </c>
      <c r="AN61" s="68">
        <v>60.9</v>
      </c>
      <c r="AO61" s="69">
        <v>61</v>
      </c>
      <c r="AP61" s="69">
        <v>61.1</v>
      </c>
      <c r="AQ61" s="70">
        <v>61.2</v>
      </c>
      <c r="AR61" s="68">
        <v>61.3</v>
      </c>
      <c r="AS61" s="69">
        <v>61.4</v>
      </c>
      <c r="AT61" s="69">
        <v>61.5</v>
      </c>
      <c r="AU61" s="70">
        <v>62</v>
      </c>
      <c r="AV61" s="68">
        <v>61.8</v>
      </c>
      <c r="AW61" s="69">
        <v>67.599999999999994</v>
      </c>
      <c r="AX61" s="69">
        <v>67.900000000000006</v>
      </c>
      <c r="AY61" s="70">
        <v>75</v>
      </c>
      <c r="AZ61" s="68">
        <v>75</v>
      </c>
      <c r="BA61" s="69">
        <v>76</v>
      </c>
      <c r="BB61" s="69">
        <v>76</v>
      </c>
      <c r="BC61" s="70">
        <v>76</v>
      </c>
      <c r="BD61" s="68">
        <v>76</v>
      </c>
      <c r="BE61" s="69">
        <v>76</v>
      </c>
      <c r="BF61" s="69">
        <v>76</v>
      </c>
      <c r="BG61" s="70">
        <v>76</v>
      </c>
      <c r="BH61" s="68">
        <v>76</v>
      </c>
      <c r="BI61" s="69">
        <v>78</v>
      </c>
      <c r="BJ61" s="69">
        <v>85</v>
      </c>
      <c r="BK61" s="70">
        <v>85</v>
      </c>
      <c r="BL61" s="68">
        <v>85</v>
      </c>
      <c r="BM61" s="69">
        <v>86</v>
      </c>
      <c r="BN61" s="69">
        <v>99</v>
      </c>
      <c r="BO61" s="70">
        <v>99</v>
      </c>
      <c r="BP61" s="69">
        <v>100</v>
      </c>
      <c r="BQ61" s="69">
        <v>100</v>
      </c>
      <c r="BR61" s="69">
        <v>100</v>
      </c>
      <c r="BS61" s="70">
        <v>98</v>
      </c>
      <c r="BT61" s="69">
        <v>99</v>
      </c>
      <c r="BU61" s="69">
        <v>99</v>
      </c>
      <c r="BV61" s="69">
        <v>99</v>
      </c>
      <c r="BW61" s="70">
        <v>102</v>
      </c>
      <c r="BX61" s="69">
        <v>102</v>
      </c>
      <c r="BY61" s="69">
        <v>103</v>
      </c>
      <c r="BZ61" s="69">
        <v>103</v>
      </c>
      <c r="CA61" s="70">
        <v>104</v>
      </c>
      <c r="CB61" s="69">
        <v>106</v>
      </c>
      <c r="CC61" s="69">
        <v>107</v>
      </c>
      <c r="CD61" s="69">
        <v>107</v>
      </c>
      <c r="CE61" s="70">
        <v>107</v>
      </c>
      <c r="CF61" s="69">
        <v>108</v>
      </c>
      <c r="CG61" s="69">
        <v>108</v>
      </c>
      <c r="CH61" s="69">
        <v>108</v>
      </c>
      <c r="CI61" s="70">
        <v>108</v>
      </c>
      <c r="CJ61" s="69">
        <v>109</v>
      </c>
      <c r="CK61" s="69">
        <v>109</v>
      </c>
      <c r="CL61" s="69">
        <v>109</v>
      </c>
      <c r="CM61" s="70">
        <v>109</v>
      </c>
      <c r="CN61" s="69">
        <v>110</v>
      </c>
      <c r="CO61" s="1287">
        <v>111</v>
      </c>
      <c r="CP61" s="1287">
        <f t="shared" si="386"/>
        <v>111</v>
      </c>
      <c r="CQ61" s="70">
        <v>112</v>
      </c>
      <c r="CR61" s="69">
        <v>116</v>
      </c>
      <c r="CS61" s="66">
        <f t="shared" si="388"/>
        <v>116</v>
      </c>
      <c r="CT61" s="66">
        <f t="shared" si="389"/>
        <v>116</v>
      </c>
      <c r="CU61" s="67">
        <f t="shared" si="390"/>
        <v>116</v>
      </c>
      <c r="CV61" s="66">
        <f t="shared" si="391"/>
        <v>116</v>
      </c>
      <c r="CW61" s="66">
        <f t="shared" si="392"/>
        <v>116</v>
      </c>
      <c r="CX61" s="66">
        <f t="shared" si="393"/>
        <v>116</v>
      </c>
      <c r="CY61" s="67">
        <f t="shared" si="394"/>
        <v>116</v>
      </c>
      <c r="CZ61" s="66">
        <f t="shared" si="395"/>
        <v>116</v>
      </c>
      <c r="DA61" s="66">
        <f t="shared" si="396"/>
        <v>116</v>
      </c>
      <c r="DB61" s="66">
        <f t="shared" si="397"/>
        <v>116</v>
      </c>
      <c r="DC61" s="67">
        <f t="shared" si="398"/>
        <v>116</v>
      </c>
      <c r="DD61" s="18"/>
      <c r="DE61" s="66"/>
      <c r="DF61" s="66"/>
      <c r="DG61" s="66">
        <f>O61</f>
        <v>21.1</v>
      </c>
      <c r="DH61" s="66">
        <f>S61</f>
        <v>21.4</v>
      </c>
      <c r="DI61" s="66">
        <f>W61</f>
        <v>26.8</v>
      </c>
      <c r="DJ61" s="66">
        <f>AA61</f>
        <v>56.7</v>
      </c>
      <c r="DK61" s="66">
        <f>AE61</f>
        <v>59.8</v>
      </c>
      <c r="DL61" s="66">
        <f>AI61</f>
        <v>60.3</v>
      </c>
      <c r="DM61" s="66">
        <f>AM61</f>
        <v>60.8</v>
      </c>
      <c r="DN61" s="66">
        <f>AQ61</f>
        <v>61.2</v>
      </c>
      <c r="DO61" s="66">
        <f>AU61</f>
        <v>62</v>
      </c>
      <c r="DP61" s="66">
        <f>AY61</f>
        <v>75</v>
      </c>
      <c r="DQ61" s="66">
        <f>BC61</f>
        <v>76</v>
      </c>
      <c r="DR61" s="66">
        <f>BG61</f>
        <v>76</v>
      </c>
      <c r="DS61" s="66">
        <f>BK61</f>
        <v>85</v>
      </c>
      <c r="DT61" s="66">
        <f>BO61</f>
        <v>99</v>
      </c>
      <c r="DU61" s="66">
        <f>BS61</f>
        <v>98</v>
      </c>
      <c r="DV61" s="66">
        <f>BW61</f>
        <v>102</v>
      </c>
      <c r="DW61" s="66">
        <f>CA61</f>
        <v>104</v>
      </c>
      <c r="DX61" s="66">
        <f>CE61</f>
        <v>107</v>
      </c>
      <c r="DY61" s="66">
        <f>CI61</f>
        <v>108</v>
      </c>
      <c r="DZ61" s="66">
        <f>CM61</f>
        <v>109</v>
      </c>
      <c r="EA61" s="66">
        <f t="shared" ref="EA61:EA63" si="401">CQ61</f>
        <v>112</v>
      </c>
      <c r="EB61" s="66">
        <f t="shared" si="399"/>
        <v>116</v>
      </c>
      <c r="EC61" s="66">
        <f t="shared" ref="EC61:EC63" si="402">CY61</f>
        <v>116</v>
      </c>
      <c r="ED61" s="67">
        <f>DC61</f>
        <v>116</v>
      </c>
      <c r="EE61" s="98"/>
      <c r="EF61" s="65"/>
      <c r="EG61" s="66">
        <f>L61</f>
        <v>20.9</v>
      </c>
      <c r="EH61" s="66">
        <f>P61</f>
        <v>21.1</v>
      </c>
      <c r="EI61" s="66">
        <f>T61</f>
        <v>24.7</v>
      </c>
      <c r="EJ61" s="66">
        <f>X61</f>
        <v>27</v>
      </c>
      <c r="EK61" s="66">
        <f>AB61</f>
        <v>59.3</v>
      </c>
      <c r="EL61" s="66">
        <f>AF61</f>
        <v>60</v>
      </c>
      <c r="EM61" s="66">
        <f>AJ61</f>
        <v>60.5</v>
      </c>
      <c r="EN61" s="66">
        <f>AN61</f>
        <v>60.9</v>
      </c>
      <c r="EO61" s="66">
        <f>AR61</f>
        <v>61.3</v>
      </c>
      <c r="EP61" s="66">
        <f>AV61</f>
        <v>61.8</v>
      </c>
      <c r="EQ61" s="66">
        <f>AZ61</f>
        <v>75</v>
      </c>
      <c r="ER61" s="66">
        <f>BD61</f>
        <v>76</v>
      </c>
      <c r="ES61" s="66">
        <f>BH61</f>
        <v>76</v>
      </c>
      <c r="ET61" s="66">
        <f>BL61</f>
        <v>85</v>
      </c>
      <c r="EU61" s="66">
        <f>BP61</f>
        <v>100</v>
      </c>
      <c r="EV61" s="66">
        <f>BT61</f>
        <v>99</v>
      </c>
      <c r="EW61" s="66">
        <f>BX61</f>
        <v>102</v>
      </c>
      <c r="EX61" s="66">
        <f>CB61</f>
        <v>106</v>
      </c>
      <c r="EY61" s="66">
        <f t="shared" si="400"/>
        <v>108</v>
      </c>
      <c r="EZ61" s="66">
        <f t="shared" si="400"/>
        <v>108</v>
      </c>
      <c r="FA61" s="66">
        <f t="shared" ref="FA61:FA63" si="403">CN61</f>
        <v>110</v>
      </c>
      <c r="FB61" s="66">
        <f t="shared" ref="FB61:FB63" si="404">CR61</f>
        <v>116</v>
      </c>
      <c r="FC61" s="66">
        <f t="shared" ref="FC61:FC63" si="405">CV61</f>
        <v>116</v>
      </c>
      <c r="FD61" s="67">
        <f t="shared" ref="FD61:FD63" si="406">CZ61</f>
        <v>116</v>
      </c>
      <c r="FE61" s="21"/>
      <c r="FF61" s="13"/>
      <c r="FG61" s="13"/>
      <c r="FH61" s="13"/>
      <c r="FO61" s="7"/>
    </row>
    <row r="62" spans="1:171" ht="14.25" customHeight="1">
      <c r="A62" s="7"/>
      <c r="B62" s="443" t="s">
        <v>310</v>
      </c>
      <c r="C62" s="82"/>
      <c r="D62" s="68"/>
      <c r="E62" s="69"/>
      <c r="F62" s="69"/>
      <c r="G62" s="70"/>
      <c r="H62" s="68"/>
      <c r="I62" s="69"/>
      <c r="J62" s="69"/>
      <c r="K62" s="70"/>
      <c r="L62" s="68">
        <v>0</v>
      </c>
      <c r="M62" s="69">
        <v>0</v>
      </c>
      <c r="N62" s="69">
        <v>0</v>
      </c>
      <c r="O62" s="70">
        <v>0</v>
      </c>
      <c r="P62" s="68">
        <v>0</v>
      </c>
      <c r="Q62" s="69">
        <v>0</v>
      </c>
      <c r="R62" s="69">
        <v>0</v>
      </c>
      <c r="S62" s="70">
        <v>0</v>
      </c>
      <c r="T62" s="68">
        <v>0</v>
      </c>
      <c r="U62" s="69">
        <v>0</v>
      </c>
      <c r="V62" s="69">
        <v>0</v>
      </c>
      <c r="W62" s="70">
        <v>0</v>
      </c>
      <c r="X62" s="68">
        <v>0</v>
      </c>
      <c r="Y62" s="69">
        <v>0</v>
      </c>
      <c r="Z62" s="69">
        <v>0</v>
      </c>
      <c r="AA62" s="70">
        <v>0</v>
      </c>
      <c r="AB62" s="68">
        <v>0</v>
      </c>
      <c r="AC62" s="69">
        <v>0</v>
      </c>
      <c r="AD62" s="69">
        <v>0</v>
      </c>
      <c r="AE62" s="70">
        <v>0</v>
      </c>
      <c r="AF62" s="68">
        <v>0</v>
      </c>
      <c r="AG62" s="69">
        <v>0</v>
      </c>
      <c r="AH62" s="69">
        <v>0</v>
      </c>
      <c r="AI62" s="70">
        <v>0</v>
      </c>
      <c r="AJ62" s="68">
        <v>0</v>
      </c>
      <c r="AK62" s="69">
        <v>0</v>
      </c>
      <c r="AL62" s="69">
        <v>0</v>
      </c>
      <c r="AM62" s="70">
        <v>0</v>
      </c>
      <c r="AN62" s="68">
        <v>0</v>
      </c>
      <c r="AO62" s="69">
        <v>0</v>
      </c>
      <c r="AP62" s="69">
        <v>0</v>
      </c>
      <c r="AQ62" s="70">
        <v>0</v>
      </c>
      <c r="AR62" s="68">
        <v>0</v>
      </c>
      <c r="AS62" s="69">
        <v>0</v>
      </c>
      <c r="AT62" s="69">
        <v>0</v>
      </c>
      <c r="AU62" s="70">
        <v>0</v>
      </c>
      <c r="AV62" s="68">
        <v>0</v>
      </c>
      <c r="AW62" s="69">
        <v>0</v>
      </c>
      <c r="AX62" s="69">
        <v>0</v>
      </c>
      <c r="AY62" s="70">
        <v>0</v>
      </c>
      <c r="AZ62" s="68">
        <v>0</v>
      </c>
      <c r="BA62" s="69">
        <v>0</v>
      </c>
      <c r="BB62" s="69">
        <v>0</v>
      </c>
      <c r="BC62" s="70">
        <v>0</v>
      </c>
      <c r="BD62" s="68">
        <v>0</v>
      </c>
      <c r="BE62" s="69">
        <v>0</v>
      </c>
      <c r="BF62" s="69">
        <v>0</v>
      </c>
      <c r="BG62" s="70">
        <v>0</v>
      </c>
      <c r="BH62" s="68">
        <v>0</v>
      </c>
      <c r="BI62" s="69">
        <v>0</v>
      </c>
      <c r="BJ62" s="69">
        <v>0</v>
      </c>
      <c r="BK62" s="70">
        <v>0</v>
      </c>
      <c r="BL62" s="68">
        <v>0</v>
      </c>
      <c r="BM62" s="69">
        <v>0</v>
      </c>
      <c r="BN62" s="69">
        <v>0</v>
      </c>
      <c r="BO62" s="70">
        <v>0</v>
      </c>
      <c r="BP62" s="69">
        <v>0</v>
      </c>
      <c r="BQ62" s="69">
        <v>0</v>
      </c>
      <c r="BR62" s="69">
        <v>0</v>
      </c>
      <c r="BS62" s="70">
        <v>0</v>
      </c>
      <c r="BT62" s="69">
        <v>0</v>
      </c>
      <c r="BU62" s="69">
        <v>0</v>
      </c>
      <c r="BV62" s="69">
        <v>0</v>
      </c>
      <c r="BW62" s="70">
        <v>0</v>
      </c>
      <c r="BX62" s="69">
        <v>0</v>
      </c>
      <c r="BY62" s="69">
        <v>0</v>
      </c>
      <c r="BZ62" s="69">
        <v>0</v>
      </c>
      <c r="CA62" s="70">
        <v>0</v>
      </c>
      <c r="CB62" s="69">
        <v>0</v>
      </c>
      <c r="CC62" s="69">
        <v>0</v>
      </c>
      <c r="CD62" s="69">
        <v>0</v>
      </c>
      <c r="CE62" s="70">
        <v>0</v>
      </c>
      <c r="CF62" s="69">
        <v>0</v>
      </c>
      <c r="CG62" s="69">
        <v>0</v>
      </c>
      <c r="CH62" s="69">
        <v>0</v>
      </c>
      <c r="CI62" s="70">
        <v>0</v>
      </c>
      <c r="CJ62" s="69"/>
      <c r="CK62" s="69">
        <v>0</v>
      </c>
      <c r="CL62" s="69">
        <v>0</v>
      </c>
      <c r="CM62" s="70">
        <v>0</v>
      </c>
      <c r="CN62" s="69"/>
      <c r="CO62" s="1287"/>
      <c r="CP62" s="1287">
        <v>0</v>
      </c>
      <c r="CQ62" s="70">
        <v>0</v>
      </c>
      <c r="CR62" s="69"/>
      <c r="CS62" s="1433">
        <v>-97</v>
      </c>
      <c r="CT62" s="66">
        <f t="shared" si="389"/>
        <v>-97</v>
      </c>
      <c r="CU62" s="67">
        <f t="shared" si="390"/>
        <v>-97</v>
      </c>
      <c r="CV62" s="66">
        <f t="shared" si="391"/>
        <v>-97</v>
      </c>
      <c r="CW62" s="66">
        <f t="shared" si="392"/>
        <v>-97</v>
      </c>
      <c r="CX62" s="66">
        <f t="shared" si="393"/>
        <v>-97</v>
      </c>
      <c r="CY62" s="67">
        <f t="shared" si="394"/>
        <v>-97</v>
      </c>
      <c r="CZ62" s="66">
        <f t="shared" si="395"/>
        <v>-97</v>
      </c>
      <c r="DA62" s="66">
        <f t="shared" si="396"/>
        <v>-97</v>
      </c>
      <c r="DB62" s="66">
        <f t="shared" si="397"/>
        <v>-97</v>
      </c>
      <c r="DC62" s="67">
        <f t="shared" si="398"/>
        <v>-97</v>
      </c>
      <c r="DD62" s="18"/>
      <c r="DE62" s="66"/>
      <c r="DF62" s="66"/>
      <c r="DG62" s="66">
        <f>O62</f>
        <v>0</v>
      </c>
      <c r="DH62" s="66">
        <f>S62</f>
        <v>0</v>
      </c>
      <c r="DI62" s="66">
        <f>W62</f>
        <v>0</v>
      </c>
      <c r="DJ62" s="66">
        <f>AA62</f>
        <v>0</v>
      </c>
      <c r="DK62" s="66">
        <f>AE62</f>
        <v>0</v>
      </c>
      <c r="DL62" s="66">
        <f>AI62</f>
        <v>0</v>
      </c>
      <c r="DM62" s="66">
        <f>AM62</f>
        <v>0</v>
      </c>
      <c r="DN62" s="66">
        <f>AQ62</f>
        <v>0</v>
      </c>
      <c r="DO62" s="66">
        <f>AU62</f>
        <v>0</v>
      </c>
      <c r="DP62" s="66">
        <f>AY62</f>
        <v>0</v>
      </c>
      <c r="DQ62" s="66">
        <f>BC62</f>
        <v>0</v>
      </c>
      <c r="DR62" s="66">
        <f>BG62</f>
        <v>0</v>
      </c>
      <c r="DS62" s="66">
        <f>BK62</f>
        <v>0</v>
      </c>
      <c r="DT62" s="66">
        <f>BO62</f>
        <v>0</v>
      </c>
      <c r="DU62" s="66">
        <f>BS62</f>
        <v>0</v>
      </c>
      <c r="DV62" s="66">
        <f>BW62</f>
        <v>0</v>
      </c>
      <c r="DW62" s="66">
        <f>CA62</f>
        <v>0</v>
      </c>
      <c r="DX62" s="66">
        <f>CE62</f>
        <v>0</v>
      </c>
      <c r="DY62" s="66">
        <f>CI62</f>
        <v>0</v>
      </c>
      <c r="DZ62" s="66">
        <f>CM62</f>
        <v>0</v>
      </c>
      <c r="EA62" s="66">
        <f t="shared" si="401"/>
        <v>0</v>
      </c>
      <c r="EB62" s="66">
        <f t="shared" si="399"/>
        <v>-97</v>
      </c>
      <c r="EC62" s="66">
        <f t="shared" si="402"/>
        <v>-97</v>
      </c>
      <c r="ED62" s="67">
        <f>DC62</f>
        <v>-97</v>
      </c>
      <c r="EE62" s="98"/>
      <c r="EF62" s="65"/>
      <c r="EG62" s="66">
        <f>L62</f>
        <v>0</v>
      </c>
      <c r="EH62" s="66">
        <f>P62</f>
        <v>0</v>
      </c>
      <c r="EI62" s="66">
        <f>T62</f>
        <v>0</v>
      </c>
      <c r="EJ62" s="66">
        <f>X62</f>
        <v>0</v>
      </c>
      <c r="EK62" s="66">
        <f>AB62</f>
        <v>0</v>
      </c>
      <c r="EL62" s="66">
        <f>AF62</f>
        <v>0</v>
      </c>
      <c r="EM62" s="66">
        <f>AJ62</f>
        <v>0</v>
      </c>
      <c r="EN62" s="66">
        <f>AN62</f>
        <v>0</v>
      </c>
      <c r="EO62" s="66">
        <f>AR62</f>
        <v>0</v>
      </c>
      <c r="EP62" s="66">
        <f>AV62</f>
        <v>0</v>
      </c>
      <c r="EQ62" s="66">
        <f>AZ62</f>
        <v>0</v>
      </c>
      <c r="ER62" s="66">
        <f>BD62</f>
        <v>0</v>
      </c>
      <c r="ES62" s="66">
        <f>BH62</f>
        <v>0</v>
      </c>
      <c r="ET62" s="66">
        <f>BL62</f>
        <v>0</v>
      </c>
      <c r="EU62" s="66">
        <f>BP62</f>
        <v>0</v>
      </c>
      <c r="EV62" s="66">
        <f>BT62</f>
        <v>0</v>
      </c>
      <c r="EW62" s="66">
        <f>BX62</f>
        <v>0</v>
      </c>
      <c r="EX62" s="66">
        <f>CB62</f>
        <v>0</v>
      </c>
      <c r="EY62" s="66">
        <f t="shared" si="400"/>
        <v>0</v>
      </c>
      <c r="EZ62" s="66">
        <f t="shared" si="400"/>
        <v>0</v>
      </c>
      <c r="FA62" s="66">
        <f t="shared" si="403"/>
        <v>0</v>
      </c>
      <c r="FB62" s="66">
        <f t="shared" si="404"/>
        <v>0</v>
      </c>
      <c r="FC62" s="66">
        <f t="shared" si="405"/>
        <v>-97</v>
      </c>
      <c r="FD62" s="67">
        <f t="shared" si="406"/>
        <v>-97</v>
      </c>
      <c r="FE62" s="21"/>
      <c r="FF62" s="13"/>
      <c r="FG62" s="13"/>
      <c r="FH62" s="13"/>
      <c r="FO62" s="7"/>
    </row>
    <row r="63" spans="1:171" ht="14.25" customHeight="1">
      <c r="A63" s="7"/>
      <c r="B63" s="443" t="s">
        <v>311</v>
      </c>
      <c r="C63" s="82"/>
      <c r="D63" s="68"/>
      <c r="E63" s="69"/>
      <c r="F63" s="69"/>
      <c r="G63" s="70"/>
      <c r="H63" s="68"/>
      <c r="I63" s="69"/>
      <c r="J63" s="69"/>
      <c r="K63" s="70"/>
      <c r="L63" s="68">
        <v>440.2</v>
      </c>
      <c r="M63" s="69">
        <v>450.1</v>
      </c>
      <c r="N63" s="69">
        <v>461.6</v>
      </c>
      <c r="O63" s="70">
        <v>483.8</v>
      </c>
      <c r="P63" s="68">
        <v>488.1</v>
      </c>
      <c r="Q63" s="69">
        <v>513.4</v>
      </c>
      <c r="R63" s="69">
        <v>518.6</v>
      </c>
      <c r="S63" s="70">
        <v>526.79999999999995</v>
      </c>
      <c r="T63" s="68">
        <v>1743.6</v>
      </c>
      <c r="U63" s="69">
        <v>1829.3</v>
      </c>
      <c r="V63" s="69">
        <v>1837.4</v>
      </c>
      <c r="W63" s="70">
        <v>1894</v>
      </c>
      <c r="X63" s="68">
        <v>1973.6</v>
      </c>
      <c r="Y63" s="69">
        <v>2120.8000000000002</v>
      </c>
      <c r="Z63" s="69">
        <v>2721.5</v>
      </c>
      <c r="AA63" s="70">
        <v>2824.2</v>
      </c>
      <c r="AB63" s="68">
        <v>3533.3</v>
      </c>
      <c r="AC63" s="69">
        <v>3591.5</v>
      </c>
      <c r="AD63" s="69">
        <v>3638.4</v>
      </c>
      <c r="AE63" s="70">
        <v>4153.7</v>
      </c>
      <c r="AF63" s="68">
        <v>4182.3999999999996</v>
      </c>
      <c r="AG63" s="69">
        <v>4208</v>
      </c>
      <c r="AH63" s="69">
        <v>4229.5</v>
      </c>
      <c r="AI63" s="70">
        <v>4229.6000000000004</v>
      </c>
      <c r="AJ63" s="68">
        <v>4260.3</v>
      </c>
      <c r="AK63" s="69">
        <v>4160.1000000000004</v>
      </c>
      <c r="AL63" s="69">
        <v>4167.7</v>
      </c>
      <c r="AM63" s="70">
        <v>4176.3</v>
      </c>
      <c r="AN63" s="68">
        <v>4634.2</v>
      </c>
      <c r="AO63" s="69">
        <v>4638.8</v>
      </c>
      <c r="AP63" s="69">
        <v>4652.1000000000004</v>
      </c>
      <c r="AQ63" s="70">
        <v>4663.8999999999996</v>
      </c>
      <c r="AR63" s="68">
        <v>4673.7</v>
      </c>
      <c r="AS63" s="69">
        <v>4685.3999999999996</v>
      </c>
      <c r="AT63" s="69">
        <v>4695.3999999999996</v>
      </c>
      <c r="AU63" s="70">
        <v>4707</v>
      </c>
      <c r="AV63" s="68">
        <v>4721.8999999999996</v>
      </c>
      <c r="AW63" s="69">
        <v>5553.2</v>
      </c>
      <c r="AX63" s="69">
        <v>5597</v>
      </c>
      <c r="AY63" s="70">
        <v>6555</v>
      </c>
      <c r="AZ63" s="68">
        <v>6604</v>
      </c>
      <c r="BA63" s="69">
        <v>6628</v>
      </c>
      <c r="BB63" s="69">
        <v>6491</v>
      </c>
      <c r="BC63" s="70">
        <v>6519</v>
      </c>
      <c r="BD63" s="68">
        <v>6532</v>
      </c>
      <c r="BE63" s="69">
        <v>6544</v>
      </c>
      <c r="BF63" s="69">
        <v>6558</v>
      </c>
      <c r="BG63" s="70">
        <v>6566</v>
      </c>
      <c r="BH63" s="68">
        <v>6574</v>
      </c>
      <c r="BI63" s="69">
        <v>6584</v>
      </c>
      <c r="BJ63" s="69">
        <v>6841</v>
      </c>
      <c r="BK63" s="70">
        <v>7257</v>
      </c>
      <c r="BL63" s="68">
        <v>7287</v>
      </c>
      <c r="BM63" s="69">
        <v>7320</v>
      </c>
      <c r="BN63" s="69">
        <v>8441</v>
      </c>
      <c r="BO63" s="70">
        <v>8446</v>
      </c>
      <c r="BP63" s="69">
        <v>8472</v>
      </c>
      <c r="BQ63" s="69">
        <v>8570</v>
      </c>
      <c r="BR63" s="69">
        <v>8598</v>
      </c>
      <c r="BS63" s="70">
        <v>8610</v>
      </c>
      <c r="BT63" s="69">
        <v>8628</v>
      </c>
      <c r="BU63" s="69">
        <v>8658</v>
      </c>
      <c r="BV63" s="69">
        <v>8791</v>
      </c>
      <c r="BW63" s="70">
        <v>8920</v>
      </c>
      <c r="BX63" s="69">
        <v>8961</v>
      </c>
      <c r="BY63" s="69">
        <v>9012</v>
      </c>
      <c r="BZ63" s="69">
        <v>9076</v>
      </c>
      <c r="CA63" s="70">
        <v>9187</v>
      </c>
      <c r="CB63" s="69">
        <v>8919</v>
      </c>
      <c r="CC63" s="69">
        <v>8282</v>
      </c>
      <c r="CD63" s="69">
        <v>8210</v>
      </c>
      <c r="CE63" s="70">
        <v>7879</v>
      </c>
      <c r="CF63" s="69">
        <v>7822</v>
      </c>
      <c r="CG63" s="69">
        <v>7901</v>
      </c>
      <c r="CH63" s="69">
        <v>7428</v>
      </c>
      <c r="CI63" s="70">
        <v>7474</v>
      </c>
      <c r="CJ63" s="69">
        <v>7500</v>
      </c>
      <c r="CK63" s="69">
        <v>7579</v>
      </c>
      <c r="CL63" s="69">
        <v>7675</v>
      </c>
      <c r="CM63" s="70">
        <v>7736</v>
      </c>
      <c r="CN63" s="69">
        <v>7777</v>
      </c>
      <c r="CO63" s="1287">
        <v>8003</v>
      </c>
      <c r="CP63" s="1287">
        <v>8222</v>
      </c>
      <c r="CQ63" s="70">
        <v>8287</v>
      </c>
      <c r="CR63" s="69">
        <v>9448</v>
      </c>
      <c r="CS63" s="66">
        <f>CR63+CFS!CS11</f>
        <v>9499</v>
      </c>
      <c r="CT63" s="66">
        <f>CS63+CFS!CT11</f>
        <v>9550</v>
      </c>
      <c r="CU63" s="67">
        <f>CT63+CFS!CU11</f>
        <v>9601</v>
      </c>
      <c r="CV63" s="66">
        <f>CU63+CFS!CV11</f>
        <v>9652</v>
      </c>
      <c r="CW63" s="66">
        <f>CV63+CFS!CW11</f>
        <v>9703</v>
      </c>
      <c r="CX63" s="66">
        <f>CW63+CFS!CX11</f>
        <v>9754</v>
      </c>
      <c r="CY63" s="67">
        <f>CX63+CFS!CY11</f>
        <v>9805</v>
      </c>
      <c r="CZ63" s="66">
        <f>CY63+CFS!CZ11</f>
        <v>9856</v>
      </c>
      <c r="DA63" s="66">
        <f>CZ63+CFS!DA11</f>
        <v>9907</v>
      </c>
      <c r="DB63" s="66">
        <f>DA63+CFS!DB11</f>
        <v>9958</v>
      </c>
      <c r="DC63" s="67">
        <f>DB63+CFS!DC11</f>
        <v>10009</v>
      </c>
      <c r="DD63" s="18"/>
      <c r="DE63" s="66"/>
      <c r="DF63" s="66"/>
      <c r="DG63" s="66">
        <f>O63</f>
        <v>483.8</v>
      </c>
      <c r="DH63" s="66">
        <f>S63</f>
        <v>526.79999999999995</v>
      </c>
      <c r="DI63" s="66">
        <f>W63</f>
        <v>1894</v>
      </c>
      <c r="DJ63" s="66">
        <f>AA63</f>
        <v>2824.2</v>
      </c>
      <c r="DK63" s="66">
        <f>AE63</f>
        <v>4153.7</v>
      </c>
      <c r="DL63" s="66">
        <f>AI63</f>
        <v>4229.6000000000004</v>
      </c>
      <c r="DM63" s="66">
        <f>AM63</f>
        <v>4176.3</v>
      </c>
      <c r="DN63" s="66">
        <f>AQ63</f>
        <v>4663.8999999999996</v>
      </c>
      <c r="DO63" s="66">
        <f>AU63</f>
        <v>4707</v>
      </c>
      <c r="DP63" s="66">
        <f>AY63</f>
        <v>6555</v>
      </c>
      <c r="DQ63" s="66">
        <f>BC63</f>
        <v>6519</v>
      </c>
      <c r="DR63" s="66">
        <f>BG63</f>
        <v>6566</v>
      </c>
      <c r="DS63" s="66">
        <f>BK63</f>
        <v>7257</v>
      </c>
      <c r="DT63" s="66">
        <f>BO63</f>
        <v>8446</v>
      </c>
      <c r="DU63" s="66">
        <f>BS63</f>
        <v>8610</v>
      </c>
      <c r="DV63" s="66">
        <f>BW63</f>
        <v>8920</v>
      </c>
      <c r="DW63" s="66">
        <f>CA63</f>
        <v>9187</v>
      </c>
      <c r="DX63" s="66">
        <f>CE63</f>
        <v>7879</v>
      </c>
      <c r="DY63" s="66">
        <f>CI63</f>
        <v>7474</v>
      </c>
      <c r="DZ63" s="66">
        <f>CM63</f>
        <v>7736</v>
      </c>
      <c r="EA63" s="66">
        <f t="shared" si="401"/>
        <v>8287</v>
      </c>
      <c r="EB63" s="66">
        <f t="shared" si="399"/>
        <v>9601</v>
      </c>
      <c r="EC63" s="66">
        <f t="shared" si="402"/>
        <v>9805</v>
      </c>
      <c r="ED63" s="67">
        <f>DC63</f>
        <v>10009</v>
      </c>
      <c r="EE63" s="98"/>
      <c r="EF63" s="65"/>
      <c r="EG63" s="66">
        <f>L63</f>
        <v>440.2</v>
      </c>
      <c r="EH63" s="66">
        <f>P63</f>
        <v>488.1</v>
      </c>
      <c r="EI63" s="66">
        <f>T63</f>
        <v>1743.6</v>
      </c>
      <c r="EJ63" s="66">
        <f>X63</f>
        <v>1973.6</v>
      </c>
      <c r="EK63" s="66">
        <f>AB63</f>
        <v>3533.3</v>
      </c>
      <c r="EL63" s="66">
        <f>AF63</f>
        <v>4182.3999999999996</v>
      </c>
      <c r="EM63" s="66">
        <f>AJ63</f>
        <v>4260.3</v>
      </c>
      <c r="EN63" s="66">
        <f>AN63</f>
        <v>4634.2</v>
      </c>
      <c r="EO63" s="66">
        <f>AR63</f>
        <v>4673.7</v>
      </c>
      <c r="EP63" s="66">
        <f>AV63</f>
        <v>4721.8999999999996</v>
      </c>
      <c r="EQ63" s="66">
        <f>AZ63</f>
        <v>6604</v>
      </c>
      <c r="ER63" s="66">
        <f>BD63</f>
        <v>6532</v>
      </c>
      <c r="ES63" s="66">
        <f>BH63</f>
        <v>6574</v>
      </c>
      <c r="ET63" s="66">
        <f>BL63</f>
        <v>7287</v>
      </c>
      <c r="EU63" s="66">
        <f>BP63</f>
        <v>8472</v>
      </c>
      <c r="EV63" s="66">
        <f>BT63</f>
        <v>8628</v>
      </c>
      <c r="EW63" s="66">
        <f>BX63</f>
        <v>8961</v>
      </c>
      <c r="EX63" s="66">
        <f>CB63</f>
        <v>8919</v>
      </c>
      <c r="EY63" s="66">
        <f t="shared" si="400"/>
        <v>7822</v>
      </c>
      <c r="EZ63" s="66">
        <f t="shared" si="400"/>
        <v>7901</v>
      </c>
      <c r="FA63" s="66">
        <f t="shared" si="403"/>
        <v>7777</v>
      </c>
      <c r="FB63" s="66">
        <f t="shared" si="404"/>
        <v>9448</v>
      </c>
      <c r="FC63" s="66">
        <f t="shared" si="405"/>
        <v>9652</v>
      </c>
      <c r="FD63" s="67">
        <f t="shared" si="406"/>
        <v>9856</v>
      </c>
      <c r="FE63" s="21"/>
      <c r="FF63" s="13"/>
      <c r="FG63" s="13"/>
      <c r="FH63" s="13"/>
      <c r="FO63" s="7"/>
    </row>
    <row r="64" spans="1:171" ht="14.25" customHeight="1">
      <c r="A64" s="7"/>
      <c r="B64" s="444" t="s">
        <v>312</v>
      </c>
      <c r="C64" s="143"/>
      <c r="D64" s="146"/>
      <c r="E64" s="144"/>
      <c r="F64" s="144"/>
      <c r="G64" s="145"/>
      <c r="H64" s="146"/>
      <c r="I64" s="144"/>
      <c r="J64" s="144"/>
      <c r="K64" s="145"/>
      <c r="L64" s="146">
        <f t="shared" ref="L64:AY64" si="407">SUM(L60:L63)</f>
        <v>461.09999999999997</v>
      </c>
      <c r="M64" s="144">
        <f t="shared" si="407"/>
        <v>471.1</v>
      </c>
      <c r="N64" s="144">
        <f t="shared" si="407"/>
        <v>482.70000000000005</v>
      </c>
      <c r="O64" s="145">
        <f t="shared" si="407"/>
        <v>504.90000000000003</v>
      </c>
      <c r="P64" s="146">
        <f t="shared" si="407"/>
        <v>509.20000000000005</v>
      </c>
      <c r="Q64" s="144">
        <f t="shared" si="407"/>
        <v>534.69999999999993</v>
      </c>
      <c r="R64" s="144">
        <f t="shared" si="407"/>
        <v>539.9</v>
      </c>
      <c r="S64" s="145">
        <f t="shared" si="407"/>
        <v>548.19999999999993</v>
      </c>
      <c r="T64" s="146">
        <f t="shared" si="407"/>
        <v>1768.3</v>
      </c>
      <c r="U64" s="144">
        <f t="shared" si="407"/>
        <v>1855.8999999999999</v>
      </c>
      <c r="V64" s="144">
        <f t="shared" si="407"/>
        <v>1864.1000000000001</v>
      </c>
      <c r="W64" s="145">
        <f t="shared" si="407"/>
        <v>1920.8</v>
      </c>
      <c r="X64" s="146">
        <f t="shared" si="407"/>
        <v>2000.6</v>
      </c>
      <c r="Y64" s="144">
        <f t="shared" si="407"/>
        <v>2148.1000000000004</v>
      </c>
      <c r="Z64" s="144">
        <f t="shared" si="407"/>
        <v>2776.8</v>
      </c>
      <c r="AA64" s="145">
        <f t="shared" si="407"/>
        <v>2880.8999999999996</v>
      </c>
      <c r="AB64" s="146">
        <f t="shared" si="407"/>
        <v>3592.6000000000004</v>
      </c>
      <c r="AC64" s="144">
        <f t="shared" si="407"/>
        <v>3651</v>
      </c>
      <c r="AD64" s="144">
        <f t="shared" si="407"/>
        <v>3698.1</v>
      </c>
      <c r="AE64" s="145">
        <f t="shared" si="407"/>
        <v>4213.5</v>
      </c>
      <c r="AF64" s="146">
        <f t="shared" si="407"/>
        <v>4242.3999999999996</v>
      </c>
      <c r="AG64" s="144">
        <f t="shared" si="407"/>
        <v>4268.1000000000004</v>
      </c>
      <c r="AH64" s="144">
        <f t="shared" si="407"/>
        <v>4289.7</v>
      </c>
      <c r="AI64" s="145">
        <f t="shared" si="407"/>
        <v>4289.9000000000005</v>
      </c>
      <c r="AJ64" s="146">
        <f t="shared" si="407"/>
        <v>4320.8</v>
      </c>
      <c r="AK64" s="144">
        <f t="shared" si="407"/>
        <v>4220.7000000000007</v>
      </c>
      <c r="AL64" s="144">
        <f t="shared" si="407"/>
        <v>4228.3999999999996</v>
      </c>
      <c r="AM64" s="145">
        <f t="shared" si="407"/>
        <v>4237.1000000000004</v>
      </c>
      <c r="AN64" s="146">
        <f t="shared" si="407"/>
        <v>4695.0999999999995</v>
      </c>
      <c r="AO64" s="144">
        <f t="shared" si="407"/>
        <v>4699.8</v>
      </c>
      <c r="AP64" s="144">
        <f t="shared" si="407"/>
        <v>4713.2000000000007</v>
      </c>
      <c r="AQ64" s="145">
        <f t="shared" si="407"/>
        <v>4725.0999999999995</v>
      </c>
      <c r="AR64" s="146">
        <f t="shared" si="407"/>
        <v>4735</v>
      </c>
      <c r="AS64" s="144">
        <f t="shared" si="407"/>
        <v>4746.7999999999993</v>
      </c>
      <c r="AT64" s="144">
        <f t="shared" si="407"/>
        <v>4756.8999999999996</v>
      </c>
      <c r="AU64" s="145">
        <f t="shared" si="407"/>
        <v>4769</v>
      </c>
      <c r="AV64" s="146">
        <f t="shared" si="407"/>
        <v>4783.7</v>
      </c>
      <c r="AW64" s="144">
        <f t="shared" si="407"/>
        <v>5620.8</v>
      </c>
      <c r="AX64" s="144">
        <f t="shared" si="407"/>
        <v>5664.9</v>
      </c>
      <c r="AY64" s="145">
        <f t="shared" si="407"/>
        <v>6630</v>
      </c>
      <c r="AZ64" s="146">
        <f>SUM(AZ60:AZ63)</f>
        <v>6679</v>
      </c>
      <c r="BA64" s="144">
        <f>SUM(BA60:BA63)</f>
        <v>6704</v>
      </c>
      <c r="BB64" s="144">
        <f>SUM(BB60:BB63)</f>
        <v>6567</v>
      </c>
      <c r="BC64" s="145">
        <f>SUM(BC60:BC63)</f>
        <v>6595</v>
      </c>
      <c r="BD64" s="146">
        <f t="shared" ref="BD64:BX64" si="408">SUM(BD60:BD63)</f>
        <v>6608</v>
      </c>
      <c r="BE64" s="144">
        <f t="shared" si="408"/>
        <v>6620</v>
      </c>
      <c r="BF64" s="144">
        <f t="shared" si="408"/>
        <v>6634</v>
      </c>
      <c r="BG64" s="145">
        <f t="shared" si="408"/>
        <v>6642</v>
      </c>
      <c r="BH64" s="146">
        <f t="shared" si="408"/>
        <v>6650</v>
      </c>
      <c r="BI64" s="144">
        <f t="shared" si="408"/>
        <v>6662</v>
      </c>
      <c r="BJ64" s="144">
        <f t="shared" si="408"/>
        <v>6926</v>
      </c>
      <c r="BK64" s="145">
        <f t="shared" si="408"/>
        <v>7342</v>
      </c>
      <c r="BL64" s="146">
        <f t="shared" si="408"/>
        <v>7372</v>
      </c>
      <c r="BM64" s="144">
        <f t="shared" si="408"/>
        <v>7406</v>
      </c>
      <c r="BN64" s="144">
        <f t="shared" si="408"/>
        <v>8540</v>
      </c>
      <c r="BO64" s="145">
        <f t="shared" si="408"/>
        <v>8545</v>
      </c>
      <c r="BP64" s="144">
        <f t="shared" si="408"/>
        <v>8572</v>
      </c>
      <c r="BQ64" s="144">
        <f t="shared" si="408"/>
        <v>8670</v>
      </c>
      <c r="BR64" s="144">
        <f t="shared" si="408"/>
        <v>8698</v>
      </c>
      <c r="BS64" s="145">
        <f>SUM(BS60:BS63)</f>
        <v>8708</v>
      </c>
      <c r="BT64" s="144">
        <f t="shared" si="408"/>
        <v>8727</v>
      </c>
      <c r="BU64" s="144">
        <f>SUM(BU60:BU63)</f>
        <v>8757</v>
      </c>
      <c r="BV64" s="144">
        <f t="shared" si="408"/>
        <v>8890</v>
      </c>
      <c r="BW64" s="145">
        <f>SUM(BW60:BW63)</f>
        <v>9022</v>
      </c>
      <c r="BX64" s="144">
        <f t="shared" si="408"/>
        <v>9063</v>
      </c>
      <c r="BY64" s="144">
        <f t="shared" ref="BY64:CI64" si="409">SUM(BY60:BY63)</f>
        <v>9115</v>
      </c>
      <c r="BZ64" s="144">
        <f t="shared" si="409"/>
        <v>9179</v>
      </c>
      <c r="CA64" s="145">
        <f t="shared" si="409"/>
        <v>9291</v>
      </c>
      <c r="CB64" s="144">
        <f t="shared" si="409"/>
        <v>9025</v>
      </c>
      <c r="CC64" s="144">
        <f t="shared" si="409"/>
        <v>8389</v>
      </c>
      <c r="CD64" s="144">
        <f t="shared" si="409"/>
        <v>8317</v>
      </c>
      <c r="CE64" s="145">
        <f t="shared" si="409"/>
        <v>7986</v>
      </c>
      <c r="CF64" s="144">
        <f t="shared" si="409"/>
        <v>7930</v>
      </c>
      <c r="CG64" s="144">
        <f t="shared" si="409"/>
        <v>8009</v>
      </c>
      <c r="CH64" s="144">
        <f t="shared" si="409"/>
        <v>7536</v>
      </c>
      <c r="CI64" s="145">
        <f t="shared" si="409"/>
        <v>7582</v>
      </c>
      <c r="CJ64" s="144">
        <f t="shared" ref="CJ64:CR64" si="410">SUM(CJ60:CJ63)</f>
        <v>7609</v>
      </c>
      <c r="CK64" s="144">
        <f t="shared" si="410"/>
        <v>7688</v>
      </c>
      <c r="CL64" s="144">
        <f t="shared" si="410"/>
        <v>7784</v>
      </c>
      <c r="CM64" s="145">
        <f t="shared" si="410"/>
        <v>7845</v>
      </c>
      <c r="CN64" s="144">
        <f t="shared" ref="CN64:CO64" si="411">SUM(CN60:CN63)</f>
        <v>7887</v>
      </c>
      <c r="CO64" s="1245">
        <f t="shared" si="411"/>
        <v>8114</v>
      </c>
      <c r="CP64" s="1245">
        <f t="shared" si="410"/>
        <v>8333</v>
      </c>
      <c r="CQ64" s="145">
        <f t="shared" si="410"/>
        <v>8399</v>
      </c>
      <c r="CR64" s="144">
        <f t="shared" si="410"/>
        <v>9564</v>
      </c>
      <c r="CS64" s="144">
        <f t="shared" ref="CS64:CU64" si="412">SUM(CS60:CS63)</f>
        <v>9518</v>
      </c>
      <c r="CT64" s="144">
        <f t="shared" si="412"/>
        <v>9569</v>
      </c>
      <c r="CU64" s="145">
        <f t="shared" si="412"/>
        <v>9620</v>
      </c>
      <c r="CV64" s="144">
        <f t="shared" ref="CV64:CY64" si="413">SUM(CV60:CV63)</f>
        <v>9671</v>
      </c>
      <c r="CW64" s="144">
        <f t="shared" si="413"/>
        <v>9722</v>
      </c>
      <c r="CX64" s="144">
        <f t="shared" si="413"/>
        <v>9773</v>
      </c>
      <c r="CY64" s="145">
        <f t="shared" si="413"/>
        <v>9824</v>
      </c>
      <c r="CZ64" s="144">
        <f t="shared" ref="CZ64:DC64" si="414">SUM(CZ60:CZ63)</f>
        <v>9875</v>
      </c>
      <c r="DA64" s="144">
        <f t="shared" si="414"/>
        <v>9926</v>
      </c>
      <c r="DB64" s="144">
        <f t="shared" si="414"/>
        <v>9977</v>
      </c>
      <c r="DC64" s="145">
        <f t="shared" si="414"/>
        <v>10028</v>
      </c>
      <c r="DD64" s="18"/>
      <c r="DE64" s="144"/>
      <c r="DF64" s="144"/>
      <c r="DG64" s="144">
        <f t="shared" ref="DG64:DN64" si="415">SUM(DG60:DG63)</f>
        <v>504.90000000000003</v>
      </c>
      <c r="DH64" s="144">
        <f t="shared" si="415"/>
        <v>548.19999999999993</v>
      </c>
      <c r="DI64" s="144">
        <f t="shared" si="415"/>
        <v>1920.8</v>
      </c>
      <c r="DJ64" s="144">
        <f t="shared" si="415"/>
        <v>2880.8999999999996</v>
      </c>
      <c r="DK64" s="144">
        <f t="shared" si="415"/>
        <v>4213.5</v>
      </c>
      <c r="DL64" s="144">
        <f t="shared" si="415"/>
        <v>4289.9000000000005</v>
      </c>
      <c r="DM64" s="144">
        <f t="shared" si="415"/>
        <v>4237.1000000000004</v>
      </c>
      <c r="DN64" s="144">
        <f t="shared" si="415"/>
        <v>4725.0999999999995</v>
      </c>
      <c r="DO64" s="144">
        <f t="shared" ref="DO64:DY64" si="416">SUM(DO60:DO63)</f>
        <v>4769</v>
      </c>
      <c r="DP64" s="144">
        <f t="shared" si="416"/>
        <v>6630</v>
      </c>
      <c r="DQ64" s="144">
        <f t="shared" si="416"/>
        <v>6595</v>
      </c>
      <c r="DR64" s="144">
        <f t="shared" si="416"/>
        <v>6642</v>
      </c>
      <c r="DS64" s="144">
        <f t="shared" si="416"/>
        <v>7342</v>
      </c>
      <c r="DT64" s="144">
        <f t="shared" si="416"/>
        <v>8545</v>
      </c>
      <c r="DU64" s="144">
        <f t="shared" si="416"/>
        <v>8708</v>
      </c>
      <c r="DV64" s="144">
        <f t="shared" si="416"/>
        <v>9022</v>
      </c>
      <c r="DW64" s="144">
        <f t="shared" si="416"/>
        <v>9291</v>
      </c>
      <c r="DX64" s="144">
        <f t="shared" si="416"/>
        <v>7986</v>
      </c>
      <c r="DY64" s="144">
        <f t="shared" si="416"/>
        <v>7582</v>
      </c>
      <c r="DZ64" s="144">
        <f>SUM(DZ60:DZ63)</f>
        <v>7845</v>
      </c>
      <c r="EA64" s="144">
        <f>SUM(EA60:EA63)</f>
        <v>8399</v>
      </c>
      <c r="EB64" s="144">
        <f>SUM(EB60:EB63)</f>
        <v>9620</v>
      </c>
      <c r="EC64" s="144">
        <f>SUM(EC60:EC63)</f>
        <v>9824</v>
      </c>
      <c r="ED64" s="145">
        <f>SUM(ED60:ED63)</f>
        <v>10028</v>
      </c>
      <c r="EE64" s="18"/>
      <c r="EF64" s="146"/>
      <c r="EG64" s="144">
        <f t="shared" ref="EG64:EO64" si="417">SUM(EG60:EG63)</f>
        <v>461.09999999999997</v>
      </c>
      <c r="EH64" s="144">
        <f t="shared" si="417"/>
        <v>509.20000000000005</v>
      </c>
      <c r="EI64" s="144">
        <f t="shared" si="417"/>
        <v>1768.3</v>
      </c>
      <c r="EJ64" s="144">
        <f t="shared" si="417"/>
        <v>2000.6</v>
      </c>
      <c r="EK64" s="144">
        <f t="shared" si="417"/>
        <v>3592.6000000000004</v>
      </c>
      <c r="EL64" s="144">
        <f t="shared" si="417"/>
        <v>4242.3999999999996</v>
      </c>
      <c r="EM64" s="144">
        <f t="shared" si="417"/>
        <v>4320.8</v>
      </c>
      <c r="EN64" s="144">
        <f t="shared" si="417"/>
        <v>4695.0999999999995</v>
      </c>
      <c r="EO64" s="144">
        <f t="shared" si="417"/>
        <v>4735</v>
      </c>
      <c r="EP64" s="144">
        <f t="shared" ref="EP64:EY64" si="418">SUM(EP60:EP63)</f>
        <v>4783.7</v>
      </c>
      <c r="EQ64" s="144">
        <f t="shared" si="418"/>
        <v>6679</v>
      </c>
      <c r="ER64" s="144">
        <f t="shared" si="418"/>
        <v>6608</v>
      </c>
      <c r="ES64" s="144">
        <f t="shared" si="418"/>
        <v>6650</v>
      </c>
      <c r="ET64" s="144">
        <f t="shared" si="418"/>
        <v>7372</v>
      </c>
      <c r="EU64" s="144">
        <f t="shared" si="418"/>
        <v>8572</v>
      </c>
      <c r="EV64" s="144">
        <f t="shared" si="418"/>
        <v>8727</v>
      </c>
      <c r="EW64" s="144">
        <f t="shared" si="418"/>
        <v>9063</v>
      </c>
      <c r="EX64" s="144">
        <f t="shared" si="418"/>
        <v>9025</v>
      </c>
      <c r="EY64" s="144">
        <f t="shared" si="418"/>
        <v>7930</v>
      </c>
      <c r="EZ64" s="144">
        <f t="shared" ref="EZ64:FC64" si="419">SUM(EZ60:EZ63)</f>
        <v>8009</v>
      </c>
      <c r="FA64" s="144">
        <f t="shared" si="419"/>
        <v>7887</v>
      </c>
      <c r="FB64" s="144">
        <f t="shared" si="419"/>
        <v>9564</v>
      </c>
      <c r="FC64" s="144">
        <f t="shared" si="419"/>
        <v>9671</v>
      </c>
      <c r="FD64" s="145">
        <f t="shared" ref="FD64" si="420">SUM(FD60:FD63)</f>
        <v>9875</v>
      </c>
      <c r="FE64" s="21"/>
      <c r="FF64" s="13"/>
      <c r="FG64" s="13"/>
      <c r="FH64" s="13"/>
      <c r="FO64" s="7"/>
    </row>
    <row r="65" spans="1:171" ht="14.25" customHeight="1">
      <c r="A65" s="7"/>
      <c r="B65" s="430"/>
      <c r="C65" s="25"/>
      <c r="D65" s="65"/>
      <c r="E65" s="66"/>
      <c r="F65" s="66"/>
      <c r="G65" s="67"/>
      <c r="H65" s="65"/>
      <c r="I65" s="66"/>
      <c r="J65" s="66"/>
      <c r="K65" s="67"/>
      <c r="L65" s="65"/>
      <c r="M65" s="66"/>
      <c r="N65" s="66"/>
      <c r="O65" s="67"/>
      <c r="P65" s="65"/>
      <c r="Q65" s="66"/>
      <c r="R65" s="66"/>
      <c r="S65" s="67"/>
      <c r="T65" s="65"/>
      <c r="U65" s="66"/>
      <c r="V65" s="66"/>
      <c r="W65" s="67"/>
      <c r="X65" s="65"/>
      <c r="Y65" s="66"/>
      <c r="Z65" s="66"/>
      <c r="AA65" s="67"/>
      <c r="AB65" s="65"/>
      <c r="AC65" s="66"/>
      <c r="AD65" s="66"/>
      <c r="AE65" s="67"/>
      <c r="AF65" s="65"/>
      <c r="AG65" s="66"/>
      <c r="AH65" s="66"/>
      <c r="AI65" s="67"/>
      <c r="AJ65" s="65"/>
      <c r="AK65" s="66"/>
      <c r="AL65" s="66"/>
      <c r="AM65" s="67"/>
      <c r="AN65" s="65"/>
      <c r="AO65" s="66"/>
      <c r="AP65" s="66"/>
      <c r="AQ65" s="67"/>
      <c r="AR65" s="65"/>
      <c r="AS65" s="66"/>
      <c r="AT65" s="66"/>
      <c r="AU65" s="67"/>
      <c r="AV65" s="65"/>
      <c r="AW65" s="66"/>
      <c r="AX65" s="66"/>
      <c r="AY65" s="67"/>
      <c r="AZ65" s="65"/>
      <c r="BA65" s="66"/>
      <c r="BB65" s="66"/>
      <c r="BC65" s="67"/>
      <c r="BD65" s="65"/>
      <c r="BE65" s="66"/>
      <c r="BF65" s="66"/>
      <c r="BG65" s="67"/>
      <c r="BH65" s="65"/>
      <c r="BI65" s="66"/>
      <c r="BJ65" s="66"/>
      <c r="BK65" s="67"/>
      <c r="BL65" s="65"/>
      <c r="BM65" s="66"/>
      <c r="BN65" s="66"/>
      <c r="BO65" s="67"/>
      <c r="BP65" s="66"/>
      <c r="BQ65" s="66"/>
      <c r="BR65" s="66"/>
      <c r="BS65" s="67"/>
      <c r="BT65" s="66"/>
      <c r="BU65" s="66"/>
      <c r="BV65" s="66"/>
      <c r="BW65" s="67"/>
      <c r="BX65" s="66"/>
      <c r="BY65" s="66"/>
      <c r="BZ65" s="66"/>
      <c r="CA65" s="67"/>
      <c r="CB65" s="66"/>
      <c r="CC65" s="66"/>
      <c r="CD65" s="66"/>
      <c r="CE65" s="67"/>
      <c r="CF65" s="66"/>
      <c r="CG65" s="66"/>
      <c r="CH65" s="66"/>
      <c r="CI65" s="67"/>
      <c r="CJ65" s="66"/>
      <c r="CK65" s="66"/>
      <c r="CL65" s="66"/>
      <c r="CM65" s="67"/>
      <c r="CN65" s="66"/>
      <c r="CO65" s="1230"/>
      <c r="CP65" s="1230"/>
      <c r="CQ65" s="67"/>
      <c r="CR65" s="66"/>
      <c r="CS65" s="66"/>
      <c r="CT65" s="66"/>
      <c r="CU65" s="67"/>
      <c r="CV65" s="66"/>
      <c r="CW65" s="66"/>
      <c r="CX65" s="66"/>
      <c r="CY65" s="67"/>
      <c r="CZ65" s="66"/>
      <c r="DA65" s="66"/>
      <c r="DB65" s="66"/>
      <c r="DC65" s="67"/>
      <c r="DD65" s="18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7"/>
      <c r="EE65" s="18"/>
      <c r="EF65" s="65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7"/>
      <c r="FE65" s="21"/>
      <c r="FF65" s="13"/>
      <c r="FG65" s="13"/>
      <c r="FH65" s="13"/>
      <c r="FO65" s="7"/>
    </row>
    <row r="66" spans="1:171" ht="14.25" customHeight="1">
      <c r="A66" s="7"/>
      <c r="B66" s="443" t="s">
        <v>313</v>
      </c>
      <c r="C66" s="82"/>
      <c r="D66" s="68"/>
      <c r="E66" s="69"/>
      <c r="F66" s="69"/>
      <c r="G66" s="70"/>
      <c r="H66" s="68"/>
      <c r="I66" s="69"/>
      <c r="J66" s="69"/>
      <c r="K66" s="70"/>
      <c r="L66" s="68">
        <v>0</v>
      </c>
      <c r="M66" s="69">
        <v>0</v>
      </c>
      <c r="N66" s="69">
        <v>0</v>
      </c>
      <c r="O66" s="70">
        <v>0</v>
      </c>
      <c r="P66" s="68">
        <v>0</v>
      </c>
      <c r="Q66" s="69">
        <v>0</v>
      </c>
      <c r="R66" s="69">
        <v>0</v>
      </c>
      <c r="S66" s="70">
        <v>0</v>
      </c>
      <c r="T66" s="68">
        <v>0</v>
      </c>
      <c r="U66" s="69">
        <v>0</v>
      </c>
      <c r="V66" s="69">
        <v>0</v>
      </c>
      <c r="W66" s="70">
        <v>0</v>
      </c>
      <c r="X66" s="68">
        <v>0</v>
      </c>
      <c r="Y66" s="69">
        <v>0</v>
      </c>
      <c r="Z66" s="69">
        <v>0</v>
      </c>
      <c r="AA66" s="70">
        <v>0</v>
      </c>
      <c r="AB66" s="68">
        <v>0</v>
      </c>
      <c r="AC66" s="69">
        <v>0</v>
      </c>
      <c r="AD66" s="69">
        <v>0</v>
      </c>
      <c r="AE66" s="70">
        <v>0</v>
      </c>
      <c r="AF66" s="68">
        <v>0</v>
      </c>
      <c r="AG66" s="69">
        <v>0</v>
      </c>
      <c r="AH66" s="69">
        <v>0</v>
      </c>
      <c r="AI66" s="70">
        <v>0</v>
      </c>
      <c r="AJ66" s="68">
        <v>0</v>
      </c>
      <c r="AK66" s="69">
        <v>0</v>
      </c>
      <c r="AL66" s="69">
        <v>0</v>
      </c>
      <c r="AM66" s="70">
        <v>0</v>
      </c>
      <c r="AN66" s="68">
        <v>0</v>
      </c>
      <c r="AO66" s="69">
        <v>0</v>
      </c>
      <c r="AP66" s="69">
        <v>0</v>
      </c>
      <c r="AQ66" s="70">
        <v>0</v>
      </c>
      <c r="AR66" s="68">
        <v>0</v>
      </c>
      <c r="AS66" s="69">
        <v>0</v>
      </c>
      <c r="AT66" s="69">
        <v>0</v>
      </c>
      <c r="AU66" s="70">
        <v>0</v>
      </c>
      <c r="AV66" s="68">
        <v>0</v>
      </c>
      <c r="AW66" s="69">
        <v>0</v>
      </c>
      <c r="AX66" s="69">
        <v>0</v>
      </c>
      <c r="AY66" s="70">
        <v>0</v>
      </c>
      <c r="AZ66" s="68">
        <v>0</v>
      </c>
      <c r="BA66" s="69">
        <v>0</v>
      </c>
      <c r="BB66" s="69">
        <v>0</v>
      </c>
      <c r="BC66" s="70">
        <v>0</v>
      </c>
      <c r="BD66" s="68">
        <v>0</v>
      </c>
      <c r="BE66" s="69">
        <v>0</v>
      </c>
      <c r="BF66" s="69">
        <v>0</v>
      </c>
      <c r="BG66" s="70">
        <v>0</v>
      </c>
      <c r="BH66" s="68">
        <v>0</v>
      </c>
      <c r="BI66" s="69">
        <v>0</v>
      </c>
      <c r="BJ66" s="69">
        <v>0</v>
      </c>
      <c r="BK66" s="70">
        <v>0</v>
      </c>
      <c r="BL66" s="68">
        <v>0</v>
      </c>
      <c r="BM66" s="69">
        <v>0</v>
      </c>
      <c r="BN66" s="69">
        <v>0</v>
      </c>
      <c r="BO66" s="70">
        <v>0</v>
      </c>
      <c r="BP66" s="69">
        <v>0</v>
      </c>
      <c r="BQ66" s="69">
        <v>0</v>
      </c>
      <c r="BR66" s="69">
        <v>0</v>
      </c>
      <c r="BS66" s="70">
        <v>0</v>
      </c>
      <c r="BT66" s="69">
        <v>0</v>
      </c>
      <c r="BU66" s="69">
        <v>0</v>
      </c>
      <c r="BV66" s="69">
        <v>0</v>
      </c>
      <c r="BW66" s="70">
        <v>0</v>
      </c>
      <c r="BX66" s="69">
        <v>0</v>
      </c>
      <c r="BY66" s="69">
        <v>0</v>
      </c>
      <c r="BZ66" s="69">
        <v>0</v>
      </c>
      <c r="CA66" s="70">
        <v>0</v>
      </c>
      <c r="CB66" s="69">
        <v>0</v>
      </c>
      <c r="CC66" s="69">
        <f t="shared" ref="CC66:CE67" si="421">CB66</f>
        <v>0</v>
      </c>
      <c r="CD66" s="69">
        <v>0</v>
      </c>
      <c r="CE66" s="70">
        <f t="shared" si="421"/>
        <v>0</v>
      </c>
      <c r="CF66" s="69">
        <v>0</v>
      </c>
      <c r="CG66" s="69">
        <v>0</v>
      </c>
      <c r="CH66" s="69">
        <v>0</v>
      </c>
      <c r="CI66" s="70">
        <v>0</v>
      </c>
      <c r="CJ66" s="69">
        <v>0</v>
      </c>
      <c r="CK66" s="69">
        <v>0</v>
      </c>
      <c r="CL66" s="69">
        <f t="shared" ref="CL66" si="422">CK66</f>
        <v>0</v>
      </c>
      <c r="CM66" s="70">
        <v>0</v>
      </c>
      <c r="CN66" s="69">
        <v>0</v>
      </c>
      <c r="CO66" s="1287">
        <v>0</v>
      </c>
      <c r="CP66" s="1287">
        <f t="shared" ref="CP66" si="423">CO66</f>
        <v>0</v>
      </c>
      <c r="CQ66" s="70">
        <v>0</v>
      </c>
      <c r="CR66" s="69">
        <v>0</v>
      </c>
      <c r="CS66" s="66">
        <f t="shared" ref="CS66:CS67" si="424">CR66</f>
        <v>0</v>
      </c>
      <c r="CT66" s="66">
        <f t="shared" ref="CT66:CT67" si="425">CS66</f>
        <v>0</v>
      </c>
      <c r="CU66" s="67">
        <f t="shared" ref="CU66:CU67" si="426">CT66</f>
        <v>0</v>
      </c>
      <c r="CV66" s="66">
        <f t="shared" ref="CV66:CV67" si="427">CU66</f>
        <v>0</v>
      </c>
      <c r="CW66" s="66">
        <f t="shared" ref="CW66:CW67" si="428">CV66</f>
        <v>0</v>
      </c>
      <c r="CX66" s="66">
        <f t="shared" ref="CX66:CX67" si="429">CW66</f>
        <v>0</v>
      </c>
      <c r="CY66" s="67">
        <f t="shared" ref="CY66:CY67" si="430">CX66</f>
        <v>0</v>
      </c>
      <c r="CZ66" s="66">
        <f t="shared" ref="CZ66:CZ67" si="431">CY66</f>
        <v>0</v>
      </c>
      <c r="DA66" s="66">
        <f t="shared" ref="DA66:DA67" si="432">CZ66</f>
        <v>0</v>
      </c>
      <c r="DB66" s="66">
        <f t="shared" ref="DB66:DB67" si="433">DA66</f>
        <v>0</v>
      </c>
      <c r="DC66" s="67">
        <f t="shared" ref="DC66:DC67" si="434">DB66</f>
        <v>0</v>
      </c>
      <c r="DD66" s="18"/>
      <c r="DE66" s="66"/>
      <c r="DF66" s="66"/>
      <c r="DG66" s="66">
        <f>O66</f>
        <v>0</v>
      </c>
      <c r="DH66" s="66">
        <f>S66</f>
        <v>0</v>
      </c>
      <c r="DI66" s="66">
        <f>W66</f>
        <v>0</v>
      </c>
      <c r="DJ66" s="66">
        <f>AA66</f>
        <v>0</v>
      </c>
      <c r="DK66" s="66">
        <f>AE66</f>
        <v>0</v>
      </c>
      <c r="DL66" s="66">
        <f>AI66</f>
        <v>0</v>
      </c>
      <c r="DM66" s="66">
        <f>AM66</f>
        <v>0</v>
      </c>
      <c r="DN66" s="66">
        <f>AQ66</f>
        <v>0</v>
      </c>
      <c r="DO66" s="66">
        <f>AU66</f>
        <v>0</v>
      </c>
      <c r="DP66" s="66">
        <f>AY66</f>
        <v>0</v>
      </c>
      <c r="DQ66" s="66">
        <f>BC66</f>
        <v>0</v>
      </c>
      <c r="DR66" s="66">
        <f>BG66</f>
        <v>0</v>
      </c>
      <c r="DS66" s="66">
        <f>BK66</f>
        <v>0</v>
      </c>
      <c r="DT66" s="66">
        <f>BO66</f>
        <v>0</v>
      </c>
      <c r="DU66" s="66">
        <f>BS66</f>
        <v>0</v>
      </c>
      <c r="DV66" s="66">
        <f>BW66</f>
        <v>0</v>
      </c>
      <c r="DW66" s="66">
        <f>CA66</f>
        <v>0</v>
      </c>
      <c r="DX66" s="66">
        <f>CE66</f>
        <v>0</v>
      </c>
      <c r="DY66" s="66">
        <f>CI66</f>
        <v>0</v>
      </c>
      <c r="DZ66" s="66">
        <f>CM66</f>
        <v>0</v>
      </c>
      <c r="EA66" s="66">
        <f t="shared" ref="EA66:EA69" si="435">CQ66</f>
        <v>0</v>
      </c>
      <c r="EB66" s="66">
        <f t="shared" ref="EB66:EB69" si="436">CU66</f>
        <v>0</v>
      </c>
      <c r="EC66" s="66">
        <f t="shared" ref="EC66:EC69" si="437">CY66</f>
        <v>0</v>
      </c>
      <c r="ED66" s="67">
        <f>DC66</f>
        <v>0</v>
      </c>
      <c r="EE66" s="98"/>
      <c r="EF66" s="65"/>
      <c r="EG66" s="66">
        <f>L66</f>
        <v>0</v>
      </c>
      <c r="EH66" s="66">
        <f>P66</f>
        <v>0</v>
      </c>
      <c r="EI66" s="66">
        <f>T66</f>
        <v>0</v>
      </c>
      <c r="EJ66" s="66">
        <f>X66</f>
        <v>0</v>
      </c>
      <c r="EK66" s="66">
        <f>AB66</f>
        <v>0</v>
      </c>
      <c r="EL66" s="66">
        <f>AF66</f>
        <v>0</v>
      </c>
      <c r="EM66" s="66">
        <f>AJ66</f>
        <v>0</v>
      </c>
      <c r="EN66" s="66">
        <f>AN66</f>
        <v>0</v>
      </c>
      <c r="EO66" s="66">
        <f>AR66</f>
        <v>0</v>
      </c>
      <c r="EP66" s="66">
        <f>AV66</f>
        <v>0</v>
      </c>
      <c r="EQ66" s="66">
        <f>AZ66</f>
        <v>0</v>
      </c>
      <c r="ER66" s="66">
        <f>BD66</f>
        <v>0</v>
      </c>
      <c r="ES66" s="66">
        <f>BH66</f>
        <v>0</v>
      </c>
      <c r="ET66" s="66">
        <f>BL66</f>
        <v>0</v>
      </c>
      <c r="EU66" s="66">
        <f>BP66</f>
        <v>0</v>
      </c>
      <c r="EV66" s="66">
        <f>BT66</f>
        <v>0</v>
      </c>
      <c r="EW66" s="66">
        <f>BX66</f>
        <v>0</v>
      </c>
      <c r="EX66" s="66">
        <f>CB66</f>
        <v>0</v>
      </c>
      <c r="EY66" s="66">
        <f t="shared" ref="EY66:EZ69" si="438">CF66</f>
        <v>0</v>
      </c>
      <c r="EZ66" s="66">
        <f t="shared" si="438"/>
        <v>0</v>
      </c>
      <c r="FA66" s="66">
        <f t="shared" ref="FA66:FA69" si="439">CN66</f>
        <v>0</v>
      </c>
      <c r="FB66" s="66">
        <f t="shared" ref="FB66:FB69" si="440">CR66</f>
        <v>0</v>
      </c>
      <c r="FC66" s="66">
        <f t="shared" ref="FC66:FC69" si="441">CV66</f>
        <v>0</v>
      </c>
      <c r="FD66" s="67">
        <f t="shared" ref="FD66:FD69" si="442">CZ66</f>
        <v>0</v>
      </c>
      <c r="FE66" s="21"/>
      <c r="FF66" s="13"/>
      <c r="FG66" s="13"/>
      <c r="FH66" s="13"/>
      <c r="FO66" s="7"/>
    </row>
    <row r="67" spans="1:171" ht="14.25" customHeight="1">
      <c r="A67" s="7"/>
      <c r="B67" s="443" t="s">
        <v>385</v>
      </c>
      <c r="C67" s="82"/>
      <c r="D67" s="68"/>
      <c r="E67" s="69"/>
      <c r="F67" s="69"/>
      <c r="G67" s="70"/>
      <c r="H67" s="68"/>
      <c r="I67" s="69"/>
      <c r="J67" s="69"/>
      <c r="K67" s="70"/>
      <c r="L67" s="68">
        <v>0</v>
      </c>
      <c r="M67" s="69">
        <v>0</v>
      </c>
      <c r="N67" s="69">
        <v>0</v>
      </c>
      <c r="O67" s="70">
        <v>0</v>
      </c>
      <c r="P67" s="68">
        <v>0</v>
      </c>
      <c r="Q67" s="69">
        <v>0</v>
      </c>
      <c r="R67" s="69">
        <v>0</v>
      </c>
      <c r="S67" s="70">
        <v>0</v>
      </c>
      <c r="T67" s="68">
        <v>0</v>
      </c>
      <c r="U67" s="69">
        <v>0</v>
      </c>
      <c r="V67" s="69">
        <v>0</v>
      </c>
      <c r="W67" s="70">
        <v>0</v>
      </c>
      <c r="X67" s="68">
        <v>0</v>
      </c>
      <c r="Y67" s="69">
        <v>0</v>
      </c>
      <c r="Z67" s="69">
        <v>0</v>
      </c>
      <c r="AA67" s="70">
        <v>0</v>
      </c>
      <c r="AB67" s="68">
        <v>0</v>
      </c>
      <c r="AC67" s="69">
        <v>0</v>
      </c>
      <c r="AD67" s="69">
        <v>0</v>
      </c>
      <c r="AE67" s="70">
        <v>0</v>
      </c>
      <c r="AF67" s="68">
        <v>0</v>
      </c>
      <c r="AG67" s="69">
        <v>0</v>
      </c>
      <c r="AH67" s="69">
        <v>0</v>
      </c>
      <c r="AI67" s="70">
        <v>0</v>
      </c>
      <c r="AJ67" s="68">
        <v>0</v>
      </c>
      <c r="AK67" s="69">
        <v>0</v>
      </c>
      <c r="AL67" s="69">
        <v>0</v>
      </c>
      <c r="AM67" s="70">
        <v>0</v>
      </c>
      <c r="AN67" s="68">
        <v>0</v>
      </c>
      <c r="AO67" s="69">
        <v>0</v>
      </c>
      <c r="AP67" s="69">
        <v>0</v>
      </c>
      <c r="AQ67" s="70">
        <v>0</v>
      </c>
      <c r="AR67" s="68">
        <v>0</v>
      </c>
      <c r="AS67" s="69">
        <v>0</v>
      </c>
      <c r="AT67" s="69">
        <v>0</v>
      </c>
      <c r="AU67" s="70">
        <v>0</v>
      </c>
      <c r="AV67" s="68">
        <v>0</v>
      </c>
      <c r="AW67" s="69">
        <v>0</v>
      </c>
      <c r="AX67" s="69">
        <v>0</v>
      </c>
      <c r="AY67" s="70">
        <v>0</v>
      </c>
      <c r="AZ67" s="68">
        <v>0</v>
      </c>
      <c r="BA67" s="69">
        <v>0</v>
      </c>
      <c r="BB67" s="69">
        <v>0</v>
      </c>
      <c r="BC67" s="70">
        <v>0</v>
      </c>
      <c r="BD67" s="68">
        <v>0</v>
      </c>
      <c r="BE67" s="69">
        <v>0</v>
      </c>
      <c r="BF67" s="69">
        <v>0</v>
      </c>
      <c r="BG67" s="70">
        <v>0</v>
      </c>
      <c r="BH67" s="68">
        <v>0</v>
      </c>
      <c r="BI67" s="69">
        <v>0</v>
      </c>
      <c r="BJ67" s="69">
        <v>0</v>
      </c>
      <c r="BK67" s="70">
        <v>0</v>
      </c>
      <c r="BL67" s="68">
        <v>0</v>
      </c>
      <c r="BM67" s="69">
        <v>0</v>
      </c>
      <c r="BN67" s="69">
        <v>0</v>
      </c>
      <c r="BO67" s="70">
        <v>0</v>
      </c>
      <c r="BP67" s="69">
        <v>0</v>
      </c>
      <c r="BQ67" s="69">
        <v>0</v>
      </c>
      <c r="BR67" s="69">
        <v>0</v>
      </c>
      <c r="BS67" s="70">
        <v>0</v>
      </c>
      <c r="BT67" s="69">
        <v>0</v>
      </c>
      <c r="BU67" s="69">
        <v>0</v>
      </c>
      <c r="BV67" s="69">
        <v>0</v>
      </c>
      <c r="BW67" s="70">
        <v>0</v>
      </c>
      <c r="BX67" s="69">
        <v>0</v>
      </c>
      <c r="BY67" s="69">
        <v>0</v>
      </c>
      <c r="BZ67" s="69">
        <v>0</v>
      </c>
      <c r="CA67" s="70">
        <v>0</v>
      </c>
      <c r="CB67" s="69">
        <v>0</v>
      </c>
      <c r="CC67" s="69">
        <f t="shared" si="421"/>
        <v>0</v>
      </c>
      <c r="CD67" s="69">
        <v>0</v>
      </c>
      <c r="CE67" s="70">
        <f t="shared" si="421"/>
        <v>0</v>
      </c>
      <c r="CF67" s="69">
        <v>0</v>
      </c>
      <c r="CG67" s="69">
        <v>-192</v>
      </c>
      <c r="CH67" s="69">
        <v>-192</v>
      </c>
      <c r="CI67" s="70">
        <v>-881</v>
      </c>
      <c r="CJ67" s="69">
        <v>-1006</v>
      </c>
      <c r="CK67" s="69">
        <v>-1025</v>
      </c>
      <c r="CL67" s="69">
        <v>-1029</v>
      </c>
      <c r="CM67" s="70">
        <v>-1029</v>
      </c>
      <c r="CN67" s="69">
        <v>-1029</v>
      </c>
      <c r="CO67" s="1287">
        <v>-67</v>
      </c>
      <c r="CP67" s="1287">
        <v>-67</v>
      </c>
      <c r="CQ67" s="70">
        <v>-67</v>
      </c>
      <c r="CR67" s="69">
        <v>0</v>
      </c>
      <c r="CS67" s="66">
        <f t="shared" si="424"/>
        <v>0</v>
      </c>
      <c r="CT67" s="66">
        <f t="shared" si="425"/>
        <v>0</v>
      </c>
      <c r="CU67" s="67">
        <f t="shared" si="426"/>
        <v>0</v>
      </c>
      <c r="CV67" s="66">
        <f t="shared" si="427"/>
        <v>0</v>
      </c>
      <c r="CW67" s="66">
        <f t="shared" si="428"/>
        <v>0</v>
      </c>
      <c r="CX67" s="66">
        <f t="shared" si="429"/>
        <v>0</v>
      </c>
      <c r="CY67" s="67">
        <f t="shared" si="430"/>
        <v>0</v>
      </c>
      <c r="CZ67" s="66">
        <f t="shared" si="431"/>
        <v>0</v>
      </c>
      <c r="DA67" s="66">
        <f t="shared" si="432"/>
        <v>0</v>
      </c>
      <c r="DB67" s="66">
        <f t="shared" si="433"/>
        <v>0</v>
      </c>
      <c r="DC67" s="67">
        <f t="shared" si="434"/>
        <v>0</v>
      </c>
      <c r="DD67" s="18"/>
      <c r="DE67" s="66"/>
      <c r="DF67" s="66"/>
      <c r="DG67" s="66">
        <f>O67</f>
        <v>0</v>
      </c>
      <c r="DH67" s="66">
        <f>S67</f>
        <v>0</v>
      </c>
      <c r="DI67" s="66">
        <f>W67</f>
        <v>0</v>
      </c>
      <c r="DJ67" s="66">
        <f>AA67</f>
        <v>0</v>
      </c>
      <c r="DK67" s="66">
        <f>AE67</f>
        <v>0</v>
      </c>
      <c r="DL67" s="66">
        <f>AI67</f>
        <v>0</v>
      </c>
      <c r="DM67" s="66">
        <f>AM67</f>
        <v>0</v>
      </c>
      <c r="DN67" s="66">
        <f>AQ67</f>
        <v>0</v>
      </c>
      <c r="DO67" s="66">
        <f>AU67</f>
        <v>0</v>
      </c>
      <c r="DP67" s="66">
        <f>AY67</f>
        <v>0</v>
      </c>
      <c r="DQ67" s="66">
        <f>BC67</f>
        <v>0</v>
      </c>
      <c r="DR67" s="66">
        <f>BG67</f>
        <v>0</v>
      </c>
      <c r="DS67" s="66">
        <f>BK67</f>
        <v>0</v>
      </c>
      <c r="DT67" s="66">
        <f>BO67</f>
        <v>0</v>
      </c>
      <c r="DU67" s="66">
        <f>BS67</f>
        <v>0</v>
      </c>
      <c r="DV67" s="66">
        <f>BW67</f>
        <v>0</v>
      </c>
      <c r="DW67" s="66">
        <f>CA67</f>
        <v>0</v>
      </c>
      <c r="DX67" s="66">
        <f>CE67</f>
        <v>0</v>
      </c>
      <c r="DY67" s="66">
        <f>CI67</f>
        <v>-881</v>
      </c>
      <c r="DZ67" s="66">
        <f>CM67</f>
        <v>-1029</v>
      </c>
      <c r="EA67" s="66">
        <f t="shared" si="435"/>
        <v>-67</v>
      </c>
      <c r="EB67" s="66">
        <f t="shared" si="436"/>
        <v>0</v>
      </c>
      <c r="EC67" s="66">
        <f t="shared" si="437"/>
        <v>0</v>
      </c>
      <c r="ED67" s="67">
        <f t="shared" ref="ED67:ED69" si="443">DC67</f>
        <v>0</v>
      </c>
      <c r="EE67" s="98"/>
      <c r="EF67" s="65"/>
      <c r="EG67" s="66">
        <f>L67</f>
        <v>0</v>
      </c>
      <c r="EH67" s="66">
        <f>P67</f>
        <v>0</v>
      </c>
      <c r="EI67" s="66">
        <f>T67</f>
        <v>0</v>
      </c>
      <c r="EJ67" s="66">
        <f>X67</f>
        <v>0</v>
      </c>
      <c r="EK67" s="66">
        <f>AB67</f>
        <v>0</v>
      </c>
      <c r="EL67" s="66">
        <f>AF67</f>
        <v>0</v>
      </c>
      <c r="EM67" s="66">
        <f>AJ67</f>
        <v>0</v>
      </c>
      <c r="EN67" s="66">
        <f>AN67</f>
        <v>0</v>
      </c>
      <c r="EO67" s="66">
        <f>AR67</f>
        <v>0</v>
      </c>
      <c r="EP67" s="66">
        <f>AV67</f>
        <v>0</v>
      </c>
      <c r="EQ67" s="66">
        <f>AZ67</f>
        <v>0</v>
      </c>
      <c r="ER67" s="66">
        <f>BD67</f>
        <v>0</v>
      </c>
      <c r="ES67" s="66">
        <f>BH67</f>
        <v>0</v>
      </c>
      <c r="ET67" s="66">
        <f>BL67</f>
        <v>0</v>
      </c>
      <c r="EU67" s="66">
        <f>BP67</f>
        <v>0</v>
      </c>
      <c r="EV67" s="66">
        <f>BT67</f>
        <v>0</v>
      </c>
      <c r="EW67" s="66">
        <f>BX67</f>
        <v>0</v>
      </c>
      <c r="EX67" s="66">
        <f>CB67</f>
        <v>0</v>
      </c>
      <c r="EY67" s="66">
        <f t="shared" si="438"/>
        <v>0</v>
      </c>
      <c r="EZ67" s="66">
        <f t="shared" si="438"/>
        <v>-192</v>
      </c>
      <c r="FA67" s="66">
        <f t="shared" si="439"/>
        <v>-1029</v>
      </c>
      <c r="FB67" s="66">
        <f t="shared" si="440"/>
        <v>0</v>
      </c>
      <c r="FC67" s="66">
        <f t="shared" si="441"/>
        <v>0</v>
      </c>
      <c r="FD67" s="67">
        <f t="shared" si="442"/>
        <v>0</v>
      </c>
      <c r="FE67" s="21"/>
      <c r="FF67" s="13"/>
      <c r="FG67" s="13"/>
      <c r="FH67" s="13"/>
      <c r="FO67" s="7"/>
    </row>
    <row r="68" spans="1:171" ht="14.25" customHeight="1">
      <c r="A68" s="7"/>
      <c r="B68" s="443" t="s">
        <v>314</v>
      </c>
      <c r="C68" s="82"/>
      <c r="D68" s="68"/>
      <c r="E68" s="69"/>
      <c r="F68" s="69"/>
      <c r="G68" s="70"/>
      <c r="H68" s="68"/>
      <c r="I68" s="69"/>
      <c r="J68" s="69"/>
      <c r="K68" s="70"/>
      <c r="L68" s="68">
        <v>2067.1</v>
      </c>
      <c r="M68" s="69">
        <v>2209.8000000000002</v>
      </c>
      <c r="N68" s="69">
        <v>2306.4</v>
      </c>
      <c r="O68" s="70">
        <v>2378.1999999999998</v>
      </c>
      <c r="P68" s="68">
        <v>2387</v>
      </c>
      <c r="Q68" s="69">
        <v>2340.1</v>
      </c>
      <c r="R68" s="69">
        <v>2234</v>
      </c>
      <c r="S68" s="70">
        <v>2144.8000000000002</v>
      </c>
      <c r="T68" s="68">
        <v>2068.1</v>
      </c>
      <c r="U68" s="69">
        <v>2090.5</v>
      </c>
      <c r="V68" s="69">
        <v>2062.9</v>
      </c>
      <c r="W68" s="70">
        <v>2045.4</v>
      </c>
      <c r="X68" s="68">
        <v>2386.8000000000002</v>
      </c>
      <c r="Y68" s="69">
        <v>2548.1</v>
      </c>
      <c r="Z68" s="69">
        <v>2823</v>
      </c>
      <c r="AA68" s="70">
        <v>3549.6</v>
      </c>
      <c r="AB68" s="68">
        <v>3901.9</v>
      </c>
      <c r="AC68" s="69">
        <v>3813.5</v>
      </c>
      <c r="AD68" s="69">
        <v>3500.1</v>
      </c>
      <c r="AE68" s="70">
        <v>2924.6</v>
      </c>
      <c r="AF68" s="68">
        <v>2658.7</v>
      </c>
      <c r="AG68" s="69">
        <v>2628.3</v>
      </c>
      <c r="AH68" s="69">
        <v>2603.5</v>
      </c>
      <c r="AI68" s="70">
        <v>2015.5</v>
      </c>
      <c r="AJ68" s="68">
        <v>1695.8</v>
      </c>
      <c r="AK68" s="69">
        <v>1075</v>
      </c>
      <c r="AL68" s="69">
        <v>858.5</v>
      </c>
      <c r="AM68" s="70">
        <v>733.8</v>
      </c>
      <c r="AN68" s="68">
        <v>734</v>
      </c>
      <c r="AO68" s="69">
        <v>705.7</v>
      </c>
      <c r="AP68" s="69">
        <v>796.6</v>
      </c>
      <c r="AQ68" s="70">
        <v>890.1</v>
      </c>
      <c r="AR68" s="68">
        <v>1045</v>
      </c>
      <c r="AS68" s="69">
        <v>1162.9000000000001</v>
      </c>
      <c r="AT68" s="69">
        <v>1035</v>
      </c>
      <c r="AU68" s="70">
        <v>1078</v>
      </c>
      <c r="AV68" s="68">
        <v>1140.7</v>
      </c>
      <c r="AW68" s="69">
        <v>1333.7</v>
      </c>
      <c r="AX68" s="69">
        <v>1422.2</v>
      </c>
      <c r="AY68" s="70">
        <v>1486</v>
      </c>
      <c r="AZ68" s="68">
        <v>1600</v>
      </c>
      <c r="BA68" s="69">
        <v>1548</v>
      </c>
      <c r="BB68" s="69">
        <v>1323</v>
      </c>
      <c r="BC68" s="70">
        <v>1164</v>
      </c>
      <c r="BD68" s="68">
        <v>901</v>
      </c>
      <c r="BE68" s="69">
        <v>124</v>
      </c>
      <c r="BF68" s="69">
        <v>-112</v>
      </c>
      <c r="BG68" s="70">
        <v>-456</v>
      </c>
      <c r="BH68" s="68">
        <v>-1162</v>
      </c>
      <c r="BI68" s="69">
        <v>-1913</v>
      </c>
      <c r="BJ68" s="69">
        <v>-2203</v>
      </c>
      <c r="BK68" s="70">
        <v>-2385</v>
      </c>
      <c r="BL68" s="68">
        <v>-2181</v>
      </c>
      <c r="BM68" s="69">
        <v>-1816</v>
      </c>
      <c r="BN68" s="69">
        <v>-877</v>
      </c>
      <c r="BO68" s="70">
        <v>-536</v>
      </c>
      <c r="BP68" s="69">
        <v>-381</v>
      </c>
      <c r="BQ68" s="69">
        <v>-309</v>
      </c>
      <c r="BR68" s="69">
        <v>-234</v>
      </c>
      <c r="BS68" s="70">
        <v>-370</v>
      </c>
      <c r="BT68" s="69">
        <v>-557</v>
      </c>
      <c r="BU68" s="69">
        <v>-839</v>
      </c>
      <c r="BV68" s="69">
        <v>-1159</v>
      </c>
      <c r="BW68" s="70">
        <v>-1402</v>
      </c>
      <c r="BX68" s="69">
        <v>-1677</v>
      </c>
      <c r="BY68" s="69">
        <v>-1963</v>
      </c>
      <c r="BZ68" s="69">
        <v>-1920</v>
      </c>
      <c r="CA68" s="70">
        <v>-212</v>
      </c>
      <c r="CB68" s="69">
        <v>126</v>
      </c>
      <c r="CC68" s="69">
        <v>836</v>
      </c>
      <c r="CD68" s="69">
        <v>1579</v>
      </c>
      <c r="CE68" s="70">
        <v>2729</v>
      </c>
      <c r="CF68" s="69">
        <v>3713</v>
      </c>
      <c r="CG68" s="69">
        <v>4627</v>
      </c>
      <c r="CH68" s="69">
        <v>5117</v>
      </c>
      <c r="CI68" s="70">
        <v>5588</v>
      </c>
      <c r="CJ68" s="69">
        <v>5788</v>
      </c>
      <c r="CK68" s="69">
        <v>5685</v>
      </c>
      <c r="CL68" s="69">
        <v>5470</v>
      </c>
      <c r="CM68" s="70">
        <v>5299</v>
      </c>
      <c r="CN68" s="69">
        <v>5469</v>
      </c>
      <c r="CO68" s="1287">
        <v>6247</v>
      </c>
      <c r="CP68" s="1287">
        <v>7893</v>
      </c>
      <c r="CQ68" s="70">
        <v>10260</v>
      </c>
      <c r="CR68" s="69">
        <v>12938</v>
      </c>
      <c r="CS68" s="363">
        <f>CR68+IS!CS90+IS!CS88-CS66+CFS!CS48+CFS!CS49</f>
        <v>16243</v>
      </c>
      <c r="CT68" s="363">
        <f>CS68+IS!CT90+IS!CT88-CT66+CFS!CT48+CFS!CT49</f>
        <v>19765.20960533871</v>
      </c>
      <c r="CU68" s="364">
        <f>CT68+IS!CU90+IS!CU88-CU66+CFS!CU48+CFS!CU49</f>
        <v>23231.475605939086</v>
      </c>
      <c r="CV68" s="363">
        <f>CU68+IS!CV90+IS!CV88-CV66+CFS!CV48+CFS!CV49</f>
        <v>25998.46201835027</v>
      </c>
      <c r="CW68" s="363">
        <f>CV68+IS!CW90+IS!CW88-CW66+CFS!CW48+CFS!CW49</f>
        <v>28319.387238154799</v>
      </c>
      <c r="CX68" s="363">
        <f>CW68+IS!CX90+IS!CX88-CX66+CFS!CX48+CFS!CX49</f>
        <v>30207.459218758588</v>
      </c>
      <c r="CY68" s="364">
        <f>CX68+IS!CY90+IS!CY88-CY66+CFS!CY48+CFS!CY49</f>
        <v>31867.65864609995</v>
      </c>
      <c r="CZ68" s="363">
        <f>CY68+IS!CZ90+IS!CZ88-CZ66+CFS!CZ48+CFS!CZ49</f>
        <v>33353.439601656173</v>
      </c>
      <c r="DA68" s="363">
        <f>CZ68+IS!DA90+IS!DA88-DA66+CFS!DA48+CFS!DA49</f>
        <v>34706.012256150054</v>
      </c>
      <c r="DB68" s="363">
        <f>DA68+IS!DB90+IS!DB88-DB66+CFS!DB48+CFS!DB49</f>
        <v>35997.199726049752</v>
      </c>
      <c r="DC68" s="364">
        <f>DB68+IS!DC90+IS!DC88-DC66+CFS!DC48+CFS!DC49</f>
        <v>37248.478857896262</v>
      </c>
      <c r="DD68" s="18"/>
      <c r="DE68" s="66"/>
      <c r="DF68" s="66"/>
      <c r="DG68" s="66">
        <f>O68</f>
        <v>2378.1999999999998</v>
      </c>
      <c r="DH68" s="66">
        <f>S68</f>
        <v>2144.8000000000002</v>
      </c>
      <c r="DI68" s="66">
        <f>W68</f>
        <v>2045.4</v>
      </c>
      <c r="DJ68" s="66">
        <f>AA68</f>
        <v>3549.6</v>
      </c>
      <c r="DK68" s="66">
        <f>AE68</f>
        <v>2924.6</v>
      </c>
      <c r="DL68" s="66">
        <f>AI68</f>
        <v>2015.5</v>
      </c>
      <c r="DM68" s="66">
        <f>AM68</f>
        <v>733.8</v>
      </c>
      <c r="DN68" s="66">
        <f>AQ68</f>
        <v>890.1</v>
      </c>
      <c r="DO68" s="66">
        <f>AU68</f>
        <v>1078</v>
      </c>
      <c r="DP68" s="66">
        <f>AY68</f>
        <v>1486</v>
      </c>
      <c r="DQ68" s="66">
        <f>BC68</f>
        <v>1164</v>
      </c>
      <c r="DR68" s="66">
        <f>BG68</f>
        <v>-456</v>
      </c>
      <c r="DS68" s="66">
        <f>BK68</f>
        <v>-2385</v>
      </c>
      <c r="DT68" s="66">
        <f>BO68</f>
        <v>-536</v>
      </c>
      <c r="DU68" s="66">
        <f>BS68</f>
        <v>-370</v>
      </c>
      <c r="DV68" s="66">
        <f>BW68</f>
        <v>-1402</v>
      </c>
      <c r="DW68" s="66">
        <f>CA68</f>
        <v>-212</v>
      </c>
      <c r="DX68" s="66">
        <f>CE68</f>
        <v>2729</v>
      </c>
      <c r="DY68" s="66">
        <f>CI68</f>
        <v>5588</v>
      </c>
      <c r="DZ68" s="66">
        <f>CM68</f>
        <v>5299</v>
      </c>
      <c r="EA68" s="66">
        <f t="shared" si="435"/>
        <v>10260</v>
      </c>
      <c r="EB68" s="66">
        <f t="shared" si="436"/>
        <v>23231.475605939086</v>
      </c>
      <c r="EC68" s="66">
        <f t="shared" si="437"/>
        <v>31867.65864609995</v>
      </c>
      <c r="ED68" s="67">
        <f t="shared" si="443"/>
        <v>37248.478857896262</v>
      </c>
      <c r="EE68" s="98"/>
      <c r="EF68" s="65"/>
      <c r="EG68" s="66">
        <f>L68</f>
        <v>2067.1</v>
      </c>
      <c r="EH68" s="66">
        <f>P68</f>
        <v>2387</v>
      </c>
      <c r="EI68" s="66">
        <f>T68</f>
        <v>2068.1</v>
      </c>
      <c r="EJ68" s="66">
        <f>X68</f>
        <v>2386.8000000000002</v>
      </c>
      <c r="EK68" s="66">
        <f>AB68</f>
        <v>3901.9</v>
      </c>
      <c r="EL68" s="66">
        <f>AF68</f>
        <v>2658.7</v>
      </c>
      <c r="EM68" s="66">
        <f>AJ68</f>
        <v>1695.8</v>
      </c>
      <c r="EN68" s="66">
        <f>AN68</f>
        <v>734</v>
      </c>
      <c r="EO68" s="66">
        <f>AR68</f>
        <v>1045</v>
      </c>
      <c r="EP68" s="66">
        <f>AV68</f>
        <v>1140.7</v>
      </c>
      <c r="EQ68" s="66">
        <f>AZ68</f>
        <v>1600</v>
      </c>
      <c r="ER68" s="66">
        <f>BD68</f>
        <v>901</v>
      </c>
      <c r="ES68" s="66">
        <f>BH68</f>
        <v>-1162</v>
      </c>
      <c r="ET68" s="66">
        <f>BL68</f>
        <v>-2181</v>
      </c>
      <c r="EU68" s="66">
        <f>BP68</f>
        <v>-381</v>
      </c>
      <c r="EV68" s="66">
        <f>BT68</f>
        <v>-557</v>
      </c>
      <c r="EW68" s="66">
        <f>BX68</f>
        <v>-1677</v>
      </c>
      <c r="EX68" s="66">
        <f>CB68</f>
        <v>126</v>
      </c>
      <c r="EY68" s="66">
        <f t="shared" si="438"/>
        <v>3713</v>
      </c>
      <c r="EZ68" s="66">
        <f t="shared" si="438"/>
        <v>4627</v>
      </c>
      <c r="FA68" s="66">
        <f t="shared" si="439"/>
        <v>5469</v>
      </c>
      <c r="FB68" s="66">
        <f t="shared" si="440"/>
        <v>12938</v>
      </c>
      <c r="FC68" s="66">
        <f t="shared" si="441"/>
        <v>25998.46201835027</v>
      </c>
      <c r="FD68" s="67">
        <f t="shared" si="442"/>
        <v>33353.439601656173</v>
      </c>
      <c r="FE68" s="21"/>
      <c r="FF68" s="13"/>
      <c r="FG68" s="13"/>
      <c r="FH68" s="13"/>
      <c r="FO68" s="7"/>
    </row>
    <row r="69" spans="1:171" ht="14.25" customHeight="1">
      <c r="A69" s="7"/>
      <c r="B69" s="443" t="s">
        <v>315</v>
      </c>
      <c r="C69" s="82"/>
      <c r="D69" s="68"/>
      <c r="E69" s="69"/>
      <c r="F69" s="69"/>
      <c r="G69" s="371"/>
      <c r="H69" s="68"/>
      <c r="I69" s="69"/>
      <c r="J69" s="69"/>
      <c r="K69" s="371"/>
      <c r="L69" s="68">
        <v>0</v>
      </c>
      <c r="M69" s="69">
        <v>0</v>
      </c>
      <c r="N69" s="69">
        <v>0</v>
      </c>
      <c r="O69" s="371">
        <v>0</v>
      </c>
      <c r="P69" s="68">
        <v>0</v>
      </c>
      <c r="Q69" s="69">
        <v>0</v>
      </c>
      <c r="R69" s="69">
        <v>0</v>
      </c>
      <c r="S69" s="371">
        <v>0</v>
      </c>
      <c r="T69" s="68">
        <v>-0.2</v>
      </c>
      <c r="U69" s="69">
        <v>-1.3</v>
      </c>
      <c r="V69" s="69">
        <v>-1.5</v>
      </c>
      <c r="W69" s="371">
        <v>-2.1</v>
      </c>
      <c r="X69" s="68">
        <v>-1.3</v>
      </c>
      <c r="Y69" s="69">
        <v>37.4</v>
      </c>
      <c r="Z69" s="69">
        <v>4.9000000000000004</v>
      </c>
      <c r="AA69" s="371">
        <v>1.5</v>
      </c>
      <c r="AB69" s="68">
        <v>1.7</v>
      </c>
      <c r="AC69" s="69">
        <v>1.4</v>
      </c>
      <c r="AD69" s="69">
        <v>0.4</v>
      </c>
      <c r="AE69" s="371">
        <v>-3.3</v>
      </c>
      <c r="AF69" s="68">
        <v>2.2000000000000002</v>
      </c>
      <c r="AG69" s="69">
        <v>0.4</v>
      </c>
      <c r="AH69" s="69">
        <v>0.6</v>
      </c>
      <c r="AI69" s="371">
        <v>1</v>
      </c>
      <c r="AJ69" s="68">
        <v>1.4</v>
      </c>
      <c r="AK69" s="69">
        <v>0.4</v>
      </c>
      <c r="AL69" s="69">
        <v>0.3</v>
      </c>
      <c r="AM69" s="371">
        <v>0.1</v>
      </c>
      <c r="AN69" s="68">
        <v>0</v>
      </c>
      <c r="AO69" s="69">
        <v>0</v>
      </c>
      <c r="AP69" s="69">
        <v>-0.3</v>
      </c>
      <c r="AQ69" s="371">
        <v>-0.4</v>
      </c>
      <c r="AR69" s="68">
        <v>-0.6</v>
      </c>
      <c r="AS69" s="69">
        <v>-0.5</v>
      </c>
      <c r="AT69" s="69">
        <v>-0.3</v>
      </c>
      <c r="AU69" s="371">
        <v>-0.1999999999998181</v>
      </c>
      <c r="AV69" s="68">
        <v>-0.9</v>
      </c>
      <c r="AW69" s="69">
        <v>-0.3</v>
      </c>
      <c r="AX69" s="69">
        <v>-0.3</v>
      </c>
      <c r="AY69" s="371">
        <v>-2.2999999999999998</v>
      </c>
      <c r="AZ69" s="68">
        <v>0</v>
      </c>
      <c r="BA69" s="69">
        <v>-3</v>
      </c>
      <c r="BB69" s="69">
        <v>-3</v>
      </c>
      <c r="BC69" s="371">
        <v>-7</v>
      </c>
      <c r="BD69" s="68">
        <v>-8</v>
      </c>
      <c r="BE69" s="69">
        <v>-6</v>
      </c>
      <c r="BF69" s="69">
        <v>-14</v>
      </c>
      <c r="BG69" s="371">
        <v>-8</v>
      </c>
      <c r="BH69" s="68">
        <v>-4</v>
      </c>
      <c r="BI69" s="69">
        <v>-7</v>
      </c>
      <c r="BJ69" s="69">
        <v>-26</v>
      </c>
      <c r="BK69" s="371">
        <f>-4</f>
        <v>-4</v>
      </c>
      <c r="BL69" s="68">
        <f>4</f>
        <v>4</v>
      </c>
      <c r="BM69" s="69">
        <f>12</f>
        <v>12</v>
      </c>
      <c r="BN69" s="69">
        <f>17</f>
        <v>17</v>
      </c>
      <c r="BO69" s="371">
        <f>11</f>
        <v>11</v>
      </c>
      <c r="BP69" s="69">
        <f>35</f>
        <v>35</v>
      </c>
      <c r="BQ69" s="69">
        <f>101</f>
        <v>101</v>
      </c>
      <c r="BR69" s="69">
        <f>119</f>
        <v>119</v>
      </c>
      <c r="BS69" s="70">
        <f>132</f>
        <v>132</v>
      </c>
      <c r="BT69" s="69">
        <v>101</v>
      </c>
      <c r="BU69" s="69">
        <v>68</v>
      </c>
      <c r="BV69" s="69">
        <v>80</v>
      </c>
      <c r="BW69" s="70">
        <v>80</v>
      </c>
      <c r="BX69" s="69">
        <v>83</v>
      </c>
      <c r="BY69" s="69">
        <v>79</v>
      </c>
      <c r="BZ69" s="69">
        <v>69</v>
      </c>
      <c r="CA69" s="70">
        <v>63</v>
      </c>
      <c r="CB69" s="69">
        <v>68</v>
      </c>
      <c r="CC69" s="69">
        <v>59</v>
      </c>
      <c r="CD69" s="69">
        <v>44</v>
      </c>
      <c r="CE69" s="70">
        <v>56</v>
      </c>
      <c r="CF69" s="69">
        <v>35</v>
      </c>
      <c r="CG69" s="69">
        <v>-18</v>
      </c>
      <c r="CH69" s="69">
        <v>-3</v>
      </c>
      <c r="CI69" s="70">
        <v>13</v>
      </c>
      <c r="CJ69" s="69">
        <v>-90</v>
      </c>
      <c r="CK69" s="69">
        <v>-84</v>
      </c>
      <c r="CL69" s="69">
        <v>-38</v>
      </c>
      <c r="CM69" s="70">
        <v>-35</v>
      </c>
      <c r="CN69" s="69">
        <v>-7</v>
      </c>
      <c r="CO69" s="1287">
        <v>-7</v>
      </c>
      <c r="CP69" s="1287">
        <v>12</v>
      </c>
      <c r="CQ69" s="70">
        <v>29</v>
      </c>
      <c r="CR69" s="69">
        <v>24</v>
      </c>
      <c r="CS69" s="66">
        <f>CR69+CFS!CS12+CFS!CS13+CFS!CS14+CFS!CS15+CFS!CS16+CFS!CS37+CFS!CS38+CFS!CS53+CFS!CS50</f>
        <v>-64</v>
      </c>
      <c r="CT69" s="66">
        <f>CS69+CFS!CT12+CFS!CT13+CFS!CT14+CFS!CT15+CFS!CT16+CFS!CT37+CFS!CT38+CFS!CT53+CFS!CT50</f>
        <v>-64</v>
      </c>
      <c r="CU69" s="103">
        <f>CT69+CFS!CU12+CFS!CU13+CFS!CU14+CFS!CU15+CFS!CU16+CFS!CU37+CFS!CU38+CFS!CU53+CFS!CU50</f>
        <v>-64</v>
      </c>
      <c r="CV69" s="66">
        <f>CU69+CFS!CV12+CFS!CV13+CFS!CV14+CFS!CV15+CFS!CV16+CFS!CV37+CFS!CV38+CFS!CV53+CFS!CV50</f>
        <v>-64</v>
      </c>
      <c r="CW69" s="66">
        <f>CV69+CFS!CW12+CFS!CW13+CFS!CW14+CFS!CW15+CFS!CW16+CFS!CW37+CFS!CW38+CFS!CW53+CFS!CW50</f>
        <v>-64</v>
      </c>
      <c r="CX69" s="66">
        <f>CW69+CFS!CX12+CFS!CX13+CFS!CX14+CFS!CX15+CFS!CX16+CFS!CX37+CFS!CX38+CFS!CX53+CFS!CX50</f>
        <v>-64</v>
      </c>
      <c r="CY69" s="103">
        <f>CX69+CFS!CY12+CFS!CY13+CFS!CY14+CFS!CY15+CFS!CY16+CFS!CY37+CFS!CY38+CFS!CY53+CFS!CY50</f>
        <v>-64</v>
      </c>
      <c r="CZ69" s="66">
        <f>CY69+CFS!CZ12+CFS!CZ13+CFS!CZ14+CFS!CZ15+CFS!CZ16+CFS!CZ37+CFS!CZ38+CFS!CZ53+CFS!CZ50</f>
        <v>-64</v>
      </c>
      <c r="DA69" s="66">
        <f>CZ69+CFS!DA12+CFS!DA13+CFS!DA14+CFS!DA15+CFS!DA16+CFS!DA37+CFS!DA38+CFS!DA53+CFS!DA50</f>
        <v>-64</v>
      </c>
      <c r="DB69" s="66">
        <f>DA69+CFS!DB12+CFS!DB13+CFS!DB14+CFS!DB15+CFS!DB16+CFS!DB37+CFS!DB38+CFS!DB53+CFS!DB50</f>
        <v>-64</v>
      </c>
      <c r="DC69" s="103">
        <f>DB69+CFS!DC12+CFS!DC13+CFS!DC14+CFS!DC15+CFS!DC16+CFS!DC37+CFS!DC38+CFS!DC53+CFS!DC50</f>
        <v>-64</v>
      </c>
      <c r="DD69" s="18"/>
      <c r="DE69" s="66"/>
      <c r="DF69" s="66"/>
      <c r="DG69" s="66">
        <f>O69</f>
        <v>0</v>
      </c>
      <c r="DH69" s="66">
        <f>S69</f>
        <v>0</v>
      </c>
      <c r="DI69" s="66">
        <f>W69</f>
        <v>-2.1</v>
      </c>
      <c r="DJ69" s="66">
        <f>AA69</f>
        <v>1.5</v>
      </c>
      <c r="DK69" s="66">
        <f>AE69</f>
        <v>-3.3</v>
      </c>
      <c r="DL69" s="66">
        <f>AI69</f>
        <v>1</v>
      </c>
      <c r="DM69" s="66">
        <f>AM69</f>
        <v>0.1</v>
      </c>
      <c r="DN69" s="66">
        <f>AQ69</f>
        <v>-0.4</v>
      </c>
      <c r="DO69" s="66">
        <f>AU69</f>
        <v>-0.1999999999998181</v>
      </c>
      <c r="DP69" s="66">
        <f>AY69</f>
        <v>-2.2999999999999998</v>
      </c>
      <c r="DQ69" s="66">
        <f>BC69</f>
        <v>-7</v>
      </c>
      <c r="DR69" s="66">
        <f>BG69</f>
        <v>-8</v>
      </c>
      <c r="DS69" s="66">
        <f>BK69</f>
        <v>-4</v>
      </c>
      <c r="DT69" s="66">
        <f>BO69</f>
        <v>11</v>
      </c>
      <c r="DU69" s="66">
        <f>BS69</f>
        <v>132</v>
      </c>
      <c r="DV69" s="66">
        <f>BW69</f>
        <v>80</v>
      </c>
      <c r="DW69" s="66">
        <f>CA69</f>
        <v>63</v>
      </c>
      <c r="DX69" s="66">
        <f>CE69</f>
        <v>56</v>
      </c>
      <c r="DY69" s="66">
        <f>CI69</f>
        <v>13</v>
      </c>
      <c r="DZ69" s="66">
        <f>CM69</f>
        <v>-35</v>
      </c>
      <c r="EA69" s="66">
        <f t="shared" si="435"/>
        <v>29</v>
      </c>
      <c r="EB69" s="66">
        <f t="shared" si="436"/>
        <v>-64</v>
      </c>
      <c r="EC69" s="66">
        <f t="shared" si="437"/>
        <v>-64</v>
      </c>
      <c r="ED69" s="67">
        <f t="shared" si="443"/>
        <v>-64</v>
      </c>
      <c r="EE69" s="98"/>
      <c r="EF69" s="65"/>
      <c r="EG69" s="66">
        <f>L69</f>
        <v>0</v>
      </c>
      <c r="EH69" s="66">
        <f>P69</f>
        <v>0</v>
      </c>
      <c r="EI69" s="66">
        <f>T69</f>
        <v>-0.2</v>
      </c>
      <c r="EJ69" s="66">
        <f>X69</f>
        <v>-1.3</v>
      </c>
      <c r="EK69" s="66">
        <f>AB69</f>
        <v>1.7</v>
      </c>
      <c r="EL69" s="66">
        <f>AF69</f>
        <v>2.2000000000000002</v>
      </c>
      <c r="EM69" s="66">
        <f>AJ69</f>
        <v>1.4</v>
      </c>
      <c r="EN69" s="66">
        <f>AN69</f>
        <v>0</v>
      </c>
      <c r="EO69" s="66">
        <f>AR69</f>
        <v>-0.6</v>
      </c>
      <c r="EP69" s="66">
        <f>AV69</f>
        <v>-0.9</v>
      </c>
      <c r="EQ69" s="66">
        <f>AZ69</f>
        <v>0</v>
      </c>
      <c r="ER69" s="66">
        <f>BD69</f>
        <v>-8</v>
      </c>
      <c r="ES69" s="66">
        <f>BH69</f>
        <v>-4</v>
      </c>
      <c r="ET69" s="66">
        <f>BL69</f>
        <v>4</v>
      </c>
      <c r="EU69" s="66">
        <f>BP69</f>
        <v>35</v>
      </c>
      <c r="EV69" s="66">
        <f>BT69</f>
        <v>101</v>
      </c>
      <c r="EW69" s="66">
        <f>BX69</f>
        <v>83</v>
      </c>
      <c r="EX69" s="66">
        <f>CB69</f>
        <v>68</v>
      </c>
      <c r="EY69" s="66">
        <f t="shared" si="438"/>
        <v>35</v>
      </c>
      <c r="EZ69" s="66">
        <f t="shared" si="438"/>
        <v>-18</v>
      </c>
      <c r="FA69" s="66">
        <f t="shared" si="439"/>
        <v>-7</v>
      </c>
      <c r="FB69" s="66">
        <f t="shared" si="440"/>
        <v>24</v>
      </c>
      <c r="FC69" s="66">
        <f t="shared" si="441"/>
        <v>-64</v>
      </c>
      <c r="FD69" s="67">
        <f t="shared" si="442"/>
        <v>-64</v>
      </c>
      <c r="FE69" s="21"/>
      <c r="FF69" s="13"/>
      <c r="FG69" s="13"/>
      <c r="FH69" s="13"/>
      <c r="FO69" s="7"/>
    </row>
    <row r="70" spans="1:171" ht="14.25" customHeight="1">
      <c r="A70" s="7"/>
      <c r="B70" s="434" t="s">
        <v>295</v>
      </c>
      <c r="C70" s="118"/>
      <c r="D70" s="115"/>
      <c r="E70" s="113"/>
      <c r="F70" s="113"/>
      <c r="G70" s="114"/>
      <c r="H70" s="115"/>
      <c r="I70" s="113"/>
      <c r="J70" s="113"/>
      <c r="K70" s="114"/>
      <c r="L70" s="115">
        <f t="shared" ref="L70:AY70" si="444">L64+L68+L69+L67</f>
        <v>2528.1999999999998</v>
      </c>
      <c r="M70" s="113">
        <f t="shared" si="444"/>
        <v>2680.9</v>
      </c>
      <c r="N70" s="113">
        <f t="shared" si="444"/>
        <v>2789.1000000000004</v>
      </c>
      <c r="O70" s="114">
        <f t="shared" si="444"/>
        <v>2883.1</v>
      </c>
      <c r="P70" s="115">
        <f t="shared" si="444"/>
        <v>2896.2</v>
      </c>
      <c r="Q70" s="113">
        <f t="shared" si="444"/>
        <v>2874.7999999999997</v>
      </c>
      <c r="R70" s="113">
        <f t="shared" si="444"/>
        <v>2773.9</v>
      </c>
      <c r="S70" s="114">
        <f t="shared" si="444"/>
        <v>2693</v>
      </c>
      <c r="T70" s="115">
        <f t="shared" si="444"/>
        <v>3836.2</v>
      </c>
      <c r="U70" s="113">
        <f t="shared" si="444"/>
        <v>3945.0999999999995</v>
      </c>
      <c r="V70" s="113">
        <f t="shared" si="444"/>
        <v>3925.5</v>
      </c>
      <c r="W70" s="114">
        <f t="shared" si="444"/>
        <v>3964.1</v>
      </c>
      <c r="X70" s="115">
        <f t="shared" si="444"/>
        <v>4386.0999999999995</v>
      </c>
      <c r="Y70" s="113">
        <f t="shared" si="444"/>
        <v>4733.6000000000004</v>
      </c>
      <c r="Z70" s="113">
        <f t="shared" si="444"/>
        <v>5604.7</v>
      </c>
      <c r="AA70" s="114">
        <f t="shared" si="444"/>
        <v>6432</v>
      </c>
      <c r="AB70" s="115">
        <f t="shared" si="444"/>
        <v>7496.2</v>
      </c>
      <c r="AC70" s="113">
        <f t="shared" si="444"/>
        <v>7465.9</v>
      </c>
      <c r="AD70" s="113">
        <f t="shared" si="444"/>
        <v>7198.5999999999995</v>
      </c>
      <c r="AE70" s="114">
        <f t="shared" si="444"/>
        <v>7134.8</v>
      </c>
      <c r="AF70" s="115">
        <f t="shared" si="444"/>
        <v>6903.2999999999993</v>
      </c>
      <c r="AG70" s="113">
        <f t="shared" si="444"/>
        <v>6896.8</v>
      </c>
      <c r="AH70" s="113">
        <f t="shared" si="444"/>
        <v>6893.8</v>
      </c>
      <c r="AI70" s="114">
        <f t="shared" si="444"/>
        <v>6306.4000000000005</v>
      </c>
      <c r="AJ70" s="115">
        <f t="shared" si="444"/>
        <v>6018</v>
      </c>
      <c r="AK70" s="113">
        <f t="shared" si="444"/>
        <v>5296.1</v>
      </c>
      <c r="AL70" s="113">
        <f t="shared" si="444"/>
        <v>5087.2</v>
      </c>
      <c r="AM70" s="114">
        <f t="shared" si="444"/>
        <v>4971.0000000000009</v>
      </c>
      <c r="AN70" s="115">
        <f t="shared" si="444"/>
        <v>5429.0999999999995</v>
      </c>
      <c r="AO70" s="113">
        <f t="shared" si="444"/>
        <v>5405.5</v>
      </c>
      <c r="AP70" s="113">
        <f t="shared" si="444"/>
        <v>5509.5000000000009</v>
      </c>
      <c r="AQ70" s="114">
        <f t="shared" si="444"/>
        <v>5614.8</v>
      </c>
      <c r="AR70" s="115">
        <f t="shared" si="444"/>
        <v>5779.4</v>
      </c>
      <c r="AS70" s="113">
        <f t="shared" si="444"/>
        <v>5909.1999999999989</v>
      </c>
      <c r="AT70" s="113">
        <f t="shared" si="444"/>
        <v>5791.5999999999995</v>
      </c>
      <c r="AU70" s="114">
        <f t="shared" si="444"/>
        <v>5846.8</v>
      </c>
      <c r="AV70" s="115">
        <f t="shared" si="444"/>
        <v>5923.5</v>
      </c>
      <c r="AW70" s="113">
        <f t="shared" si="444"/>
        <v>6954.2</v>
      </c>
      <c r="AX70" s="113">
        <f t="shared" si="444"/>
        <v>7086.7999999999993</v>
      </c>
      <c r="AY70" s="114">
        <f t="shared" si="444"/>
        <v>8113.7</v>
      </c>
      <c r="AZ70" s="115">
        <f t="shared" ref="AZ70:BX70" si="445">AZ64+AZ68+AZ69+AZ67</f>
        <v>8279</v>
      </c>
      <c r="BA70" s="113">
        <f t="shared" si="445"/>
        <v>8249</v>
      </c>
      <c r="BB70" s="113">
        <f t="shared" si="445"/>
        <v>7887</v>
      </c>
      <c r="BC70" s="114">
        <f t="shared" si="445"/>
        <v>7752</v>
      </c>
      <c r="BD70" s="115">
        <f t="shared" si="445"/>
        <v>7501</v>
      </c>
      <c r="BE70" s="113">
        <f t="shared" si="445"/>
        <v>6738</v>
      </c>
      <c r="BF70" s="113">
        <f t="shared" si="445"/>
        <v>6508</v>
      </c>
      <c r="BG70" s="114">
        <f t="shared" si="445"/>
        <v>6178</v>
      </c>
      <c r="BH70" s="115">
        <f t="shared" si="445"/>
        <v>5484</v>
      </c>
      <c r="BI70" s="113">
        <f t="shared" si="445"/>
        <v>4742</v>
      </c>
      <c r="BJ70" s="113">
        <f t="shared" si="445"/>
        <v>4697</v>
      </c>
      <c r="BK70" s="114">
        <f t="shared" si="445"/>
        <v>4953</v>
      </c>
      <c r="BL70" s="115">
        <f t="shared" si="445"/>
        <v>5195</v>
      </c>
      <c r="BM70" s="113">
        <f t="shared" si="445"/>
        <v>5602</v>
      </c>
      <c r="BN70" s="113">
        <f t="shared" si="445"/>
        <v>7680</v>
      </c>
      <c r="BO70" s="114">
        <f t="shared" si="445"/>
        <v>8020</v>
      </c>
      <c r="BP70" s="115">
        <f t="shared" si="445"/>
        <v>8226</v>
      </c>
      <c r="BQ70" s="113">
        <f t="shared" si="445"/>
        <v>8462</v>
      </c>
      <c r="BR70" s="113">
        <f t="shared" si="445"/>
        <v>8583</v>
      </c>
      <c r="BS70" s="114">
        <f t="shared" si="445"/>
        <v>8470</v>
      </c>
      <c r="BT70" s="115">
        <f t="shared" si="445"/>
        <v>8271</v>
      </c>
      <c r="BU70" s="113">
        <f t="shared" ref="BU70:CH70" si="446">BU64+BU68+BU69+BU67</f>
        <v>7986</v>
      </c>
      <c r="BV70" s="113">
        <f t="shared" si="445"/>
        <v>7811</v>
      </c>
      <c r="BW70" s="114">
        <f t="shared" si="446"/>
        <v>7700</v>
      </c>
      <c r="BX70" s="115">
        <f t="shared" si="445"/>
        <v>7469</v>
      </c>
      <c r="BY70" s="113">
        <f t="shared" si="446"/>
        <v>7231</v>
      </c>
      <c r="BZ70" s="113">
        <f t="shared" si="446"/>
        <v>7328</v>
      </c>
      <c r="CA70" s="114">
        <f t="shared" si="446"/>
        <v>9142</v>
      </c>
      <c r="CB70" s="115">
        <f t="shared" si="446"/>
        <v>9219</v>
      </c>
      <c r="CC70" s="113">
        <f>CC64+CC68+CC69+CC67</f>
        <v>9284</v>
      </c>
      <c r="CD70" s="113">
        <f>CD64+CD68+CD69+CD67</f>
        <v>9940</v>
      </c>
      <c r="CE70" s="114">
        <f t="shared" si="446"/>
        <v>10771</v>
      </c>
      <c r="CF70" s="115">
        <f>CF64+CF68+CF69+CF67</f>
        <v>11678</v>
      </c>
      <c r="CG70" s="113">
        <f t="shared" si="446"/>
        <v>12426</v>
      </c>
      <c r="CH70" s="113">
        <f t="shared" si="446"/>
        <v>12458</v>
      </c>
      <c r="CI70" s="114">
        <f t="shared" ref="CI70:CQ70" si="447">CI64+CI68+CI69+CI67</f>
        <v>12302</v>
      </c>
      <c r="CJ70" s="115">
        <f t="shared" si="447"/>
        <v>12301</v>
      </c>
      <c r="CK70" s="113">
        <f t="shared" si="447"/>
        <v>12264</v>
      </c>
      <c r="CL70" s="113">
        <f t="shared" si="447"/>
        <v>12187</v>
      </c>
      <c r="CM70" s="114">
        <f t="shared" ref="CM70:CO70" si="448">CM64+CM68+CM69+CM67</f>
        <v>12080</v>
      </c>
      <c r="CN70" s="115">
        <f t="shared" si="448"/>
        <v>12320</v>
      </c>
      <c r="CO70" s="1238">
        <f t="shared" si="448"/>
        <v>14287</v>
      </c>
      <c r="CP70" s="1238">
        <f t="shared" si="447"/>
        <v>16171</v>
      </c>
      <c r="CQ70" s="114">
        <f t="shared" si="447"/>
        <v>18621</v>
      </c>
      <c r="CR70" s="113">
        <f t="shared" ref="CR70:CU70" si="449">CR64+CR68+CR69+CR67</f>
        <v>22526</v>
      </c>
      <c r="CS70" s="113">
        <f t="shared" si="449"/>
        <v>25697</v>
      </c>
      <c r="CT70" s="113">
        <f t="shared" si="449"/>
        <v>29270.20960533871</v>
      </c>
      <c r="CU70" s="114">
        <f t="shared" si="449"/>
        <v>32787.475605939086</v>
      </c>
      <c r="CV70" s="113">
        <f t="shared" ref="CV70:CY70" si="450">CV64+CV68+CV69+CV67</f>
        <v>35605.46201835027</v>
      </c>
      <c r="CW70" s="113">
        <f t="shared" si="450"/>
        <v>37977.387238154799</v>
      </c>
      <c r="CX70" s="113">
        <f t="shared" si="450"/>
        <v>39916.459218758588</v>
      </c>
      <c r="CY70" s="114">
        <f t="shared" si="450"/>
        <v>41627.658646099953</v>
      </c>
      <c r="CZ70" s="113">
        <f t="shared" ref="CZ70:DC70" si="451">CZ64+CZ68+CZ69+CZ67</f>
        <v>43164.439601656173</v>
      </c>
      <c r="DA70" s="113">
        <f t="shared" si="451"/>
        <v>44568.012256150054</v>
      </c>
      <c r="DB70" s="113">
        <f t="shared" si="451"/>
        <v>45910.199726049752</v>
      </c>
      <c r="DC70" s="114">
        <f t="shared" si="451"/>
        <v>47212.478857896262</v>
      </c>
      <c r="DD70" s="18"/>
      <c r="DE70" s="113"/>
      <c r="DF70" s="113"/>
      <c r="DG70" s="113">
        <f t="shared" ref="DG70:DN70" si="452">DG64+DG68+DG69+DG67</f>
        <v>2883.1</v>
      </c>
      <c r="DH70" s="113">
        <f t="shared" si="452"/>
        <v>2693</v>
      </c>
      <c r="DI70" s="113">
        <f t="shared" si="452"/>
        <v>3964.1</v>
      </c>
      <c r="DJ70" s="113">
        <f t="shared" si="452"/>
        <v>6432</v>
      </c>
      <c r="DK70" s="113">
        <f t="shared" si="452"/>
        <v>7134.8</v>
      </c>
      <c r="DL70" s="113">
        <f t="shared" si="452"/>
        <v>6306.4000000000005</v>
      </c>
      <c r="DM70" s="113">
        <f t="shared" si="452"/>
        <v>4971.0000000000009</v>
      </c>
      <c r="DN70" s="113">
        <f t="shared" si="452"/>
        <v>5614.8</v>
      </c>
      <c r="DO70" s="113">
        <f t="shared" ref="DO70:EB70" si="453">DO64+DO68+DO69+DO67</f>
        <v>5846.8</v>
      </c>
      <c r="DP70" s="113">
        <f t="shared" si="453"/>
        <v>8113.7</v>
      </c>
      <c r="DQ70" s="113">
        <f t="shared" si="453"/>
        <v>7752</v>
      </c>
      <c r="DR70" s="113">
        <f t="shared" si="453"/>
        <v>6178</v>
      </c>
      <c r="DS70" s="113">
        <f t="shared" si="453"/>
        <v>4953</v>
      </c>
      <c r="DT70" s="113">
        <f t="shared" si="453"/>
        <v>8020</v>
      </c>
      <c r="DU70" s="113">
        <f t="shared" si="453"/>
        <v>8470</v>
      </c>
      <c r="DV70" s="113">
        <f t="shared" si="453"/>
        <v>7700</v>
      </c>
      <c r="DW70" s="113">
        <f t="shared" si="453"/>
        <v>9142</v>
      </c>
      <c r="DX70" s="113">
        <f t="shared" si="453"/>
        <v>10771</v>
      </c>
      <c r="DY70" s="113">
        <f t="shared" si="453"/>
        <v>12302</v>
      </c>
      <c r="DZ70" s="113">
        <f>DZ64+DZ68+DZ69+DZ67</f>
        <v>12080</v>
      </c>
      <c r="EA70" s="113">
        <f t="shared" si="453"/>
        <v>18621</v>
      </c>
      <c r="EB70" s="113">
        <f t="shared" si="453"/>
        <v>32787.475605939086</v>
      </c>
      <c r="EC70" s="113">
        <f t="shared" ref="EC70:ED70" si="454">EC64+EC68+EC69+EC67</f>
        <v>41627.658646099953</v>
      </c>
      <c r="ED70" s="114">
        <f t="shared" si="454"/>
        <v>47212.478857896262</v>
      </c>
      <c r="EE70" s="18"/>
      <c r="EF70" s="115"/>
      <c r="EG70" s="113">
        <f t="shared" ref="EG70:EO70" si="455">EG64+EG68+EG69+EG67</f>
        <v>2528.1999999999998</v>
      </c>
      <c r="EH70" s="113">
        <f t="shared" si="455"/>
        <v>2896.2</v>
      </c>
      <c r="EI70" s="113">
        <f t="shared" si="455"/>
        <v>3836.2</v>
      </c>
      <c r="EJ70" s="113">
        <f t="shared" si="455"/>
        <v>4386.0999999999995</v>
      </c>
      <c r="EK70" s="113">
        <f t="shared" si="455"/>
        <v>7496.2</v>
      </c>
      <c r="EL70" s="113">
        <f t="shared" si="455"/>
        <v>6903.2999999999993</v>
      </c>
      <c r="EM70" s="113">
        <f t="shared" si="455"/>
        <v>6018</v>
      </c>
      <c r="EN70" s="113">
        <f t="shared" si="455"/>
        <v>5429.0999999999995</v>
      </c>
      <c r="EO70" s="113">
        <f t="shared" si="455"/>
        <v>5779.4</v>
      </c>
      <c r="EP70" s="113">
        <f t="shared" ref="EP70:EY70" si="456">EP64+EP68+EP69+EP67</f>
        <v>5923.5</v>
      </c>
      <c r="EQ70" s="113">
        <f t="shared" si="456"/>
        <v>8279</v>
      </c>
      <c r="ER70" s="113">
        <f t="shared" si="456"/>
        <v>7501</v>
      </c>
      <c r="ES70" s="113">
        <f t="shared" si="456"/>
        <v>5484</v>
      </c>
      <c r="ET70" s="113">
        <f t="shared" si="456"/>
        <v>5195</v>
      </c>
      <c r="EU70" s="113">
        <f t="shared" si="456"/>
        <v>8226</v>
      </c>
      <c r="EV70" s="113">
        <f t="shared" si="456"/>
        <v>8271</v>
      </c>
      <c r="EW70" s="113">
        <f t="shared" si="456"/>
        <v>7469</v>
      </c>
      <c r="EX70" s="113">
        <f t="shared" si="456"/>
        <v>9219</v>
      </c>
      <c r="EY70" s="113">
        <f t="shared" si="456"/>
        <v>11678</v>
      </c>
      <c r="EZ70" s="113">
        <f t="shared" ref="EZ70:FC70" si="457">EZ64+EZ68+EZ69+EZ67</f>
        <v>12426</v>
      </c>
      <c r="FA70" s="113">
        <f t="shared" si="457"/>
        <v>12320</v>
      </c>
      <c r="FB70" s="113">
        <f t="shared" si="457"/>
        <v>22526</v>
      </c>
      <c r="FC70" s="113">
        <f t="shared" si="457"/>
        <v>35605.46201835027</v>
      </c>
      <c r="FD70" s="114">
        <f t="shared" ref="FD70" si="458">FD64+FD68+FD69+FD67</f>
        <v>43164.439601656173</v>
      </c>
      <c r="FE70" s="21"/>
      <c r="FF70" s="13"/>
      <c r="FG70" s="13"/>
      <c r="FH70" s="13"/>
      <c r="FO70" s="7"/>
    </row>
    <row r="71" spans="1:171" ht="14.25" customHeight="1">
      <c r="A71" s="7"/>
      <c r="B71" s="445"/>
      <c r="C71" s="147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148"/>
      <c r="BT71" s="66"/>
      <c r="BU71" s="66"/>
      <c r="BV71" s="66"/>
      <c r="BW71" s="148"/>
      <c r="BX71" s="66"/>
      <c r="BY71" s="66"/>
      <c r="BZ71" s="66"/>
      <c r="CA71" s="148"/>
      <c r="CB71" s="66"/>
      <c r="CC71" s="66"/>
      <c r="CD71" s="66"/>
      <c r="CE71" s="148"/>
      <c r="CF71" s="66"/>
      <c r="CG71" s="66"/>
      <c r="CH71" s="66"/>
      <c r="CI71" s="148"/>
      <c r="CJ71" s="66"/>
      <c r="CK71" s="66"/>
      <c r="CL71" s="66"/>
      <c r="CM71" s="148"/>
      <c r="CN71" s="66"/>
      <c r="CO71" s="1230"/>
      <c r="CP71" s="66"/>
      <c r="CQ71" s="148"/>
      <c r="CR71" s="66"/>
      <c r="CS71" s="66"/>
      <c r="CT71" s="66"/>
      <c r="CU71" s="148"/>
      <c r="CV71" s="66"/>
      <c r="CW71" s="66"/>
      <c r="CX71" s="66"/>
      <c r="CY71" s="148"/>
      <c r="CZ71" s="66"/>
      <c r="DA71" s="66"/>
      <c r="DB71" s="66"/>
      <c r="DC71" s="148"/>
      <c r="DD71" s="13"/>
      <c r="DE71" s="66"/>
      <c r="DF71" s="66"/>
      <c r="DG71" s="66"/>
      <c r="DH71" s="66"/>
      <c r="DI71" s="66"/>
      <c r="DJ71" s="66"/>
      <c r="DK71" s="66"/>
      <c r="DL71" s="66"/>
      <c r="DM71" s="66"/>
      <c r="DN71" s="66"/>
      <c r="DO71" s="66"/>
      <c r="DP71" s="66"/>
      <c r="DQ71" s="66"/>
      <c r="DR71" s="66"/>
      <c r="DS71" s="66"/>
      <c r="DT71" s="66"/>
      <c r="DU71" s="66"/>
      <c r="DV71" s="66"/>
      <c r="DW71" s="66"/>
      <c r="DX71" s="66"/>
      <c r="DY71" s="66"/>
      <c r="DZ71" s="66"/>
      <c r="EA71" s="66"/>
      <c r="EB71" s="66"/>
      <c r="EC71" s="66"/>
      <c r="ED71" s="66"/>
      <c r="EE71" s="7"/>
      <c r="EF71" s="66"/>
      <c r="EG71" s="66"/>
      <c r="EH71" s="66"/>
      <c r="EI71" s="66"/>
      <c r="EJ71" s="66"/>
      <c r="EK71" s="66"/>
      <c r="EL71" s="66"/>
      <c r="EM71" s="66"/>
      <c r="EN71" s="66"/>
      <c r="EO71" s="66"/>
      <c r="EP71" s="66"/>
      <c r="EQ71" s="66"/>
      <c r="ER71" s="66"/>
      <c r="ES71" s="66"/>
      <c r="ET71" s="66"/>
      <c r="EU71" s="66"/>
      <c r="EV71" s="66"/>
      <c r="EW71" s="66"/>
      <c r="EX71" s="66"/>
      <c r="EY71" s="66"/>
      <c r="EZ71" s="66"/>
      <c r="FA71" s="66"/>
      <c r="FB71" s="66"/>
      <c r="FC71" s="66"/>
      <c r="FD71" s="66"/>
      <c r="FE71" s="13"/>
      <c r="FF71" s="13"/>
      <c r="FG71" s="13"/>
      <c r="FH71" s="13"/>
      <c r="FO71" s="7"/>
    </row>
    <row r="72" spans="1:171" ht="14.25" customHeight="1">
      <c r="A72" s="7"/>
      <c r="B72" s="446" t="s">
        <v>316</v>
      </c>
      <c r="C72" s="64"/>
      <c r="D72" s="149"/>
      <c r="E72" s="149"/>
      <c r="F72" s="149"/>
      <c r="G72" s="149"/>
      <c r="H72" s="149"/>
      <c r="I72" s="149"/>
      <c r="J72" s="149"/>
      <c r="K72" s="149"/>
      <c r="L72" s="149">
        <f t="shared" ref="L72:AY72" si="459">L41</f>
        <v>2528.1999999999998</v>
      </c>
      <c r="M72" s="149">
        <f t="shared" si="459"/>
        <v>2680.9</v>
      </c>
      <c r="N72" s="149">
        <f t="shared" si="459"/>
        <v>2789.1</v>
      </c>
      <c r="O72" s="149">
        <f t="shared" si="459"/>
        <v>2883.1</v>
      </c>
      <c r="P72" s="149">
        <f t="shared" si="459"/>
        <v>2896.2</v>
      </c>
      <c r="Q72" s="149">
        <f t="shared" si="459"/>
        <v>2874.8</v>
      </c>
      <c r="R72" s="149">
        <f t="shared" si="459"/>
        <v>2773.9</v>
      </c>
      <c r="S72" s="149">
        <f t="shared" si="459"/>
        <v>2693</v>
      </c>
      <c r="T72" s="149">
        <f t="shared" si="459"/>
        <v>3836.2</v>
      </c>
      <c r="U72" s="149">
        <f t="shared" si="459"/>
        <v>3945.1</v>
      </c>
      <c r="V72" s="149">
        <f t="shared" si="459"/>
        <v>3925.5</v>
      </c>
      <c r="W72" s="149">
        <f t="shared" si="459"/>
        <v>3964.1</v>
      </c>
      <c r="X72" s="149">
        <f t="shared" si="459"/>
        <v>4386.1000000000004</v>
      </c>
      <c r="Y72" s="149">
        <f t="shared" si="459"/>
        <v>4733.6000000000004</v>
      </c>
      <c r="Z72" s="149">
        <f t="shared" si="459"/>
        <v>5604.7</v>
      </c>
      <c r="AA72" s="149">
        <f t="shared" si="459"/>
        <v>6432</v>
      </c>
      <c r="AB72" s="149">
        <f t="shared" si="459"/>
        <v>7496.2</v>
      </c>
      <c r="AC72" s="149">
        <f t="shared" si="459"/>
        <v>7465.9</v>
      </c>
      <c r="AD72" s="149">
        <f t="shared" si="459"/>
        <v>7198.6</v>
      </c>
      <c r="AE72" s="149">
        <f t="shared" si="459"/>
        <v>7134.8</v>
      </c>
      <c r="AF72" s="149">
        <f t="shared" si="459"/>
        <v>6903.3</v>
      </c>
      <c r="AG72" s="149">
        <f t="shared" si="459"/>
        <v>6896.8</v>
      </c>
      <c r="AH72" s="149">
        <f t="shared" si="459"/>
        <v>6893.8</v>
      </c>
      <c r="AI72" s="149">
        <f t="shared" si="459"/>
        <v>6306.4</v>
      </c>
      <c r="AJ72" s="149">
        <f t="shared" si="459"/>
        <v>6018</v>
      </c>
      <c r="AK72" s="149">
        <f t="shared" si="459"/>
        <v>5296.1</v>
      </c>
      <c r="AL72" s="149">
        <f t="shared" si="459"/>
        <v>5087.2</v>
      </c>
      <c r="AM72" s="149">
        <f t="shared" si="459"/>
        <v>4971</v>
      </c>
      <c r="AN72" s="149">
        <f t="shared" si="459"/>
        <v>5429.1</v>
      </c>
      <c r="AO72" s="149">
        <f t="shared" si="459"/>
        <v>5405.5</v>
      </c>
      <c r="AP72" s="149">
        <f t="shared" si="459"/>
        <v>5509.5</v>
      </c>
      <c r="AQ72" s="149">
        <f t="shared" si="459"/>
        <v>5614.8</v>
      </c>
      <c r="AR72" s="149">
        <f t="shared" si="459"/>
        <v>5779.4</v>
      </c>
      <c r="AS72" s="149">
        <f t="shared" si="459"/>
        <v>5909.2</v>
      </c>
      <c r="AT72" s="149">
        <f t="shared" si="459"/>
        <v>5791.6</v>
      </c>
      <c r="AU72" s="149">
        <f t="shared" si="459"/>
        <v>5846.8</v>
      </c>
      <c r="AV72" s="149">
        <f t="shared" si="459"/>
        <v>5923.5</v>
      </c>
      <c r="AW72" s="149">
        <f t="shared" si="459"/>
        <v>6954.2</v>
      </c>
      <c r="AX72" s="149">
        <f t="shared" si="459"/>
        <v>7086.8</v>
      </c>
      <c r="AY72" s="149">
        <f t="shared" si="459"/>
        <v>8113.7</v>
      </c>
      <c r="AZ72" s="149">
        <f>AZ41</f>
        <v>8279</v>
      </c>
      <c r="BA72" s="149">
        <f>BA41</f>
        <v>8249</v>
      </c>
      <c r="BB72" s="149">
        <f>BB41</f>
        <v>7887</v>
      </c>
      <c r="BC72" s="149">
        <f>BC41</f>
        <v>7752</v>
      </c>
      <c r="BD72" s="149">
        <f t="shared" ref="BD72:BR72" si="460">BD41</f>
        <v>7501</v>
      </c>
      <c r="BE72" s="149">
        <f t="shared" si="460"/>
        <v>6738</v>
      </c>
      <c r="BF72" s="149">
        <f t="shared" si="460"/>
        <v>6508</v>
      </c>
      <c r="BG72" s="149">
        <f t="shared" si="460"/>
        <v>6178</v>
      </c>
      <c r="BH72" s="149">
        <f t="shared" si="460"/>
        <v>5484</v>
      </c>
      <c r="BI72" s="149">
        <f t="shared" si="460"/>
        <v>4742</v>
      </c>
      <c r="BJ72" s="149">
        <f t="shared" si="460"/>
        <v>4697</v>
      </c>
      <c r="BK72" s="149">
        <f t="shared" si="460"/>
        <v>4953</v>
      </c>
      <c r="BL72" s="149">
        <f t="shared" si="460"/>
        <v>5195</v>
      </c>
      <c r="BM72" s="149">
        <f t="shared" si="460"/>
        <v>5602</v>
      </c>
      <c r="BN72" s="149">
        <f t="shared" si="460"/>
        <v>7680</v>
      </c>
      <c r="BO72" s="149">
        <f t="shared" si="460"/>
        <v>8020</v>
      </c>
      <c r="BP72" s="151">
        <f t="shared" si="460"/>
        <v>8226</v>
      </c>
      <c r="BQ72" s="149">
        <f t="shared" si="460"/>
        <v>8462</v>
      </c>
      <c r="BR72" s="149">
        <f t="shared" si="460"/>
        <v>8583</v>
      </c>
      <c r="BS72" s="152">
        <f t="shared" ref="BS72:CI72" si="461">BS41</f>
        <v>8470</v>
      </c>
      <c r="BT72" s="151">
        <f t="shared" si="461"/>
        <v>8271</v>
      </c>
      <c r="BU72" s="149">
        <f>BU41</f>
        <v>7986</v>
      </c>
      <c r="BV72" s="149">
        <f>BV41</f>
        <v>7811</v>
      </c>
      <c r="BW72" s="150">
        <f>BW41</f>
        <v>7700</v>
      </c>
      <c r="BX72" s="151">
        <f>BX41</f>
        <v>7469</v>
      </c>
      <c r="BY72" s="149">
        <f>BY41</f>
        <v>7231</v>
      </c>
      <c r="BZ72" s="149">
        <f t="shared" si="461"/>
        <v>7328</v>
      </c>
      <c r="CA72" s="150">
        <f t="shared" si="461"/>
        <v>9142</v>
      </c>
      <c r="CB72" s="151">
        <f>CB41</f>
        <v>9219</v>
      </c>
      <c r="CC72" s="149">
        <f>CC41</f>
        <v>9284</v>
      </c>
      <c r="CD72" s="149">
        <f t="shared" si="461"/>
        <v>9940</v>
      </c>
      <c r="CE72" s="150">
        <f t="shared" si="461"/>
        <v>10771</v>
      </c>
      <c r="CF72" s="151">
        <f t="shared" si="461"/>
        <v>11678</v>
      </c>
      <c r="CG72" s="149">
        <f t="shared" si="461"/>
        <v>12426</v>
      </c>
      <c r="CH72" s="149">
        <f t="shared" si="461"/>
        <v>12458</v>
      </c>
      <c r="CI72" s="150">
        <f t="shared" si="461"/>
        <v>12302</v>
      </c>
      <c r="CJ72" s="151">
        <f t="shared" ref="CJ72:CQ72" si="462">CJ41</f>
        <v>12301</v>
      </c>
      <c r="CK72" s="149">
        <f t="shared" si="462"/>
        <v>12264</v>
      </c>
      <c r="CL72" s="149">
        <f t="shared" si="462"/>
        <v>12187</v>
      </c>
      <c r="CM72" s="150">
        <f t="shared" ref="CM72:CO72" si="463">CM41</f>
        <v>12080</v>
      </c>
      <c r="CN72" s="151">
        <f t="shared" si="463"/>
        <v>12320</v>
      </c>
      <c r="CO72" s="1246">
        <f t="shared" si="463"/>
        <v>14287</v>
      </c>
      <c r="CP72" s="149">
        <f t="shared" si="462"/>
        <v>16171</v>
      </c>
      <c r="CQ72" s="150">
        <f t="shared" si="462"/>
        <v>18621</v>
      </c>
      <c r="CR72" s="149">
        <f t="shared" ref="CR72:CU72" si="464">CR41</f>
        <v>22526</v>
      </c>
      <c r="CS72" s="149">
        <f t="shared" si="464"/>
        <v>25697</v>
      </c>
      <c r="CT72" s="149">
        <f t="shared" si="464"/>
        <v>29270.20960533871</v>
      </c>
      <c r="CU72" s="150">
        <f t="shared" si="464"/>
        <v>32787.475605939086</v>
      </c>
      <c r="CV72" s="1246">
        <f t="shared" ref="CV72:CY72" si="465">CV41</f>
        <v>35605.46201835027</v>
      </c>
      <c r="CW72" s="1246">
        <f t="shared" si="465"/>
        <v>37977.387238154799</v>
      </c>
      <c r="CX72" s="1246">
        <f t="shared" si="465"/>
        <v>39916.459218758588</v>
      </c>
      <c r="CY72" s="150">
        <f t="shared" si="465"/>
        <v>41627.658646099953</v>
      </c>
      <c r="CZ72" s="1246">
        <f t="shared" ref="CZ72:DC72" si="466">CZ41</f>
        <v>43164.439601656173</v>
      </c>
      <c r="DA72" s="1246">
        <f t="shared" si="466"/>
        <v>44568.012256150054</v>
      </c>
      <c r="DB72" s="1246">
        <f t="shared" si="466"/>
        <v>45910.199726049752</v>
      </c>
      <c r="DC72" s="150">
        <f t="shared" si="466"/>
        <v>47212.478857896262</v>
      </c>
      <c r="DD72" s="153"/>
      <c r="DE72" s="149"/>
      <c r="DF72" s="149"/>
      <c r="DG72" s="149">
        <f>O72</f>
        <v>2883.1</v>
      </c>
      <c r="DH72" s="149">
        <f>S72</f>
        <v>2693</v>
      </c>
      <c r="DI72" s="149">
        <f>W72</f>
        <v>3964.1</v>
      </c>
      <c r="DJ72" s="149">
        <f>AA72</f>
        <v>6432</v>
      </c>
      <c r="DK72" s="149">
        <f>AE72</f>
        <v>7134.8</v>
      </c>
      <c r="DL72" s="149">
        <f>AI72</f>
        <v>6306.4</v>
      </c>
      <c r="DM72" s="149">
        <f>AM72</f>
        <v>4971</v>
      </c>
      <c r="DN72" s="149">
        <f>AQ72</f>
        <v>5614.8</v>
      </c>
      <c r="DO72" s="149">
        <f>AU72</f>
        <v>5846.8</v>
      </c>
      <c r="DP72" s="149">
        <f>AY72</f>
        <v>8113.7</v>
      </c>
      <c r="DQ72" s="149">
        <f>BC72</f>
        <v>7752</v>
      </c>
      <c r="DR72" s="149">
        <f>BG72</f>
        <v>6178</v>
      </c>
      <c r="DS72" s="149">
        <f>BK72</f>
        <v>4953</v>
      </c>
      <c r="DT72" s="149">
        <f>BO72</f>
        <v>8020</v>
      </c>
      <c r="DU72" s="1246">
        <f>BS72</f>
        <v>8470</v>
      </c>
      <c r="DV72" s="1246">
        <f>BW72</f>
        <v>7700</v>
      </c>
      <c r="DW72" s="1246">
        <f>CA72</f>
        <v>9142</v>
      </c>
      <c r="DX72" s="1246">
        <f>CE72</f>
        <v>10771</v>
      </c>
      <c r="DY72" s="1246">
        <f>CI72</f>
        <v>12302</v>
      </c>
      <c r="DZ72" s="1246">
        <f>CM72</f>
        <v>12080</v>
      </c>
      <c r="EA72" s="149">
        <f>CQ72</f>
        <v>18621</v>
      </c>
      <c r="EB72" s="1246">
        <f t="shared" ref="EB72" si="467">CU72</f>
        <v>32787.475605939086</v>
      </c>
      <c r="EC72" s="1246">
        <f>CY72</f>
        <v>41627.658646099953</v>
      </c>
      <c r="ED72" s="152">
        <f>DC72</f>
        <v>47212.478857896262</v>
      </c>
      <c r="EE72" s="18"/>
      <c r="EF72" s="151"/>
      <c r="EG72" s="149">
        <f>L72</f>
        <v>2528.1999999999998</v>
      </c>
      <c r="EH72" s="149">
        <f>P72</f>
        <v>2896.2</v>
      </c>
      <c r="EI72" s="149">
        <f>T72</f>
        <v>3836.2</v>
      </c>
      <c r="EJ72" s="149">
        <f>X72</f>
        <v>4386.1000000000004</v>
      </c>
      <c r="EK72" s="149">
        <f>AB72</f>
        <v>7496.2</v>
      </c>
      <c r="EL72" s="149">
        <f>AF72</f>
        <v>6903.3</v>
      </c>
      <c r="EM72" s="149">
        <f>AJ72</f>
        <v>6018</v>
      </c>
      <c r="EN72" s="149">
        <f>AN72</f>
        <v>5429.1</v>
      </c>
      <c r="EO72" s="149">
        <f>AR72</f>
        <v>5779.4</v>
      </c>
      <c r="EP72" s="149">
        <f>AV72</f>
        <v>5923.5</v>
      </c>
      <c r="EQ72" s="149">
        <f>AZ72</f>
        <v>8279</v>
      </c>
      <c r="ER72" s="149">
        <f>BD72</f>
        <v>7501</v>
      </c>
      <c r="ES72" s="149">
        <f>BH72</f>
        <v>5484</v>
      </c>
      <c r="ET72" s="149">
        <f>BL72</f>
        <v>5195</v>
      </c>
      <c r="EU72" s="149">
        <f>BP72</f>
        <v>8226</v>
      </c>
      <c r="EV72" s="149">
        <f>BT72</f>
        <v>8271</v>
      </c>
      <c r="EW72" s="149">
        <f>BX72</f>
        <v>7469</v>
      </c>
      <c r="EX72" s="149">
        <f>CB72</f>
        <v>9219</v>
      </c>
      <c r="EY72" s="149">
        <f>CF72</f>
        <v>11678</v>
      </c>
      <c r="EZ72" s="1246">
        <f>CG72</f>
        <v>12426</v>
      </c>
      <c r="FA72" s="1246">
        <f>CN72</f>
        <v>12320</v>
      </c>
      <c r="FB72" s="1246">
        <f>CR72</f>
        <v>22526</v>
      </c>
      <c r="FC72" s="1246">
        <f>CV72</f>
        <v>35605.46201835027</v>
      </c>
      <c r="FD72" s="152">
        <f>CZ72</f>
        <v>43164.439601656173</v>
      </c>
      <c r="FE72" s="21"/>
      <c r="FF72" s="13"/>
      <c r="FG72" s="13"/>
      <c r="FH72" s="13"/>
      <c r="FO72" s="7"/>
    </row>
    <row r="73" spans="1:171" ht="14.25" customHeight="1">
      <c r="A73" s="7"/>
      <c r="B73" s="437" t="s">
        <v>297</v>
      </c>
      <c r="C73" s="121"/>
      <c r="D73" s="122"/>
      <c r="E73" s="122"/>
      <c r="F73" s="122"/>
      <c r="G73" s="123"/>
      <c r="H73" s="122"/>
      <c r="I73" s="122"/>
      <c r="J73" s="122"/>
      <c r="K73" s="123"/>
      <c r="L73" s="122">
        <f t="shared" ref="L73:AY73" si="468">ROUND(L72,4)-ROUND(L70,4)</f>
        <v>0</v>
      </c>
      <c r="M73" s="122">
        <f t="shared" si="468"/>
        <v>0</v>
      </c>
      <c r="N73" s="122">
        <f t="shared" si="468"/>
        <v>0</v>
      </c>
      <c r="O73" s="123">
        <f t="shared" si="468"/>
        <v>0</v>
      </c>
      <c r="P73" s="122">
        <f t="shared" si="468"/>
        <v>0</v>
      </c>
      <c r="Q73" s="122">
        <f t="shared" si="468"/>
        <v>0</v>
      </c>
      <c r="R73" s="122">
        <f t="shared" si="468"/>
        <v>0</v>
      </c>
      <c r="S73" s="123">
        <f t="shared" si="468"/>
        <v>0</v>
      </c>
      <c r="T73" s="122">
        <f t="shared" si="468"/>
        <v>0</v>
      </c>
      <c r="U73" s="122">
        <f t="shared" si="468"/>
        <v>0</v>
      </c>
      <c r="V73" s="122">
        <f t="shared" si="468"/>
        <v>0</v>
      </c>
      <c r="W73" s="123">
        <f t="shared" si="468"/>
        <v>0</v>
      </c>
      <c r="X73" s="122">
        <f t="shared" si="468"/>
        <v>0</v>
      </c>
      <c r="Y73" s="122">
        <f t="shared" si="468"/>
        <v>0</v>
      </c>
      <c r="Z73" s="122">
        <f t="shared" si="468"/>
        <v>0</v>
      </c>
      <c r="AA73" s="123">
        <f t="shared" si="468"/>
        <v>0</v>
      </c>
      <c r="AB73" s="122">
        <f t="shared" si="468"/>
        <v>0</v>
      </c>
      <c r="AC73" s="122">
        <f t="shared" si="468"/>
        <v>0</v>
      </c>
      <c r="AD73" s="122">
        <f t="shared" si="468"/>
        <v>0</v>
      </c>
      <c r="AE73" s="123">
        <f t="shared" si="468"/>
        <v>0</v>
      </c>
      <c r="AF73" s="122">
        <f t="shared" si="468"/>
        <v>0</v>
      </c>
      <c r="AG73" s="122">
        <f t="shared" si="468"/>
        <v>0</v>
      </c>
      <c r="AH73" s="122">
        <f t="shared" si="468"/>
        <v>0</v>
      </c>
      <c r="AI73" s="123">
        <f t="shared" si="468"/>
        <v>0</v>
      </c>
      <c r="AJ73" s="122">
        <f t="shared" si="468"/>
        <v>0</v>
      </c>
      <c r="AK73" s="122">
        <f t="shared" si="468"/>
        <v>0</v>
      </c>
      <c r="AL73" s="122">
        <f t="shared" si="468"/>
        <v>0</v>
      </c>
      <c r="AM73" s="123">
        <f t="shared" si="468"/>
        <v>0</v>
      </c>
      <c r="AN73" s="122">
        <f t="shared" si="468"/>
        <v>0</v>
      </c>
      <c r="AO73" s="122">
        <f t="shared" si="468"/>
        <v>0</v>
      </c>
      <c r="AP73" s="122">
        <f t="shared" si="468"/>
        <v>0</v>
      </c>
      <c r="AQ73" s="123">
        <f t="shared" si="468"/>
        <v>0</v>
      </c>
      <c r="AR73" s="122">
        <f t="shared" si="468"/>
        <v>0</v>
      </c>
      <c r="AS73" s="122">
        <f t="shared" si="468"/>
        <v>0</v>
      </c>
      <c r="AT73" s="122">
        <f t="shared" si="468"/>
        <v>0</v>
      </c>
      <c r="AU73" s="123">
        <f t="shared" si="468"/>
        <v>0</v>
      </c>
      <c r="AV73" s="122">
        <f t="shared" si="468"/>
        <v>0</v>
      </c>
      <c r="AW73" s="122">
        <f t="shared" si="468"/>
        <v>0</v>
      </c>
      <c r="AX73" s="122">
        <f t="shared" si="468"/>
        <v>0</v>
      </c>
      <c r="AY73" s="123">
        <f t="shared" si="468"/>
        <v>0</v>
      </c>
      <c r="AZ73" s="122">
        <f>ROUND(AZ72,4)-ROUND(AZ70,4)</f>
        <v>0</v>
      </c>
      <c r="BA73" s="122">
        <f>ROUND(BA72,4)-ROUND(BA70,4)</f>
        <v>0</v>
      </c>
      <c r="BB73" s="122">
        <f>ROUND(BB72,4)-ROUND(BB70,4)</f>
        <v>0</v>
      </c>
      <c r="BC73" s="123">
        <f>ROUND(BC72,4)-ROUND(BC70,4)</f>
        <v>0</v>
      </c>
      <c r="BD73" s="122">
        <f t="shared" ref="BD73:BX73" si="469">ROUND(BD72,4)-ROUND(BD70,4)</f>
        <v>0</v>
      </c>
      <c r="BE73" s="122">
        <f t="shared" si="469"/>
        <v>0</v>
      </c>
      <c r="BF73" s="122">
        <f t="shared" si="469"/>
        <v>0</v>
      </c>
      <c r="BG73" s="123">
        <f t="shared" si="469"/>
        <v>0</v>
      </c>
      <c r="BH73" s="122">
        <f t="shared" si="469"/>
        <v>0</v>
      </c>
      <c r="BI73" s="122">
        <f t="shared" si="469"/>
        <v>0</v>
      </c>
      <c r="BJ73" s="122">
        <f t="shared" si="469"/>
        <v>0</v>
      </c>
      <c r="BK73" s="123">
        <f t="shared" si="469"/>
        <v>0</v>
      </c>
      <c r="BL73" s="122">
        <f t="shared" si="469"/>
        <v>0</v>
      </c>
      <c r="BM73" s="122">
        <f t="shared" si="469"/>
        <v>0</v>
      </c>
      <c r="BN73" s="122">
        <f t="shared" si="469"/>
        <v>0</v>
      </c>
      <c r="BO73" s="123">
        <f t="shared" si="469"/>
        <v>0</v>
      </c>
      <c r="BP73" s="122">
        <f t="shared" si="469"/>
        <v>0</v>
      </c>
      <c r="BQ73" s="122">
        <f t="shared" si="469"/>
        <v>0</v>
      </c>
      <c r="BR73" s="154">
        <f t="shared" si="469"/>
        <v>0</v>
      </c>
      <c r="BS73" s="122">
        <f t="shared" ref="BS73:CI73" si="470">ROUND(BS72,4)-ROUND(BS70,4)</f>
        <v>0</v>
      </c>
      <c r="BT73" s="122">
        <f t="shared" si="469"/>
        <v>0</v>
      </c>
      <c r="BU73" s="122">
        <f>ROUND(BU72,4)-ROUND(BU70,4)</f>
        <v>0</v>
      </c>
      <c r="BV73" s="154">
        <f t="shared" si="469"/>
        <v>0</v>
      </c>
      <c r="BW73" s="123">
        <f>ROUND(BW72,4)-ROUND(BW70,4)</f>
        <v>0</v>
      </c>
      <c r="BX73" s="122">
        <f t="shared" si="469"/>
        <v>0</v>
      </c>
      <c r="BY73" s="122">
        <f>ROUND(BY72,4)-ROUND(BY70,4)</f>
        <v>0</v>
      </c>
      <c r="BZ73" s="154">
        <f t="shared" si="470"/>
        <v>0</v>
      </c>
      <c r="CA73" s="123">
        <f t="shared" si="470"/>
        <v>0</v>
      </c>
      <c r="CB73" s="122">
        <f t="shared" si="470"/>
        <v>0</v>
      </c>
      <c r="CC73" s="122">
        <f>ROUND(CC72,4)-ROUND(CC70,4)</f>
        <v>0</v>
      </c>
      <c r="CD73" s="154">
        <f t="shared" si="470"/>
        <v>0</v>
      </c>
      <c r="CE73" s="123">
        <f t="shared" si="470"/>
        <v>0</v>
      </c>
      <c r="CF73" s="122">
        <f t="shared" si="470"/>
        <v>0</v>
      </c>
      <c r="CG73" s="122">
        <f t="shared" si="470"/>
        <v>0</v>
      </c>
      <c r="CH73" s="154">
        <f t="shared" si="470"/>
        <v>0</v>
      </c>
      <c r="CI73" s="123">
        <f t="shared" si="470"/>
        <v>0</v>
      </c>
      <c r="CJ73" s="122">
        <f t="shared" ref="CJ73:CQ73" si="471">ROUND(CJ72,4)-ROUND(CJ70,4)</f>
        <v>0</v>
      </c>
      <c r="CK73" s="122">
        <f t="shared" si="471"/>
        <v>0</v>
      </c>
      <c r="CL73" s="154">
        <f t="shared" si="471"/>
        <v>0</v>
      </c>
      <c r="CM73" s="123">
        <f t="shared" ref="CM73:CO73" si="472">ROUND(CM72,4)-ROUND(CM70,4)</f>
        <v>0</v>
      </c>
      <c r="CN73" s="122">
        <f t="shared" si="472"/>
        <v>0</v>
      </c>
      <c r="CO73" s="1239">
        <f t="shared" si="472"/>
        <v>0</v>
      </c>
      <c r="CP73" s="122">
        <f t="shared" si="471"/>
        <v>0</v>
      </c>
      <c r="CQ73" s="123">
        <f t="shared" si="471"/>
        <v>0</v>
      </c>
      <c r="CR73" s="122">
        <f t="shared" ref="CR73:CU73" si="473">ROUND(CR72,4)-ROUND(CR70,4)</f>
        <v>0</v>
      </c>
      <c r="CS73" s="122">
        <f t="shared" si="473"/>
        <v>0</v>
      </c>
      <c r="CT73" s="122">
        <f t="shared" si="473"/>
        <v>0</v>
      </c>
      <c r="CU73" s="123">
        <f t="shared" si="473"/>
        <v>0</v>
      </c>
      <c r="CV73" s="1239">
        <f t="shared" ref="CV73:CY73" si="474">ROUND(CV72,4)-ROUND(CV70,4)</f>
        <v>0</v>
      </c>
      <c r="CW73" s="1239">
        <f t="shared" si="474"/>
        <v>0</v>
      </c>
      <c r="CX73" s="1239">
        <f t="shared" si="474"/>
        <v>0</v>
      </c>
      <c r="CY73" s="123">
        <f t="shared" si="474"/>
        <v>0</v>
      </c>
      <c r="CZ73" s="1239">
        <f t="shared" ref="CZ73:DC73" si="475">ROUND(CZ72,4)-ROUND(CZ70,4)</f>
        <v>0</v>
      </c>
      <c r="DA73" s="1239">
        <f t="shared" si="475"/>
        <v>0</v>
      </c>
      <c r="DB73" s="1239">
        <f t="shared" si="475"/>
        <v>0</v>
      </c>
      <c r="DC73" s="123">
        <f t="shared" si="475"/>
        <v>0</v>
      </c>
      <c r="DD73" s="153"/>
      <c r="DE73" s="122"/>
      <c r="DF73" s="122"/>
      <c r="DG73" s="122">
        <f t="shared" ref="DG73:DN73" si="476">ROUND(DG72,4)-ROUND(DG70,4)</f>
        <v>0</v>
      </c>
      <c r="DH73" s="122">
        <f t="shared" si="476"/>
        <v>0</v>
      </c>
      <c r="DI73" s="122">
        <f t="shared" si="476"/>
        <v>0</v>
      </c>
      <c r="DJ73" s="122">
        <f t="shared" si="476"/>
        <v>0</v>
      </c>
      <c r="DK73" s="122">
        <f t="shared" si="476"/>
        <v>0</v>
      </c>
      <c r="DL73" s="122">
        <f t="shared" si="476"/>
        <v>0</v>
      </c>
      <c r="DM73" s="122">
        <f t="shared" si="476"/>
        <v>0</v>
      </c>
      <c r="DN73" s="122">
        <f t="shared" si="476"/>
        <v>0</v>
      </c>
      <c r="DO73" s="122">
        <f t="shared" ref="DO73:EB73" si="477">ROUND(DO72,4)-ROUND(DO70,4)</f>
        <v>0</v>
      </c>
      <c r="DP73" s="122">
        <f t="shared" si="477"/>
        <v>0</v>
      </c>
      <c r="DQ73" s="122">
        <f t="shared" si="477"/>
        <v>0</v>
      </c>
      <c r="DR73" s="122">
        <f t="shared" si="477"/>
        <v>0</v>
      </c>
      <c r="DS73" s="122">
        <f t="shared" si="477"/>
        <v>0</v>
      </c>
      <c r="DT73" s="122">
        <f t="shared" si="477"/>
        <v>0</v>
      </c>
      <c r="DU73" s="1239">
        <f t="shared" si="477"/>
        <v>0</v>
      </c>
      <c r="DV73" s="1239">
        <f t="shared" si="477"/>
        <v>0</v>
      </c>
      <c r="DW73" s="1239">
        <f t="shared" si="477"/>
        <v>0</v>
      </c>
      <c r="DX73" s="1239">
        <f t="shared" si="477"/>
        <v>0</v>
      </c>
      <c r="DY73" s="1239">
        <f t="shared" si="477"/>
        <v>0</v>
      </c>
      <c r="DZ73" s="1239">
        <f>ROUND(DZ72,4)-ROUND(DZ70,4)</f>
        <v>0</v>
      </c>
      <c r="EA73" s="122">
        <f t="shared" si="477"/>
        <v>0</v>
      </c>
      <c r="EB73" s="1239">
        <f t="shared" si="477"/>
        <v>0</v>
      </c>
      <c r="EC73" s="1239">
        <f t="shared" ref="EC73:ED73" si="478">ROUND(EC72,4)-ROUND(EC70,4)</f>
        <v>0</v>
      </c>
      <c r="ED73" s="123">
        <f t="shared" si="478"/>
        <v>0</v>
      </c>
      <c r="EE73" s="18"/>
      <c r="EF73" s="124"/>
      <c r="EG73" s="122">
        <f t="shared" ref="EG73:EO73" si="479">ROUND(EG72,4)-ROUND(EG70,4)</f>
        <v>0</v>
      </c>
      <c r="EH73" s="122">
        <f t="shared" si="479"/>
        <v>0</v>
      </c>
      <c r="EI73" s="122">
        <f t="shared" si="479"/>
        <v>0</v>
      </c>
      <c r="EJ73" s="122">
        <f t="shared" si="479"/>
        <v>0</v>
      </c>
      <c r="EK73" s="122">
        <f t="shared" si="479"/>
        <v>0</v>
      </c>
      <c r="EL73" s="122">
        <f t="shared" si="479"/>
        <v>0</v>
      </c>
      <c r="EM73" s="122">
        <f t="shared" si="479"/>
        <v>0</v>
      </c>
      <c r="EN73" s="122">
        <f t="shared" si="479"/>
        <v>0</v>
      </c>
      <c r="EO73" s="122">
        <f t="shared" si="479"/>
        <v>0</v>
      </c>
      <c r="EP73" s="122">
        <f t="shared" ref="EP73:EY73" si="480">ROUND(EP72,4)-ROUND(EP70,4)</f>
        <v>0</v>
      </c>
      <c r="EQ73" s="122">
        <f t="shared" si="480"/>
        <v>0</v>
      </c>
      <c r="ER73" s="122">
        <f t="shared" si="480"/>
        <v>0</v>
      </c>
      <c r="ES73" s="122">
        <f t="shared" si="480"/>
        <v>0</v>
      </c>
      <c r="ET73" s="122">
        <f t="shared" si="480"/>
        <v>0</v>
      </c>
      <c r="EU73" s="122">
        <f t="shared" si="480"/>
        <v>0</v>
      </c>
      <c r="EV73" s="122">
        <f t="shared" si="480"/>
        <v>0</v>
      </c>
      <c r="EW73" s="122">
        <f t="shared" si="480"/>
        <v>0</v>
      </c>
      <c r="EX73" s="122">
        <f t="shared" si="480"/>
        <v>0</v>
      </c>
      <c r="EY73" s="122">
        <f t="shared" si="480"/>
        <v>0</v>
      </c>
      <c r="EZ73" s="1239">
        <f t="shared" ref="EZ73:FC73" si="481">ROUND(EZ72,4)-ROUND(EZ70,4)</f>
        <v>0</v>
      </c>
      <c r="FA73" s="1239">
        <f t="shared" si="481"/>
        <v>0</v>
      </c>
      <c r="FB73" s="1239">
        <f t="shared" si="481"/>
        <v>0</v>
      </c>
      <c r="FC73" s="1239">
        <f t="shared" si="481"/>
        <v>0</v>
      </c>
      <c r="FD73" s="123">
        <f t="shared" ref="FD73" si="482">ROUND(FD72,4)-ROUND(FD70,4)</f>
        <v>0</v>
      </c>
      <c r="FE73" s="21"/>
      <c r="FF73" s="13"/>
      <c r="FG73" s="13"/>
      <c r="FH73" s="13"/>
      <c r="FO73" s="7"/>
    </row>
    <row r="74" spans="1:171" ht="14.25" customHeight="1">
      <c r="A74" s="7"/>
      <c r="B74" s="438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8"/>
      <c r="BX74" s="59"/>
      <c r="BY74" s="59"/>
      <c r="BZ74" s="59"/>
      <c r="CA74" s="58"/>
      <c r="CB74" s="59"/>
      <c r="CC74" s="59"/>
      <c r="CD74" s="59"/>
      <c r="CE74" s="58"/>
      <c r="CF74" s="59"/>
      <c r="CG74" s="59"/>
      <c r="CH74" s="59"/>
      <c r="CI74" s="58"/>
      <c r="CJ74" s="59"/>
      <c r="CK74" s="59"/>
      <c r="CL74" s="59"/>
      <c r="CM74" s="58"/>
      <c r="CN74" s="59"/>
      <c r="CO74" s="1228"/>
      <c r="CP74" s="59"/>
      <c r="CQ74" s="58"/>
      <c r="CR74" s="59"/>
      <c r="CS74" s="59"/>
      <c r="CT74" s="59"/>
      <c r="CU74" s="58"/>
      <c r="CV74" s="59"/>
      <c r="CW74" s="59"/>
      <c r="CX74" s="59"/>
      <c r="CY74" s="58"/>
      <c r="CZ74" s="59"/>
      <c r="DA74" s="59"/>
      <c r="DB74" s="59"/>
      <c r="DC74" s="58"/>
      <c r="DD74" s="7"/>
      <c r="DE74" s="59"/>
      <c r="DF74" s="59"/>
      <c r="DG74" s="59"/>
      <c r="DH74" s="59"/>
      <c r="DI74" s="59"/>
      <c r="DJ74" s="59"/>
      <c r="DK74" s="59"/>
      <c r="DL74" s="59"/>
      <c r="DM74" s="59"/>
      <c r="DN74" s="59"/>
      <c r="DO74" s="59"/>
      <c r="DP74" s="59"/>
      <c r="DQ74" s="59"/>
      <c r="DR74" s="59"/>
      <c r="DS74" s="59"/>
      <c r="DT74" s="59"/>
      <c r="DU74" s="59"/>
      <c r="DV74" s="59"/>
      <c r="DW74" s="59"/>
      <c r="DX74" s="59"/>
      <c r="DY74" s="59"/>
      <c r="DZ74" s="59"/>
      <c r="EA74" s="59"/>
      <c r="EB74" s="59"/>
      <c r="EC74" s="59"/>
      <c r="ED74" s="59"/>
      <c r="EE74" s="7"/>
      <c r="EF74" s="59"/>
      <c r="EG74" s="59"/>
      <c r="EH74" s="59"/>
      <c r="EI74" s="59"/>
      <c r="EJ74" s="59"/>
      <c r="EK74" s="59"/>
      <c r="EL74" s="59"/>
      <c r="EM74" s="59"/>
      <c r="EN74" s="59"/>
      <c r="EO74" s="59"/>
      <c r="EP74" s="59"/>
      <c r="EQ74" s="59"/>
      <c r="ER74" s="59"/>
      <c r="ES74" s="59"/>
      <c r="ET74" s="59"/>
      <c r="EU74" s="59"/>
      <c r="EV74" s="59"/>
      <c r="EW74" s="59"/>
      <c r="EX74" s="59"/>
      <c r="EY74" s="59"/>
      <c r="EZ74" s="59"/>
      <c r="FA74" s="59"/>
      <c r="FB74" s="59"/>
      <c r="FC74" s="59"/>
      <c r="FD74" s="59"/>
      <c r="FE74" s="13"/>
      <c r="FF74" s="13"/>
      <c r="FG74" s="13"/>
      <c r="FH74" s="13"/>
      <c r="FO74" s="7"/>
    </row>
    <row r="75" spans="1:171" ht="14.25" customHeight="1">
      <c r="A75" s="7"/>
      <c r="B75" s="439"/>
      <c r="C75" s="59"/>
      <c r="D75" s="155"/>
      <c r="E75" s="155"/>
      <c r="F75" s="59"/>
      <c r="G75" s="59"/>
      <c r="H75" s="155"/>
      <c r="I75" s="155"/>
      <c r="J75" s="59"/>
      <c r="K75" s="59"/>
      <c r="L75" s="155"/>
      <c r="M75" s="155"/>
      <c r="N75" s="59"/>
      <c r="O75" s="59"/>
      <c r="P75" s="155"/>
      <c r="Q75" s="155"/>
      <c r="R75" s="59"/>
      <c r="S75" s="59"/>
      <c r="T75" s="155"/>
      <c r="U75" s="155"/>
      <c r="V75" s="59"/>
      <c r="W75" s="59"/>
      <c r="X75" s="155"/>
      <c r="Y75" s="155"/>
      <c r="Z75" s="59"/>
      <c r="AA75" s="59"/>
      <c r="AB75" s="155"/>
      <c r="AC75" s="155"/>
      <c r="AD75" s="59"/>
      <c r="AE75" s="59"/>
      <c r="AF75" s="155"/>
      <c r="AG75" s="155"/>
      <c r="AH75" s="59"/>
      <c r="AI75" s="59"/>
      <c r="AJ75" s="155"/>
      <c r="AK75" s="155"/>
      <c r="AL75" s="59"/>
      <c r="AM75" s="59"/>
      <c r="AN75" s="155"/>
      <c r="AO75" s="155"/>
      <c r="AP75" s="59"/>
      <c r="AQ75" s="59"/>
      <c r="AR75" s="155"/>
      <c r="AS75" s="155"/>
      <c r="AT75" s="59"/>
      <c r="AU75" s="59"/>
      <c r="AV75" s="155"/>
      <c r="AW75" s="155"/>
      <c r="AX75" s="59"/>
      <c r="AY75" s="59"/>
      <c r="AZ75" s="155"/>
      <c r="BA75" s="155"/>
      <c r="BB75" s="59"/>
      <c r="BC75" s="59"/>
      <c r="BD75" s="155"/>
      <c r="BE75" s="155"/>
      <c r="BF75" s="59"/>
      <c r="BG75" s="59"/>
      <c r="BH75" s="155"/>
      <c r="BI75" s="155"/>
      <c r="BJ75" s="59"/>
      <c r="BK75" s="59"/>
      <c r="BL75" s="155"/>
      <c r="BM75" s="155"/>
      <c r="BN75" s="59"/>
      <c r="BO75" s="59"/>
      <c r="BP75" s="59"/>
      <c r="BQ75" s="59"/>
      <c r="BR75" s="59"/>
      <c r="BS75" s="59"/>
      <c r="BT75" s="59"/>
      <c r="BU75" s="59"/>
      <c r="BV75" s="59"/>
      <c r="BW75" s="62"/>
      <c r="BX75" s="59"/>
      <c r="BY75" s="59"/>
      <c r="BZ75" s="59"/>
      <c r="CA75" s="62"/>
      <c r="CB75" s="59"/>
      <c r="CC75" s="59"/>
      <c r="CD75" s="59"/>
      <c r="CE75" s="62"/>
      <c r="CF75" s="59"/>
      <c r="CG75" s="59"/>
      <c r="CH75" s="59"/>
      <c r="CI75" s="62"/>
      <c r="CJ75" s="59"/>
      <c r="CK75" s="59"/>
      <c r="CL75" s="59"/>
      <c r="CM75" s="62"/>
      <c r="CN75" s="59"/>
      <c r="CO75" s="1228"/>
      <c r="CP75" s="59"/>
      <c r="CQ75" s="62"/>
      <c r="CR75" s="59"/>
      <c r="CS75" s="59"/>
      <c r="CT75" s="59"/>
      <c r="CU75" s="62"/>
      <c r="CV75" s="59"/>
      <c r="CW75" s="59"/>
      <c r="CX75" s="59"/>
      <c r="CY75" s="62"/>
      <c r="CZ75" s="59"/>
      <c r="DA75" s="59"/>
      <c r="DB75" s="59"/>
      <c r="DC75" s="62"/>
      <c r="DD75" s="7"/>
      <c r="DE75" s="59"/>
      <c r="DF75" s="59"/>
      <c r="DG75" s="59"/>
      <c r="DH75" s="59"/>
      <c r="DI75" s="59"/>
      <c r="DJ75" s="59"/>
      <c r="DK75" s="59"/>
      <c r="DL75" s="59"/>
      <c r="DM75" s="59"/>
      <c r="DN75" s="59"/>
      <c r="DO75" s="59"/>
      <c r="DP75" s="59"/>
      <c r="DQ75" s="59"/>
      <c r="DR75" s="59"/>
      <c r="DS75" s="59"/>
      <c r="DT75" s="59"/>
      <c r="DU75" s="59"/>
      <c r="DV75" s="59"/>
      <c r="DW75" s="59"/>
      <c r="DX75" s="59"/>
      <c r="DY75" s="59"/>
      <c r="DZ75" s="59"/>
      <c r="EA75" s="59"/>
      <c r="EB75" s="59"/>
      <c r="EC75" s="59"/>
      <c r="ED75" s="59"/>
      <c r="EE75" s="7"/>
      <c r="EF75" s="59"/>
      <c r="EG75" s="59"/>
      <c r="EH75" s="59"/>
      <c r="EI75" s="59"/>
      <c r="EJ75" s="59"/>
      <c r="EK75" s="59"/>
      <c r="EL75" s="59"/>
      <c r="EM75" s="59"/>
      <c r="EN75" s="59"/>
      <c r="EO75" s="59"/>
      <c r="EP75" s="59"/>
      <c r="EQ75" s="59"/>
      <c r="ER75" s="59"/>
      <c r="ES75" s="59"/>
      <c r="ET75" s="59"/>
      <c r="EU75" s="59"/>
      <c r="EV75" s="59"/>
      <c r="EW75" s="59"/>
      <c r="EX75" s="59"/>
      <c r="EY75" s="59"/>
      <c r="EZ75" s="59"/>
      <c r="FA75" s="59"/>
      <c r="FB75" s="59"/>
      <c r="FC75" s="59"/>
      <c r="FD75" s="59"/>
      <c r="FE75" s="13"/>
      <c r="FF75" s="13"/>
      <c r="FG75" s="13"/>
      <c r="FH75" s="13"/>
      <c r="FO75" s="7"/>
    </row>
    <row r="76" spans="1:171" ht="14.25" customHeight="1">
      <c r="A76" s="7"/>
      <c r="B76" s="440" t="s">
        <v>317</v>
      </c>
      <c r="C76" s="130"/>
      <c r="D76" s="15" t="str">
        <f t="shared" ref="D76:AY76" si="483">D59</f>
        <v>F1Q95A</v>
      </c>
      <c r="E76" s="16" t="str">
        <f t="shared" si="483"/>
        <v>F2Q95A</v>
      </c>
      <c r="F76" s="16" t="str">
        <f t="shared" si="483"/>
        <v>F3Q95A</v>
      </c>
      <c r="G76" s="17" t="str">
        <f t="shared" si="483"/>
        <v>F4Q95A</v>
      </c>
      <c r="H76" s="15" t="str">
        <f t="shared" si="483"/>
        <v>F1Q96A</v>
      </c>
      <c r="I76" s="16" t="str">
        <f t="shared" si="483"/>
        <v>F2Q96A</v>
      </c>
      <c r="J76" s="16" t="str">
        <f t="shared" si="483"/>
        <v>F3Q96A</v>
      </c>
      <c r="K76" s="17" t="str">
        <f t="shared" si="483"/>
        <v>F4Q96A</v>
      </c>
      <c r="L76" s="15" t="str">
        <f t="shared" si="483"/>
        <v>F1Q97A</v>
      </c>
      <c r="M76" s="16" t="str">
        <f t="shared" si="483"/>
        <v>F2Q97A</v>
      </c>
      <c r="N76" s="16" t="str">
        <f t="shared" si="483"/>
        <v>F3Q97A</v>
      </c>
      <c r="O76" s="17" t="str">
        <f t="shared" si="483"/>
        <v>F4Q97A</v>
      </c>
      <c r="P76" s="15" t="str">
        <f t="shared" si="483"/>
        <v>F1Q98A</v>
      </c>
      <c r="Q76" s="16" t="str">
        <f t="shared" si="483"/>
        <v>F2Q98A</v>
      </c>
      <c r="R76" s="16" t="str">
        <f t="shared" si="483"/>
        <v>F3Q98A</v>
      </c>
      <c r="S76" s="17" t="str">
        <f t="shared" si="483"/>
        <v>F4Q98A</v>
      </c>
      <c r="T76" s="15" t="str">
        <f t="shared" si="483"/>
        <v>F1Q99A</v>
      </c>
      <c r="U76" s="16" t="str">
        <f t="shared" si="483"/>
        <v>F2Q99A</v>
      </c>
      <c r="V76" s="16" t="str">
        <f t="shared" si="483"/>
        <v>F3Q99A</v>
      </c>
      <c r="W76" s="17" t="str">
        <f t="shared" si="483"/>
        <v>F4Q99A</v>
      </c>
      <c r="X76" s="15" t="str">
        <f t="shared" si="483"/>
        <v>F1Q00A</v>
      </c>
      <c r="Y76" s="16" t="str">
        <f t="shared" si="483"/>
        <v>F2Q00A</v>
      </c>
      <c r="Z76" s="16" t="str">
        <f t="shared" si="483"/>
        <v>F3Q00A</v>
      </c>
      <c r="AA76" s="17" t="str">
        <f t="shared" si="483"/>
        <v>F4Q00A</v>
      </c>
      <c r="AB76" s="15" t="str">
        <f t="shared" si="483"/>
        <v>F1Q01A</v>
      </c>
      <c r="AC76" s="16" t="str">
        <f t="shared" si="483"/>
        <v>F2Q01A</v>
      </c>
      <c r="AD76" s="16" t="str">
        <f t="shared" si="483"/>
        <v>F3Q01A</v>
      </c>
      <c r="AE76" s="17" t="str">
        <f t="shared" si="483"/>
        <v>F4Q01A</v>
      </c>
      <c r="AF76" s="15" t="str">
        <f t="shared" si="483"/>
        <v>F1Q02A</v>
      </c>
      <c r="AG76" s="16" t="str">
        <f t="shared" si="483"/>
        <v>F2Q02A</v>
      </c>
      <c r="AH76" s="16" t="str">
        <f t="shared" si="483"/>
        <v>F3Q02A</v>
      </c>
      <c r="AI76" s="17" t="str">
        <f t="shared" si="483"/>
        <v>F4Q02A</v>
      </c>
      <c r="AJ76" s="15" t="str">
        <f t="shared" si="483"/>
        <v>F1Q03A</v>
      </c>
      <c r="AK76" s="16" t="str">
        <f t="shared" si="483"/>
        <v>F2Q03A</v>
      </c>
      <c r="AL76" s="16" t="str">
        <f t="shared" si="483"/>
        <v>F3Q03A</v>
      </c>
      <c r="AM76" s="17" t="str">
        <f t="shared" si="483"/>
        <v>F4Q03A</v>
      </c>
      <c r="AN76" s="15" t="str">
        <f t="shared" si="483"/>
        <v>F1Q04A</v>
      </c>
      <c r="AO76" s="16" t="str">
        <f t="shared" si="483"/>
        <v>F2Q04A</v>
      </c>
      <c r="AP76" s="16" t="str">
        <f t="shared" si="483"/>
        <v>F3Q04A</v>
      </c>
      <c r="AQ76" s="17" t="str">
        <f t="shared" si="483"/>
        <v>F4Q04A</v>
      </c>
      <c r="AR76" s="15" t="str">
        <f t="shared" si="483"/>
        <v>F1Q05A</v>
      </c>
      <c r="AS76" s="16" t="str">
        <f t="shared" si="483"/>
        <v>F2Q05A</v>
      </c>
      <c r="AT76" s="16" t="str">
        <f t="shared" si="483"/>
        <v>F3Q05A</v>
      </c>
      <c r="AU76" s="17" t="str">
        <f t="shared" si="483"/>
        <v>F4Q05A</v>
      </c>
      <c r="AV76" s="15" t="str">
        <f t="shared" si="483"/>
        <v>F1Q06A</v>
      </c>
      <c r="AW76" s="16" t="str">
        <f t="shared" si="483"/>
        <v>F2Q06A</v>
      </c>
      <c r="AX76" s="16" t="str">
        <f t="shared" si="483"/>
        <v>F3Q06A</v>
      </c>
      <c r="AY76" s="17" t="str">
        <f t="shared" si="483"/>
        <v>F4Q06A</v>
      </c>
      <c r="AZ76" s="15" t="str">
        <f>AZ59</f>
        <v>F1Q07A</v>
      </c>
      <c r="BA76" s="16" t="str">
        <f>BA59</f>
        <v>F2Q07A</v>
      </c>
      <c r="BB76" s="16" t="str">
        <f>BB59</f>
        <v>F3Q07A</v>
      </c>
      <c r="BC76" s="17" t="str">
        <f>BC59</f>
        <v>F4Q07A</v>
      </c>
      <c r="BD76" s="15" t="str">
        <f t="shared" ref="BD76:CI76" si="484">BD59</f>
        <v>F1Q08A</v>
      </c>
      <c r="BE76" s="16" t="str">
        <f t="shared" si="484"/>
        <v>F2Q08A</v>
      </c>
      <c r="BF76" s="16" t="str">
        <f t="shared" si="484"/>
        <v>F3Q08A</v>
      </c>
      <c r="BG76" s="17" t="str">
        <f t="shared" si="484"/>
        <v>F4Q08A</v>
      </c>
      <c r="BH76" s="15" t="str">
        <f>BH59</f>
        <v>F1Q09A</v>
      </c>
      <c r="BI76" s="16" t="str">
        <f>BI59</f>
        <v>F2Q09A</v>
      </c>
      <c r="BJ76" s="16" t="str">
        <f>BJ59</f>
        <v>F3Q09A</v>
      </c>
      <c r="BK76" s="17" t="str">
        <f>BK59</f>
        <v>F4Q09A</v>
      </c>
      <c r="BL76" s="15" t="str">
        <f t="shared" si="484"/>
        <v>F1Q10A</v>
      </c>
      <c r="BM76" s="16" t="str">
        <f t="shared" si="484"/>
        <v>F2Q10A</v>
      </c>
      <c r="BN76" s="16" t="str">
        <f t="shared" si="484"/>
        <v>F3Q10A</v>
      </c>
      <c r="BO76" s="17" t="str">
        <f t="shared" si="484"/>
        <v>F4Q10A</v>
      </c>
      <c r="BP76" s="15" t="str">
        <f t="shared" si="484"/>
        <v>F1Q11A</v>
      </c>
      <c r="BQ76" s="16" t="str">
        <f t="shared" si="484"/>
        <v>F2Q11A</v>
      </c>
      <c r="BR76" s="16" t="str">
        <f t="shared" si="484"/>
        <v>F3Q11A</v>
      </c>
      <c r="BS76" s="17" t="str">
        <f t="shared" si="484"/>
        <v>F4Q11A</v>
      </c>
      <c r="BT76" s="15" t="str">
        <f>BT59</f>
        <v>F1Q12A</v>
      </c>
      <c r="BU76" s="16" t="str">
        <f>BU59</f>
        <v>F2Q12A</v>
      </c>
      <c r="BV76" s="16" t="str">
        <f>BV59</f>
        <v>F3Q12A</v>
      </c>
      <c r="BW76" s="17" t="str">
        <f>BW59</f>
        <v>F4Q12A</v>
      </c>
      <c r="BX76" s="15" t="str">
        <f t="shared" si="484"/>
        <v>F1Q13A</v>
      </c>
      <c r="BY76" s="16" t="str">
        <f t="shared" si="484"/>
        <v>F2Q13A</v>
      </c>
      <c r="BZ76" s="16" t="str">
        <f t="shared" si="484"/>
        <v>F3Q13</v>
      </c>
      <c r="CA76" s="17" t="str">
        <f t="shared" si="484"/>
        <v>F4Q13</v>
      </c>
      <c r="CB76" s="15" t="str">
        <f t="shared" si="484"/>
        <v>F1Q14</v>
      </c>
      <c r="CC76" s="16" t="str">
        <f>CC59</f>
        <v>F2Q14A</v>
      </c>
      <c r="CD76" s="16" t="str">
        <f t="shared" si="484"/>
        <v>F3Q14A</v>
      </c>
      <c r="CE76" s="17" t="str">
        <f t="shared" si="484"/>
        <v>F4Q14</v>
      </c>
      <c r="CF76" s="15" t="str">
        <f t="shared" si="484"/>
        <v>F1Q15A</v>
      </c>
      <c r="CG76" s="16" t="str">
        <f t="shared" si="484"/>
        <v>F2Q15A</v>
      </c>
      <c r="CH76" s="16" t="str">
        <f t="shared" si="484"/>
        <v>F3Q15A</v>
      </c>
      <c r="CI76" s="17" t="str">
        <f t="shared" si="484"/>
        <v>F4Q15A</v>
      </c>
      <c r="CJ76" s="15" t="str">
        <f t="shared" ref="CJ76:CQ76" si="485">CJ59</f>
        <v>F1Q16A</v>
      </c>
      <c r="CK76" s="16" t="str">
        <f t="shared" si="485"/>
        <v>F2Q16A</v>
      </c>
      <c r="CL76" s="16" t="str">
        <f t="shared" si="485"/>
        <v>F3Q16A</v>
      </c>
      <c r="CM76" s="17" t="str">
        <f t="shared" si="485"/>
        <v>F4Q16A</v>
      </c>
      <c r="CN76" s="15" t="str">
        <f t="shared" ref="CN76:CO76" si="486">CN59</f>
        <v>F1Q17A</v>
      </c>
      <c r="CO76" s="1227" t="str">
        <f t="shared" si="486"/>
        <v>F2Q17A</v>
      </c>
      <c r="CP76" s="16" t="str">
        <f t="shared" si="485"/>
        <v>F3Q17A</v>
      </c>
      <c r="CQ76" s="17" t="str">
        <f t="shared" si="485"/>
        <v>F4Q17A</v>
      </c>
      <c r="CR76" s="16" t="str">
        <f t="shared" ref="CR76:CU76" si="487">CR59</f>
        <v>F1Q18A</v>
      </c>
      <c r="CS76" s="16" t="str">
        <f t="shared" si="487"/>
        <v>F2Q18A</v>
      </c>
      <c r="CT76" s="16" t="str">
        <f t="shared" si="487"/>
        <v>F3Q18E</v>
      </c>
      <c r="CU76" s="17" t="str">
        <f t="shared" si="487"/>
        <v>F4Q18E</v>
      </c>
      <c r="CV76" s="1319" t="str">
        <f t="shared" ref="CV76:CY76" si="488">CV59</f>
        <v>F1Q19E</v>
      </c>
      <c r="CW76" s="1319" t="str">
        <f t="shared" si="488"/>
        <v>F2Q19E</v>
      </c>
      <c r="CX76" s="1319" t="str">
        <f t="shared" si="488"/>
        <v>F3Q19E</v>
      </c>
      <c r="CY76" s="1320" t="str">
        <f t="shared" si="488"/>
        <v>F4Q19E</v>
      </c>
      <c r="CZ76" s="1319" t="str">
        <f t="shared" ref="CZ76:DC76" si="489">CZ59</f>
        <v>F1Q20E</v>
      </c>
      <c r="DA76" s="1319" t="str">
        <f t="shared" si="489"/>
        <v>F2Q20E</v>
      </c>
      <c r="DB76" s="1319" t="str">
        <f t="shared" si="489"/>
        <v>F3Q20E</v>
      </c>
      <c r="DC76" s="1320" t="str">
        <f t="shared" si="489"/>
        <v>F4Q20E</v>
      </c>
      <c r="DD76" s="18"/>
      <c r="DE76" s="406" t="str">
        <f t="shared" ref="DE76:DN76" si="490">DE59</f>
        <v>FY1995A</v>
      </c>
      <c r="DF76" s="16" t="str">
        <f t="shared" si="490"/>
        <v>FY1996A</v>
      </c>
      <c r="DG76" s="16" t="str">
        <f t="shared" si="490"/>
        <v>FY1997A</v>
      </c>
      <c r="DH76" s="16" t="str">
        <f t="shared" si="490"/>
        <v>FY1998A</v>
      </c>
      <c r="DI76" s="16" t="str">
        <f t="shared" si="490"/>
        <v>FY1999A</v>
      </c>
      <c r="DJ76" s="16" t="str">
        <f t="shared" si="490"/>
        <v>FY2000A</v>
      </c>
      <c r="DK76" s="16" t="str">
        <f t="shared" si="490"/>
        <v>FY2001A</v>
      </c>
      <c r="DL76" s="16" t="str">
        <f t="shared" si="490"/>
        <v>FY2002A</v>
      </c>
      <c r="DM76" s="16" t="str">
        <f t="shared" si="490"/>
        <v>FY2003A</v>
      </c>
      <c r="DN76" s="16" t="str">
        <f t="shared" si="490"/>
        <v>FY2004A</v>
      </c>
      <c r="DO76" s="16" t="str">
        <f>DO59</f>
        <v>FY2005A</v>
      </c>
      <c r="DP76" s="16" t="str">
        <f>DP59</f>
        <v>FY2006A</v>
      </c>
      <c r="DQ76" s="16" t="str">
        <f>DQ59</f>
        <v>FY2007A</v>
      </c>
      <c r="DR76" s="16" t="str">
        <f>DR59</f>
        <v>FY2008A</v>
      </c>
      <c r="DS76" s="16" t="str">
        <f>DS59</f>
        <v>FY2009A</v>
      </c>
      <c r="DT76" s="16" t="str">
        <f t="shared" ref="DT76:EB76" si="491">DT59</f>
        <v>FY2010A</v>
      </c>
      <c r="DU76" s="1319" t="str">
        <f t="shared" si="491"/>
        <v>FY2011A</v>
      </c>
      <c r="DV76" s="1319" t="str">
        <f t="shared" si="491"/>
        <v>FY2012A</v>
      </c>
      <c r="DW76" s="1319" t="str">
        <f t="shared" si="491"/>
        <v>FY2013A</v>
      </c>
      <c r="DX76" s="1319" t="str">
        <f t="shared" si="491"/>
        <v>FY2014A</v>
      </c>
      <c r="DY76" s="1319" t="str">
        <f t="shared" si="491"/>
        <v>FY2015A</v>
      </c>
      <c r="DZ76" s="1319" t="str">
        <f t="shared" si="491"/>
        <v>FY2016A</v>
      </c>
      <c r="EA76" s="16" t="str">
        <f t="shared" si="491"/>
        <v>FY2017A</v>
      </c>
      <c r="EB76" s="1319" t="str">
        <f t="shared" si="491"/>
        <v>FY2018E</v>
      </c>
      <c r="EC76" s="1319" t="str">
        <f t="shared" ref="EC76:ED76" si="492">EC59</f>
        <v>FY2019E</v>
      </c>
      <c r="ED76" s="1320" t="str">
        <f t="shared" si="492"/>
        <v>FY2020E</v>
      </c>
      <c r="EE76" s="18"/>
      <c r="EF76" s="1318" t="str">
        <f t="shared" ref="EF76:EO76" si="493">EF59</f>
        <v>CY1995</v>
      </c>
      <c r="EG76" s="1319" t="str">
        <f t="shared" si="493"/>
        <v>CY1996</v>
      </c>
      <c r="EH76" s="1319" t="str">
        <f t="shared" si="493"/>
        <v>CY1997</v>
      </c>
      <c r="EI76" s="1319" t="str">
        <f t="shared" si="493"/>
        <v>CY1998</v>
      </c>
      <c r="EJ76" s="1319" t="str">
        <f t="shared" si="493"/>
        <v>CY1999</v>
      </c>
      <c r="EK76" s="1319" t="str">
        <f t="shared" si="493"/>
        <v>CY2000</v>
      </c>
      <c r="EL76" s="1319" t="str">
        <f t="shared" si="493"/>
        <v>CY2001</v>
      </c>
      <c r="EM76" s="1319" t="str">
        <f t="shared" si="493"/>
        <v>CY2002</v>
      </c>
      <c r="EN76" s="1319" t="str">
        <f t="shared" si="493"/>
        <v>CY2003</v>
      </c>
      <c r="EO76" s="1319" t="str">
        <f t="shared" si="493"/>
        <v>CY2004</v>
      </c>
      <c r="EP76" s="1319" t="str">
        <f t="shared" ref="EP76:EX76" si="494">EP59</f>
        <v>CY2005</v>
      </c>
      <c r="EQ76" s="1319" t="str">
        <f t="shared" si="494"/>
        <v>CY2006</v>
      </c>
      <c r="ER76" s="1319" t="str">
        <f t="shared" si="494"/>
        <v>CY2007</v>
      </c>
      <c r="ES76" s="1319" t="str">
        <f t="shared" si="494"/>
        <v>CY2008</v>
      </c>
      <c r="ET76" s="1319" t="str">
        <f t="shared" si="494"/>
        <v>CY2009</v>
      </c>
      <c r="EU76" s="1319" t="str">
        <f t="shared" si="494"/>
        <v>CY2010</v>
      </c>
      <c r="EV76" s="1319" t="str">
        <f t="shared" si="494"/>
        <v>CY2011</v>
      </c>
      <c r="EW76" s="16" t="str">
        <f t="shared" si="494"/>
        <v>CY2012</v>
      </c>
      <c r="EX76" s="16" t="str">
        <f t="shared" si="494"/>
        <v>CY2013</v>
      </c>
      <c r="EY76" s="16" t="str">
        <f>EY59</f>
        <v>CY2014</v>
      </c>
      <c r="EZ76" s="1319" t="str">
        <f t="shared" ref="EZ76:FC76" si="495">EZ59</f>
        <v>CY2015</v>
      </c>
      <c r="FA76" s="1319" t="str">
        <f t="shared" si="495"/>
        <v>CY2016</v>
      </c>
      <c r="FB76" s="1319" t="str">
        <f t="shared" si="495"/>
        <v>CY2017</v>
      </c>
      <c r="FC76" s="1319" t="str">
        <f t="shared" si="495"/>
        <v>CY2018</v>
      </c>
      <c r="FD76" s="20" t="str">
        <f t="shared" ref="FD76" si="496">FD59</f>
        <v>CY2019</v>
      </c>
      <c r="FE76" s="21"/>
      <c r="FF76" s="13"/>
      <c r="FG76" s="13"/>
      <c r="FH76" s="13"/>
      <c r="FO76" s="7"/>
    </row>
    <row r="77" spans="1:171" ht="14.25" customHeight="1">
      <c r="A77" s="7"/>
      <c r="B77" s="446" t="s">
        <v>190</v>
      </c>
      <c r="C77" s="23"/>
      <c r="D77" s="156"/>
      <c r="E77" s="156"/>
      <c r="F77" s="156"/>
      <c r="G77" s="157"/>
      <c r="H77" s="156"/>
      <c r="I77" s="156"/>
      <c r="J77" s="156"/>
      <c r="K77" s="157"/>
      <c r="L77" s="156">
        <f>IS!L111</f>
        <v>429</v>
      </c>
      <c r="M77" s="156">
        <f>IS!M111</f>
        <v>432.4</v>
      </c>
      <c r="N77" s="156">
        <f>IS!N111</f>
        <v>436.8</v>
      </c>
      <c r="O77" s="157">
        <f>IS!O111</f>
        <v>438.2</v>
      </c>
      <c r="P77" s="156">
        <f>IS!P111</f>
        <v>435.6</v>
      </c>
      <c r="Q77" s="156">
        <f>IS!Q111</f>
        <v>430.4</v>
      </c>
      <c r="R77" s="156">
        <f>IS!R111</f>
        <v>431.6</v>
      </c>
      <c r="S77" s="157">
        <f>IS!S111</f>
        <v>433.6</v>
      </c>
      <c r="T77" s="156">
        <f>IS!T111</f>
        <v>491.4</v>
      </c>
      <c r="U77" s="156">
        <f>IS!U111</f>
        <v>545.79999999999995</v>
      </c>
      <c r="V77" s="156">
        <f>IS!V111</f>
        <v>532.6</v>
      </c>
      <c r="W77" s="157">
        <f>IS!W111</f>
        <v>534</v>
      </c>
      <c r="X77" s="156">
        <f>IS!X111</f>
        <v>594.79999999999995</v>
      </c>
      <c r="Y77" s="156">
        <f>IS!Y111</f>
        <v>557.20000000000005</v>
      </c>
      <c r="Z77" s="156">
        <f>IS!Z111</f>
        <v>602.5</v>
      </c>
      <c r="AA77" s="157">
        <f>IS!AA111</f>
        <v>614.4</v>
      </c>
      <c r="AB77" s="156">
        <f>IS!AB111</f>
        <v>609.4</v>
      </c>
      <c r="AC77" s="156">
        <f>IS!AC111</f>
        <v>593.79999999999995</v>
      </c>
      <c r="AD77" s="156">
        <f>IS!AD111</f>
        <v>596.29999999999995</v>
      </c>
      <c r="AE77" s="157">
        <f>IS!AE111</f>
        <v>592.4</v>
      </c>
      <c r="AF77" s="156">
        <f>IS!AF111</f>
        <v>599.20000000000005</v>
      </c>
      <c r="AG77" s="156">
        <f>IS!AG111</f>
        <v>600.5</v>
      </c>
      <c r="AH77" s="156">
        <f>IS!AH111</f>
        <v>602.29999999999995</v>
      </c>
      <c r="AI77" s="157">
        <f>IS!AI111</f>
        <v>604</v>
      </c>
      <c r="AJ77" s="156">
        <f>IS!AJ111</f>
        <v>605.20000000000005</v>
      </c>
      <c r="AK77" s="156">
        <f>IS!AK111</f>
        <v>607.20000000000005</v>
      </c>
      <c r="AL77" s="156">
        <f>IS!AL111</f>
        <v>608.29999999999995</v>
      </c>
      <c r="AM77" s="157">
        <f>IS!AM111</f>
        <v>609.5</v>
      </c>
      <c r="AN77" s="156">
        <f>IS!AN111</f>
        <v>636.6</v>
      </c>
      <c r="AO77" s="156">
        <f>IS!AO111</f>
        <v>643.20000000000005</v>
      </c>
      <c r="AP77" s="156">
        <f>IS!AP111</f>
        <v>705.4</v>
      </c>
      <c r="AQ77" s="157">
        <f>IS!AQ111</f>
        <v>701.4</v>
      </c>
      <c r="AR77" s="156">
        <f>IS!AR111</f>
        <v>700.5</v>
      </c>
      <c r="AS77" s="156">
        <f>IS!AS111</f>
        <v>701.3</v>
      </c>
      <c r="AT77" s="156">
        <f>IS!AT111</f>
        <v>648.20000000000005</v>
      </c>
      <c r="AU77" s="157">
        <f>IS!AU111</f>
        <v>650</v>
      </c>
      <c r="AV77" s="156">
        <f>IS!AV111</f>
        <v>707.1</v>
      </c>
      <c r="AW77" s="156">
        <f>IS!AW111</f>
        <v>714.6</v>
      </c>
      <c r="AX77" s="156">
        <f>IS!AX111</f>
        <v>720.1</v>
      </c>
      <c r="AY77" s="157">
        <f>IS!AY111</f>
        <v>759.5</v>
      </c>
      <c r="AZ77" s="156">
        <f>IS!AZ111</f>
        <v>779.6</v>
      </c>
      <c r="BA77" s="156">
        <f>IS!BA111</f>
        <v>768.7</v>
      </c>
      <c r="BB77" s="156">
        <f>IS!BB111</f>
        <v>769.9</v>
      </c>
      <c r="BC77" s="157">
        <f>IS!BC111</f>
        <v>770.9</v>
      </c>
      <c r="BD77" s="156">
        <f>IS!BD111</f>
        <v>771.9</v>
      </c>
      <c r="BE77" s="156">
        <f>IS!BE111</f>
        <v>772.4</v>
      </c>
      <c r="BF77" s="156">
        <f>IS!BF111</f>
        <v>772.8</v>
      </c>
      <c r="BG77" s="157">
        <f>IS!BG111</f>
        <v>772.9</v>
      </c>
      <c r="BH77" s="156">
        <f>IS!BH111</f>
        <v>773.3</v>
      </c>
      <c r="BI77" s="156">
        <f>IS!BI111</f>
        <v>773.9</v>
      </c>
      <c r="BJ77" s="156">
        <f>IS!BJ111</f>
        <v>813.3</v>
      </c>
      <c r="BK77" s="157">
        <f>IS!BK111</f>
        <v>844.3</v>
      </c>
      <c r="BL77" s="158">
        <f>IS!BL111</f>
        <v>1000.7</v>
      </c>
      <c r="BM77" s="156">
        <f>IS!BM111</f>
        <v>1005.3</v>
      </c>
      <c r="BN77" s="156">
        <f>IS!BN111</f>
        <v>1049.4000000000001</v>
      </c>
      <c r="BO77" s="157">
        <f>IS!BO111</f>
        <v>1142.5999999999999</v>
      </c>
      <c r="BP77" s="156">
        <f>IS!BP111</f>
        <v>1031.3</v>
      </c>
      <c r="BQ77" s="156">
        <f>IS!BQ111</f>
        <v>1037.3</v>
      </c>
      <c r="BR77" s="156">
        <f>IS!BR111</f>
        <v>1041.7</v>
      </c>
      <c r="BS77" s="157">
        <f>IS!BS111</f>
        <v>992.2</v>
      </c>
      <c r="BT77" s="156">
        <f>IS!BT111</f>
        <v>981.4</v>
      </c>
      <c r="BU77" s="156">
        <f>IS!BU111</f>
        <v>982.8</v>
      </c>
      <c r="BV77" s="156">
        <f>IS!BV111</f>
        <v>987.3</v>
      </c>
      <c r="BW77" s="1356">
        <f>IS!BW111</f>
        <v>991.2</v>
      </c>
      <c r="BX77" s="1357">
        <f>IS!BX111</f>
        <v>1013.7</v>
      </c>
      <c r="BY77" s="1356">
        <f>IS!BY111</f>
        <v>1016</v>
      </c>
      <c r="BZ77" s="1356">
        <f>IS!BZ111</f>
        <v>1046.5999999999999</v>
      </c>
      <c r="CA77" s="1322">
        <f>IS!CA111</f>
        <v>1129.4000000000001</v>
      </c>
      <c r="CB77" s="1357">
        <f>IS!CB111</f>
        <v>1196</v>
      </c>
      <c r="CC77" s="1356">
        <f>IS!CC111</f>
        <v>1201</v>
      </c>
      <c r="CD77" s="1356">
        <f>IS!CD111</f>
        <v>1190</v>
      </c>
      <c r="CE77" s="1322">
        <f>IS!CE111</f>
        <v>1203</v>
      </c>
      <c r="CF77" s="156">
        <f>IS!CF111</f>
        <v>1195</v>
      </c>
      <c r="CG77" s="896">
        <f>IS!CG111</f>
        <v>1190</v>
      </c>
      <c r="CH77" s="896">
        <f>IS!CH111</f>
        <v>1170</v>
      </c>
      <c r="CI77" s="1356">
        <f>IS!CI111</f>
        <v>1124</v>
      </c>
      <c r="CJ77" s="1357">
        <f>IS!CJ111</f>
        <v>1085</v>
      </c>
      <c r="CK77" s="1356">
        <f>IS!CK111</f>
        <v>1036</v>
      </c>
      <c r="CL77" s="1356">
        <f>IS!CL111</f>
        <v>1036</v>
      </c>
      <c r="CM77" s="1322">
        <f>IS!CM111</f>
        <v>1037</v>
      </c>
      <c r="CN77" s="1357">
        <f>IS!CN111</f>
        <v>1091</v>
      </c>
      <c r="CO77" s="1356">
        <f>IS!CO111</f>
        <v>1160</v>
      </c>
      <c r="CP77" s="1356">
        <f>IS!CP111</f>
        <v>1177</v>
      </c>
      <c r="CQ77" s="1322">
        <f>IS!CQ111</f>
        <v>1187</v>
      </c>
      <c r="CR77" s="156">
        <f>IS!CR111</f>
        <v>1225</v>
      </c>
      <c r="CS77" s="156">
        <f>IS!CS111</f>
        <v>1238</v>
      </c>
      <c r="CT77" s="156">
        <f>IS!CT111</f>
        <v>1248</v>
      </c>
      <c r="CU77" s="157">
        <f>IS!CU111</f>
        <v>1257</v>
      </c>
      <c r="CV77" s="1321">
        <f>IS!CV111</f>
        <v>1266</v>
      </c>
      <c r="CW77" s="1321">
        <f>IS!CW111</f>
        <v>1275</v>
      </c>
      <c r="CX77" s="1321">
        <f>IS!CX111</f>
        <v>1284</v>
      </c>
      <c r="CY77" s="1322">
        <f>IS!CY111</f>
        <v>1293</v>
      </c>
      <c r="CZ77" s="1321">
        <f>IS!CZ111</f>
        <v>1302</v>
      </c>
      <c r="DA77" s="1321">
        <f>IS!DA111</f>
        <v>1311</v>
      </c>
      <c r="DB77" s="1321">
        <f>IS!DB111</f>
        <v>1320</v>
      </c>
      <c r="DC77" s="1322">
        <f>IS!DC111</f>
        <v>1329</v>
      </c>
      <c r="DD77" s="18"/>
      <c r="DE77" s="131"/>
      <c r="DF77" s="131"/>
      <c r="DG77" s="131">
        <f>IS!DG111</f>
        <v>434.1</v>
      </c>
      <c r="DH77" s="131">
        <f>IS!DH111</f>
        <v>432.79999999999995</v>
      </c>
      <c r="DI77" s="131">
        <f>IS!DI111</f>
        <v>525.94999999999993</v>
      </c>
      <c r="DJ77" s="131">
        <f>IS!DJ111</f>
        <v>592.22500000000002</v>
      </c>
      <c r="DK77" s="131">
        <f>IS!DK111</f>
        <v>597.97499999999991</v>
      </c>
      <c r="DL77" s="131">
        <f>IS!DL111</f>
        <v>601.5</v>
      </c>
      <c r="DM77" s="131">
        <f>IS!DM111</f>
        <v>607.54999999999995</v>
      </c>
      <c r="DN77" s="131">
        <f>IS!DN111</f>
        <v>671.65000000000009</v>
      </c>
      <c r="DO77" s="131">
        <f>IS!DO111</f>
        <v>675</v>
      </c>
      <c r="DP77" s="131">
        <f>IS!DP111</f>
        <v>725.32500000000005</v>
      </c>
      <c r="DQ77" s="131">
        <f>IS!DQ111</f>
        <v>772.27500000000009</v>
      </c>
      <c r="DR77" s="131">
        <f>IS!DR111</f>
        <v>772.5</v>
      </c>
      <c r="DS77" s="131">
        <f>IS!DS111</f>
        <v>801.2</v>
      </c>
      <c r="DT77" s="131">
        <f>IS!DT111</f>
        <v>1049.5</v>
      </c>
      <c r="DU77" s="131">
        <f>IS!DU111</f>
        <v>1025.625</v>
      </c>
      <c r="DV77" s="131">
        <f>IS!DV111</f>
        <v>985.67499999999995</v>
      </c>
      <c r="DW77" s="131">
        <f>IS!DW111</f>
        <v>1051.4250000000002</v>
      </c>
      <c r="DX77" s="131">
        <f>IS!DX111</f>
        <v>1197.5</v>
      </c>
      <c r="DY77" s="131">
        <f>IS!DY111</f>
        <v>1169.75</v>
      </c>
      <c r="DZ77" s="131">
        <f>IS!DZ111</f>
        <v>1048.5</v>
      </c>
      <c r="EA77" s="66">
        <f>IS!EA111</f>
        <v>1153.75</v>
      </c>
      <c r="EB77" s="66">
        <f>IS!EB111</f>
        <v>1242</v>
      </c>
      <c r="EC77" s="66">
        <f>IS!EC111</f>
        <v>1279.5</v>
      </c>
      <c r="ED77" s="67">
        <f>IS!ED111</f>
        <v>1315.5</v>
      </c>
      <c r="EE77" s="18"/>
      <c r="EF77" s="142"/>
      <c r="EG77" s="131">
        <f>IS!EG111</f>
        <v>428.6</v>
      </c>
      <c r="EH77" s="131">
        <f>IS!EH111</f>
        <v>435.75</v>
      </c>
      <c r="EI77" s="131">
        <f>IS!EI111</f>
        <v>446.75</v>
      </c>
      <c r="EJ77" s="131">
        <f>IS!EJ111</f>
        <v>551.79999999999995</v>
      </c>
      <c r="EK77" s="131">
        <f>IS!EK111</f>
        <v>595.875</v>
      </c>
      <c r="EL77" s="131">
        <f>IS!EL111</f>
        <v>595.42499999999995</v>
      </c>
      <c r="EM77" s="131">
        <f>IS!EM111</f>
        <v>603</v>
      </c>
      <c r="EN77" s="131">
        <f>IS!EN111</f>
        <v>615.4</v>
      </c>
      <c r="EO77" s="131">
        <f>IS!EO111</f>
        <v>687.625</v>
      </c>
      <c r="EP77" s="131">
        <f>IS!EP111</f>
        <v>676.65</v>
      </c>
      <c r="EQ77" s="131">
        <f>IS!EQ111</f>
        <v>743.44999999999993</v>
      </c>
      <c r="ER77" s="131">
        <f>IS!ER111</f>
        <v>770.35</v>
      </c>
      <c r="ES77" s="131">
        <f>IS!ES111</f>
        <v>772.84999999999991</v>
      </c>
      <c r="ET77" s="131">
        <f>IS!ET111</f>
        <v>858.05</v>
      </c>
      <c r="EU77" s="131">
        <f>IS!EU111</f>
        <v>1057.1499999999999</v>
      </c>
      <c r="EV77" s="66">
        <f>IS!EV111</f>
        <v>1013.15</v>
      </c>
      <c r="EW77" s="66">
        <f>IS!EW111</f>
        <v>993.75</v>
      </c>
      <c r="EX77" s="66">
        <f>IS!EX111</f>
        <v>1097</v>
      </c>
      <c r="EY77" s="66">
        <f>IS!EY111</f>
        <v>1197.25</v>
      </c>
      <c r="EZ77" s="66">
        <f>IS!EZ111</f>
        <v>1142.25</v>
      </c>
      <c r="FA77" s="66">
        <f>IS!FA111</f>
        <v>1050</v>
      </c>
      <c r="FB77" s="66">
        <f>IS!FB111</f>
        <v>1187.25</v>
      </c>
      <c r="FC77" s="66">
        <f>IS!FC111</f>
        <v>1252.25</v>
      </c>
      <c r="FD77" s="141">
        <f>IS!FD111</f>
        <v>1288.5</v>
      </c>
      <c r="FE77" s="21"/>
      <c r="FF77" s="13"/>
      <c r="FG77" s="13"/>
      <c r="FH77" s="13"/>
      <c r="FO77" s="7"/>
    </row>
    <row r="78" spans="1:171" ht="14.25" customHeight="1">
      <c r="A78" s="7"/>
      <c r="B78" s="433"/>
      <c r="C78" s="23"/>
      <c r="D78" s="156"/>
      <c r="E78" s="156"/>
      <c r="F78" s="156"/>
      <c r="G78" s="164"/>
      <c r="H78" s="156"/>
      <c r="I78" s="156"/>
      <c r="J78" s="156"/>
      <c r="K78" s="164"/>
      <c r="L78" s="156"/>
      <c r="M78" s="156"/>
      <c r="N78" s="156"/>
      <c r="O78" s="164"/>
      <c r="P78" s="156"/>
      <c r="Q78" s="156"/>
      <c r="R78" s="156"/>
      <c r="S78" s="164"/>
      <c r="T78" s="156"/>
      <c r="U78" s="156"/>
      <c r="V78" s="156"/>
      <c r="W78" s="164"/>
      <c r="X78" s="156"/>
      <c r="Y78" s="156"/>
      <c r="Z78" s="156"/>
      <c r="AA78" s="164"/>
      <c r="AB78" s="156"/>
      <c r="AC78" s="156"/>
      <c r="AD78" s="156"/>
      <c r="AE78" s="164"/>
      <c r="AF78" s="156"/>
      <c r="AG78" s="156"/>
      <c r="AH78" s="156"/>
      <c r="AI78" s="164"/>
      <c r="AJ78" s="156"/>
      <c r="AK78" s="156"/>
      <c r="AL78" s="156"/>
      <c r="AM78" s="164"/>
      <c r="AN78" s="156"/>
      <c r="AO78" s="156"/>
      <c r="AP78" s="156"/>
      <c r="AQ78" s="164"/>
      <c r="AR78" s="156"/>
      <c r="AS78" s="156"/>
      <c r="AT78" s="156"/>
      <c r="AU78" s="164"/>
      <c r="AV78" s="156"/>
      <c r="AW78" s="156"/>
      <c r="AX78" s="156"/>
      <c r="AY78" s="164"/>
      <c r="AZ78" s="156"/>
      <c r="BA78" s="156"/>
      <c r="BB78" s="156"/>
      <c r="BC78" s="164"/>
      <c r="BD78" s="156"/>
      <c r="BE78" s="156"/>
      <c r="BF78" s="156"/>
      <c r="BG78" s="164"/>
      <c r="BH78" s="156"/>
      <c r="BI78" s="156"/>
      <c r="BJ78" s="156"/>
      <c r="BK78" s="164"/>
      <c r="BL78" s="158"/>
      <c r="BM78" s="156"/>
      <c r="BN78" s="156"/>
      <c r="BO78" s="164"/>
      <c r="BP78" s="156"/>
      <c r="BQ78" s="156"/>
      <c r="BR78" s="156"/>
      <c r="BS78" s="164"/>
      <c r="BT78" s="156"/>
      <c r="BU78" s="156"/>
      <c r="BV78" s="156"/>
      <c r="BW78" s="1321"/>
      <c r="BX78" s="1323"/>
      <c r="BY78" s="1321"/>
      <c r="BZ78" s="1321"/>
      <c r="CA78" s="1324"/>
      <c r="CB78" s="1323"/>
      <c r="CC78" s="1321"/>
      <c r="CD78" s="1321"/>
      <c r="CE78" s="1324"/>
      <c r="CF78" s="156"/>
      <c r="CG78" s="156"/>
      <c r="CH78" s="156"/>
      <c r="CI78" s="1321"/>
      <c r="CJ78" s="1323"/>
      <c r="CK78" s="1321"/>
      <c r="CL78" s="1321"/>
      <c r="CM78" s="1324"/>
      <c r="CN78" s="1323"/>
      <c r="CO78" s="1321"/>
      <c r="CP78" s="1321"/>
      <c r="CQ78" s="1324"/>
      <c r="CR78" s="156"/>
      <c r="CS78" s="156"/>
      <c r="CT78" s="156"/>
      <c r="CU78" s="164"/>
      <c r="CV78" s="1321"/>
      <c r="CW78" s="1321"/>
      <c r="CX78" s="1321"/>
      <c r="CY78" s="1324"/>
      <c r="CZ78" s="1321"/>
      <c r="DA78" s="1321"/>
      <c r="DB78" s="1321"/>
      <c r="DC78" s="1324"/>
      <c r="DD78" s="18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7"/>
      <c r="EE78" s="18"/>
      <c r="EF78" s="65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7"/>
      <c r="FE78" s="21"/>
      <c r="FF78" s="13"/>
      <c r="FG78" s="13"/>
      <c r="FH78" s="13"/>
      <c r="FO78" s="7"/>
    </row>
    <row r="79" spans="1:171" ht="14.25" customHeight="1">
      <c r="A79" s="7"/>
      <c r="B79" s="447" t="s">
        <v>106</v>
      </c>
      <c r="C79" s="23"/>
      <c r="D79" s="156"/>
      <c r="E79" s="156"/>
      <c r="F79" s="156"/>
      <c r="G79" s="164"/>
      <c r="H79" s="156"/>
      <c r="I79" s="156"/>
      <c r="J79" s="156"/>
      <c r="K79" s="164"/>
      <c r="L79" s="156"/>
      <c r="M79" s="156"/>
      <c r="N79" s="156"/>
      <c r="O79" s="164"/>
      <c r="P79" s="156"/>
      <c r="Q79" s="156"/>
      <c r="R79" s="156"/>
      <c r="S79" s="164"/>
      <c r="T79" s="156"/>
      <c r="U79" s="156"/>
      <c r="V79" s="156"/>
      <c r="W79" s="164"/>
      <c r="X79" s="156"/>
      <c r="Y79" s="156"/>
      <c r="Z79" s="156"/>
      <c r="AA79" s="164"/>
      <c r="AB79" s="156"/>
      <c r="AC79" s="156"/>
      <c r="AD79" s="156"/>
      <c r="AE79" s="164"/>
      <c r="AF79" s="156"/>
      <c r="AG79" s="156"/>
      <c r="AH79" s="156"/>
      <c r="AI79" s="164"/>
      <c r="AJ79" s="156"/>
      <c r="AK79" s="156"/>
      <c r="AL79" s="156"/>
      <c r="AM79" s="164"/>
      <c r="AN79" s="156"/>
      <c r="AO79" s="156"/>
      <c r="AP79" s="156"/>
      <c r="AQ79" s="164"/>
      <c r="AR79" s="156"/>
      <c r="AS79" s="156"/>
      <c r="AT79" s="156"/>
      <c r="AU79" s="164"/>
      <c r="AV79" s="156"/>
      <c r="AW79" s="156"/>
      <c r="AX79" s="156"/>
      <c r="AY79" s="164"/>
      <c r="AZ79" s="156"/>
      <c r="BA79" s="156"/>
      <c r="BB79" s="156"/>
      <c r="BC79" s="164"/>
      <c r="BD79" s="156"/>
      <c r="BE79" s="156"/>
      <c r="BF79" s="156"/>
      <c r="BG79" s="164"/>
      <c r="BH79" s="156"/>
      <c r="BI79" s="156"/>
      <c r="BJ79" s="156"/>
      <c r="BK79" s="164"/>
      <c r="BL79" s="158"/>
      <c r="BM79" s="156"/>
      <c r="BN79" s="156"/>
      <c r="BO79" s="164"/>
      <c r="BP79" s="156"/>
      <c r="BQ79" s="156"/>
      <c r="BR79" s="156"/>
      <c r="BS79" s="164"/>
      <c r="BT79" s="156"/>
      <c r="BU79" s="156"/>
      <c r="BV79" s="156"/>
      <c r="BW79" s="1321"/>
      <c r="BX79" s="1323"/>
      <c r="BY79" s="1321"/>
      <c r="BZ79" s="1321"/>
      <c r="CA79" s="1324"/>
      <c r="CB79" s="1323"/>
      <c r="CC79" s="1321"/>
      <c r="CD79" s="1321"/>
      <c r="CE79" s="1324"/>
      <c r="CF79" s="156"/>
      <c r="CG79" s="156"/>
      <c r="CH79" s="156"/>
      <c r="CI79" s="1321"/>
      <c r="CJ79" s="1323"/>
      <c r="CK79" s="1321"/>
      <c r="CL79" s="1321"/>
      <c r="CM79" s="1324"/>
      <c r="CN79" s="1323"/>
      <c r="CO79" s="1321"/>
      <c r="CP79" s="1321"/>
      <c r="CQ79" s="1324"/>
      <c r="CR79" s="156"/>
      <c r="CS79" s="156"/>
      <c r="CT79" s="156"/>
      <c r="CU79" s="164"/>
      <c r="CV79" s="1321"/>
      <c r="CW79" s="1321"/>
      <c r="CX79" s="1321"/>
      <c r="CY79" s="1324"/>
      <c r="CZ79" s="1321"/>
      <c r="DA79" s="1321"/>
      <c r="DB79" s="1321"/>
      <c r="DC79" s="1324"/>
      <c r="DD79" s="18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7"/>
      <c r="EE79" s="18"/>
      <c r="EF79" s="65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7"/>
      <c r="FE79" s="21"/>
      <c r="FF79" s="13"/>
      <c r="FG79" s="13"/>
      <c r="FH79" s="13"/>
      <c r="FO79" s="7"/>
    </row>
    <row r="80" spans="1:171" ht="14.25" customHeight="1">
      <c r="A80" s="7"/>
      <c r="B80" s="443" t="s">
        <v>107</v>
      </c>
      <c r="C80" s="23"/>
      <c r="D80" s="156"/>
      <c r="E80" s="156"/>
      <c r="F80" s="156"/>
      <c r="G80" s="164"/>
      <c r="H80" s="156"/>
      <c r="I80" s="156"/>
      <c r="J80" s="156"/>
      <c r="K80" s="164"/>
      <c r="L80" s="156">
        <f>+L8</f>
        <v>222.3</v>
      </c>
      <c r="M80" s="156">
        <f t="shared" ref="M80:BX80" si="497">+M8</f>
        <v>582.9</v>
      </c>
      <c r="N80" s="156">
        <f t="shared" si="497"/>
        <v>433.5</v>
      </c>
      <c r="O80" s="164">
        <f t="shared" si="497"/>
        <v>619.5</v>
      </c>
      <c r="P80" s="156">
        <f t="shared" si="497"/>
        <v>342.4</v>
      </c>
      <c r="Q80" s="156">
        <f t="shared" si="497"/>
        <v>560.5</v>
      </c>
      <c r="R80" s="156">
        <f t="shared" si="497"/>
        <v>506.8</v>
      </c>
      <c r="S80" s="164">
        <f t="shared" si="497"/>
        <v>558.6</v>
      </c>
      <c r="T80" s="156">
        <f t="shared" si="497"/>
        <v>765.7</v>
      </c>
      <c r="U80" s="156">
        <f t="shared" si="497"/>
        <v>428.900000000001</v>
      </c>
      <c r="V80" s="156">
        <f t="shared" si="497"/>
        <v>350.6</v>
      </c>
      <c r="W80" s="164">
        <f t="shared" si="497"/>
        <v>294.60000000000002</v>
      </c>
      <c r="X80" s="156">
        <f t="shared" si="497"/>
        <v>441.60000000000099</v>
      </c>
      <c r="Y80" s="156">
        <f t="shared" si="497"/>
        <v>429.9</v>
      </c>
      <c r="Z80" s="156">
        <f t="shared" si="497"/>
        <v>383.2</v>
      </c>
      <c r="AA80" s="164">
        <f t="shared" si="497"/>
        <v>701.7</v>
      </c>
      <c r="AB80" s="156">
        <f t="shared" si="497"/>
        <v>568.70000000000005</v>
      </c>
      <c r="AC80" s="156">
        <f t="shared" si="497"/>
        <v>599.9</v>
      </c>
      <c r="AD80" s="156">
        <f t="shared" si="497"/>
        <v>622.70000000000005</v>
      </c>
      <c r="AE80" s="164">
        <f t="shared" si="497"/>
        <v>469.1</v>
      </c>
      <c r="AF80" s="156">
        <f t="shared" si="497"/>
        <v>357.9</v>
      </c>
      <c r="AG80" s="156">
        <f t="shared" si="497"/>
        <v>677.9</v>
      </c>
      <c r="AH80" s="156">
        <f t="shared" si="497"/>
        <v>333.7</v>
      </c>
      <c r="AI80" s="164">
        <f t="shared" si="497"/>
        <v>398.2</v>
      </c>
      <c r="AJ80" s="156">
        <f t="shared" si="497"/>
        <v>401.3</v>
      </c>
      <c r="AK80" s="156">
        <f t="shared" si="497"/>
        <v>913.1</v>
      </c>
      <c r="AL80" s="156">
        <f t="shared" si="497"/>
        <v>677.8</v>
      </c>
      <c r="AM80" s="164">
        <f t="shared" si="497"/>
        <v>568.29999999999995</v>
      </c>
      <c r="AN80" s="156">
        <f t="shared" si="497"/>
        <v>486.3</v>
      </c>
      <c r="AO80" s="156">
        <f t="shared" si="497"/>
        <v>507.2</v>
      </c>
      <c r="AP80" s="156">
        <f t="shared" si="497"/>
        <v>327.10000000000002</v>
      </c>
      <c r="AQ80" s="164">
        <f t="shared" si="497"/>
        <v>484.1</v>
      </c>
      <c r="AR80" s="156">
        <f t="shared" si="497"/>
        <v>318.8</v>
      </c>
      <c r="AS80" s="156">
        <f t="shared" si="497"/>
        <v>357.5</v>
      </c>
      <c r="AT80" s="156">
        <f t="shared" si="497"/>
        <v>468.3</v>
      </c>
      <c r="AU80" s="164">
        <f t="shared" si="497"/>
        <v>522.5</v>
      </c>
      <c r="AV80" s="156">
        <f t="shared" si="497"/>
        <v>661.1</v>
      </c>
      <c r="AW80" s="156">
        <f t="shared" si="497"/>
        <v>1535.6</v>
      </c>
      <c r="AX80" s="156">
        <f t="shared" si="497"/>
        <v>1467.7</v>
      </c>
      <c r="AY80" s="164">
        <f t="shared" si="497"/>
        <v>1431.3</v>
      </c>
      <c r="AZ80" s="156">
        <f t="shared" si="497"/>
        <v>1303</v>
      </c>
      <c r="BA80" s="156">
        <f t="shared" si="497"/>
        <v>1566</v>
      </c>
      <c r="BB80" s="156">
        <f t="shared" si="497"/>
        <v>2667</v>
      </c>
      <c r="BC80" s="164">
        <f t="shared" si="497"/>
        <v>2192</v>
      </c>
      <c r="BD80" s="156">
        <f t="shared" si="497"/>
        <v>1880</v>
      </c>
      <c r="BE80" s="156">
        <f t="shared" si="497"/>
        <v>1708</v>
      </c>
      <c r="BF80" s="156">
        <f t="shared" si="497"/>
        <v>1474</v>
      </c>
      <c r="BG80" s="164">
        <f t="shared" si="497"/>
        <v>1243</v>
      </c>
      <c r="BH80" s="156">
        <f t="shared" si="497"/>
        <v>1025</v>
      </c>
      <c r="BI80" s="156">
        <f t="shared" si="497"/>
        <v>932</v>
      </c>
      <c r="BJ80" s="156">
        <f t="shared" si="497"/>
        <v>1306</v>
      </c>
      <c r="BK80" s="164">
        <f t="shared" si="497"/>
        <v>1485</v>
      </c>
      <c r="BL80" s="158">
        <f t="shared" si="497"/>
        <v>1565</v>
      </c>
      <c r="BM80" s="156">
        <f t="shared" si="497"/>
        <v>1870</v>
      </c>
      <c r="BN80" s="156">
        <f t="shared" si="497"/>
        <v>2313</v>
      </c>
      <c r="BO80" s="164">
        <f t="shared" si="497"/>
        <v>2913</v>
      </c>
      <c r="BP80" s="156">
        <f t="shared" si="497"/>
        <v>2411</v>
      </c>
      <c r="BQ80" s="156">
        <f t="shared" si="497"/>
        <v>2184</v>
      </c>
      <c r="BR80" s="156">
        <f t="shared" si="497"/>
        <v>2395</v>
      </c>
      <c r="BS80" s="164">
        <f t="shared" si="497"/>
        <v>2160</v>
      </c>
      <c r="BT80" s="156">
        <f t="shared" si="497"/>
        <v>1915</v>
      </c>
      <c r="BU80" s="156">
        <f t="shared" si="497"/>
        <v>2094</v>
      </c>
      <c r="BV80" s="156">
        <f t="shared" si="497"/>
        <v>2191</v>
      </c>
      <c r="BW80" s="1321">
        <f t="shared" si="497"/>
        <v>2459</v>
      </c>
      <c r="BX80" s="1323">
        <f t="shared" si="497"/>
        <v>2102</v>
      </c>
      <c r="BY80" s="1321">
        <f t="shared" ref="BY80:CI80" si="498">+BY8</f>
        <v>2061</v>
      </c>
      <c r="BZ80" s="1321">
        <f t="shared" si="498"/>
        <v>2440</v>
      </c>
      <c r="CA80" s="1324">
        <f t="shared" si="498"/>
        <v>2880</v>
      </c>
      <c r="CB80" s="1323">
        <f t="shared" si="498"/>
        <v>3654</v>
      </c>
      <c r="CC80" s="1321">
        <f t="shared" ref="CC80:CE81" si="499">+CC8</f>
        <v>4305</v>
      </c>
      <c r="CD80" s="1321">
        <f t="shared" si="499"/>
        <v>4062</v>
      </c>
      <c r="CE80" s="1324">
        <f t="shared" si="499"/>
        <v>4150</v>
      </c>
      <c r="CF80" s="156">
        <f t="shared" si="498"/>
        <v>3764</v>
      </c>
      <c r="CG80" s="156">
        <f t="shared" si="498"/>
        <v>3547</v>
      </c>
      <c r="CH80" s="156">
        <f t="shared" si="498"/>
        <v>3694</v>
      </c>
      <c r="CI80" s="1321">
        <f t="shared" si="498"/>
        <v>2287</v>
      </c>
      <c r="CJ80" s="1323">
        <f t="shared" ref="CJ80:CM81" si="500">+CJ8</f>
        <v>2605</v>
      </c>
      <c r="CK80" s="1321">
        <f t="shared" si="500"/>
        <v>3078</v>
      </c>
      <c r="CL80" s="1321">
        <f t="shared" si="500"/>
        <v>4627</v>
      </c>
      <c r="CM80" s="1324">
        <f t="shared" si="500"/>
        <v>4140</v>
      </c>
      <c r="CN80" s="1323">
        <f t="shared" ref="CN80:CO81" si="501">+CN8</f>
        <v>4139</v>
      </c>
      <c r="CO80" s="1321">
        <f t="shared" si="501"/>
        <v>3633</v>
      </c>
      <c r="CP80" s="1321">
        <f t="shared" ref="CP80:CQ80" si="502">+CP8</f>
        <v>4065</v>
      </c>
      <c r="CQ80" s="1324">
        <f t="shared" si="502"/>
        <v>5109</v>
      </c>
      <c r="CR80" s="156">
        <f t="shared" ref="CR80:CU80" si="503">+CR8</f>
        <v>6008</v>
      </c>
      <c r="CS80" s="156">
        <f t="shared" si="503"/>
        <v>7876</v>
      </c>
      <c r="CT80" s="156">
        <f t="shared" si="503"/>
        <v>11875.975169087404</v>
      </c>
      <c r="CU80" s="164">
        <f t="shared" si="503"/>
        <v>14846.052040939898</v>
      </c>
      <c r="CV80" s="1321">
        <f t="shared" ref="CV80:CY80" si="504">+CV8</f>
        <v>16698.994975012749</v>
      </c>
      <c r="CW80" s="1321">
        <f t="shared" si="504"/>
        <v>18237.158819485157</v>
      </c>
      <c r="CX80" s="1321">
        <f t="shared" si="504"/>
        <v>19274.015362767506</v>
      </c>
      <c r="CY80" s="1324">
        <f t="shared" si="504"/>
        <v>19959.946412183035</v>
      </c>
      <c r="CZ80" s="1321">
        <f t="shared" ref="CZ80:DC80" si="505">+CZ8</f>
        <v>20733.594652083244</v>
      </c>
      <c r="DA80" s="1321">
        <f t="shared" si="505"/>
        <v>21021.860888705571</v>
      </c>
      <c r="DB80" s="1321">
        <f t="shared" si="505"/>
        <v>21359.305480133407</v>
      </c>
      <c r="DC80" s="1324">
        <f t="shared" si="505"/>
        <v>21626.147928009636</v>
      </c>
      <c r="DD80" s="18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7"/>
      <c r="EE80" s="18"/>
      <c r="EF80" s="65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7"/>
      <c r="FE80" s="21"/>
      <c r="FF80" s="13"/>
      <c r="FG80" s="13"/>
      <c r="FH80" s="13"/>
      <c r="FO80" s="7"/>
    </row>
    <row r="81" spans="1:171" ht="14.25" customHeight="1">
      <c r="A81" s="7"/>
      <c r="B81" s="443" t="s">
        <v>110</v>
      </c>
      <c r="C81" s="23"/>
      <c r="D81" s="156"/>
      <c r="E81" s="156"/>
      <c r="F81" s="156"/>
      <c r="G81" s="164"/>
      <c r="H81" s="156"/>
      <c r="I81" s="156"/>
      <c r="J81" s="156"/>
      <c r="K81" s="164"/>
      <c r="L81" s="156">
        <f>+L9</f>
        <v>5.5</v>
      </c>
      <c r="M81" s="156">
        <f t="shared" ref="M81:BX81" si="506">+M9</f>
        <v>6</v>
      </c>
      <c r="N81" s="156">
        <f t="shared" si="506"/>
        <v>87.5</v>
      </c>
      <c r="O81" s="164">
        <f t="shared" si="506"/>
        <v>368.2</v>
      </c>
      <c r="P81" s="156">
        <f t="shared" si="506"/>
        <v>585.79999999999995</v>
      </c>
      <c r="Q81" s="156">
        <f t="shared" si="506"/>
        <v>374.4</v>
      </c>
      <c r="R81" s="156">
        <f t="shared" si="506"/>
        <v>201.6</v>
      </c>
      <c r="S81" s="164">
        <f t="shared" si="506"/>
        <v>90.8</v>
      </c>
      <c r="T81" s="156">
        <f t="shared" si="506"/>
        <v>1159.0999999999999</v>
      </c>
      <c r="U81" s="156">
        <f t="shared" si="506"/>
        <v>1353.7</v>
      </c>
      <c r="V81" s="156">
        <f t="shared" si="506"/>
        <v>1309.9000000000001</v>
      </c>
      <c r="W81" s="164">
        <f t="shared" si="506"/>
        <v>1318.9</v>
      </c>
      <c r="X81" s="156">
        <f t="shared" si="506"/>
        <v>1444.8</v>
      </c>
      <c r="Y81" s="156">
        <f t="shared" si="506"/>
        <v>1248.5</v>
      </c>
      <c r="Z81" s="156">
        <f t="shared" si="506"/>
        <v>1464.5</v>
      </c>
      <c r="AA81" s="164">
        <f t="shared" si="506"/>
        <v>1764.7</v>
      </c>
      <c r="AB81" s="156">
        <f t="shared" si="506"/>
        <v>1894.8</v>
      </c>
      <c r="AC81" s="156">
        <f t="shared" si="506"/>
        <v>1449.2</v>
      </c>
      <c r="AD81" s="156">
        <f t="shared" si="506"/>
        <v>1105.9000000000001</v>
      </c>
      <c r="AE81" s="164">
        <f t="shared" si="506"/>
        <v>1209.2</v>
      </c>
      <c r="AF81" s="156">
        <f t="shared" si="506"/>
        <v>1373.7</v>
      </c>
      <c r="AG81" s="156">
        <f t="shared" si="506"/>
        <v>803</v>
      </c>
      <c r="AH81" s="156">
        <f t="shared" si="506"/>
        <v>918.1</v>
      </c>
      <c r="AI81" s="164">
        <f t="shared" si="506"/>
        <v>587.5</v>
      </c>
      <c r="AJ81" s="156">
        <f t="shared" si="506"/>
        <v>256.7</v>
      </c>
      <c r="AK81" s="156">
        <f t="shared" si="506"/>
        <v>292.8</v>
      </c>
      <c r="AL81" s="156">
        <f t="shared" si="506"/>
        <v>326</v>
      </c>
      <c r="AM81" s="164">
        <f t="shared" si="506"/>
        <v>353.5</v>
      </c>
      <c r="AN81" s="156">
        <f t="shared" si="506"/>
        <v>685.7</v>
      </c>
      <c r="AO81" s="156">
        <f t="shared" si="506"/>
        <v>704.5</v>
      </c>
      <c r="AP81" s="156">
        <f t="shared" si="506"/>
        <v>804.8</v>
      </c>
      <c r="AQ81" s="164">
        <f t="shared" si="506"/>
        <v>746.9</v>
      </c>
      <c r="AR81" s="156">
        <f t="shared" si="506"/>
        <v>731.4</v>
      </c>
      <c r="AS81" s="156">
        <f t="shared" si="506"/>
        <v>776.1</v>
      </c>
      <c r="AT81" s="156">
        <f t="shared" si="506"/>
        <v>827.3</v>
      </c>
      <c r="AU81" s="164">
        <f t="shared" si="506"/>
        <v>767.9</v>
      </c>
      <c r="AV81" s="156">
        <f t="shared" si="506"/>
        <v>716.3</v>
      </c>
      <c r="AW81" s="156">
        <f t="shared" si="506"/>
        <v>1051.2</v>
      </c>
      <c r="AX81" s="156">
        <f t="shared" si="506"/>
        <v>1362.3</v>
      </c>
      <c r="AY81" s="164">
        <f t="shared" si="506"/>
        <v>1649.5</v>
      </c>
      <c r="AZ81" s="156">
        <f t="shared" si="506"/>
        <v>1335</v>
      </c>
      <c r="BA81" s="156">
        <f t="shared" si="506"/>
        <v>627</v>
      </c>
      <c r="BB81" s="156">
        <f t="shared" si="506"/>
        <v>253</v>
      </c>
      <c r="BC81" s="164">
        <f t="shared" si="506"/>
        <v>424</v>
      </c>
      <c r="BD81" s="156">
        <f t="shared" si="506"/>
        <v>151</v>
      </c>
      <c r="BE81" s="156">
        <f t="shared" si="506"/>
        <v>145</v>
      </c>
      <c r="BF81" s="156">
        <f t="shared" si="506"/>
        <v>110</v>
      </c>
      <c r="BG81" s="164">
        <f t="shared" si="506"/>
        <v>119</v>
      </c>
      <c r="BH81" s="156">
        <f t="shared" si="506"/>
        <v>3</v>
      </c>
      <c r="BI81" s="156">
        <f t="shared" si="506"/>
        <v>0</v>
      </c>
      <c r="BJ81" s="156">
        <f t="shared" si="506"/>
        <v>0</v>
      </c>
      <c r="BK81" s="164">
        <f t="shared" si="506"/>
        <v>0</v>
      </c>
      <c r="BL81" s="158">
        <f t="shared" si="506"/>
        <v>0</v>
      </c>
      <c r="BM81" s="156">
        <f t="shared" si="506"/>
        <v>0</v>
      </c>
      <c r="BN81" s="156">
        <f t="shared" si="506"/>
        <v>0</v>
      </c>
      <c r="BO81" s="164">
        <f t="shared" si="506"/>
        <v>0</v>
      </c>
      <c r="BP81" s="156">
        <f t="shared" si="506"/>
        <v>0</v>
      </c>
      <c r="BQ81" s="156">
        <f t="shared" si="506"/>
        <v>0</v>
      </c>
      <c r="BR81" s="156">
        <f t="shared" si="506"/>
        <v>0</v>
      </c>
      <c r="BS81" s="164">
        <f t="shared" si="506"/>
        <v>0</v>
      </c>
      <c r="BT81" s="156">
        <f t="shared" si="506"/>
        <v>0</v>
      </c>
      <c r="BU81" s="156">
        <f t="shared" si="506"/>
        <v>0</v>
      </c>
      <c r="BV81" s="156">
        <f t="shared" si="506"/>
        <v>134</v>
      </c>
      <c r="BW81" s="1321">
        <f t="shared" si="506"/>
        <v>100</v>
      </c>
      <c r="BX81" s="1323">
        <f t="shared" si="506"/>
        <v>169</v>
      </c>
      <c r="BY81" s="1321">
        <f t="shared" ref="BY81:CI81" si="507">+BY9</f>
        <v>167</v>
      </c>
      <c r="BZ81" s="1321">
        <f t="shared" si="507"/>
        <v>112</v>
      </c>
      <c r="CA81" s="1324">
        <f t="shared" si="507"/>
        <v>221</v>
      </c>
      <c r="CB81" s="1323">
        <f t="shared" si="507"/>
        <v>216</v>
      </c>
      <c r="CC81" s="1321">
        <f t="shared" si="499"/>
        <v>199</v>
      </c>
      <c r="CD81" s="1321">
        <f t="shared" si="499"/>
        <v>202</v>
      </c>
      <c r="CE81" s="1324">
        <f t="shared" si="499"/>
        <v>384</v>
      </c>
      <c r="CF81" s="156">
        <f t="shared" si="507"/>
        <v>466</v>
      </c>
      <c r="CG81" s="156">
        <f t="shared" si="507"/>
        <v>932</v>
      </c>
      <c r="CH81" s="156">
        <f t="shared" si="507"/>
        <v>1166</v>
      </c>
      <c r="CI81" s="1321">
        <f t="shared" si="507"/>
        <v>1234</v>
      </c>
      <c r="CJ81" s="1323">
        <f t="shared" si="500"/>
        <v>1036</v>
      </c>
      <c r="CK81" s="1321">
        <f t="shared" si="500"/>
        <v>957</v>
      </c>
      <c r="CL81" s="1321">
        <f t="shared" si="500"/>
        <v>354</v>
      </c>
      <c r="CM81" s="1324">
        <f t="shared" si="500"/>
        <v>258</v>
      </c>
      <c r="CN81" s="1323">
        <f t="shared" ref="CN81" si="508">+CN9</f>
        <v>30</v>
      </c>
      <c r="CO81" s="1321">
        <f t="shared" si="501"/>
        <v>265</v>
      </c>
      <c r="CP81" s="1321">
        <f t="shared" ref="CP81:CQ81" si="509">+CP9</f>
        <v>265</v>
      </c>
      <c r="CQ81" s="1324">
        <f t="shared" si="509"/>
        <v>319</v>
      </c>
      <c r="CR81" s="156">
        <f t="shared" ref="CR81:CU81" si="510">+CR9</f>
        <v>166</v>
      </c>
      <c r="CS81" s="156">
        <f t="shared" si="510"/>
        <v>166</v>
      </c>
      <c r="CT81" s="156">
        <f t="shared" si="510"/>
        <v>166</v>
      </c>
      <c r="CU81" s="164">
        <f t="shared" si="510"/>
        <v>166</v>
      </c>
      <c r="CV81" s="1321">
        <f t="shared" ref="CV81:CY81" si="511">+CV9</f>
        <v>166</v>
      </c>
      <c r="CW81" s="1321">
        <f t="shared" si="511"/>
        <v>166</v>
      </c>
      <c r="CX81" s="1321">
        <f t="shared" si="511"/>
        <v>166</v>
      </c>
      <c r="CY81" s="1324">
        <f t="shared" si="511"/>
        <v>166</v>
      </c>
      <c r="CZ81" s="1321">
        <f t="shared" ref="CZ81:DC81" si="512">+CZ9</f>
        <v>166</v>
      </c>
      <c r="DA81" s="1321">
        <f t="shared" si="512"/>
        <v>166</v>
      </c>
      <c r="DB81" s="1321">
        <f t="shared" si="512"/>
        <v>166</v>
      </c>
      <c r="DC81" s="1324">
        <f t="shared" si="512"/>
        <v>166</v>
      </c>
      <c r="DD81" s="18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7"/>
      <c r="EE81" s="18"/>
      <c r="EF81" s="65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7"/>
      <c r="FE81" s="21"/>
      <c r="FF81" s="13"/>
      <c r="FG81" s="13"/>
      <c r="FH81" s="13"/>
      <c r="FO81" s="7"/>
    </row>
    <row r="82" spans="1:171" s="415" customFormat="1" ht="14.25" customHeight="1">
      <c r="A82" s="413"/>
      <c r="B82" s="448" t="s">
        <v>111</v>
      </c>
      <c r="C82" s="558"/>
      <c r="D82" s="645"/>
      <c r="E82" s="645"/>
      <c r="F82" s="645"/>
      <c r="G82" s="646"/>
      <c r="H82" s="645"/>
      <c r="I82" s="645"/>
      <c r="J82" s="645"/>
      <c r="K82" s="646"/>
      <c r="L82" s="645">
        <f>+L22</f>
        <v>0</v>
      </c>
      <c r="M82" s="645">
        <f t="shared" ref="M82:BX82" si="513">+M22</f>
        <v>0</v>
      </c>
      <c r="N82" s="645">
        <f t="shared" si="513"/>
        <v>0</v>
      </c>
      <c r="O82" s="646">
        <f t="shared" si="513"/>
        <v>0</v>
      </c>
      <c r="P82" s="645">
        <f t="shared" si="513"/>
        <v>0</v>
      </c>
      <c r="Q82" s="645">
        <f t="shared" si="513"/>
        <v>0</v>
      </c>
      <c r="R82" s="645">
        <f t="shared" si="513"/>
        <v>0</v>
      </c>
      <c r="S82" s="646">
        <f t="shared" si="513"/>
        <v>0</v>
      </c>
      <c r="T82" s="645">
        <f t="shared" si="513"/>
        <v>0</v>
      </c>
      <c r="U82" s="645">
        <f t="shared" si="513"/>
        <v>0</v>
      </c>
      <c r="V82" s="645">
        <f t="shared" si="513"/>
        <v>0</v>
      </c>
      <c r="W82" s="646">
        <f t="shared" si="513"/>
        <v>0</v>
      </c>
      <c r="X82" s="645">
        <f t="shared" si="513"/>
        <v>0</v>
      </c>
      <c r="Y82" s="645">
        <f t="shared" si="513"/>
        <v>0</v>
      </c>
      <c r="Z82" s="645">
        <f t="shared" si="513"/>
        <v>0</v>
      </c>
      <c r="AA82" s="646">
        <f t="shared" si="513"/>
        <v>0</v>
      </c>
      <c r="AB82" s="645">
        <f t="shared" si="513"/>
        <v>0</v>
      </c>
      <c r="AC82" s="645">
        <f t="shared" si="513"/>
        <v>0</v>
      </c>
      <c r="AD82" s="645">
        <f t="shared" si="513"/>
        <v>0</v>
      </c>
      <c r="AE82" s="646">
        <f t="shared" si="513"/>
        <v>0</v>
      </c>
      <c r="AF82" s="645">
        <f t="shared" si="513"/>
        <v>0</v>
      </c>
      <c r="AG82" s="645">
        <f t="shared" si="513"/>
        <v>0</v>
      </c>
      <c r="AH82" s="645">
        <f t="shared" si="513"/>
        <v>0</v>
      </c>
      <c r="AI82" s="646">
        <f t="shared" si="513"/>
        <v>0</v>
      </c>
      <c r="AJ82" s="645">
        <f t="shared" si="513"/>
        <v>0</v>
      </c>
      <c r="AK82" s="645">
        <f t="shared" si="513"/>
        <v>0</v>
      </c>
      <c r="AL82" s="645">
        <f t="shared" si="513"/>
        <v>0</v>
      </c>
      <c r="AM82" s="646">
        <f t="shared" si="513"/>
        <v>0</v>
      </c>
      <c r="AN82" s="645">
        <f t="shared" si="513"/>
        <v>0</v>
      </c>
      <c r="AO82" s="645">
        <f t="shared" si="513"/>
        <v>0</v>
      </c>
      <c r="AP82" s="645">
        <f t="shared" si="513"/>
        <v>0</v>
      </c>
      <c r="AQ82" s="646">
        <f t="shared" si="513"/>
        <v>0</v>
      </c>
      <c r="AR82" s="645">
        <f t="shared" si="513"/>
        <v>0</v>
      </c>
      <c r="AS82" s="645">
        <f t="shared" si="513"/>
        <v>0</v>
      </c>
      <c r="AT82" s="645">
        <f t="shared" si="513"/>
        <v>0</v>
      </c>
      <c r="AU82" s="646">
        <f t="shared" si="513"/>
        <v>0</v>
      </c>
      <c r="AV82" s="645">
        <f t="shared" si="513"/>
        <v>0</v>
      </c>
      <c r="AW82" s="645">
        <f t="shared" si="513"/>
        <v>0</v>
      </c>
      <c r="AX82" s="645">
        <f t="shared" si="513"/>
        <v>0</v>
      </c>
      <c r="AY82" s="646">
        <f t="shared" si="513"/>
        <v>0</v>
      </c>
      <c r="AZ82" s="645">
        <f t="shared" si="513"/>
        <v>0</v>
      </c>
      <c r="BA82" s="645">
        <f t="shared" si="513"/>
        <v>0</v>
      </c>
      <c r="BB82" s="645">
        <f t="shared" si="513"/>
        <v>0</v>
      </c>
      <c r="BC82" s="646">
        <f t="shared" si="513"/>
        <v>0</v>
      </c>
      <c r="BD82" s="645">
        <f t="shared" si="513"/>
        <v>0</v>
      </c>
      <c r="BE82" s="645">
        <f t="shared" si="513"/>
        <v>0</v>
      </c>
      <c r="BF82" s="645">
        <f t="shared" si="513"/>
        <v>0</v>
      </c>
      <c r="BG82" s="646">
        <f t="shared" si="513"/>
        <v>0</v>
      </c>
      <c r="BH82" s="645">
        <f t="shared" si="513"/>
        <v>0</v>
      </c>
      <c r="BI82" s="645">
        <f t="shared" si="513"/>
        <v>0</v>
      </c>
      <c r="BJ82" s="645">
        <f t="shared" si="513"/>
        <v>0</v>
      </c>
      <c r="BK82" s="646">
        <f t="shared" si="513"/>
        <v>0</v>
      </c>
      <c r="BL82" s="647">
        <f t="shared" si="513"/>
        <v>16</v>
      </c>
      <c r="BM82" s="645">
        <f t="shared" si="513"/>
        <v>22</v>
      </c>
      <c r="BN82" s="645">
        <f t="shared" si="513"/>
        <v>17</v>
      </c>
      <c r="BO82" s="646">
        <f t="shared" si="513"/>
        <v>19</v>
      </c>
      <c r="BP82" s="645">
        <f t="shared" si="513"/>
        <v>19</v>
      </c>
      <c r="BQ82" s="645">
        <f t="shared" si="513"/>
        <v>28</v>
      </c>
      <c r="BR82" s="645">
        <f t="shared" si="513"/>
        <v>50</v>
      </c>
      <c r="BS82" s="646">
        <f t="shared" si="513"/>
        <v>52</v>
      </c>
      <c r="BT82" s="645">
        <f t="shared" si="513"/>
        <v>53</v>
      </c>
      <c r="BU82" s="645">
        <f t="shared" si="513"/>
        <v>14</v>
      </c>
      <c r="BV82" s="645">
        <f t="shared" si="513"/>
        <v>361</v>
      </c>
      <c r="BW82" s="1348">
        <f t="shared" si="513"/>
        <v>374</v>
      </c>
      <c r="BX82" s="1350">
        <f t="shared" si="513"/>
        <v>527</v>
      </c>
      <c r="BY82" s="1348">
        <f t="shared" ref="BY82:CI82" si="514">+BY22</f>
        <v>546</v>
      </c>
      <c r="BZ82" s="1348">
        <f t="shared" si="514"/>
        <v>347</v>
      </c>
      <c r="CA82" s="1349">
        <f t="shared" si="514"/>
        <v>499</v>
      </c>
      <c r="CB82" s="1350">
        <f t="shared" si="514"/>
        <v>538</v>
      </c>
      <c r="CC82" s="1348">
        <f>+CC22</f>
        <v>552</v>
      </c>
      <c r="CD82" s="1348">
        <f>+CD22</f>
        <v>545</v>
      </c>
      <c r="CE82" s="1349">
        <f>+CE22</f>
        <v>819</v>
      </c>
      <c r="CF82" s="645">
        <f t="shared" si="514"/>
        <v>1077</v>
      </c>
      <c r="CG82" s="645">
        <f t="shared" si="514"/>
        <v>1869</v>
      </c>
      <c r="CH82" s="645">
        <f t="shared" si="514"/>
        <v>2470</v>
      </c>
      <c r="CI82" s="1348">
        <f t="shared" si="514"/>
        <v>2113</v>
      </c>
      <c r="CJ82" s="1350">
        <f t="shared" ref="CJ82:CQ82" si="515">+CJ22</f>
        <v>1771</v>
      </c>
      <c r="CK82" s="1348">
        <f t="shared" si="515"/>
        <v>1108</v>
      </c>
      <c r="CL82" s="1348">
        <f t="shared" si="515"/>
        <v>893</v>
      </c>
      <c r="CM82" s="1349">
        <f t="shared" si="515"/>
        <v>414</v>
      </c>
      <c r="CN82" s="1350">
        <f t="shared" ref="CN82:CO82" si="516">+CN22</f>
        <v>155</v>
      </c>
      <c r="CO82" s="1348">
        <f t="shared" si="516"/>
        <v>589</v>
      </c>
      <c r="CP82" s="1348">
        <f t="shared" si="515"/>
        <v>471</v>
      </c>
      <c r="CQ82" s="1349">
        <f t="shared" si="515"/>
        <v>617</v>
      </c>
      <c r="CR82" s="645">
        <f t="shared" ref="CR82:CU82" si="517">+CR22</f>
        <v>314</v>
      </c>
      <c r="CS82" s="645">
        <f t="shared" si="517"/>
        <v>520</v>
      </c>
      <c r="CT82" s="645">
        <f t="shared" si="517"/>
        <v>520</v>
      </c>
      <c r="CU82" s="1349">
        <f t="shared" si="517"/>
        <v>520</v>
      </c>
      <c r="CV82" s="1348">
        <f t="shared" ref="CV82:CY82" si="518">+CV22</f>
        <v>520</v>
      </c>
      <c r="CW82" s="1348">
        <f t="shared" si="518"/>
        <v>520</v>
      </c>
      <c r="CX82" s="1348">
        <f t="shared" si="518"/>
        <v>520</v>
      </c>
      <c r="CY82" s="1349">
        <f t="shared" si="518"/>
        <v>520</v>
      </c>
      <c r="CZ82" s="1348">
        <f t="shared" ref="CZ82:DC82" si="519">+CZ22</f>
        <v>520</v>
      </c>
      <c r="DA82" s="1348">
        <f t="shared" si="519"/>
        <v>520</v>
      </c>
      <c r="DB82" s="1348">
        <f t="shared" si="519"/>
        <v>520</v>
      </c>
      <c r="DC82" s="1349">
        <f t="shared" si="519"/>
        <v>520</v>
      </c>
      <c r="DD82" s="518"/>
      <c r="DE82" s="648"/>
      <c r="DF82" s="648"/>
      <c r="DG82" s="648"/>
      <c r="DH82" s="648"/>
      <c r="DI82" s="648"/>
      <c r="DJ82" s="648"/>
      <c r="DK82" s="648"/>
      <c r="DL82" s="648"/>
      <c r="DM82" s="648"/>
      <c r="DN82" s="648"/>
      <c r="DO82" s="648"/>
      <c r="DP82" s="648"/>
      <c r="DQ82" s="648"/>
      <c r="DR82" s="648"/>
      <c r="DS82" s="648"/>
      <c r="DT82" s="648"/>
      <c r="DU82" s="648"/>
      <c r="DV82" s="648"/>
      <c r="DW82" s="648"/>
      <c r="DX82" s="648"/>
      <c r="DY82" s="648"/>
      <c r="DZ82" s="648"/>
      <c r="EA82" s="648"/>
      <c r="EB82" s="648"/>
      <c r="EC82" s="648"/>
      <c r="ED82" s="650"/>
      <c r="EE82" s="518"/>
      <c r="EF82" s="649"/>
      <c r="EG82" s="648"/>
      <c r="EH82" s="648"/>
      <c r="EI82" s="648"/>
      <c r="EJ82" s="648"/>
      <c r="EK82" s="648"/>
      <c r="EL82" s="648"/>
      <c r="EM82" s="648"/>
      <c r="EN82" s="648"/>
      <c r="EO82" s="648"/>
      <c r="EP82" s="648"/>
      <c r="EQ82" s="648"/>
      <c r="ER82" s="648"/>
      <c r="ES82" s="648"/>
      <c r="ET82" s="648"/>
      <c r="EU82" s="648"/>
      <c r="EV82" s="648"/>
      <c r="EW82" s="648"/>
      <c r="EX82" s="648"/>
      <c r="EY82" s="648"/>
      <c r="EZ82" s="648"/>
      <c r="FA82" s="648"/>
      <c r="FB82" s="648"/>
      <c r="FC82" s="648"/>
      <c r="FD82" s="650"/>
      <c r="FE82" s="503"/>
      <c r="FF82" s="414"/>
      <c r="FG82" s="414"/>
      <c r="FH82" s="414"/>
      <c r="FI82"/>
      <c r="FJ82"/>
      <c r="FK82"/>
      <c r="FL82"/>
      <c r="FM82"/>
      <c r="FN82"/>
      <c r="FO82" s="413"/>
    </row>
    <row r="83" spans="1:171" ht="14.25" customHeight="1">
      <c r="A83" s="7"/>
      <c r="B83" s="433" t="s">
        <v>112</v>
      </c>
      <c r="C83" s="23"/>
      <c r="D83" s="156"/>
      <c r="E83" s="156"/>
      <c r="F83" s="156"/>
      <c r="G83" s="164"/>
      <c r="H83" s="156"/>
      <c r="I83" s="156"/>
      <c r="J83" s="156"/>
      <c r="K83" s="164"/>
      <c r="L83" s="156">
        <f>+SUM(L80:L82)</f>
        <v>227.8</v>
      </c>
      <c r="M83" s="156">
        <f t="shared" ref="M83:BX83" si="520">+SUM(M80:M82)</f>
        <v>588.9</v>
      </c>
      <c r="N83" s="156">
        <f t="shared" si="520"/>
        <v>521</v>
      </c>
      <c r="O83" s="164">
        <f t="shared" si="520"/>
        <v>987.7</v>
      </c>
      <c r="P83" s="156">
        <f t="shared" si="520"/>
        <v>928.19999999999993</v>
      </c>
      <c r="Q83" s="156">
        <f t="shared" si="520"/>
        <v>934.9</v>
      </c>
      <c r="R83" s="156">
        <f t="shared" si="520"/>
        <v>708.4</v>
      </c>
      <c r="S83" s="164">
        <f t="shared" si="520"/>
        <v>649.4</v>
      </c>
      <c r="T83" s="156">
        <f t="shared" si="520"/>
        <v>1924.8</v>
      </c>
      <c r="U83" s="156">
        <f t="shared" si="520"/>
        <v>1782.600000000001</v>
      </c>
      <c r="V83" s="156">
        <f t="shared" si="520"/>
        <v>1660.5</v>
      </c>
      <c r="W83" s="164">
        <f t="shared" si="520"/>
        <v>1613.5</v>
      </c>
      <c r="X83" s="156">
        <f t="shared" si="520"/>
        <v>1886.400000000001</v>
      </c>
      <c r="Y83" s="156">
        <f t="shared" si="520"/>
        <v>1678.4</v>
      </c>
      <c r="Z83" s="156">
        <f t="shared" si="520"/>
        <v>1847.7</v>
      </c>
      <c r="AA83" s="164">
        <f t="shared" si="520"/>
        <v>2466.4</v>
      </c>
      <c r="AB83" s="156">
        <f t="shared" si="520"/>
        <v>2463.5</v>
      </c>
      <c r="AC83" s="156">
        <f t="shared" si="520"/>
        <v>2049.1</v>
      </c>
      <c r="AD83" s="156">
        <f t="shared" si="520"/>
        <v>1728.6000000000001</v>
      </c>
      <c r="AE83" s="164">
        <f t="shared" si="520"/>
        <v>1678.3000000000002</v>
      </c>
      <c r="AF83" s="156">
        <f t="shared" si="520"/>
        <v>1731.6</v>
      </c>
      <c r="AG83" s="156">
        <f t="shared" si="520"/>
        <v>1480.9</v>
      </c>
      <c r="AH83" s="156">
        <f t="shared" si="520"/>
        <v>1251.8</v>
      </c>
      <c r="AI83" s="164">
        <f t="shared" si="520"/>
        <v>985.7</v>
      </c>
      <c r="AJ83" s="156">
        <f t="shared" si="520"/>
        <v>658</v>
      </c>
      <c r="AK83" s="156">
        <f t="shared" si="520"/>
        <v>1205.9000000000001</v>
      </c>
      <c r="AL83" s="156">
        <f t="shared" si="520"/>
        <v>1003.8</v>
      </c>
      <c r="AM83" s="164">
        <f t="shared" si="520"/>
        <v>921.8</v>
      </c>
      <c r="AN83" s="156">
        <f t="shared" si="520"/>
        <v>1172</v>
      </c>
      <c r="AO83" s="156">
        <f t="shared" si="520"/>
        <v>1211.7</v>
      </c>
      <c r="AP83" s="156">
        <f t="shared" si="520"/>
        <v>1131.9000000000001</v>
      </c>
      <c r="AQ83" s="164">
        <f t="shared" si="520"/>
        <v>1231</v>
      </c>
      <c r="AR83" s="156">
        <f t="shared" si="520"/>
        <v>1050.2</v>
      </c>
      <c r="AS83" s="156">
        <f t="shared" si="520"/>
        <v>1133.5999999999999</v>
      </c>
      <c r="AT83" s="156">
        <f t="shared" si="520"/>
        <v>1295.5999999999999</v>
      </c>
      <c r="AU83" s="164">
        <f t="shared" si="520"/>
        <v>1290.4000000000001</v>
      </c>
      <c r="AV83" s="156">
        <f t="shared" si="520"/>
        <v>1377.4</v>
      </c>
      <c r="AW83" s="156">
        <f t="shared" si="520"/>
        <v>2586.8000000000002</v>
      </c>
      <c r="AX83" s="156">
        <f t="shared" si="520"/>
        <v>2830</v>
      </c>
      <c r="AY83" s="164">
        <f t="shared" si="520"/>
        <v>3080.8</v>
      </c>
      <c r="AZ83" s="156">
        <f t="shared" si="520"/>
        <v>2638</v>
      </c>
      <c r="BA83" s="156">
        <f t="shared" si="520"/>
        <v>2193</v>
      </c>
      <c r="BB83" s="156">
        <f t="shared" si="520"/>
        <v>2920</v>
      </c>
      <c r="BC83" s="164">
        <f t="shared" si="520"/>
        <v>2616</v>
      </c>
      <c r="BD83" s="156">
        <f t="shared" si="520"/>
        <v>2031</v>
      </c>
      <c r="BE83" s="156">
        <f t="shared" si="520"/>
        <v>1853</v>
      </c>
      <c r="BF83" s="156">
        <f t="shared" si="520"/>
        <v>1584</v>
      </c>
      <c r="BG83" s="164">
        <f t="shared" si="520"/>
        <v>1362</v>
      </c>
      <c r="BH83" s="156">
        <f t="shared" si="520"/>
        <v>1028</v>
      </c>
      <c r="BI83" s="156">
        <f t="shared" si="520"/>
        <v>932</v>
      </c>
      <c r="BJ83" s="156">
        <f t="shared" si="520"/>
        <v>1306</v>
      </c>
      <c r="BK83" s="164">
        <f t="shared" si="520"/>
        <v>1485</v>
      </c>
      <c r="BL83" s="158">
        <f t="shared" si="520"/>
        <v>1581</v>
      </c>
      <c r="BM83" s="156">
        <f t="shared" si="520"/>
        <v>1892</v>
      </c>
      <c r="BN83" s="156">
        <f t="shared" si="520"/>
        <v>2330</v>
      </c>
      <c r="BO83" s="164">
        <f t="shared" si="520"/>
        <v>2932</v>
      </c>
      <c r="BP83" s="156">
        <f t="shared" si="520"/>
        <v>2430</v>
      </c>
      <c r="BQ83" s="156">
        <f t="shared" si="520"/>
        <v>2212</v>
      </c>
      <c r="BR83" s="156">
        <f t="shared" si="520"/>
        <v>2445</v>
      </c>
      <c r="BS83" s="164">
        <f t="shared" si="520"/>
        <v>2212</v>
      </c>
      <c r="BT83" s="156">
        <f t="shared" si="520"/>
        <v>1968</v>
      </c>
      <c r="BU83" s="156">
        <f t="shared" si="520"/>
        <v>2108</v>
      </c>
      <c r="BV83" s="156">
        <f t="shared" si="520"/>
        <v>2686</v>
      </c>
      <c r="BW83" s="1321">
        <f t="shared" si="520"/>
        <v>2933</v>
      </c>
      <c r="BX83" s="1323">
        <f t="shared" si="520"/>
        <v>2798</v>
      </c>
      <c r="BY83" s="1321">
        <f t="shared" ref="BY83:CI83" si="521">+SUM(BY80:BY82)</f>
        <v>2774</v>
      </c>
      <c r="BZ83" s="1321">
        <f t="shared" si="521"/>
        <v>2899</v>
      </c>
      <c r="CA83" s="1324">
        <f t="shared" si="521"/>
        <v>3600</v>
      </c>
      <c r="CB83" s="1323">
        <f t="shared" si="521"/>
        <v>4408</v>
      </c>
      <c r="CC83" s="1321">
        <f>+SUM(CC80:CC82)</f>
        <v>5056</v>
      </c>
      <c r="CD83" s="1321">
        <f>+SUM(CD80:CD82)</f>
        <v>4809</v>
      </c>
      <c r="CE83" s="1324">
        <f>+SUM(CE80:CE82)</f>
        <v>5353</v>
      </c>
      <c r="CF83" s="156">
        <f t="shared" si="521"/>
        <v>5307</v>
      </c>
      <c r="CG83" s="156">
        <f t="shared" si="521"/>
        <v>6348</v>
      </c>
      <c r="CH83" s="156">
        <f t="shared" si="521"/>
        <v>7330</v>
      </c>
      <c r="CI83" s="1321">
        <f t="shared" si="521"/>
        <v>5634</v>
      </c>
      <c r="CJ83" s="1323">
        <f t="shared" ref="CJ83:CQ83" si="522">+SUM(CJ80:CJ82)</f>
        <v>5412</v>
      </c>
      <c r="CK83" s="1321">
        <f t="shared" si="522"/>
        <v>5143</v>
      </c>
      <c r="CL83" s="1321">
        <f t="shared" si="522"/>
        <v>5874</v>
      </c>
      <c r="CM83" s="1324">
        <f t="shared" si="522"/>
        <v>4812</v>
      </c>
      <c r="CN83" s="1323">
        <f t="shared" ref="CN83:CO83" si="523">+SUM(CN80:CN82)</f>
        <v>4324</v>
      </c>
      <c r="CO83" s="1321">
        <f t="shared" si="523"/>
        <v>4487</v>
      </c>
      <c r="CP83" s="1321">
        <f t="shared" si="522"/>
        <v>4801</v>
      </c>
      <c r="CQ83" s="1324">
        <f t="shared" si="522"/>
        <v>6045</v>
      </c>
      <c r="CR83" s="156">
        <f t="shared" ref="CR83:CU83" si="524">+SUM(CR80:CR82)</f>
        <v>6488</v>
      </c>
      <c r="CS83" s="156">
        <f t="shared" si="524"/>
        <v>8562</v>
      </c>
      <c r="CT83" s="156">
        <f t="shared" si="524"/>
        <v>12561.975169087404</v>
      </c>
      <c r="CU83" s="1324">
        <f t="shared" si="524"/>
        <v>15532.052040939898</v>
      </c>
      <c r="CV83" s="1321">
        <f t="shared" ref="CV83:CY83" si="525">+SUM(CV80:CV82)</f>
        <v>17384.994975012749</v>
      </c>
      <c r="CW83" s="1321">
        <f t="shared" si="525"/>
        <v>18923.158819485157</v>
      </c>
      <c r="CX83" s="1321">
        <f t="shared" si="525"/>
        <v>19960.015362767506</v>
      </c>
      <c r="CY83" s="1324">
        <f t="shared" si="525"/>
        <v>20645.946412183035</v>
      </c>
      <c r="CZ83" s="1321">
        <f t="shared" ref="CZ83:DC83" si="526">+SUM(CZ80:CZ82)</f>
        <v>21419.594652083244</v>
      </c>
      <c r="DA83" s="1321">
        <f t="shared" si="526"/>
        <v>21707.860888705571</v>
      </c>
      <c r="DB83" s="1321">
        <f t="shared" si="526"/>
        <v>22045.305480133407</v>
      </c>
      <c r="DC83" s="1324">
        <f t="shared" si="526"/>
        <v>22312.147928009636</v>
      </c>
      <c r="DD83" s="18"/>
      <c r="DE83" s="66"/>
      <c r="DF83" s="66"/>
      <c r="DG83" s="66"/>
      <c r="DH83" s="66"/>
      <c r="DI83" s="66"/>
      <c r="DJ83" s="66"/>
      <c r="DK83" s="66"/>
      <c r="DL83" s="66"/>
      <c r="DM83" s="66"/>
      <c r="DN83" s="66"/>
      <c r="DO83" s="66"/>
      <c r="DP83" s="66"/>
      <c r="DQ83" s="66"/>
      <c r="DR83" s="66"/>
      <c r="DS83" s="66"/>
      <c r="DT83" s="66"/>
      <c r="DU83" s="66"/>
      <c r="DV83" s="66"/>
      <c r="DW83" s="66"/>
      <c r="DX83" s="66"/>
      <c r="DY83" s="66"/>
      <c r="DZ83" s="66"/>
      <c r="EA83" s="66"/>
      <c r="EB83" s="66"/>
      <c r="EC83" s="66"/>
      <c r="ED83" s="67"/>
      <c r="EE83" s="18"/>
      <c r="EF83" s="65"/>
      <c r="EG83" s="66"/>
      <c r="EH83" s="66"/>
      <c r="EI83" s="66"/>
      <c r="EJ83" s="66"/>
      <c r="EK83" s="66"/>
      <c r="EL83" s="66"/>
      <c r="EM83" s="66"/>
      <c r="EN83" s="66"/>
      <c r="EO83" s="66"/>
      <c r="EP83" s="66"/>
      <c r="EQ83" s="66"/>
      <c r="ER83" s="66"/>
      <c r="ES83" s="66"/>
      <c r="ET83" s="66"/>
      <c r="EU83" s="66"/>
      <c r="EV83" s="66"/>
      <c r="EW83" s="66"/>
      <c r="EX83" s="66"/>
      <c r="EY83" s="66"/>
      <c r="EZ83" s="66"/>
      <c r="FA83" s="66"/>
      <c r="FB83" s="66"/>
      <c r="FC83" s="66"/>
      <c r="FD83" s="67"/>
      <c r="FE83" s="21"/>
      <c r="FF83" s="13"/>
      <c r="FG83" s="13"/>
      <c r="FH83" s="13"/>
      <c r="FO83" s="7"/>
    </row>
    <row r="84" spans="1:171" ht="14.25" customHeight="1">
      <c r="A84" s="7"/>
      <c r="B84" s="433"/>
      <c r="C84" s="23"/>
      <c r="D84" s="156"/>
      <c r="E84" s="156"/>
      <c r="F84" s="156"/>
      <c r="G84" s="164"/>
      <c r="H84" s="156"/>
      <c r="I84" s="156"/>
      <c r="J84" s="156"/>
      <c r="K84" s="164"/>
      <c r="L84" s="156"/>
      <c r="M84" s="156"/>
      <c r="N84" s="156"/>
      <c r="O84" s="164"/>
      <c r="P84" s="156"/>
      <c r="Q84" s="156"/>
      <c r="R84" s="156"/>
      <c r="S84" s="164"/>
      <c r="T84" s="156"/>
      <c r="U84" s="156"/>
      <c r="V84" s="156"/>
      <c r="W84" s="164"/>
      <c r="X84" s="156"/>
      <c r="Y84" s="156"/>
      <c r="Z84" s="156"/>
      <c r="AA84" s="164"/>
      <c r="AB84" s="156"/>
      <c r="AC84" s="156"/>
      <c r="AD84" s="156"/>
      <c r="AE84" s="164"/>
      <c r="AF84" s="156"/>
      <c r="AG84" s="156"/>
      <c r="AH84" s="156"/>
      <c r="AI84" s="164"/>
      <c r="AJ84" s="156"/>
      <c r="AK84" s="156"/>
      <c r="AL84" s="156"/>
      <c r="AM84" s="164"/>
      <c r="AN84" s="156"/>
      <c r="AO84" s="156"/>
      <c r="AP84" s="156"/>
      <c r="AQ84" s="164"/>
      <c r="AR84" s="156"/>
      <c r="AS84" s="156"/>
      <c r="AT84" s="156"/>
      <c r="AU84" s="164"/>
      <c r="AV84" s="156"/>
      <c r="AW84" s="156"/>
      <c r="AX84" s="156"/>
      <c r="AY84" s="164"/>
      <c r="AZ84" s="156"/>
      <c r="BA84" s="156"/>
      <c r="BB84" s="156"/>
      <c r="BC84" s="164"/>
      <c r="BD84" s="156"/>
      <c r="BE84" s="156"/>
      <c r="BF84" s="156"/>
      <c r="BG84" s="164"/>
      <c r="BH84" s="156"/>
      <c r="BI84" s="156"/>
      <c r="BJ84" s="156"/>
      <c r="BK84" s="164"/>
      <c r="BL84" s="158"/>
      <c r="BM84" s="156"/>
      <c r="BN84" s="156"/>
      <c r="BO84" s="164"/>
      <c r="BP84" s="156"/>
      <c r="BQ84" s="156"/>
      <c r="BR84" s="156"/>
      <c r="BS84" s="164"/>
      <c r="BT84" s="156"/>
      <c r="BU84" s="156"/>
      <c r="BV84" s="156"/>
      <c r="BW84" s="1321"/>
      <c r="BX84" s="1323"/>
      <c r="BY84" s="1321"/>
      <c r="BZ84" s="1321"/>
      <c r="CA84" s="1324"/>
      <c r="CB84" s="1323"/>
      <c r="CC84" s="1321"/>
      <c r="CD84" s="1321"/>
      <c r="CE84" s="1358" t="s">
        <v>252</v>
      </c>
      <c r="CF84" s="156" t="s">
        <v>252</v>
      </c>
      <c r="CG84" s="156"/>
      <c r="CH84" s="156"/>
      <c r="CI84" s="1315"/>
      <c r="CJ84" s="1323"/>
      <c r="CK84" s="1321"/>
      <c r="CL84" s="1321"/>
      <c r="CM84" s="1358"/>
      <c r="CN84" s="1323"/>
      <c r="CO84" s="1321"/>
      <c r="CP84" s="1321"/>
      <c r="CQ84" s="1324"/>
      <c r="CR84" s="156"/>
      <c r="CS84" s="156"/>
      <c r="CT84" s="156"/>
      <c r="CU84" s="1324"/>
      <c r="CV84" s="1321"/>
      <c r="CW84" s="1321"/>
      <c r="CX84" s="1321"/>
      <c r="CY84" s="1324"/>
      <c r="CZ84" s="1321"/>
      <c r="DA84" s="1321"/>
      <c r="DB84" s="1321"/>
      <c r="DC84" s="1324"/>
      <c r="DD84" s="18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7"/>
      <c r="EE84" s="18"/>
      <c r="EF84" s="65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66"/>
      <c r="EZ84" s="66"/>
      <c r="FA84" s="66"/>
      <c r="FB84" s="66"/>
      <c r="FC84" s="66"/>
      <c r="FD84" s="67"/>
      <c r="FE84" s="21"/>
      <c r="FF84" s="13"/>
      <c r="FG84" s="13"/>
      <c r="FH84" s="13"/>
      <c r="FO84" s="7"/>
    </row>
    <row r="85" spans="1:171" ht="14.25" customHeight="1">
      <c r="A85" s="7"/>
      <c r="B85" s="433"/>
      <c r="C85" s="23"/>
      <c r="D85" s="156"/>
      <c r="E85" s="156"/>
      <c r="F85" s="156"/>
      <c r="G85" s="164"/>
      <c r="H85" s="156"/>
      <c r="I85" s="156"/>
      <c r="J85" s="156"/>
      <c r="K85" s="164"/>
      <c r="L85" s="156"/>
      <c r="M85" s="156"/>
      <c r="N85" s="156"/>
      <c r="O85" s="164"/>
      <c r="P85" s="156"/>
      <c r="Q85" s="156"/>
      <c r="R85" s="156"/>
      <c r="S85" s="164"/>
      <c r="T85" s="156"/>
      <c r="U85" s="156"/>
      <c r="V85" s="156"/>
      <c r="W85" s="164"/>
      <c r="X85" s="156"/>
      <c r="Y85" s="156"/>
      <c r="Z85" s="156"/>
      <c r="AA85" s="164"/>
      <c r="AB85" s="156"/>
      <c r="AC85" s="156"/>
      <c r="AD85" s="156"/>
      <c r="AE85" s="164"/>
      <c r="AF85" s="156"/>
      <c r="AG85" s="156"/>
      <c r="AH85" s="156"/>
      <c r="AI85" s="164"/>
      <c r="AJ85" s="156"/>
      <c r="AK85" s="156"/>
      <c r="AL85" s="156"/>
      <c r="AM85" s="164"/>
      <c r="AN85" s="156"/>
      <c r="AO85" s="156"/>
      <c r="AP85" s="156"/>
      <c r="AQ85" s="164"/>
      <c r="AR85" s="156"/>
      <c r="AS85" s="156"/>
      <c r="AT85" s="156"/>
      <c r="AU85" s="164"/>
      <c r="AV85" s="156"/>
      <c r="AW85" s="156"/>
      <c r="AX85" s="156"/>
      <c r="AY85" s="164"/>
      <c r="AZ85" s="156"/>
      <c r="BA85" s="156"/>
      <c r="BB85" s="156"/>
      <c r="BC85" s="164"/>
      <c r="BD85" s="156"/>
      <c r="BE85" s="156"/>
      <c r="BF85" s="156"/>
      <c r="BG85" s="164"/>
      <c r="BH85" s="156"/>
      <c r="BI85" s="156"/>
      <c r="BJ85" s="156"/>
      <c r="BK85" s="164"/>
      <c r="BL85" s="158"/>
      <c r="BM85" s="156"/>
      <c r="BN85" s="156"/>
      <c r="BO85" s="164"/>
      <c r="BP85" s="156"/>
      <c r="BQ85" s="156"/>
      <c r="BR85" s="156"/>
      <c r="BS85" s="164"/>
      <c r="BT85" s="156"/>
      <c r="BU85" s="156"/>
      <c r="BV85" s="156"/>
      <c r="BW85" s="1321"/>
      <c r="BX85" s="1323"/>
      <c r="BY85" s="1321"/>
      <c r="BZ85" s="1321"/>
      <c r="CA85" s="1324"/>
      <c r="CB85" s="1323"/>
      <c r="CC85" s="1321"/>
      <c r="CD85" s="1321"/>
      <c r="CE85" s="1324" t="s">
        <v>252</v>
      </c>
      <c r="CF85" s="156" t="s">
        <v>252</v>
      </c>
      <c r="CG85" s="156"/>
      <c r="CH85" s="156"/>
      <c r="CI85" s="1321"/>
      <c r="CJ85" s="1323"/>
      <c r="CK85" s="1321"/>
      <c r="CL85" s="1321"/>
      <c r="CM85" s="1324"/>
      <c r="CN85" s="1323"/>
      <c r="CO85" s="1321"/>
      <c r="CP85" s="1321"/>
      <c r="CQ85" s="1324"/>
      <c r="CR85" s="156"/>
      <c r="CS85" s="156"/>
      <c r="CT85" s="156"/>
      <c r="CU85" s="1324"/>
      <c r="CV85" s="1321"/>
      <c r="CW85" s="1321"/>
      <c r="CX85" s="1321"/>
      <c r="CY85" s="1324"/>
      <c r="CZ85" s="1321"/>
      <c r="DA85" s="1321"/>
      <c r="DB85" s="1321"/>
      <c r="DC85" s="1324"/>
      <c r="DD85" s="18"/>
      <c r="DE85" s="66"/>
      <c r="DF85" s="66"/>
      <c r="DG85" s="66"/>
      <c r="DH85" s="66"/>
      <c r="DI85" s="66"/>
      <c r="DJ85" s="66"/>
      <c r="DK85" s="66"/>
      <c r="DL85" s="66"/>
      <c r="DM85" s="66"/>
      <c r="DN85" s="66"/>
      <c r="DO85" s="66"/>
      <c r="DP85" s="66"/>
      <c r="DQ85" s="66"/>
      <c r="DR85" s="66"/>
      <c r="DS85" s="66"/>
      <c r="DT85" s="66"/>
      <c r="DU85" s="66"/>
      <c r="DV85" s="66"/>
      <c r="DW85" s="66"/>
      <c r="DX85" s="66"/>
      <c r="DY85" s="66"/>
      <c r="DZ85" s="66"/>
      <c r="EA85" s="66"/>
      <c r="EB85" s="66"/>
      <c r="EC85" s="66"/>
      <c r="ED85" s="67"/>
      <c r="EE85" s="18"/>
      <c r="EF85" s="65"/>
      <c r="EG85" s="66"/>
      <c r="EH85" s="66"/>
      <c r="EI85" s="66"/>
      <c r="EJ85" s="66"/>
      <c r="EK85" s="66"/>
      <c r="EL85" s="66"/>
      <c r="EM85" s="66"/>
      <c r="EN85" s="66"/>
      <c r="EO85" s="66"/>
      <c r="EP85" s="66"/>
      <c r="EQ85" s="66"/>
      <c r="ER85" s="66"/>
      <c r="ES85" s="66"/>
      <c r="ET85" s="66"/>
      <c r="EU85" s="66"/>
      <c r="EV85" s="66"/>
      <c r="EW85" s="66"/>
      <c r="EX85" s="66"/>
      <c r="EY85" s="66"/>
      <c r="EZ85" s="66"/>
      <c r="FA85" s="66"/>
      <c r="FB85" s="66"/>
      <c r="FC85" s="66"/>
      <c r="FD85" s="67"/>
      <c r="FE85" s="21"/>
      <c r="FF85" s="13"/>
      <c r="FG85" s="13"/>
      <c r="FH85" s="13"/>
      <c r="FO85" s="7"/>
    </row>
    <row r="86" spans="1:171" ht="14.25" customHeight="1">
      <c r="A86" s="7"/>
      <c r="B86" s="433" t="s">
        <v>189</v>
      </c>
      <c r="C86" s="23"/>
      <c r="D86" s="156"/>
      <c r="E86" s="156"/>
      <c r="F86" s="156"/>
      <c r="G86" s="164"/>
      <c r="H86" s="156"/>
      <c r="I86" s="156"/>
      <c r="J86" s="156"/>
      <c r="K86" s="164"/>
      <c r="L86" s="156"/>
      <c r="M86" s="156"/>
      <c r="N86" s="156"/>
      <c r="O86" s="164"/>
      <c r="P86" s="156"/>
      <c r="Q86" s="156"/>
      <c r="R86" s="156"/>
      <c r="S86" s="164"/>
      <c r="T86" s="156"/>
      <c r="U86" s="156"/>
      <c r="V86" s="156"/>
      <c r="W86" s="164"/>
      <c r="X86" s="156"/>
      <c r="Y86" s="156"/>
      <c r="Z86" s="156"/>
      <c r="AA86" s="164"/>
      <c r="AB86" s="156"/>
      <c r="AC86" s="156"/>
      <c r="AD86" s="156"/>
      <c r="AE86" s="164"/>
      <c r="AF86" s="156"/>
      <c r="AG86" s="156"/>
      <c r="AH86" s="156"/>
      <c r="AI86" s="164"/>
      <c r="AJ86" s="156"/>
      <c r="AK86" s="156"/>
      <c r="AL86" s="156"/>
      <c r="AM86" s="164"/>
      <c r="AN86" s="156"/>
      <c r="AO86" s="156"/>
      <c r="AP86" s="156"/>
      <c r="AQ86" s="164"/>
      <c r="AR86" s="156"/>
      <c r="AS86" s="156"/>
      <c r="AT86" s="156"/>
      <c r="AU86" s="164"/>
      <c r="AV86" s="156"/>
      <c r="AW86" s="156"/>
      <c r="AX86" s="156"/>
      <c r="AY86" s="164"/>
      <c r="AZ86" s="156"/>
      <c r="BA86" s="156"/>
      <c r="BB86" s="156"/>
      <c r="BC86" s="164"/>
      <c r="BD86" s="156"/>
      <c r="BE86" s="156"/>
      <c r="BF86" s="156"/>
      <c r="BG86" s="164"/>
      <c r="BH86" s="156"/>
      <c r="BI86" s="156"/>
      <c r="BJ86" s="156"/>
      <c r="BK86" s="164"/>
      <c r="BL86" s="158"/>
      <c r="BM86" s="156"/>
      <c r="BN86" s="156"/>
      <c r="BO86" s="164"/>
      <c r="BP86" s="156"/>
      <c r="BQ86" s="156"/>
      <c r="BR86" s="156"/>
      <c r="BS86" s="164"/>
      <c r="BT86" s="156"/>
      <c r="BU86" s="156"/>
      <c r="BV86" s="156">
        <f>BV35</f>
        <v>3198</v>
      </c>
      <c r="BW86" s="1321">
        <f t="shared" ref="BW86:CU86" si="527">BW35</f>
        <v>3262</v>
      </c>
      <c r="BX86" s="1323">
        <f t="shared" si="527"/>
        <v>3169</v>
      </c>
      <c r="BY86" s="1321">
        <f t="shared" si="527"/>
        <v>3301</v>
      </c>
      <c r="BZ86" s="1321">
        <f t="shared" si="527"/>
        <v>3267</v>
      </c>
      <c r="CA86" s="1324">
        <f t="shared" si="527"/>
        <v>4452</v>
      </c>
      <c r="CB86" s="1323">
        <f t="shared" si="527"/>
        <v>4260</v>
      </c>
      <c r="CC86" s="1321">
        <f t="shared" si="527"/>
        <v>4317</v>
      </c>
      <c r="CD86" s="1321">
        <f t="shared" si="527"/>
        <v>4137</v>
      </c>
      <c r="CE86" s="1324">
        <f t="shared" si="527"/>
        <v>4955</v>
      </c>
      <c r="CF86" s="1321">
        <f t="shared" si="527"/>
        <v>4608</v>
      </c>
      <c r="CG86" s="1321">
        <f t="shared" si="527"/>
        <v>5519</v>
      </c>
      <c r="CH86" s="1321">
        <f t="shared" si="527"/>
        <v>6403</v>
      </c>
      <c r="CI86" s="1321">
        <f t="shared" si="527"/>
        <v>6301</v>
      </c>
      <c r="CJ86" s="1323">
        <f t="shared" si="527"/>
        <v>6326</v>
      </c>
      <c r="CK86" s="1321">
        <f t="shared" si="527"/>
        <v>6494</v>
      </c>
      <c r="CL86" s="1321">
        <f t="shared" si="527"/>
        <v>8919</v>
      </c>
      <c r="CM86" s="1324">
        <f t="shared" si="527"/>
        <v>9154</v>
      </c>
      <c r="CN86" s="1323">
        <f t="shared" si="527"/>
        <v>8490</v>
      </c>
      <c r="CO86" s="1321">
        <f t="shared" si="527"/>
        <v>11308</v>
      </c>
      <c r="CP86" s="1321">
        <f t="shared" si="527"/>
        <v>10485</v>
      </c>
      <c r="CQ86" s="1324">
        <f t="shared" si="527"/>
        <v>9872</v>
      </c>
      <c r="CR86" s="1321">
        <f t="shared" si="527"/>
        <v>7644</v>
      </c>
      <c r="CS86" s="1321">
        <f t="shared" si="527"/>
        <v>7802</v>
      </c>
      <c r="CT86" s="1321">
        <f t="shared" si="527"/>
        <v>9721.6554681286761</v>
      </c>
      <c r="CU86" s="1324">
        <f t="shared" si="527"/>
        <v>9735.9888252445908</v>
      </c>
      <c r="CV86" s="1321">
        <f t="shared" ref="CV86:CY86" si="528">CV35</f>
        <v>9750.5546939816122</v>
      </c>
      <c r="CW86" s="1321">
        <f t="shared" si="528"/>
        <v>9765.3568630508817</v>
      </c>
      <c r="CX86" s="1321">
        <f t="shared" si="528"/>
        <v>9780.3991831751337</v>
      </c>
      <c r="CY86" s="1321">
        <f t="shared" si="528"/>
        <v>9795.6855681081324</v>
      </c>
      <c r="CZ86" s="1321">
        <f t="shared" ref="CZ86:DC86" si="529">CZ35</f>
        <v>9811.2199956709301</v>
      </c>
      <c r="DA86" s="1321">
        <f t="shared" si="529"/>
        <v>9827.0065088052506</v>
      </c>
      <c r="DB86" s="1321">
        <f t="shared" si="529"/>
        <v>9843.0492166442382</v>
      </c>
      <c r="DC86" s="1321">
        <f t="shared" si="529"/>
        <v>9859.3522956009238</v>
      </c>
      <c r="DD86" s="18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7"/>
      <c r="EE86" s="18"/>
      <c r="EF86" s="65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66"/>
      <c r="EZ86" s="66"/>
      <c r="FA86" s="66"/>
      <c r="FB86" s="66"/>
      <c r="FC86" s="66"/>
      <c r="FD86" s="67"/>
      <c r="FE86" s="21"/>
      <c r="FF86" s="13"/>
      <c r="FG86" s="13"/>
      <c r="FH86" s="13"/>
      <c r="FO86" s="7"/>
    </row>
    <row r="87" spans="1:171" ht="14.25" customHeight="1">
      <c r="A87" s="7"/>
      <c r="B87" s="433" t="s">
        <v>472</v>
      </c>
      <c r="C87" s="23"/>
      <c r="D87" s="156"/>
      <c r="E87" s="156"/>
      <c r="F87" s="156"/>
      <c r="G87" s="164"/>
      <c r="H87" s="156"/>
      <c r="I87" s="156"/>
      <c r="J87" s="156"/>
      <c r="K87" s="164"/>
      <c r="L87" s="156"/>
      <c r="M87" s="156"/>
      <c r="N87" s="156"/>
      <c r="O87" s="164"/>
      <c r="P87" s="156"/>
      <c r="Q87" s="156"/>
      <c r="R87" s="156"/>
      <c r="S87" s="164"/>
      <c r="T87" s="156"/>
      <c r="U87" s="156"/>
      <c r="V87" s="156"/>
      <c r="W87" s="164"/>
      <c r="X87" s="156"/>
      <c r="Y87" s="156"/>
      <c r="Z87" s="156"/>
      <c r="AA87" s="164"/>
      <c r="AB87" s="156"/>
      <c r="AC87" s="156"/>
      <c r="AD87" s="156"/>
      <c r="AE87" s="164"/>
      <c r="AF87" s="156"/>
      <c r="AG87" s="156"/>
      <c r="AH87" s="156"/>
      <c r="AI87" s="164"/>
      <c r="AJ87" s="156"/>
      <c r="AK87" s="156"/>
      <c r="AL87" s="156"/>
      <c r="AM87" s="164"/>
      <c r="AN87" s="156"/>
      <c r="AO87" s="156"/>
      <c r="AP87" s="156"/>
      <c r="AQ87" s="164"/>
      <c r="AR87" s="156"/>
      <c r="AS87" s="156"/>
      <c r="AT87" s="156"/>
      <c r="AU87" s="164"/>
      <c r="AV87" s="156"/>
      <c r="AW87" s="156"/>
      <c r="AX87" s="156"/>
      <c r="AY87" s="164"/>
      <c r="AZ87" s="156"/>
      <c r="BA87" s="156"/>
      <c r="BB87" s="156"/>
      <c r="BC87" s="164"/>
      <c r="BD87" s="156"/>
      <c r="BE87" s="156"/>
      <c r="BF87" s="156"/>
      <c r="BG87" s="164"/>
      <c r="BH87" s="156"/>
      <c r="BI87" s="156"/>
      <c r="BJ87" s="156"/>
      <c r="BK87" s="164"/>
      <c r="BL87" s="158"/>
      <c r="BM87" s="156"/>
      <c r="BN87" s="156"/>
      <c r="BO87" s="164"/>
      <c r="BP87" s="156"/>
      <c r="BQ87" s="156"/>
      <c r="BR87" s="156"/>
      <c r="BS87" s="164"/>
      <c r="BT87" s="156"/>
      <c r="BU87" s="156"/>
      <c r="BV87" s="156">
        <f>BV32</f>
        <v>0</v>
      </c>
      <c r="BW87" s="1321">
        <f t="shared" ref="BW87:CU87" si="530">BW32</f>
        <v>0</v>
      </c>
      <c r="BX87" s="1323">
        <f t="shared" si="530"/>
        <v>266</v>
      </c>
      <c r="BY87" s="1321">
        <f t="shared" si="530"/>
        <v>350</v>
      </c>
      <c r="BZ87" s="1321">
        <f t="shared" si="530"/>
        <v>357</v>
      </c>
      <c r="CA87" s="1324">
        <f t="shared" si="530"/>
        <v>1585</v>
      </c>
      <c r="CB87" s="1323">
        <f t="shared" si="530"/>
        <v>1543</v>
      </c>
      <c r="CC87" s="1321">
        <f t="shared" si="530"/>
        <v>2230</v>
      </c>
      <c r="CD87" s="1321">
        <f t="shared" si="530"/>
        <v>1508</v>
      </c>
      <c r="CE87" s="1324">
        <f t="shared" si="530"/>
        <v>1638</v>
      </c>
      <c r="CF87" s="1321">
        <f t="shared" si="530"/>
        <v>1168</v>
      </c>
      <c r="CG87" s="1321">
        <f t="shared" si="530"/>
        <v>1199</v>
      </c>
      <c r="CH87" s="1321">
        <f t="shared" si="530"/>
        <v>1148</v>
      </c>
      <c r="CI87" s="1321">
        <f t="shared" si="530"/>
        <v>1089</v>
      </c>
      <c r="CJ87" s="1323">
        <f t="shared" si="530"/>
        <v>1051</v>
      </c>
      <c r="CK87" s="1321">
        <f t="shared" si="530"/>
        <v>1125</v>
      </c>
      <c r="CL87" s="1321">
        <f t="shared" si="530"/>
        <v>712</v>
      </c>
      <c r="CM87" s="1324">
        <f t="shared" si="530"/>
        <v>756</v>
      </c>
      <c r="CN87" s="1323">
        <f t="shared" si="530"/>
        <v>1155</v>
      </c>
      <c r="CO87" s="1321">
        <f t="shared" si="530"/>
        <v>1117</v>
      </c>
      <c r="CP87" s="1321">
        <f t="shared" si="530"/>
        <v>1161</v>
      </c>
      <c r="CQ87" s="1324">
        <f t="shared" si="530"/>
        <v>1262</v>
      </c>
      <c r="CR87" s="1321">
        <f t="shared" si="530"/>
        <v>1401</v>
      </c>
      <c r="CS87" s="1321">
        <f t="shared" si="530"/>
        <v>1514</v>
      </c>
      <c r="CT87" s="1321">
        <f t="shared" si="530"/>
        <v>1514</v>
      </c>
      <c r="CU87" s="1324">
        <f t="shared" si="530"/>
        <v>1514</v>
      </c>
      <c r="CV87" s="1321">
        <f t="shared" ref="CV87:CY87" si="531">CV32</f>
        <v>1514</v>
      </c>
      <c r="CW87" s="1321">
        <f t="shared" si="531"/>
        <v>1514</v>
      </c>
      <c r="CX87" s="1321">
        <f t="shared" si="531"/>
        <v>1514</v>
      </c>
      <c r="CY87" s="1321">
        <f t="shared" si="531"/>
        <v>1514</v>
      </c>
      <c r="CZ87" s="1321">
        <f t="shared" ref="CZ87:DC87" si="532">CZ32</f>
        <v>1514</v>
      </c>
      <c r="DA87" s="1321">
        <f t="shared" si="532"/>
        <v>1514</v>
      </c>
      <c r="DB87" s="1321">
        <f t="shared" si="532"/>
        <v>1514</v>
      </c>
      <c r="DC87" s="1321">
        <f t="shared" si="532"/>
        <v>1514</v>
      </c>
      <c r="DD87" s="18"/>
      <c r="DE87" s="66"/>
      <c r="DF87" s="66"/>
      <c r="DG87" s="66"/>
      <c r="DH87" s="66"/>
      <c r="DI87" s="66"/>
      <c r="DJ87" s="66"/>
      <c r="DK87" s="66"/>
      <c r="DL87" s="66"/>
      <c r="DM87" s="66"/>
      <c r="DN87" s="66"/>
      <c r="DO87" s="66"/>
      <c r="DP87" s="66"/>
      <c r="DQ87" s="66"/>
      <c r="DR87" s="66"/>
      <c r="DS87" s="66"/>
      <c r="DT87" s="66"/>
      <c r="DU87" s="66"/>
      <c r="DV87" s="66"/>
      <c r="DW87" s="66"/>
      <c r="DX87" s="66"/>
      <c r="DY87" s="66"/>
      <c r="DZ87" s="66"/>
      <c r="EA87" s="66"/>
      <c r="EB87" s="66"/>
      <c r="EC87" s="66"/>
      <c r="ED87" s="67"/>
      <c r="EE87" s="18"/>
      <c r="EF87" s="65"/>
      <c r="EG87" s="66"/>
      <c r="EH87" s="66"/>
      <c r="EI87" s="66"/>
      <c r="EJ87" s="66"/>
      <c r="EK87" s="66"/>
      <c r="EL87" s="66"/>
      <c r="EM87" s="66"/>
      <c r="EN87" s="66"/>
      <c r="EO87" s="66"/>
      <c r="EP87" s="66"/>
      <c r="EQ87" s="66"/>
      <c r="ER87" s="66"/>
      <c r="ES87" s="66"/>
      <c r="ET87" s="66"/>
      <c r="EU87" s="66"/>
      <c r="EV87" s="66"/>
      <c r="EW87" s="66"/>
      <c r="EX87" s="66"/>
      <c r="EY87" s="66"/>
      <c r="EZ87" s="66"/>
      <c r="FA87" s="66"/>
      <c r="FB87" s="66"/>
      <c r="FC87" s="66"/>
      <c r="FD87" s="67"/>
      <c r="FE87" s="21"/>
      <c r="FF87" s="13"/>
      <c r="FG87" s="13"/>
      <c r="FH87" s="13"/>
      <c r="FO87" s="7"/>
    </row>
    <row r="88" spans="1:171" ht="14.25" customHeight="1">
      <c r="A88" s="7"/>
      <c r="B88" s="449" t="s">
        <v>113</v>
      </c>
      <c r="C88" s="23"/>
      <c r="D88" s="156"/>
      <c r="E88" s="156"/>
      <c r="F88" s="156"/>
      <c r="G88" s="164"/>
      <c r="H88" s="156"/>
      <c r="I88" s="156"/>
      <c r="J88" s="156"/>
      <c r="K88" s="164"/>
      <c r="L88" s="156"/>
      <c r="M88" s="156"/>
      <c r="N88" s="156"/>
      <c r="O88" s="164"/>
      <c r="P88" s="156"/>
      <c r="Q88" s="156"/>
      <c r="R88" s="156"/>
      <c r="S88" s="164"/>
      <c r="T88" s="156"/>
      <c r="U88" s="156"/>
      <c r="V88" s="156"/>
      <c r="W88" s="164"/>
      <c r="X88" s="156"/>
      <c r="Y88" s="156"/>
      <c r="Z88" s="156"/>
      <c r="AA88" s="164"/>
      <c r="AB88" s="156"/>
      <c r="AC88" s="156"/>
      <c r="AD88" s="156"/>
      <c r="AE88" s="164"/>
      <c r="AF88" s="156"/>
      <c r="AG88" s="156"/>
      <c r="AH88" s="156"/>
      <c r="AI88" s="164"/>
      <c r="AJ88" s="156"/>
      <c r="AK88" s="156"/>
      <c r="AL88" s="156"/>
      <c r="AM88" s="164"/>
      <c r="AN88" s="156"/>
      <c r="AO88" s="156"/>
      <c r="AP88" s="156"/>
      <c r="AQ88" s="164"/>
      <c r="AR88" s="156"/>
      <c r="AS88" s="156"/>
      <c r="AT88" s="156"/>
      <c r="AU88" s="164"/>
      <c r="AV88" s="156"/>
      <c r="AW88" s="156"/>
      <c r="AX88" s="156"/>
      <c r="AY88" s="164"/>
      <c r="AZ88" s="156"/>
      <c r="BA88" s="156"/>
      <c r="BB88" s="156"/>
      <c r="BC88" s="164"/>
      <c r="BD88" s="156"/>
      <c r="BE88" s="156"/>
      <c r="BF88" s="156"/>
      <c r="BG88" s="164"/>
      <c r="BH88" s="156"/>
      <c r="BI88" s="156"/>
      <c r="BJ88" s="156"/>
      <c r="BK88" s="164"/>
      <c r="BL88" s="158"/>
      <c r="BM88" s="156"/>
      <c r="BN88" s="156"/>
      <c r="BO88" s="164"/>
      <c r="BP88" s="156"/>
      <c r="BQ88" s="156"/>
      <c r="BR88" s="156"/>
      <c r="BS88" s="164"/>
      <c r="BT88" s="156"/>
      <c r="BU88" s="156"/>
      <c r="BV88" s="156">
        <f>+BV86+BV87-BV83</f>
        <v>512</v>
      </c>
      <c r="BW88" s="1321">
        <f t="shared" ref="BW88:CU88" si="533">+BW86+BW87-BW83</f>
        <v>329</v>
      </c>
      <c r="BX88" s="1323">
        <f t="shared" si="533"/>
        <v>637</v>
      </c>
      <c r="BY88" s="1321">
        <f t="shared" si="533"/>
        <v>877</v>
      </c>
      <c r="BZ88" s="1321">
        <f t="shared" si="533"/>
        <v>725</v>
      </c>
      <c r="CA88" s="1324">
        <f t="shared" si="533"/>
        <v>2437</v>
      </c>
      <c r="CB88" s="1323">
        <f t="shared" si="533"/>
        <v>1395</v>
      </c>
      <c r="CC88" s="1321">
        <f t="shared" si="533"/>
        <v>1491</v>
      </c>
      <c r="CD88" s="1321">
        <f t="shared" si="533"/>
        <v>836</v>
      </c>
      <c r="CE88" s="1324">
        <f t="shared" si="533"/>
        <v>1240</v>
      </c>
      <c r="CF88" s="1321">
        <f t="shared" si="533"/>
        <v>469</v>
      </c>
      <c r="CG88" s="1321">
        <f t="shared" si="533"/>
        <v>370</v>
      </c>
      <c r="CH88" s="1321">
        <f t="shared" si="533"/>
        <v>221</v>
      </c>
      <c r="CI88" s="1321">
        <f t="shared" si="533"/>
        <v>1756</v>
      </c>
      <c r="CJ88" s="1323">
        <f t="shared" si="533"/>
        <v>1965</v>
      </c>
      <c r="CK88" s="1321">
        <f t="shared" si="533"/>
        <v>2476</v>
      </c>
      <c r="CL88" s="1321">
        <f t="shared" si="533"/>
        <v>3757</v>
      </c>
      <c r="CM88" s="1324">
        <f t="shared" si="533"/>
        <v>5098</v>
      </c>
      <c r="CN88" s="1323">
        <f t="shared" si="533"/>
        <v>5321</v>
      </c>
      <c r="CO88" s="1321">
        <f t="shared" si="533"/>
        <v>7938</v>
      </c>
      <c r="CP88" s="1321">
        <f t="shared" si="533"/>
        <v>6845</v>
      </c>
      <c r="CQ88" s="1324">
        <f t="shared" si="533"/>
        <v>5089</v>
      </c>
      <c r="CR88" s="1321">
        <f t="shared" si="533"/>
        <v>2557</v>
      </c>
      <c r="CS88" s="1321">
        <f t="shared" si="533"/>
        <v>754</v>
      </c>
      <c r="CT88" s="1321">
        <f t="shared" si="533"/>
        <v>-1326.3197009587275</v>
      </c>
      <c r="CU88" s="1324">
        <f t="shared" si="533"/>
        <v>-4282.063215695307</v>
      </c>
      <c r="CV88" s="1321">
        <f t="shared" ref="CV88:CY88" si="534">+CV86+CV87-CV83</f>
        <v>-6120.4402810311367</v>
      </c>
      <c r="CW88" s="1321">
        <f t="shared" si="534"/>
        <v>-7643.8019564342758</v>
      </c>
      <c r="CX88" s="1321">
        <f t="shared" si="534"/>
        <v>-8665.6161795923726</v>
      </c>
      <c r="CY88" s="1321">
        <f t="shared" si="534"/>
        <v>-9336.2608440749027</v>
      </c>
      <c r="CZ88" s="1321">
        <f t="shared" ref="CZ88:DC88" si="535">+CZ86+CZ87-CZ83</f>
        <v>-10094.374656412314</v>
      </c>
      <c r="DA88" s="1321">
        <f t="shared" si="535"/>
        <v>-10366.85437990032</v>
      </c>
      <c r="DB88" s="1321">
        <f t="shared" si="535"/>
        <v>-10688.256263489169</v>
      </c>
      <c r="DC88" s="1321">
        <f t="shared" si="535"/>
        <v>-10938.795632408712</v>
      </c>
      <c r="DD88" s="18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7"/>
      <c r="EE88" s="18"/>
      <c r="EF88" s="65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66"/>
      <c r="EZ88" s="66"/>
      <c r="FA88" s="66"/>
      <c r="FB88" s="66"/>
      <c r="FC88" s="66"/>
      <c r="FD88" s="67"/>
      <c r="FE88" s="21"/>
      <c r="FF88" s="13"/>
      <c r="FG88" s="13"/>
      <c r="FH88" s="13"/>
      <c r="FO88" s="7"/>
    </row>
    <row r="89" spans="1:171" s="507" customFormat="1" ht="14.25" customHeight="1">
      <c r="A89" s="683"/>
      <c r="B89" s="684" t="s">
        <v>114</v>
      </c>
      <c r="C89" s="685"/>
      <c r="D89" s="581"/>
      <c r="E89" s="581"/>
      <c r="F89" s="581"/>
      <c r="G89" s="585"/>
      <c r="H89" s="581"/>
      <c r="I89" s="581"/>
      <c r="J89" s="581"/>
      <c r="K89" s="585"/>
      <c r="L89" s="581"/>
      <c r="M89" s="581"/>
      <c r="N89" s="581"/>
      <c r="O89" s="585"/>
      <c r="P89" s="581"/>
      <c r="Q89" s="581"/>
      <c r="R89" s="581"/>
      <c r="S89" s="585"/>
      <c r="T89" s="581"/>
      <c r="U89" s="581"/>
      <c r="V89" s="581"/>
      <c r="W89" s="585"/>
      <c r="X89" s="581"/>
      <c r="Y89" s="581"/>
      <c r="Z89" s="581"/>
      <c r="AA89" s="585"/>
      <c r="AB89" s="581"/>
      <c r="AC89" s="581"/>
      <c r="AD89" s="581"/>
      <c r="AE89" s="585"/>
      <c r="AF89" s="581"/>
      <c r="AG89" s="581"/>
      <c r="AH89" s="581"/>
      <c r="AI89" s="585"/>
      <c r="AJ89" s="581"/>
      <c r="AK89" s="581"/>
      <c r="AL89" s="581"/>
      <c r="AM89" s="585"/>
      <c r="AN89" s="581"/>
      <c r="AO89" s="581"/>
      <c r="AP89" s="581"/>
      <c r="AQ89" s="585"/>
      <c r="AR89" s="581"/>
      <c r="AS89" s="581"/>
      <c r="AT89" s="581"/>
      <c r="AU89" s="585"/>
      <c r="AV89" s="581"/>
      <c r="AW89" s="581"/>
      <c r="AX89" s="581"/>
      <c r="AY89" s="585"/>
      <c r="AZ89" s="581"/>
      <c r="BA89" s="581"/>
      <c r="BB89" s="581"/>
      <c r="BC89" s="585"/>
      <c r="BD89" s="581"/>
      <c r="BE89" s="581"/>
      <c r="BF89" s="581"/>
      <c r="BG89" s="585"/>
      <c r="BH89" s="581"/>
      <c r="BI89" s="581"/>
      <c r="BJ89" s="581"/>
      <c r="BK89" s="585"/>
      <c r="BL89" s="586"/>
      <c r="BM89" s="581"/>
      <c r="BN89" s="581"/>
      <c r="BO89" s="585"/>
      <c r="BP89" s="581"/>
      <c r="BQ89" s="581"/>
      <c r="BR89" s="581"/>
      <c r="BS89" s="585"/>
      <c r="BT89" s="581"/>
      <c r="BU89" s="581"/>
      <c r="BV89" s="581">
        <f t="shared" ref="BV89" si="536">-BV88/BV77</f>
        <v>-0.51858604274283404</v>
      </c>
      <c r="BW89" s="1339">
        <f t="shared" ref="BW89:CU89" si="537">-BW88/BW77</f>
        <v>-0.33192090395480223</v>
      </c>
      <c r="BX89" s="1344">
        <f t="shared" si="537"/>
        <v>-0.62839104271480717</v>
      </c>
      <c r="BY89" s="1339">
        <f t="shared" si="537"/>
        <v>-0.86318897637795278</v>
      </c>
      <c r="BZ89" s="1339">
        <f t="shared" si="537"/>
        <v>-0.69271928148289708</v>
      </c>
      <c r="CA89" s="1343">
        <f t="shared" si="537"/>
        <v>-2.1577828935718077</v>
      </c>
      <c r="CB89" s="1344">
        <f t="shared" si="537"/>
        <v>-1.1663879598662208</v>
      </c>
      <c r="CC89" s="1339">
        <f t="shared" si="537"/>
        <v>-1.241465445462115</v>
      </c>
      <c r="CD89" s="1339">
        <f t="shared" si="537"/>
        <v>-0.70252100840336129</v>
      </c>
      <c r="CE89" s="1343">
        <f t="shared" si="537"/>
        <v>-1.030756442227764</v>
      </c>
      <c r="CF89" s="1339">
        <f t="shared" si="537"/>
        <v>-0.39246861924686194</v>
      </c>
      <c r="CG89" s="1339">
        <f t="shared" si="537"/>
        <v>-0.31092436974789917</v>
      </c>
      <c r="CH89" s="1339">
        <f t="shared" si="537"/>
        <v>-0.18888888888888888</v>
      </c>
      <c r="CI89" s="1339">
        <f t="shared" si="537"/>
        <v>-1.5622775800711743</v>
      </c>
      <c r="CJ89" s="1344">
        <f t="shared" si="537"/>
        <v>-1.8110599078341014</v>
      </c>
      <c r="CK89" s="1339">
        <f t="shared" si="537"/>
        <v>-2.3899613899613898</v>
      </c>
      <c r="CL89" s="1339">
        <f t="shared" si="537"/>
        <v>-3.6264478764478763</v>
      </c>
      <c r="CM89" s="1343">
        <f t="shared" si="537"/>
        <v>-4.9161041465766635</v>
      </c>
      <c r="CN89" s="1344">
        <f t="shared" si="537"/>
        <v>-4.8771769019248392</v>
      </c>
      <c r="CO89" s="1339">
        <f t="shared" si="537"/>
        <v>-6.8431034482758619</v>
      </c>
      <c r="CP89" s="1339">
        <f t="shared" si="537"/>
        <v>-5.8156329651656753</v>
      </c>
      <c r="CQ89" s="1343">
        <f t="shared" si="537"/>
        <v>-4.2872788542544233</v>
      </c>
      <c r="CR89" s="1339">
        <f t="shared" si="537"/>
        <v>-2.0873469387755104</v>
      </c>
      <c r="CS89" s="1339">
        <f t="shared" si="537"/>
        <v>-0.60904684975767365</v>
      </c>
      <c r="CT89" s="1339">
        <f t="shared" si="537"/>
        <v>1.0627561706400059</v>
      </c>
      <c r="CU89" s="1343">
        <f t="shared" si="537"/>
        <v>3.4065737595030288</v>
      </c>
      <c r="CV89" s="1339">
        <f t="shared" ref="CV89:CY89" si="538">-CV88/CV77</f>
        <v>4.8344709960751473</v>
      </c>
      <c r="CW89" s="1339">
        <f t="shared" si="538"/>
        <v>5.9951387893602162</v>
      </c>
      <c r="CX89" s="1339">
        <f t="shared" si="538"/>
        <v>6.748922258249511</v>
      </c>
      <c r="CY89" s="1339">
        <f t="shared" si="538"/>
        <v>7.2206193689674425</v>
      </c>
      <c r="CZ89" s="1339">
        <f t="shared" ref="CZ89:DC89" si="539">-CZ88/CZ77</f>
        <v>7.7529759265839582</v>
      </c>
      <c r="DA89" s="1339">
        <f t="shared" si="539"/>
        <v>7.907592967124577</v>
      </c>
      <c r="DB89" s="1339">
        <f t="shared" si="539"/>
        <v>8.0971638359766427</v>
      </c>
      <c r="DC89" s="1339">
        <f t="shared" si="539"/>
        <v>8.2308469769817236</v>
      </c>
      <c r="DD89" s="686"/>
      <c r="DE89" s="687"/>
      <c r="DF89" s="687"/>
      <c r="DG89" s="687"/>
      <c r="DH89" s="687"/>
      <c r="DI89" s="687"/>
      <c r="DJ89" s="687"/>
      <c r="DK89" s="687"/>
      <c r="DL89" s="687"/>
      <c r="DM89" s="687"/>
      <c r="DN89" s="687"/>
      <c r="DO89" s="687"/>
      <c r="DP89" s="687"/>
      <c r="DQ89" s="687"/>
      <c r="DR89" s="687"/>
      <c r="DS89" s="687"/>
      <c r="DT89" s="687"/>
      <c r="DU89" s="687"/>
      <c r="DV89" s="687"/>
      <c r="DW89" s="687"/>
      <c r="DX89" s="687"/>
      <c r="DY89" s="687"/>
      <c r="DZ89" s="687"/>
      <c r="EA89" s="687"/>
      <c r="EB89" s="687"/>
      <c r="EC89" s="687"/>
      <c r="ED89" s="685"/>
      <c r="EE89" s="686"/>
      <c r="EF89" s="684"/>
      <c r="EG89" s="687"/>
      <c r="EH89" s="687"/>
      <c r="EI89" s="687"/>
      <c r="EJ89" s="687"/>
      <c r="EK89" s="687"/>
      <c r="EL89" s="687"/>
      <c r="EM89" s="687"/>
      <c r="EN89" s="687"/>
      <c r="EO89" s="687"/>
      <c r="EP89" s="687"/>
      <c r="EQ89" s="687"/>
      <c r="ER89" s="687"/>
      <c r="ES89" s="687"/>
      <c r="ET89" s="687"/>
      <c r="EU89" s="687"/>
      <c r="EV89" s="687"/>
      <c r="EW89" s="687"/>
      <c r="EX89" s="687"/>
      <c r="EY89" s="687"/>
      <c r="EZ89" s="687"/>
      <c r="FA89" s="687"/>
      <c r="FB89" s="687"/>
      <c r="FC89" s="687"/>
      <c r="FD89" s="685"/>
      <c r="FE89" s="688"/>
      <c r="FF89" s="1400"/>
      <c r="FG89" s="1400"/>
      <c r="FH89" s="1400"/>
      <c r="FI89"/>
      <c r="FJ89"/>
      <c r="FK89"/>
      <c r="FL89"/>
      <c r="FM89"/>
      <c r="FN89"/>
      <c r="FO89" s="683"/>
    </row>
    <row r="90" spans="1:171" ht="14.25" customHeight="1">
      <c r="A90" s="7"/>
      <c r="B90" s="433"/>
      <c r="C90" s="23"/>
      <c r="D90" s="156"/>
      <c r="E90" s="156"/>
      <c r="F90" s="156"/>
      <c r="G90" s="164"/>
      <c r="H90" s="156"/>
      <c r="I90" s="156"/>
      <c r="J90" s="156"/>
      <c r="K90" s="164"/>
      <c r="L90" s="156"/>
      <c r="M90" s="156"/>
      <c r="N90" s="156"/>
      <c r="O90" s="164"/>
      <c r="P90" s="156"/>
      <c r="Q90" s="156"/>
      <c r="R90" s="156"/>
      <c r="S90" s="164"/>
      <c r="T90" s="156"/>
      <c r="U90" s="156"/>
      <c r="V90" s="156"/>
      <c r="W90" s="164"/>
      <c r="X90" s="156"/>
      <c r="Y90" s="156"/>
      <c r="Z90" s="156"/>
      <c r="AA90" s="164"/>
      <c r="AB90" s="156"/>
      <c r="AC90" s="156"/>
      <c r="AD90" s="156"/>
      <c r="AE90" s="164"/>
      <c r="AF90" s="156"/>
      <c r="AG90" s="156"/>
      <c r="AH90" s="156"/>
      <c r="AI90" s="164"/>
      <c r="AJ90" s="156"/>
      <c r="AK90" s="156"/>
      <c r="AL90" s="156"/>
      <c r="AM90" s="164"/>
      <c r="AN90" s="156"/>
      <c r="AO90" s="156"/>
      <c r="AP90" s="156"/>
      <c r="AQ90" s="164"/>
      <c r="AR90" s="156"/>
      <c r="AS90" s="156"/>
      <c r="AT90" s="156"/>
      <c r="AU90" s="164"/>
      <c r="AV90" s="156"/>
      <c r="AW90" s="156"/>
      <c r="AX90" s="156"/>
      <c r="AY90" s="164"/>
      <c r="AZ90" s="156"/>
      <c r="BA90" s="156"/>
      <c r="BB90" s="156"/>
      <c r="BC90" s="164"/>
      <c r="BD90" s="156"/>
      <c r="BE90" s="156"/>
      <c r="BF90" s="156"/>
      <c r="BG90" s="164"/>
      <c r="BH90" s="156"/>
      <c r="BI90" s="156"/>
      <c r="BJ90" s="156"/>
      <c r="BK90" s="164"/>
      <c r="BL90" s="158"/>
      <c r="BM90" s="156"/>
      <c r="BN90" s="156"/>
      <c r="BO90" s="164"/>
      <c r="BP90" s="156"/>
      <c r="BQ90" s="156"/>
      <c r="BR90" s="156"/>
      <c r="BS90" s="164"/>
      <c r="BT90" s="156"/>
      <c r="BU90" s="156"/>
      <c r="BV90" s="156"/>
      <c r="BW90" s="1321"/>
      <c r="BX90" s="1323"/>
      <c r="BY90" s="1321"/>
      <c r="BZ90" s="1321"/>
      <c r="CA90" s="1324"/>
      <c r="CB90" s="1323"/>
      <c r="CC90" s="1321"/>
      <c r="CD90" s="1321"/>
      <c r="CE90" s="1324"/>
      <c r="CF90" s="156"/>
      <c r="CG90" s="156"/>
      <c r="CH90" s="156"/>
      <c r="CI90" s="1321"/>
      <c r="CJ90" s="1323"/>
      <c r="CK90" s="1321"/>
      <c r="CL90" s="1321"/>
      <c r="CM90" s="1324"/>
      <c r="CN90" s="1323"/>
      <c r="CO90" s="1321"/>
      <c r="CP90" s="1321"/>
      <c r="CQ90" s="1324"/>
      <c r="CR90" s="156"/>
      <c r="CS90" s="156"/>
      <c r="CT90" s="156"/>
      <c r="CU90" s="1324"/>
      <c r="CV90" s="1321"/>
      <c r="CW90" s="1321"/>
      <c r="CX90" s="1321"/>
      <c r="CY90" s="1324"/>
      <c r="CZ90" s="1321"/>
      <c r="DA90" s="1321"/>
      <c r="DB90" s="1321"/>
      <c r="DC90" s="1324"/>
      <c r="DD90" s="18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7"/>
      <c r="EE90" s="18"/>
      <c r="EF90" s="65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66"/>
      <c r="EZ90" s="66"/>
      <c r="FA90" s="66"/>
      <c r="FB90" s="66"/>
      <c r="FC90" s="66"/>
      <c r="FD90" s="67"/>
      <c r="FE90" s="21"/>
      <c r="FF90" s="13"/>
      <c r="FG90" s="13"/>
      <c r="FH90" s="13"/>
      <c r="FO90" s="7"/>
    </row>
    <row r="91" spans="1:171" ht="14.25" customHeight="1">
      <c r="A91" s="7"/>
      <c r="B91" s="433"/>
      <c r="C91" s="23"/>
      <c r="D91" s="156"/>
      <c r="E91" s="156"/>
      <c r="F91" s="156"/>
      <c r="G91" s="164"/>
      <c r="H91" s="156"/>
      <c r="I91" s="156"/>
      <c r="J91" s="156"/>
      <c r="K91" s="164"/>
      <c r="L91" s="156"/>
      <c r="M91" s="156"/>
      <c r="N91" s="156"/>
      <c r="O91" s="164"/>
      <c r="P91" s="156"/>
      <c r="Q91" s="156"/>
      <c r="R91" s="156"/>
      <c r="S91" s="164"/>
      <c r="T91" s="156"/>
      <c r="U91" s="156"/>
      <c r="V91" s="156"/>
      <c r="W91" s="164"/>
      <c r="X91" s="156"/>
      <c r="Y91" s="156"/>
      <c r="Z91" s="156"/>
      <c r="AA91" s="164"/>
      <c r="AB91" s="156"/>
      <c r="AC91" s="156"/>
      <c r="AD91" s="156"/>
      <c r="AE91" s="164"/>
      <c r="AF91" s="156"/>
      <c r="AG91" s="156"/>
      <c r="AH91" s="156"/>
      <c r="AI91" s="164"/>
      <c r="AJ91" s="156"/>
      <c r="AK91" s="156"/>
      <c r="AL91" s="156"/>
      <c r="AM91" s="164"/>
      <c r="AN91" s="156"/>
      <c r="AO91" s="156"/>
      <c r="AP91" s="156"/>
      <c r="AQ91" s="164"/>
      <c r="AR91" s="156"/>
      <c r="AS91" s="156"/>
      <c r="AT91" s="156"/>
      <c r="AU91" s="164"/>
      <c r="AV91" s="156"/>
      <c r="AW91" s="156"/>
      <c r="AX91" s="156"/>
      <c r="AY91" s="164"/>
      <c r="AZ91" s="156"/>
      <c r="BA91" s="156"/>
      <c r="BB91" s="156"/>
      <c r="BC91" s="164"/>
      <c r="BD91" s="156"/>
      <c r="BE91" s="156"/>
      <c r="BF91" s="156"/>
      <c r="BG91" s="164"/>
      <c r="BH91" s="156"/>
      <c r="BI91" s="156"/>
      <c r="BJ91" s="156"/>
      <c r="BK91" s="164"/>
      <c r="BL91" s="158"/>
      <c r="BM91" s="156"/>
      <c r="BN91" s="156"/>
      <c r="BO91" s="164"/>
      <c r="BP91" s="156"/>
      <c r="BQ91" s="156"/>
      <c r="BR91" s="156"/>
      <c r="BS91" s="164"/>
      <c r="BT91" s="156"/>
      <c r="BU91" s="156"/>
      <c r="BV91" s="156"/>
      <c r="BW91" s="1321"/>
      <c r="BX91" s="1323"/>
      <c r="BY91" s="1321"/>
      <c r="BZ91" s="1321"/>
      <c r="CA91" s="1324"/>
      <c r="CB91" s="1323"/>
      <c r="CC91" s="1321"/>
      <c r="CD91" s="1321"/>
      <c r="CE91" s="1324"/>
      <c r="CF91" s="156"/>
      <c r="CG91" s="156"/>
      <c r="CH91" s="156"/>
      <c r="CI91" s="1321"/>
      <c r="CJ91" s="1323"/>
      <c r="CK91" s="1321"/>
      <c r="CL91" s="1321"/>
      <c r="CM91" s="1324"/>
      <c r="CN91" s="1323"/>
      <c r="CO91" s="1321"/>
      <c r="CP91" s="1321"/>
      <c r="CQ91" s="1324"/>
      <c r="CR91" s="156"/>
      <c r="CS91" s="156"/>
      <c r="CT91" s="156"/>
      <c r="CU91" s="1324"/>
      <c r="CV91" s="1321"/>
      <c r="CW91" s="1321"/>
      <c r="CX91" s="1321"/>
      <c r="CY91" s="1324"/>
      <c r="CZ91" s="1321"/>
      <c r="DA91" s="1321"/>
      <c r="DB91" s="1321"/>
      <c r="DC91" s="1324"/>
      <c r="DD91" s="18"/>
      <c r="DE91" s="66"/>
      <c r="DF91" s="66"/>
      <c r="DG91" s="66"/>
      <c r="DH91" s="66"/>
      <c r="DI91" s="66"/>
      <c r="DJ91" s="66"/>
      <c r="DK91" s="66"/>
      <c r="DL91" s="66"/>
      <c r="DM91" s="66"/>
      <c r="DN91" s="66"/>
      <c r="DO91" s="66"/>
      <c r="DP91" s="66"/>
      <c r="DQ91" s="66"/>
      <c r="DR91" s="66"/>
      <c r="DS91" s="66"/>
      <c r="DT91" s="66"/>
      <c r="DU91" s="66"/>
      <c r="DV91" s="66"/>
      <c r="DW91" s="66"/>
      <c r="DX91" s="66"/>
      <c r="DY91" s="66"/>
      <c r="DZ91" s="66"/>
      <c r="EA91" s="66"/>
      <c r="EB91" s="66"/>
      <c r="EC91" s="66"/>
      <c r="ED91" s="67"/>
      <c r="EE91" s="18"/>
      <c r="EF91" s="65"/>
      <c r="EG91" s="66"/>
      <c r="EH91" s="66"/>
      <c r="EI91" s="66"/>
      <c r="EJ91" s="66"/>
      <c r="EK91" s="66"/>
      <c r="EL91" s="66"/>
      <c r="EM91" s="66"/>
      <c r="EN91" s="66"/>
      <c r="EO91" s="66"/>
      <c r="EP91" s="66"/>
      <c r="EQ91" s="66"/>
      <c r="ER91" s="66"/>
      <c r="ES91" s="66"/>
      <c r="ET91" s="66"/>
      <c r="EU91" s="66"/>
      <c r="EV91" s="66"/>
      <c r="EW91" s="66"/>
      <c r="EX91" s="66"/>
      <c r="EY91" s="66"/>
      <c r="EZ91" s="66"/>
      <c r="FA91" s="66"/>
      <c r="FB91" s="66"/>
      <c r="FC91" s="66"/>
      <c r="FD91" s="67"/>
      <c r="FE91" s="21"/>
      <c r="FF91" s="13"/>
      <c r="FG91" s="13"/>
      <c r="FH91" s="13"/>
      <c r="FO91" s="7"/>
    </row>
    <row r="92" spans="1:171" ht="14.25" customHeight="1">
      <c r="A92" s="7"/>
      <c r="B92" s="433" t="s">
        <v>318</v>
      </c>
      <c r="C92" s="23"/>
      <c r="D92" s="159"/>
      <c r="E92" s="159"/>
      <c r="F92" s="159"/>
      <c r="G92" s="160"/>
      <c r="H92" s="159"/>
      <c r="I92" s="159"/>
      <c r="J92" s="159"/>
      <c r="K92" s="160"/>
      <c r="L92" s="581">
        <f t="shared" ref="L92:AY92" si="540">L41/L77</f>
        <v>5.8932400932400926</v>
      </c>
      <c r="M92" s="581">
        <f t="shared" si="540"/>
        <v>6.2000462534690106</v>
      </c>
      <c r="N92" s="581">
        <f t="shared" si="540"/>
        <v>6.3853021978021971</v>
      </c>
      <c r="O92" s="585">
        <f t="shared" si="540"/>
        <v>6.5794157918758556</v>
      </c>
      <c r="P92" s="581">
        <f t="shared" si="540"/>
        <v>6.6487603305785115</v>
      </c>
      <c r="Q92" s="581">
        <f t="shared" si="540"/>
        <v>6.6793680297397779</v>
      </c>
      <c r="R92" s="581">
        <f t="shared" si="540"/>
        <v>6.4270157553290082</v>
      </c>
      <c r="S92" s="585">
        <f t="shared" si="540"/>
        <v>6.2107933579335795</v>
      </c>
      <c r="T92" s="581">
        <f t="shared" si="540"/>
        <v>7.8066748066748071</v>
      </c>
      <c r="U92" s="581">
        <f t="shared" si="540"/>
        <v>7.2281055331623314</v>
      </c>
      <c r="V92" s="581">
        <f t="shared" si="540"/>
        <v>7.3704468644386028</v>
      </c>
      <c r="W92" s="585">
        <f t="shared" si="540"/>
        <v>7.4234082397003744</v>
      </c>
      <c r="X92" s="581">
        <f t="shared" si="540"/>
        <v>7.3740753194351054</v>
      </c>
      <c r="Y92" s="581">
        <f t="shared" si="540"/>
        <v>8.4953338119167263</v>
      </c>
      <c r="Z92" s="581">
        <f t="shared" si="540"/>
        <v>9.3024066390041487</v>
      </c>
      <c r="AA92" s="585">
        <f t="shared" si="540"/>
        <v>10.46875</v>
      </c>
      <c r="AB92" s="581">
        <f t="shared" si="540"/>
        <v>12.300951755825402</v>
      </c>
      <c r="AC92" s="581">
        <f t="shared" si="540"/>
        <v>12.573088582014147</v>
      </c>
      <c r="AD92" s="581">
        <f t="shared" si="540"/>
        <v>12.072111353345633</v>
      </c>
      <c r="AE92" s="585">
        <f t="shared" si="540"/>
        <v>12.043889264010804</v>
      </c>
      <c r="AF92" s="581">
        <f t="shared" si="540"/>
        <v>11.520861148197596</v>
      </c>
      <c r="AG92" s="581">
        <f t="shared" si="540"/>
        <v>11.485095753538719</v>
      </c>
      <c r="AH92" s="581">
        <f t="shared" si="540"/>
        <v>11.445791133986386</v>
      </c>
      <c r="AI92" s="585">
        <f t="shared" si="540"/>
        <v>10.441059602649005</v>
      </c>
      <c r="AJ92" s="581">
        <f t="shared" si="540"/>
        <v>9.9438202247191008</v>
      </c>
      <c r="AK92" s="581">
        <f t="shared" si="540"/>
        <v>8.7221673254281953</v>
      </c>
      <c r="AL92" s="581">
        <f t="shared" si="540"/>
        <v>8.3629787933585398</v>
      </c>
      <c r="AM92" s="585">
        <f t="shared" si="540"/>
        <v>8.155865463494667</v>
      </c>
      <c r="AN92" s="581">
        <f t="shared" si="540"/>
        <v>8.5282752120640914</v>
      </c>
      <c r="AO92" s="581">
        <f t="shared" si="540"/>
        <v>8.404073383084576</v>
      </c>
      <c r="AP92" s="581">
        <f t="shared" si="540"/>
        <v>7.8104621491352431</v>
      </c>
      <c r="AQ92" s="585">
        <f t="shared" si="540"/>
        <v>8.0051325919589402</v>
      </c>
      <c r="AR92" s="581">
        <f t="shared" si="540"/>
        <v>8.2503925767309063</v>
      </c>
      <c r="AS92" s="581">
        <f t="shared" si="540"/>
        <v>8.4260658776557822</v>
      </c>
      <c r="AT92" s="581">
        <f t="shared" si="540"/>
        <v>8.934896636840481</v>
      </c>
      <c r="AU92" s="585">
        <f t="shared" si="540"/>
        <v>8.9950769230769225</v>
      </c>
      <c r="AV92" s="581">
        <f t="shared" si="540"/>
        <v>8.3771743742044968</v>
      </c>
      <c r="AW92" s="581">
        <f t="shared" si="540"/>
        <v>9.7315980968373914</v>
      </c>
      <c r="AX92" s="581">
        <f t="shared" si="540"/>
        <v>9.8414109151506732</v>
      </c>
      <c r="AY92" s="585">
        <f t="shared" si="540"/>
        <v>10.682949308755759</v>
      </c>
      <c r="AZ92" s="581">
        <f t="shared" ref="AZ92:CI92" si="541">AZ41/AZ77</f>
        <v>10.619548486403284</v>
      </c>
      <c r="BA92" s="581">
        <f t="shared" si="541"/>
        <v>10.731104462078834</v>
      </c>
      <c r="BB92" s="581">
        <f t="shared" si="541"/>
        <v>10.244187556825562</v>
      </c>
      <c r="BC92" s="585">
        <f t="shared" si="541"/>
        <v>10.055778959657543</v>
      </c>
      <c r="BD92" s="581">
        <f t="shared" si="541"/>
        <v>9.7175799974089916</v>
      </c>
      <c r="BE92" s="581">
        <f t="shared" si="541"/>
        <v>8.7234593474883475</v>
      </c>
      <c r="BF92" s="581">
        <f t="shared" si="541"/>
        <v>8.421325051759835</v>
      </c>
      <c r="BG92" s="585">
        <f t="shared" si="541"/>
        <v>7.9932720921205851</v>
      </c>
      <c r="BH92" s="581">
        <f t="shared" si="541"/>
        <v>7.0916849864218285</v>
      </c>
      <c r="BI92" s="581">
        <f t="shared" si="541"/>
        <v>6.1274066416849724</v>
      </c>
      <c r="BJ92" s="581">
        <f t="shared" si="541"/>
        <v>5.7752366900282803</v>
      </c>
      <c r="BK92" s="585">
        <f t="shared" si="541"/>
        <v>5.8663981996920533</v>
      </c>
      <c r="BL92" s="586">
        <f t="shared" si="541"/>
        <v>5.1913660437693609</v>
      </c>
      <c r="BM92" s="581">
        <f t="shared" si="541"/>
        <v>5.57246593056799</v>
      </c>
      <c r="BN92" s="581">
        <f t="shared" si="541"/>
        <v>7.3184676958261861</v>
      </c>
      <c r="BO92" s="585">
        <f t="shared" si="541"/>
        <v>7.0190792928408898</v>
      </c>
      <c r="BP92" s="581">
        <f t="shared" si="541"/>
        <v>7.9763405410646762</v>
      </c>
      <c r="BQ92" s="581">
        <f t="shared" si="541"/>
        <v>8.1577171502940331</v>
      </c>
      <c r="BR92" s="581">
        <f t="shared" si="541"/>
        <v>8.2394163386771613</v>
      </c>
      <c r="BS92" s="585">
        <f t="shared" si="541"/>
        <v>8.536585365853659</v>
      </c>
      <c r="BT92" s="581">
        <f t="shared" si="541"/>
        <v>8.4277562665579779</v>
      </c>
      <c r="BU92" s="581">
        <f t="shared" si="541"/>
        <v>8.1257631257631253</v>
      </c>
      <c r="BV92" s="581">
        <f t="shared" si="541"/>
        <v>7.9114757419224153</v>
      </c>
      <c r="BW92" s="1339">
        <f t="shared" si="541"/>
        <v>7.768361581920904</v>
      </c>
      <c r="BX92" s="1344">
        <f t="shared" si="541"/>
        <v>7.3680576107329578</v>
      </c>
      <c r="BY92" s="1339">
        <f t="shared" si="541"/>
        <v>7.1171259842519685</v>
      </c>
      <c r="BZ92" s="1339">
        <f t="shared" si="541"/>
        <v>7.0017198547678206</v>
      </c>
      <c r="CA92" s="1343">
        <f t="shared" si="541"/>
        <v>8.0945634850363017</v>
      </c>
      <c r="CB92" s="1344">
        <f t="shared" si="541"/>
        <v>7.7081939799331103</v>
      </c>
      <c r="CC92" s="1339">
        <f>CC41/CC77</f>
        <v>7.7302248126561199</v>
      </c>
      <c r="CD92" s="1339">
        <f>CD41/CD77</f>
        <v>8.3529411764705888</v>
      </c>
      <c r="CE92" s="1343">
        <f>CE41/CE77</f>
        <v>8.9534497090606813</v>
      </c>
      <c r="CF92" s="581">
        <f t="shared" si="541"/>
        <v>9.7723849372384937</v>
      </c>
      <c r="CG92" s="581">
        <f t="shared" si="541"/>
        <v>10.442016806722689</v>
      </c>
      <c r="CH92" s="581">
        <f t="shared" si="541"/>
        <v>10.647863247863247</v>
      </c>
      <c r="CI92" s="1339">
        <f t="shared" si="541"/>
        <v>10.944839857651246</v>
      </c>
      <c r="CJ92" s="1344">
        <f t="shared" ref="CJ92:CQ92" si="542">CJ41/CJ77</f>
        <v>11.337327188940092</v>
      </c>
      <c r="CK92" s="1339">
        <f t="shared" si="542"/>
        <v>11.837837837837839</v>
      </c>
      <c r="CL92" s="1339">
        <f t="shared" si="542"/>
        <v>11.763513513513514</v>
      </c>
      <c r="CM92" s="1343">
        <f t="shared" si="542"/>
        <v>11.648987463837994</v>
      </c>
      <c r="CN92" s="1344">
        <f t="shared" ref="CN92:CO92" si="543">CN41/CN77</f>
        <v>11.292392300641612</v>
      </c>
      <c r="CO92" s="1339">
        <f t="shared" si="543"/>
        <v>12.316379310344828</v>
      </c>
      <c r="CP92" s="1339">
        <f t="shared" si="542"/>
        <v>13.739167374681394</v>
      </c>
      <c r="CQ92" s="1343">
        <f t="shared" si="542"/>
        <v>15.687447346251053</v>
      </c>
      <c r="CR92" s="581">
        <f t="shared" ref="CR92:CU92" si="544">CR41/CR77</f>
        <v>18.388571428571428</v>
      </c>
      <c r="CS92" s="581">
        <f t="shared" si="544"/>
        <v>20.756865912762521</v>
      </c>
      <c r="CT92" s="581">
        <f t="shared" si="544"/>
        <v>23.453693594021402</v>
      </c>
      <c r="CU92" s="1343">
        <f t="shared" si="544"/>
        <v>26.083910585472623</v>
      </c>
      <c r="CV92" s="1339">
        <f t="shared" ref="CV92:CY92" si="545">CV41/CV77</f>
        <v>28.124377581635283</v>
      </c>
      <c r="CW92" s="1339">
        <f t="shared" si="545"/>
        <v>29.786186069141017</v>
      </c>
      <c r="CX92" s="1339">
        <f t="shared" si="545"/>
        <v>31.087585061338466</v>
      </c>
      <c r="CY92" s="1343">
        <f t="shared" si="545"/>
        <v>32.194631590177842</v>
      </c>
      <c r="CZ92" s="1339">
        <f t="shared" ref="CZ92:DC92" si="546">CZ41/CZ77</f>
        <v>33.15241136839952</v>
      </c>
      <c r="DA92" s="1339">
        <f t="shared" si="546"/>
        <v>33.995432689664419</v>
      </c>
      <c r="DB92" s="1339">
        <f t="shared" si="546"/>
        <v>34.780454337916481</v>
      </c>
      <c r="DC92" s="1343">
        <f t="shared" si="546"/>
        <v>35.524814791494556</v>
      </c>
      <c r="DD92" s="18"/>
      <c r="DE92" s="161"/>
      <c r="DF92" s="161"/>
      <c r="DG92" s="161">
        <f t="shared" ref="DG92:DN92" si="547">DG41/DG77</f>
        <v>6.641557244874452</v>
      </c>
      <c r="DH92" s="161">
        <f t="shared" si="547"/>
        <v>6.2222735674676528</v>
      </c>
      <c r="DI92" s="161">
        <f t="shared" si="547"/>
        <v>7.5370282346230635</v>
      </c>
      <c r="DJ92" s="161">
        <f t="shared" si="547"/>
        <v>10.860737050951919</v>
      </c>
      <c r="DK92" s="161">
        <f t="shared" si="547"/>
        <v>11.931602491742968</v>
      </c>
      <c r="DL92" s="161">
        <f t="shared" si="547"/>
        <v>10.484455527847048</v>
      </c>
      <c r="DM92" s="161">
        <f t="shared" si="547"/>
        <v>8.1820426302361948</v>
      </c>
      <c r="DN92" s="161">
        <f t="shared" si="547"/>
        <v>8.3597111590858333</v>
      </c>
      <c r="DO92" s="161">
        <f t="shared" ref="DO92:EB92" si="548">DO41/DO77</f>
        <v>8.6619259259259263</v>
      </c>
      <c r="DP92" s="161">
        <f t="shared" si="548"/>
        <v>11.186295798435184</v>
      </c>
      <c r="DQ92" s="161">
        <f t="shared" si="548"/>
        <v>10.037875109255122</v>
      </c>
      <c r="DR92" s="161">
        <f t="shared" si="548"/>
        <v>7.9974110032362455</v>
      </c>
      <c r="DS92" s="161">
        <f t="shared" si="548"/>
        <v>6.1819770344483276</v>
      </c>
      <c r="DT92" s="161">
        <f t="shared" si="548"/>
        <v>7.6417341591233923</v>
      </c>
      <c r="DU92" s="161">
        <f t="shared" si="548"/>
        <v>8.258379037172455</v>
      </c>
      <c r="DV92" s="161">
        <f t="shared" si="548"/>
        <v>7.8119055469602054</v>
      </c>
      <c r="DW92" s="161">
        <f t="shared" si="548"/>
        <v>8.6948664907149809</v>
      </c>
      <c r="DX92" s="161">
        <f t="shared" si="548"/>
        <v>8.9945720250521912</v>
      </c>
      <c r="DY92" s="161">
        <f t="shared" si="548"/>
        <v>10.516777089121607</v>
      </c>
      <c r="DZ92" s="161">
        <f t="shared" si="548"/>
        <v>11.521220791607059</v>
      </c>
      <c r="EA92" s="161">
        <f t="shared" si="548"/>
        <v>16.139544962080173</v>
      </c>
      <c r="EB92" s="161">
        <f t="shared" si="548"/>
        <v>26.398933660176397</v>
      </c>
      <c r="EC92" s="161">
        <f t="shared" ref="EC92:ED92" si="549">EC41/EC77</f>
        <v>32.534317034857331</v>
      </c>
      <c r="ED92" s="163">
        <f t="shared" si="549"/>
        <v>35.889379595512175</v>
      </c>
      <c r="EE92" s="18"/>
      <c r="EF92" s="162"/>
      <c r="EG92" s="161">
        <f t="shared" ref="EG92:EO92" si="550">EG41/EG77</f>
        <v>5.8987400839944</v>
      </c>
      <c r="EH92" s="161">
        <f t="shared" si="550"/>
        <v>6.6464716006884679</v>
      </c>
      <c r="EI92" s="161">
        <f t="shared" si="550"/>
        <v>8.5869054280917734</v>
      </c>
      <c r="EJ92" s="161">
        <f t="shared" si="550"/>
        <v>7.9487133019209875</v>
      </c>
      <c r="EK92" s="161">
        <f t="shared" si="550"/>
        <v>12.580155233899728</v>
      </c>
      <c r="EL92" s="161">
        <f t="shared" si="550"/>
        <v>11.593903514296512</v>
      </c>
      <c r="EM92" s="161">
        <f t="shared" si="550"/>
        <v>9.9800995024875618</v>
      </c>
      <c r="EN92" s="161">
        <f t="shared" si="550"/>
        <v>8.8220669483262935</v>
      </c>
      <c r="EO92" s="161">
        <f t="shared" si="550"/>
        <v>8.4048718414833665</v>
      </c>
      <c r="EP92" s="161">
        <f t="shared" ref="EP92:EY92" si="551">EP41/EP77</f>
        <v>8.7541565063178908</v>
      </c>
      <c r="EQ92" s="161">
        <f t="shared" si="551"/>
        <v>11.135920371242182</v>
      </c>
      <c r="ER92" s="161">
        <f t="shared" si="551"/>
        <v>9.7371324722528723</v>
      </c>
      <c r="ES92" s="161">
        <f t="shared" si="551"/>
        <v>7.0958141942162136</v>
      </c>
      <c r="ET92" s="161">
        <f t="shared" si="551"/>
        <v>6.0544257327661564</v>
      </c>
      <c r="EU92" s="161">
        <f t="shared" si="551"/>
        <v>7.7812987750082776</v>
      </c>
      <c r="EV92" s="161">
        <f t="shared" si="551"/>
        <v>8.163648028426195</v>
      </c>
      <c r="EW92" s="161">
        <f t="shared" si="551"/>
        <v>7.5159748427672959</v>
      </c>
      <c r="EX92" s="161">
        <f t="shared" si="551"/>
        <v>8.4038286235186881</v>
      </c>
      <c r="EY92" s="161">
        <f t="shared" si="551"/>
        <v>9.7540196283148877</v>
      </c>
      <c r="EZ92" s="161">
        <f t="shared" ref="EZ92:FC92" si="552">EZ41/EZ77</f>
        <v>10.769096082293718</v>
      </c>
      <c r="FA92" s="161">
        <f t="shared" si="552"/>
        <v>11.733333333333333</v>
      </c>
      <c r="FB92" s="161">
        <f t="shared" si="552"/>
        <v>18.973257527900611</v>
      </c>
      <c r="FC92" s="161">
        <f t="shared" si="552"/>
        <v>28.433189872908979</v>
      </c>
      <c r="FD92" s="163">
        <f t="shared" ref="FD92" si="553">FD41/FD77</f>
        <v>33.499759101013716</v>
      </c>
      <c r="FE92" s="21"/>
      <c r="FF92" s="13"/>
      <c r="FG92" s="13"/>
      <c r="FH92" s="13"/>
      <c r="FO92" s="7"/>
    </row>
    <row r="93" spans="1:171" ht="14.25" customHeight="1">
      <c r="A93" s="7"/>
      <c r="B93" s="433" t="s">
        <v>319</v>
      </c>
      <c r="C93" s="23"/>
      <c r="D93" s="156"/>
      <c r="E93" s="156"/>
      <c r="F93" s="156"/>
      <c r="G93" s="164"/>
      <c r="H93" s="156"/>
      <c r="I93" s="156"/>
      <c r="J93" s="156"/>
      <c r="K93" s="164"/>
      <c r="L93" s="582">
        <f t="shared" ref="L93:AQ93" si="554">(L41-(L20+L21))</f>
        <v>2485.6</v>
      </c>
      <c r="M93" s="582">
        <f t="shared" si="554"/>
        <v>2639.3</v>
      </c>
      <c r="N93" s="582">
        <f t="shared" si="554"/>
        <v>2737.7</v>
      </c>
      <c r="O93" s="583">
        <f t="shared" si="554"/>
        <v>2832</v>
      </c>
      <c r="P93" s="582">
        <f t="shared" si="554"/>
        <v>2828.3999999999996</v>
      </c>
      <c r="Q93" s="582">
        <f t="shared" si="554"/>
        <v>2782.8</v>
      </c>
      <c r="R93" s="582">
        <f t="shared" si="554"/>
        <v>2684.8</v>
      </c>
      <c r="S93" s="583">
        <f t="shared" si="554"/>
        <v>2608.1</v>
      </c>
      <c r="T93" s="582">
        <f t="shared" si="554"/>
        <v>3616.6</v>
      </c>
      <c r="U93" s="582">
        <f t="shared" si="554"/>
        <v>3729.2</v>
      </c>
      <c r="V93" s="582">
        <f t="shared" si="554"/>
        <v>3711.7</v>
      </c>
      <c r="W93" s="583">
        <f t="shared" si="554"/>
        <v>3751.5</v>
      </c>
      <c r="X93" s="582">
        <f t="shared" si="554"/>
        <v>4179.7000000000007</v>
      </c>
      <c r="Y93" s="582">
        <f t="shared" si="554"/>
        <v>4517.8</v>
      </c>
      <c r="Z93" s="582">
        <f t="shared" si="554"/>
        <v>5390</v>
      </c>
      <c r="AA93" s="583">
        <f t="shared" si="554"/>
        <v>6219</v>
      </c>
      <c r="AB93" s="582">
        <f t="shared" si="554"/>
        <v>7284.3</v>
      </c>
      <c r="AC93" s="582">
        <f t="shared" si="554"/>
        <v>7249.2999999999993</v>
      </c>
      <c r="AD93" s="582">
        <f t="shared" si="554"/>
        <v>6978.8</v>
      </c>
      <c r="AE93" s="583">
        <f t="shared" si="554"/>
        <v>6827.2</v>
      </c>
      <c r="AF93" s="582">
        <f t="shared" si="554"/>
        <v>6579.2</v>
      </c>
      <c r="AG93" s="582">
        <f t="shared" si="554"/>
        <v>6579.8</v>
      </c>
      <c r="AH93" s="582">
        <f t="shared" si="554"/>
        <v>6572.5</v>
      </c>
      <c r="AI93" s="583">
        <f t="shared" si="554"/>
        <v>5989.4</v>
      </c>
      <c r="AJ93" s="582">
        <f t="shared" si="554"/>
        <v>5705.3</v>
      </c>
      <c r="AK93" s="582">
        <f t="shared" si="554"/>
        <v>5003</v>
      </c>
      <c r="AL93" s="582">
        <f t="shared" si="554"/>
        <v>4791.8</v>
      </c>
      <c r="AM93" s="583">
        <f t="shared" si="554"/>
        <v>4681.3999999999996</v>
      </c>
      <c r="AN93" s="582">
        <f t="shared" si="554"/>
        <v>5145.6000000000004</v>
      </c>
      <c r="AO93" s="582">
        <f t="shared" si="554"/>
        <v>5127.8999999999996</v>
      </c>
      <c r="AP93" s="582">
        <f t="shared" si="554"/>
        <v>5229.2</v>
      </c>
      <c r="AQ93" s="583">
        <f t="shared" si="554"/>
        <v>5338.6</v>
      </c>
      <c r="AR93" s="582">
        <f t="shared" ref="AR93:BW93" si="555">(AR41-(AR20+AR21))</f>
        <v>5507.9</v>
      </c>
      <c r="AS93" s="582">
        <f t="shared" si="555"/>
        <v>5642</v>
      </c>
      <c r="AT93" s="582">
        <f t="shared" si="555"/>
        <v>5528.3</v>
      </c>
      <c r="AU93" s="583">
        <f t="shared" si="555"/>
        <v>5586.6</v>
      </c>
      <c r="AV93" s="582">
        <f t="shared" si="555"/>
        <v>5667.6</v>
      </c>
      <c r="AW93" s="582">
        <f t="shared" si="555"/>
        <v>6709.8</v>
      </c>
      <c r="AX93" s="582">
        <f t="shared" si="555"/>
        <v>6878.3</v>
      </c>
      <c r="AY93" s="583">
        <f t="shared" si="555"/>
        <v>7223.7</v>
      </c>
      <c r="AZ93" s="582">
        <f t="shared" si="555"/>
        <v>7367</v>
      </c>
      <c r="BA93" s="582">
        <f t="shared" si="555"/>
        <v>7311</v>
      </c>
      <c r="BB93" s="582">
        <f t="shared" si="555"/>
        <v>6961</v>
      </c>
      <c r="BC93" s="583">
        <f t="shared" si="555"/>
        <v>6836</v>
      </c>
      <c r="BD93" s="582">
        <f t="shared" si="555"/>
        <v>6594</v>
      </c>
      <c r="BE93" s="582">
        <f t="shared" si="555"/>
        <v>6298</v>
      </c>
      <c r="BF93" s="582">
        <f t="shared" si="555"/>
        <v>6075</v>
      </c>
      <c r="BG93" s="583">
        <f t="shared" si="555"/>
        <v>5756</v>
      </c>
      <c r="BH93" s="582">
        <f t="shared" si="555"/>
        <v>5130</v>
      </c>
      <c r="BI93" s="582">
        <f t="shared" si="555"/>
        <v>4360</v>
      </c>
      <c r="BJ93" s="582">
        <f t="shared" si="555"/>
        <v>4342</v>
      </c>
      <c r="BK93" s="583">
        <f t="shared" si="555"/>
        <v>4609</v>
      </c>
      <c r="BL93" s="584">
        <f t="shared" si="555"/>
        <v>4861</v>
      </c>
      <c r="BM93" s="582">
        <f t="shared" si="555"/>
        <v>5280</v>
      </c>
      <c r="BN93" s="582">
        <f t="shared" si="555"/>
        <v>7339</v>
      </c>
      <c r="BO93" s="583">
        <f t="shared" si="555"/>
        <v>7697</v>
      </c>
      <c r="BP93" s="582">
        <f t="shared" si="555"/>
        <v>7914</v>
      </c>
      <c r="BQ93" s="582">
        <f t="shared" si="555"/>
        <v>8153</v>
      </c>
      <c r="BR93" s="582">
        <f t="shared" si="555"/>
        <v>8159</v>
      </c>
      <c r="BS93" s="583">
        <f t="shared" si="555"/>
        <v>8056</v>
      </c>
      <c r="BT93" s="582">
        <f t="shared" si="555"/>
        <v>7870</v>
      </c>
      <c r="BU93" s="582">
        <f t="shared" si="555"/>
        <v>7586</v>
      </c>
      <c r="BV93" s="582">
        <f t="shared" si="555"/>
        <v>7425</v>
      </c>
      <c r="BW93" s="1340">
        <f t="shared" si="555"/>
        <v>7329</v>
      </c>
      <c r="BX93" s="1342">
        <f>(BX41-(BX20+BX21))</f>
        <v>7110</v>
      </c>
      <c r="BY93" s="1340">
        <f>(BY41-(BY20+BY21))</f>
        <v>6885</v>
      </c>
      <c r="BZ93" s="1340">
        <f t="shared" ref="BZ93:CI93" si="556">(BZ41-(BZ20+BZ21))</f>
        <v>6997</v>
      </c>
      <c r="CA93" s="1341">
        <f t="shared" si="556"/>
        <v>8756</v>
      </c>
      <c r="CB93" s="1342">
        <f t="shared" si="556"/>
        <v>8851</v>
      </c>
      <c r="CC93" s="1340">
        <f>(CC41-(CC20+CC21))</f>
        <v>8917</v>
      </c>
      <c r="CD93" s="1340">
        <f>(CD41-(CD20+CD21))</f>
        <v>9597</v>
      </c>
      <c r="CE93" s="1341">
        <f>(CE41-(CE20+CE21))</f>
        <v>10303</v>
      </c>
      <c r="CF93" s="582">
        <f t="shared" si="556"/>
        <v>11228</v>
      </c>
      <c r="CG93" s="582">
        <f t="shared" si="556"/>
        <v>11986</v>
      </c>
      <c r="CH93" s="582">
        <f t="shared" si="556"/>
        <v>12027</v>
      </c>
      <c r="CI93" s="1340">
        <f t="shared" si="556"/>
        <v>11853</v>
      </c>
      <c r="CJ93" s="1342">
        <f>(CJ41-(CJ20+CJ21))</f>
        <v>11765</v>
      </c>
      <c r="CK93" s="1340">
        <f>(CK41-(CK20+CK21))</f>
        <v>11752</v>
      </c>
      <c r="CL93" s="1340">
        <f t="shared" ref="CL93:CQ93" si="557">(CL41-(CL20+CL21))</f>
        <v>11705</v>
      </c>
      <c r="CM93" s="1341">
        <f t="shared" si="557"/>
        <v>11616</v>
      </c>
      <c r="CN93" s="1342">
        <f>(CN41-(CN20+CN21))</f>
        <v>11875</v>
      </c>
      <c r="CO93" s="1340">
        <f t="shared" ref="CO93" si="558">(CO41-(CO20+CO21))</f>
        <v>12672</v>
      </c>
      <c r="CP93" s="1340">
        <f t="shared" si="557"/>
        <v>14556</v>
      </c>
      <c r="CQ93" s="1341">
        <f t="shared" si="557"/>
        <v>17006</v>
      </c>
      <c r="CR93" s="582">
        <f t="shared" ref="CR93:CU93" si="559">(CR41-(CR20+CR21))</f>
        <v>20930</v>
      </c>
      <c r="CS93" s="582">
        <f t="shared" si="559"/>
        <v>24101</v>
      </c>
      <c r="CT93" s="582">
        <f t="shared" si="559"/>
        <v>27674.20960533871</v>
      </c>
      <c r="CU93" s="1341">
        <f t="shared" si="559"/>
        <v>31191.475605939086</v>
      </c>
      <c r="CV93" s="1340">
        <f t="shared" ref="CV93:CY93" si="560">(CV41-(CV20+CV21))</f>
        <v>34009.46201835027</v>
      </c>
      <c r="CW93" s="1340">
        <f t="shared" si="560"/>
        <v>36381.387238154799</v>
      </c>
      <c r="CX93" s="1340">
        <f t="shared" si="560"/>
        <v>38320.459218758588</v>
      </c>
      <c r="CY93" s="1341">
        <f t="shared" si="560"/>
        <v>40031.658646099953</v>
      </c>
      <c r="CZ93" s="1340">
        <f t="shared" ref="CZ93:DC93" si="561">(CZ41-(CZ20+CZ21))</f>
        <v>41568.439601656173</v>
      </c>
      <c r="DA93" s="1340">
        <f t="shared" si="561"/>
        <v>42972.012256150054</v>
      </c>
      <c r="DB93" s="1340">
        <f t="shared" si="561"/>
        <v>44314.199726049752</v>
      </c>
      <c r="DC93" s="1341">
        <f t="shared" si="561"/>
        <v>45616.478857896262</v>
      </c>
      <c r="DD93" s="18"/>
      <c r="DE93" s="165"/>
      <c r="DF93" s="165"/>
      <c r="DG93" s="165">
        <f t="shared" ref="DG93:DY93" si="562">(DG41-(DG20+DG21))</f>
        <v>2832</v>
      </c>
      <c r="DH93" s="165">
        <f t="shared" si="562"/>
        <v>2608.1</v>
      </c>
      <c r="DI93" s="165">
        <f t="shared" si="562"/>
        <v>3751.5</v>
      </c>
      <c r="DJ93" s="165">
        <f t="shared" si="562"/>
        <v>6219</v>
      </c>
      <c r="DK93" s="165">
        <f t="shared" si="562"/>
        <v>6827.2</v>
      </c>
      <c r="DL93" s="165">
        <f t="shared" si="562"/>
        <v>5989.4</v>
      </c>
      <c r="DM93" s="165">
        <f t="shared" si="562"/>
        <v>4681.3999999999996</v>
      </c>
      <c r="DN93" s="165">
        <f t="shared" si="562"/>
        <v>5338.6</v>
      </c>
      <c r="DO93" s="165">
        <f t="shared" si="562"/>
        <v>5586.6</v>
      </c>
      <c r="DP93" s="165">
        <f t="shared" si="562"/>
        <v>7223.7</v>
      </c>
      <c r="DQ93" s="165">
        <f t="shared" si="562"/>
        <v>6836</v>
      </c>
      <c r="DR93" s="165">
        <f t="shared" si="562"/>
        <v>5756</v>
      </c>
      <c r="DS93" s="165">
        <f t="shared" si="562"/>
        <v>4609</v>
      </c>
      <c r="DT93" s="165">
        <f t="shared" si="562"/>
        <v>7697</v>
      </c>
      <c r="DU93" s="165">
        <f t="shared" si="562"/>
        <v>8056</v>
      </c>
      <c r="DV93" s="165">
        <f t="shared" si="562"/>
        <v>7329</v>
      </c>
      <c r="DW93" s="165">
        <f t="shared" si="562"/>
        <v>8756</v>
      </c>
      <c r="DX93" s="165">
        <f t="shared" si="562"/>
        <v>10303</v>
      </c>
      <c r="DY93" s="165">
        <f t="shared" si="562"/>
        <v>11853</v>
      </c>
      <c r="DZ93" s="165">
        <f>(DZ41-(DZ21+DZ23))</f>
        <v>11156</v>
      </c>
      <c r="EA93" s="165">
        <f>(EA41-(EA21+EA23))</f>
        <v>17800</v>
      </c>
      <c r="EB93" s="165">
        <f>(EB41-(EB21+EB23))</f>
        <v>31703.475605939086</v>
      </c>
      <c r="EC93" s="165">
        <f>(EC41-(EC21+EC23))</f>
        <v>40543.658646099953</v>
      </c>
      <c r="ED93" s="167">
        <f>(ED41-(ED21+ED23))</f>
        <v>46128.478857896262</v>
      </c>
      <c r="EE93" s="18"/>
      <c r="EF93" s="166"/>
      <c r="EG93" s="165">
        <f t="shared" ref="EG93:EY93" si="563">(EG41-(EG20+EG21))</f>
        <v>2485.6</v>
      </c>
      <c r="EH93" s="165">
        <f t="shared" si="563"/>
        <v>2828.3999999999996</v>
      </c>
      <c r="EI93" s="165">
        <f t="shared" si="563"/>
        <v>3616.6</v>
      </c>
      <c r="EJ93" s="165">
        <f t="shared" si="563"/>
        <v>4179.7000000000007</v>
      </c>
      <c r="EK93" s="165">
        <f t="shared" si="563"/>
        <v>7284.3</v>
      </c>
      <c r="EL93" s="165">
        <f t="shared" si="563"/>
        <v>6579.2</v>
      </c>
      <c r="EM93" s="165">
        <f t="shared" si="563"/>
        <v>5705.3</v>
      </c>
      <c r="EN93" s="165">
        <f t="shared" si="563"/>
        <v>5145.6000000000004</v>
      </c>
      <c r="EO93" s="165">
        <f t="shared" si="563"/>
        <v>5507.9</v>
      </c>
      <c r="EP93" s="165">
        <f t="shared" si="563"/>
        <v>5667.6</v>
      </c>
      <c r="EQ93" s="165">
        <f t="shared" si="563"/>
        <v>7367</v>
      </c>
      <c r="ER93" s="165">
        <f t="shared" si="563"/>
        <v>6594</v>
      </c>
      <c r="ES93" s="165">
        <f t="shared" si="563"/>
        <v>5130</v>
      </c>
      <c r="ET93" s="165">
        <f t="shared" si="563"/>
        <v>4861</v>
      </c>
      <c r="EU93" s="165">
        <f t="shared" si="563"/>
        <v>7914</v>
      </c>
      <c r="EV93" s="165">
        <f t="shared" si="563"/>
        <v>7870</v>
      </c>
      <c r="EW93" s="165">
        <f t="shared" si="563"/>
        <v>7110</v>
      </c>
      <c r="EX93" s="165">
        <f t="shared" si="563"/>
        <v>8851</v>
      </c>
      <c r="EY93" s="165">
        <f t="shared" si="563"/>
        <v>11228</v>
      </c>
      <c r="EZ93" s="165">
        <f t="shared" ref="EZ93:FC93" si="564">(EZ41-(EZ20+EZ21))</f>
        <v>11765</v>
      </c>
      <c r="FA93" s="165">
        <f t="shared" si="564"/>
        <v>11875</v>
      </c>
      <c r="FB93" s="165">
        <f t="shared" si="564"/>
        <v>20930</v>
      </c>
      <c r="FC93" s="165">
        <f t="shared" si="564"/>
        <v>34009.46201835027</v>
      </c>
      <c r="FD93" s="167">
        <f t="shared" ref="FD93" si="565">(FD41-(FD20+FD21))</f>
        <v>41568.439601656173</v>
      </c>
      <c r="FE93" s="21"/>
      <c r="FF93" s="13"/>
      <c r="FG93" s="13"/>
      <c r="FH93" s="13"/>
      <c r="FO93" s="7"/>
    </row>
    <row r="94" spans="1:171" ht="14.25" customHeight="1">
      <c r="A94" s="7"/>
      <c r="B94" s="433" t="s">
        <v>320</v>
      </c>
      <c r="C94" s="23"/>
      <c r="D94" s="156"/>
      <c r="E94" s="156"/>
      <c r="F94" s="156"/>
      <c r="G94" s="164"/>
      <c r="H94" s="156"/>
      <c r="I94" s="156"/>
      <c r="J94" s="156"/>
      <c r="K94" s="164"/>
      <c r="L94" s="581">
        <f t="shared" ref="L94:AQ94" si="566">L93/L77</f>
        <v>5.7939393939393939</v>
      </c>
      <c r="M94" s="581">
        <f t="shared" si="566"/>
        <v>6.1038390379278455</v>
      </c>
      <c r="N94" s="581">
        <f t="shared" si="566"/>
        <v>6.2676282051282044</v>
      </c>
      <c r="O94" s="585">
        <f t="shared" si="566"/>
        <v>6.4628023733455047</v>
      </c>
      <c r="P94" s="581">
        <f t="shared" si="566"/>
        <v>6.4931129476584006</v>
      </c>
      <c r="Q94" s="581">
        <f t="shared" si="566"/>
        <v>6.4656133828996287</v>
      </c>
      <c r="R94" s="581">
        <f t="shared" si="566"/>
        <v>6.2205746061167746</v>
      </c>
      <c r="S94" s="585">
        <f t="shared" si="566"/>
        <v>6.0149907749077487</v>
      </c>
      <c r="T94" s="581">
        <f t="shared" si="566"/>
        <v>7.35978835978836</v>
      </c>
      <c r="U94" s="581">
        <f t="shared" si="566"/>
        <v>6.8325393917185782</v>
      </c>
      <c r="V94" s="581">
        <f t="shared" si="566"/>
        <v>6.9690199023657522</v>
      </c>
      <c r="W94" s="585">
        <f t="shared" si="566"/>
        <v>7.0252808988764048</v>
      </c>
      <c r="X94" s="581">
        <f t="shared" si="566"/>
        <v>7.0270679219905867</v>
      </c>
      <c r="Y94" s="581">
        <f t="shared" si="566"/>
        <v>8.108040201005025</v>
      </c>
      <c r="Z94" s="581">
        <f t="shared" si="566"/>
        <v>8.9460580912863072</v>
      </c>
      <c r="AA94" s="585">
        <f t="shared" si="566"/>
        <v>10.1220703125</v>
      </c>
      <c r="AB94" s="581">
        <f t="shared" si="566"/>
        <v>11.953232687889729</v>
      </c>
      <c r="AC94" s="581">
        <f t="shared" si="566"/>
        <v>12.208319299427416</v>
      </c>
      <c r="AD94" s="581">
        <f t="shared" si="566"/>
        <v>11.703504947174242</v>
      </c>
      <c r="AE94" s="585">
        <f t="shared" si="566"/>
        <v>11.524645509790682</v>
      </c>
      <c r="AF94" s="581">
        <f t="shared" si="566"/>
        <v>10.979973297730306</v>
      </c>
      <c r="AG94" s="581">
        <f t="shared" si="566"/>
        <v>10.957202331390508</v>
      </c>
      <c r="AH94" s="581">
        <f t="shared" si="566"/>
        <v>10.91233604516022</v>
      </c>
      <c r="AI94" s="585">
        <f t="shared" si="566"/>
        <v>9.9162251655629134</v>
      </c>
      <c r="AJ94" s="581">
        <f t="shared" si="566"/>
        <v>9.4271315267680098</v>
      </c>
      <c r="AK94" s="581">
        <f t="shared" si="566"/>
        <v>8.2394598155467715</v>
      </c>
      <c r="AL94" s="581">
        <f t="shared" si="566"/>
        <v>7.8773631431859288</v>
      </c>
      <c r="AM94" s="585">
        <f t="shared" si="566"/>
        <v>7.680721903199343</v>
      </c>
      <c r="AN94" s="581">
        <f t="shared" si="566"/>
        <v>8.0829406220546662</v>
      </c>
      <c r="AO94" s="581">
        <f t="shared" si="566"/>
        <v>7.9724813432835813</v>
      </c>
      <c r="AP94" s="581">
        <f t="shared" si="566"/>
        <v>7.4130989509498155</v>
      </c>
      <c r="AQ94" s="585">
        <f t="shared" si="566"/>
        <v>7.611348731109211</v>
      </c>
      <c r="AR94" s="581">
        <f t="shared" ref="AR94:BW94" si="567">AR93/AR77</f>
        <v>7.8628122769450384</v>
      </c>
      <c r="AS94" s="581">
        <f t="shared" si="567"/>
        <v>8.0450591758163412</v>
      </c>
      <c r="AT94" s="581">
        <f t="shared" si="567"/>
        <v>8.5286948472693602</v>
      </c>
      <c r="AU94" s="585">
        <f t="shared" si="567"/>
        <v>8.5947692307692307</v>
      </c>
      <c r="AV94" s="581">
        <f t="shared" si="567"/>
        <v>8.0152736529486646</v>
      </c>
      <c r="AW94" s="581">
        <f t="shared" si="567"/>
        <v>9.3895885810243485</v>
      </c>
      <c r="AX94" s="581">
        <f t="shared" si="567"/>
        <v>9.5518677961394243</v>
      </c>
      <c r="AY94" s="585">
        <f t="shared" si="567"/>
        <v>9.5111257406188283</v>
      </c>
      <c r="AZ94" s="581">
        <f t="shared" si="567"/>
        <v>9.4497178040020522</v>
      </c>
      <c r="BA94" s="581">
        <f t="shared" si="567"/>
        <v>9.5108624951216338</v>
      </c>
      <c r="BB94" s="581">
        <f t="shared" si="567"/>
        <v>9.0414339524613592</v>
      </c>
      <c r="BC94" s="585">
        <f t="shared" si="567"/>
        <v>8.8675574004410436</v>
      </c>
      <c r="BD94" s="581">
        <f t="shared" si="567"/>
        <v>8.5425573260785086</v>
      </c>
      <c r="BE94" s="581">
        <f t="shared" si="567"/>
        <v>8.1538063179699645</v>
      </c>
      <c r="BF94" s="581">
        <f t="shared" si="567"/>
        <v>7.8610248447204976</v>
      </c>
      <c r="BG94" s="585">
        <f t="shared" si="567"/>
        <v>7.4472764911372753</v>
      </c>
      <c r="BH94" s="581">
        <f t="shared" si="567"/>
        <v>6.6339066339066344</v>
      </c>
      <c r="BI94" s="581">
        <f t="shared" si="567"/>
        <v>5.6338028169014089</v>
      </c>
      <c r="BJ94" s="581">
        <f t="shared" si="567"/>
        <v>5.3387433911225877</v>
      </c>
      <c r="BK94" s="585">
        <f t="shared" si="567"/>
        <v>5.4589600852777451</v>
      </c>
      <c r="BL94" s="586">
        <f t="shared" si="567"/>
        <v>4.857599680223843</v>
      </c>
      <c r="BM94" s="581">
        <f t="shared" si="567"/>
        <v>5.2521635332736496</v>
      </c>
      <c r="BN94" s="581">
        <f t="shared" si="567"/>
        <v>6.9935201067276536</v>
      </c>
      <c r="BO94" s="585">
        <f t="shared" si="567"/>
        <v>6.7363906879047795</v>
      </c>
      <c r="BP94" s="581">
        <f t="shared" si="567"/>
        <v>7.6738097546785617</v>
      </c>
      <c r="BQ94" s="581">
        <f t="shared" si="567"/>
        <v>7.8598284006555481</v>
      </c>
      <c r="BR94" s="581">
        <f t="shared" si="567"/>
        <v>7.8323893635403667</v>
      </c>
      <c r="BS94" s="585">
        <f t="shared" si="567"/>
        <v>8.1193307800846597</v>
      </c>
      <c r="BT94" s="581">
        <f t="shared" si="567"/>
        <v>8.019156307316079</v>
      </c>
      <c r="BU94" s="581">
        <f t="shared" si="567"/>
        <v>7.7187627187627195</v>
      </c>
      <c r="BV94" s="581">
        <f t="shared" si="567"/>
        <v>7.5205104831358254</v>
      </c>
      <c r="BW94" s="1339">
        <f t="shared" si="567"/>
        <v>7.3940677966101696</v>
      </c>
      <c r="BX94" s="1344">
        <f t="shared" ref="BX94:CI94" si="568">BX93/BX77</f>
        <v>7.0139094406629177</v>
      </c>
      <c r="BY94" s="1339">
        <f t="shared" si="568"/>
        <v>6.7765748031496065</v>
      </c>
      <c r="BZ94" s="1339">
        <f t="shared" si="568"/>
        <v>6.6854576724632144</v>
      </c>
      <c r="CA94" s="1343">
        <f t="shared" si="568"/>
        <v>7.7527890915530362</v>
      </c>
      <c r="CB94" s="1344">
        <f t="shared" si="568"/>
        <v>7.4005016722408028</v>
      </c>
      <c r="CC94" s="1339">
        <f>CC93/CC77</f>
        <v>7.4246461282264775</v>
      </c>
      <c r="CD94" s="1339">
        <f>CD93/CD77</f>
        <v>8.0647058823529409</v>
      </c>
      <c r="CE94" s="1343">
        <f>CE93/CE77</f>
        <v>8.5644222776392347</v>
      </c>
      <c r="CF94" s="581">
        <f t="shared" si="568"/>
        <v>9.3958158995815904</v>
      </c>
      <c r="CG94" s="581">
        <f t="shared" si="568"/>
        <v>10.072268907563025</v>
      </c>
      <c r="CH94" s="581">
        <f t="shared" si="568"/>
        <v>10.27948717948718</v>
      </c>
      <c r="CI94" s="1339">
        <f t="shared" si="568"/>
        <v>10.545373665480428</v>
      </c>
      <c r="CJ94" s="1344">
        <f>CJ93/CJ77</f>
        <v>10.84331797235023</v>
      </c>
      <c r="CK94" s="1339">
        <f t="shared" ref="CK94:CQ94" si="569">CK93/CK77</f>
        <v>11.343629343629344</v>
      </c>
      <c r="CL94" s="1339">
        <f t="shared" si="569"/>
        <v>11.298262548262548</v>
      </c>
      <c r="CM94" s="1343">
        <f t="shared" si="569"/>
        <v>11.201542912246866</v>
      </c>
      <c r="CN94" s="1344">
        <f>CN93/CN77</f>
        <v>10.884509624197984</v>
      </c>
      <c r="CO94" s="1339">
        <f t="shared" ref="CO94" si="570">CO93/CO77</f>
        <v>10.924137931034483</v>
      </c>
      <c r="CP94" s="1339">
        <f t="shared" si="569"/>
        <v>12.367034834324555</v>
      </c>
      <c r="CQ94" s="1343">
        <f t="shared" si="569"/>
        <v>14.32687447346251</v>
      </c>
      <c r="CR94" s="581">
        <f t="shared" ref="CR94:CU94" si="571">CR93/CR77</f>
        <v>17.085714285714285</v>
      </c>
      <c r="CS94" s="581">
        <f t="shared" si="571"/>
        <v>19.467689822294023</v>
      </c>
      <c r="CT94" s="581">
        <f t="shared" si="571"/>
        <v>22.174847440175249</v>
      </c>
      <c r="CU94" s="1343">
        <f t="shared" si="571"/>
        <v>24.814220848002456</v>
      </c>
      <c r="CV94" s="1339">
        <f t="shared" ref="CV94:CY94" si="572">CV93/CV77</f>
        <v>26.863714074526278</v>
      </c>
      <c r="CW94" s="1339">
        <f t="shared" si="572"/>
        <v>28.534421363258666</v>
      </c>
      <c r="CX94" s="1339">
        <f t="shared" si="572"/>
        <v>29.844594407132856</v>
      </c>
      <c r="CY94" s="1343">
        <f t="shared" si="572"/>
        <v>30.960292843078076</v>
      </c>
      <c r="CZ94" s="1339">
        <f t="shared" ref="CZ94:DC94" si="573">CZ93/CZ77</f>
        <v>31.926604916786616</v>
      </c>
      <c r="DA94" s="1339">
        <f t="shared" si="573"/>
        <v>32.778041385316591</v>
      </c>
      <c r="DB94" s="1339">
        <f t="shared" si="573"/>
        <v>33.57136342882557</v>
      </c>
      <c r="DC94" s="1343">
        <f t="shared" si="573"/>
        <v>34.323911856957309</v>
      </c>
      <c r="DD94" s="18"/>
      <c r="DE94" s="165"/>
      <c r="DF94" s="165"/>
      <c r="DG94" s="165">
        <f t="shared" ref="DG94:EB94" si="574">DG93/DG77</f>
        <v>6.5238424326192117</v>
      </c>
      <c r="DH94" s="165">
        <f t="shared" si="574"/>
        <v>6.0261090573012943</v>
      </c>
      <c r="DI94" s="165">
        <f t="shared" si="574"/>
        <v>7.1328073010742479</v>
      </c>
      <c r="DJ94" s="165">
        <f t="shared" si="574"/>
        <v>10.50107644898476</v>
      </c>
      <c r="DK94" s="165">
        <f t="shared" si="574"/>
        <v>11.417199715707179</v>
      </c>
      <c r="DL94" s="165">
        <f t="shared" si="574"/>
        <v>9.9574397339983367</v>
      </c>
      <c r="DM94" s="165">
        <f t="shared" si="574"/>
        <v>7.705374043288618</v>
      </c>
      <c r="DN94" s="165">
        <f t="shared" si="574"/>
        <v>7.948485074071316</v>
      </c>
      <c r="DO94" s="165">
        <f t="shared" si="574"/>
        <v>8.2764444444444454</v>
      </c>
      <c r="DP94" s="165">
        <f t="shared" si="574"/>
        <v>9.9592596422293447</v>
      </c>
      <c r="DQ94" s="165">
        <f t="shared" si="574"/>
        <v>8.8517691236929839</v>
      </c>
      <c r="DR94" s="165">
        <f t="shared" si="574"/>
        <v>7.4511326860841427</v>
      </c>
      <c r="DS94" s="165">
        <f t="shared" si="574"/>
        <v>5.7526210683974037</v>
      </c>
      <c r="DT94" s="165">
        <f t="shared" si="574"/>
        <v>7.3339685564554546</v>
      </c>
      <c r="DU94" s="165">
        <f t="shared" si="574"/>
        <v>7.8547227300426572</v>
      </c>
      <c r="DV94" s="165">
        <f t="shared" si="574"/>
        <v>7.435513734243032</v>
      </c>
      <c r="DW94" s="165">
        <f t="shared" si="574"/>
        <v>8.3277456784839607</v>
      </c>
      <c r="DX94" s="165">
        <f t="shared" si="574"/>
        <v>8.6037578288100214</v>
      </c>
      <c r="DY94" s="165">
        <f t="shared" si="574"/>
        <v>10.132934387689676</v>
      </c>
      <c r="DZ94" s="165">
        <f t="shared" si="574"/>
        <v>10.63996185026228</v>
      </c>
      <c r="EA94" s="165">
        <f t="shared" si="574"/>
        <v>15.42795232936078</v>
      </c>
      <c r="EB94" s="165">
        <f t="shared" si="574"/>
        <v>25.52614783086883</v>
      </c>
      <c r="EC94" s="165">
        <f t="shared" ref="EC94:ED94" si="575">EC93/EC77</f>
        <v>31.687111095037089</v>
      </c>
      <c r="ED94" s="167">
        <f t="shared" si="575"/>
        <v>35.065358310829538</v>
      </c>
      <c r="EE94" s="18"/>
      <c r="EF94" s="166"/>
      <c r="EG94" s="165">
        <f t="shared" ref="EG94:EY94" si="576">EG93/EG77</f>
        <v>5.7993467102193179</v>
      </c>
      <c r="EH94" s="165">
        <f t="shared" si="576"/>
        <v>6.4908777969018923</v>
      </c>
      <c r="EI94" s="165">
        <f t="shared" si="576"/>
        <v>8.0953553441522104</v>
      </c>
      <c r="EJ94" s="165">
        <f t="shared" si="576"/>
        <v>7.5746647335991319</v>
      </c>
      <c r="EK94" s="165">
        <f t="shared" si="576"/>
        <v>12.224543738200126</v>
      </c>
      <c r="EL94" s="165">
        <f t="shared" si="576"/>
        <v>11.049586429861025</v>
      </c>
      <c r="EM94" s="165">
        <f t="shared" si="576"/>
        <v>9.4615257048092865</v>
      </c>
      <c r="EN94" s="165">
        <f t="shared" si="576"/>
        <v>8.3613909652258709</v>
      </c>
      <c r="EO94" s="165">
        <f t="shared" si="576"/>
        <v>8.0100345391746952</v>
      </c>
      <c r="EP94" s="165">
        <f t="shared" si="576"/>
        <v>8.3759698514741743</v>
      </c>
      <c r="EQ94" s="165">
        <f t="shared" si="576"/>
        <v>9.9092070751227403</v>
      </c>
      <c r="ER94" s="165">
        <f t="shared" si="576"/>
        <v>8.559745570195366</v>
      </c>
      <c r="ES94" s="165">
        <f t="shared" si="576"/>
        <v>6.6377692954648388</v>
      </c>
      <c r="ET94" s="165">
        <f t="shared" si="576"/>
        <v>5.6651710273294098</v>
      </c>
      <c r="EU94" s="165">
        <f t="shared" si="576"/>
        <v>7.486165634015987</v>
      </c>
      <c r="EV94" s="165">
        <f t="shared" si="576"/>
        <v>7.76785273651483</v>
      </c>
      <c r="EW94" s="165">
        <f t="shared" si="576"/>
        <v>7.1547169811320757</v>
      </c>
      <c r="EX94" s="165">
        <f t="shared" si="576"/>
        <v>8.0683682771194167</v>
      </c>
      <c r="EY94" s="165">
        <f t="shared" si="576"/>
        <v>9.37815827939027</v>
      </c>
      <c r="EZ94" s="165">
        <f t="shared" ref="EZ94:FC94" si="577">EZ93/EZ77</f>
        <v>10.299846793609104</v>
      </c>
      <c r="FA94" s="165">
        <f t="shared" si="577"/>
        <v>11.30952380952381</v>
      </c>
      <c r="FB94" s="165">
        <f t="shared" si="577"/>
        <v>17.628974520951779</v>
      </c>
      <c r="FC94" s="165">
        <f t="shared" si="577"/>
        <v>27.158683983509899</v>
      </c>
      <c r="FD94" s="167">
        <f t="shared" ref="FD94" si="578">FD93/FD77</f>
        <v>32.261109508464237</v>
      </c>
      <c r="FE94" s="21"/>
      <c r="FF94" s="13"/>
      <c r="FG94" s="13"/>
      <c r="FH94" s="13"/>
      <c r="FO94" s="7"/>
    </row>
    <row r="95" spans="1:171" ht="14.25" customHeight="1">
      <c r="A95" s="7"/>
      <c r="B95" s="433"/>
      <c r="C95" s="23"/>
      <c r="D95" s="156"/>
      <c r="E95" s="156"/>
      <c r="F95" s="156"/>
      <c r="G95" s="164"/>
      <c r="H95" s="156"/>
      <c r="I95" s="156"/>
      <c r="J95" s="156"/>
      <c r="K95" s="164"/>
      <c r="L95" s="587"/>
      <c r="M95" s="587"/>
      <c r="N95" s="587"/>
      <c r="O95" s="588"/>
      <c r="P95" s="587"/>
      <c r="Q95" s="587"/>
      <c r="R95" s="587"/>
      <c r="S95" s="588"/>
      <c r="T95" s="587"/>
      <c r="U95" s="587"/>
      <c r="V95" s="587"/>
      <c r="W95" s="588"/>
      <c r="X95" s="587"/>
      <c r="Y95" s="587"/>
      <c r="Z95" s="587"/>
      <c r="AA95" s="588"/>
      <c r="AB95" s="587"/>
      <c r="AC95" s="587"/>
      <c r="AD95" s="587"/>
      <c r="AE95" s="588"/>
      <c r="AF95" s="587"/>
      <c r="AG95" s="587"/>
      <c r="AH95" s="587"/>
      <c r="AI95" s="588"/>
      <c r="AJ95" s="587"/>
      <c r="AK95" s="587"/>
      <c r="AL95" s="587"/>
      <c r="AM95" s="588"/>
      <c r="AN95" s="587"/>
      <c r="AO95" s="587"/>
      <c r="AP95" s="587"/>
      <c r="AQ95" s="588"/>
      <c r="AR95" s="587"/>
      <c r="AS95" s="587"/>
      <c r="AT95" s="587"/>
      <c r="AU95" s="588"/>
      <c r="AV95" s="587"/>
      <c r="AW95" s="587"/>
      <c r="AX95" s="587"/>
      <c r="AY95" s="588"/>
      <c r="AZ95" s="587"/>
      <c r="BA95" s="587"/>
      <c r="BB95" s="587"/>
      <c r="BC95" s="588"/>
      <c r="BD95" s="587"/>
      <c r="BE95" s="587"/>
      <c r="BF95" s="587"/>
      <c r="BG95" s="588"/>
      <c r="BH95" s="587"/>
      <c r="BI95" s="587"/>
      <c r="BJ95" s="587"/>
      <c r="BK95" s="588"/>
      <c r="BL95" s="589"/>
      <c r="BM95" s="587"/>
      <c r="BN95" s="587"/>
      <c r="BO95" s="588"/>
      <c r="BP95" s="587"/>
      <c r="BQ95" s="587"/>
      <c r="BR95" s="587"/>
      <c r="BS95" s="588"/>
      <c r="BT95" s="587"/>
      <c r="BU95" s="587"/>
      <c r="BV95" s="587"/>
      <c r="BW95" s="1345"/>
      <c r="BX95" s="1347"/>
      <c r="BY95" s="1345"/>
      <c r="BZ95" s="1345"/>
      <c r="CA95" s="1346"/>
      <c r="CB95" s="1347"/>
      <c r="CC95" s="1345"/>
      <c r="CD95" s="1345"/>
      <c r="CE95" s="1346"/>
      <c r="CF95" s="587"/>
      <c r="CG95" s="587"/>
      <c r="CH95" s="587"/>
      <c r="CI95" s="1345"/>
      <c r="CJ95" s="1347"/>
      <c r="CK95" s="1345"/>
      <c r="CL95" s="1345"/>
      <c r="CM95" s="1346"/>
      <c r="CN95" s="1347"/>
      <c r="CO95" s="1345"/>
      <c r="CP95" s="1345"/>
      <c r="CQ95" s="1346"/>
      <c r="CR95" s="587"/>
      <c r="CS95" s="587"/>
      <c r="CT95" s="587"/>
      <c r="CU95" s="1346"/>
      <c r="CV95" s="1345"/>
      <c r="CW95" s="1345"/>
      <c r="CX95" s="1345"/>
      <c r="CY95" s="1346"/>
      <c r="CZ95" s="1345"/>
      <c r="DA95" s="1345"/>
      <c r="DB95" s="1345"/>
      <c r="DC95" s="1346"/>
      <c r="DD95" s="18"/>
      <c r="DE95" s="165"/>
      <c r="DF95" s="165"/>
      <c r="DG95" s="165"/>
      <c r="DH95" s="165"/>
      <c r="DI95" s="165"/>
      <c r="DJ95" s="165"/>
      <c r="DK95" s="165"/>
      <c r="DL95" s="165"/>
      <c r="DM95" s="165"/>
      <c r="DN95" s="165"/>
      <c r="DO95" s="165"/>
      <c r="DP95" s="165"/>
      <c r="DQ95" s="165"/>
      <c r="DR95" s="165"/>
      <c r="DS95" s="165"/>
      <c r="DT95" s="165"/>
      <c r="DU95" s="165"/>
      <c r="DV95" s="165"/>
      <c r="DW95" s="165"/>
      <c r="DX95" s="165"/>
      <c r="DY95" s="165"/>
      <c r="DZ95" s="165"/>
      <c r="EA95" s="165"/>
      <c r="EB95" s="165"/>
      <c r="EC95" s="165"/>
      <c r="ED95" s="167"/>
      <c r="EE95" s="18"/>
      <c r="EF95" s="166"/>
      <c r="EG95" s="165"/>
      <c r="EH95" s="165"/>
      <c r="EI95" s="165"/>
      <c r="EJ95" s="165"/>
      <c r="EK95" s="165"/>
      <c r="EL95" s="165">
        <f>BS!EH100-BS!EI100</f>
        <v>-888.90000000000032</v>
      </c>
      <c r="EM95" s="165"/>
      <c r="EN95" s="165"/>
      <c r="EO95" s="165"/>
      <c r="EP95" s="165"/>
      <c r="EQ95" s="165"/>
      <c r="ER95" s="165"/>
      <c r="ES95" s="165"/>
      <c r="ET95" s="165"/>
      <c r="EU95" s="165"/>
      <c r="EV95" s="165"/>
      <c r="EW95" s="165"/>
      <c r="EX95" s="165"/>
      <c r="EY95" s="165"/>
      <c r="EZ95" s="165"/>
      <c r="FA95" s="165"/>
      <c r="FB95" s="165"/>
      <c r="FC95" s="165"/>
      <c r="FD95" s="167"/>
      <c r="FE95" s="21"/>
      <c r="FF95" s="13"/>
      <c r="FG95" s="13"/>
      <c r="FH95" s="13"/>
      <c r="FO95" s="7"/>
    </row>
    <row r="96" spans="1:171" ht="14.25" customHeight="1">
      <c r="A96" s="7"/>
      <c r="B96" s="447" t="s">
        <v>409</v>
      </c>
      <c r="C96" s="23"/>
      <c r="D96" s="156"/>
      <c r="E96" s="156"/>
      <c r="F96" s="156"/>
      <c r="G96" s="164"/>
      <c r="H96" s="156"/>
      <c r="I96" s="156"/>
      <c r="J96" s="156"/>
      <c r="K96" s="164"/>
      <c r="L96" s="581"/>
      <c r="M96" s="581"/>
      <c r="N96" s="581"/>
      <c r="O96" s="585"/>
      <c r="P96" s="581"/>
      <c r="Q96" s="581"/>
      <c r="R96" s="581"/>
      <c r="S96" s="585"/>
      <c r="T96" s="581"/>
      <c r="U96" s="581"/>
      <c r="V96" s="581"/>
      <c r="W96" s="585"/>
      <c r="X96" s="581"/>
      <c r="Y96" s="581"/>
      <c r="Z96" s="581"/>
      <c r="AA96" s="585"/>
      <c r="AB96" s="581"/>
      <c r="AC96" s="581"/>
      <c r="AD96" s="581"/>
      <c r="AE96" s="585"/>
      <c r="AF96" s="581"/>
      <c r="AG96" s="581"/>
      <c r="AH96" s="581"/>
      <c r="AI96" s="585"/>
      <c r="AJ96" s="581"/>
      <c r="AK96" s="581"/>
      <c r="AL96" s="581"/>
      <c r="AM96" s="585"/>
      <c r="AN96" s="581"/>
      <c r="AO96" s="581"/>
      <c r="AP96" s="581"/>
      <c r="AQ96" s="585"/>
      <c r="AR96" s="581"/>
      <c r="AS96" s="581"/>
      <c r="AT96" s="581"/>
      <c r="AU96" s="585"/>
      <c r="AV96" s="581"/>
      <c r="AW96" s="581"/>
      <c r="AX96" s="581"/>
      <c r="AY96" s="585"/>
      <c r="AZ96" s="581"/>
      <c r="BA96" s="581"/>
      <c r="BB96" s="581"/>
      <c r="BC96" s="585"/>
      <c r="BD96" s="581"/>
      <c r="BE96" s="581"/>
      <c r="BF96" s="581"/>
      <c r="BG96" s="585"/>
      <c r="BH96" s="581"/>
      <c r="BI96" s="581"/>
      <c r="BJ96" s="581"/>
      <c r="BK96" s="585"/>
      <c r="BL96" s="586"/>
      <c r="BM96" s="581"/>
      <c r="BN96" s="581"/>
      <c r="BO96" s="585"/>
      <c r="BP96" s="581"/>
      <c r="BQ96" s="581"/>
      <c r="BR96" s="581"/>
      <c r="BS96" s="585"/>
      <c r="BT96" s="581"/>
      <c r="BU96" s="581"/>
      <c r="BV96" s="581"/>
      <c r="BW96" s="1339"/>
      <c r="BX96" s="1344"/>
      <c r="BY96" s="1339"/>
      <c r="BZ96" s="1339"/>
      <c r="CA96" s="1343"/>
      <c r="CB96" s="1344"/>
      <c r="CC96" s="1339"/>
      <c r="CD96" s="1339"/>
      <c r="CE96" s="1343"/>
      <c r="CF96" s="581"/>
      <c r="CG96" s="581"/>
      <c r="CH96" s="581"/>
      <c r="CI96" s="1339"/>
      <c r="CJ96" s="1344"/>
      <c r="CK96" s="1339"/>
      <c r="CL96" s="1339"/>
      <c r="CM96" s="1343"/>
      <c r="CN96" s="1344"/>
      <c r="CO96" s="1339"/>
      <c r="CP96" s="1339"/>
      <c r="CQ96" s="1343"/>
      <c r="CR96" s="581"/>
      <c r="CS96" s="581"/>
      <c r="CT96" s="581"/>
      <c r="CU96" s="1343"/>
      <c r="CV96" s="1339"/>
      <c r="CW96" s="1339"/>
      <c r="CX96" s="1339"/>
      <c r="CY96" s="1343"/>
      <c r="CZ96" s="1339"/>
      <c r="DA96" s="1339"/>
      <c r="DB96" s="1339"/>
      <c r="DC96" s="1343"/>
      <c r="DD96" s="18"/>
      <c r="DE96" s="165"/>
      <c r="DF96" s="165"/>
      <c r="DG96" s="165"/>
      <c r="DH96" s="165"/>
      <c r="DI96" s="165"/>
      <c r="DJ96" s="165"/>
      <c r="DK96" s="165"/>
      <c r="DL96" s="165"/>
      <c r="DM96" s="165"/>
      <c r="DN96" s="165"/>
      <c r="DO96" s="165"/>
      <c r="DP96" s="165"/>
      <c r="DQ96" s="165"/>
      <c r="DR96" s="165"/>
      <c r="DS96" s="165"/>
      <c r="DT96" s="165"/>
      <c r="DU96" s="165"/>
      <c r="DV96" s="165"/>
      <c r="DW96" s="165"/>
      <c r="DX96" s="165"/>
      <c r="DY96" s="165"/>
      <c r="DZ96" s="165"/>
      <c r="EA96" s="165"/>
      <c r="EB96" s="165"/>
      <c r="EC96" s="165"/>
      <c r="ED96" s="167"/>
      <c r="EE96" s="18"/>
      <c r="EF96" s="166"/>
      <c r="EG96" s="165"/>
      <c r="EH96" s="165"/>
      <c r="EI96" s="165"/>
      <c r="EJ96" s="165"/>
      <c r="EK96" s="165"/>
      <c r="EL96" s="165"/>
      <c r="EM96" s="165"/>
      <c r="EN96" s="165"/>
      <c r="EO96" s="165"/>
      <c r="EP96" s="165"/>
      <c r="EQ96" s="165"/>
      <c r="ER96" s="165"/>
      <c r="ES96" s="165"/>
      <c r="ET96" s="165"/>
      <c r="EU96" s="165"/>
      <c r="EV96" s="165"/>
      <c r="EW96" s="165"/>
      <c r="EX96" s="165"/>
      <c r="EY96" s="165"/>
      <c r="EZ96" s="165"/>
      <c r="FA96" s="165"/>
      <c r="FB96" s="165"/>
      <c r="FC96" s="165"/>
      <c r="FD96" s="167"/>
      <c r="FE96" s="21"/>
      <c r="FF96" s="13"/>
      <c r="FG96" s="13"/>
      <c r="FH96" s="13"/>
      <c r="FO96" s="7"/>
    </row>
    <row r="97" spans="1:171" s="307" customFormat="1" ht="14.25" customHeight="1">
      <c r="A97" s="864"/>
      <c r="B97" s="865" t="s">
        <v>474</v>
      </c>
      <c r="C97" s="866"/>
      <c r="D97" s="867"/>
      <c r="E97" s="867"/>
      <c r="F97" s="867"/>
      <c r="G97" s="868"/>
      <c r="H97" s="867"/>
      <c r="I97" s="867"/>
      <c r="J97" s="867"/>
      <c r="K97" s="868"/>
      <c r="L97" s="869"/>
      <c r="M97" s="869"/>
      <c r="N97" s="869"/>
      <c r="O97" s="870"/>
      <c r="P97" s="869"/>
      <c r="Q97" s="869"/>
      <c r="R97" s="869"/>
      <c r="S97" s="870"/>
      <c r="T97" s="869"/>
      <c r="U97" s="869"/>
      <c r="V97" s="869"/>
      <c r="W97" s="870"/>
      <c r="X97" s="869"/>
      <c r="Y97" s="869"/>
      <c r="Z97" s="869"/>
      <c r="AA97" s="870"/>
      <c r="AB97" s="869"/>
      <c r="AC97" s="869"/>
      <c r="AD97" s="869"/>
      <c r="AE97" s="870"/>
      <c r="AF97" s="869"/>
      <c r="AG97" s="869"/>
      <c r="AH97" s="869"/>
      <c r="AI97" s="870"/>
      <c r="AJ97" s="869"/>
      <c r="AK97" s="869"/>
      <c r="AL97" s="869"/>
      <c r="AM97" s="870"/>
      <c r="AN97" s="869"/>
      <c r="AO97" s="869"/>
      <c r="AP97" s="869"/>
      <c r="AQ97" s="870"/>
      <c r="AR97" s="869"/>
      <c r="AS97" s="869"/>
      <c r="AT97" s="869"/>
      <c r="AU97" s="870"/>
      <c r="AV97" s="869"/>
      <c r="AW97" s="869"/>
      <c r="AX97" s="869"/>
      <c r="AY97" s="870"/>
      <c r="AZ97" s="869"/>
      <c r="BA97" s="869"/>
      <c r="BB97" s="869"/>
      <c r="BC97" s="870"/>
      <c r="BD97" s="869"/>
      <c r="BE97" s="869"/>
      <c r="BF97" s="869"/>
      <c r="BG97" s="870"/>
      <c r="BH97" s="869"/>
      <c r="BI97" s="869"/>
      <c r="BJ97" s="869"/>
      <c r="BK97" s="870"/>
      <c r="BL97" s="871"/>
      <c r="BM97" s="869"/>
      <c r="BN97" s="869"/>
      <c r="BO97" s="870"/>
      <c r="BP97" s="869"/>
      <c r="BQ97" s="869"/>
      <c r="BR97" s="869"/>
      <c r="BS97" s="870"/>
      <c r="BT97" s="869"/>
      <c r="BU97" s="869"/>
      <c r="BV97" s="869"/>
      <c r="BW97" s="1353"/>
      <c r="BX97" s="1355">
        <f>(BX86+BX87)/BX43</f>
        <v>0.24418852633823843</v>
      </c>
      <c r="BY97" s="1353">
        <f t="shared" ref="BY97:CI97" si="579">(BY86+BY87)/BY43</f>
        <v>0.2624353076480736</v>
      </c>
      <c r="BZ97" s="1353">
        <f t="shared" si="579"/>
        <v>0.25784418356456779</v>
      </c>
      <c r="CA97" s="1354">
        <f t="shared" si="579"/>
        <v>0.31577570875614602</v>
      </c>
      <c r="CB97" s="1355">
        <f t="shared" si="579"/>
        <v>0.29316964736788925</v>
      </c>
      <c r="CC97" s="1353">
        <f t="shared" si="579"/>
        <v>0.31758428328886734</v>
      </c>
      <c r="CD97" s="1353">
        <f t="shared" si="579"/>
        <v>0.27543303244693829</v>
      </c>
      <c r="CE97" s="1354">
        <f t="shared" si="579"/>
        <v>0.29304827095741842</v>
      </c>
      <c r="CF97" s="869">
        <f t="shared" si="579"/>
        <v>0.25623280986602787</v>
      </c>
      <c r="CG97" s="869">
        <f t="shared" si="579"/>
        <v>0.28205558821059701</v>
      </c>
      <c r="CH97" s="869">
        <f t="shared" si="579"/>
        <v>0.30040579248886062</v>
      </c>
      <c r="CI97" s="1353">
        <f t="shared" si="579"/>
        <v>0.30609286335583813</v>
      </c>
      <c r="CJ97" s="1355">
        <f t="shared" ref="CJ97:CQ97" si="580">(CJ86+CJ87)/CJ43</f>
        <v>0.30248482860423159</v>
      </c>
      <c r="CK97" s="1353">
        <f t="shared" si="580"/>
        <v>0.30698255368870625</v>
      </c>
      <c r="CL97" s="1353">
        <f t="shared" si="580"/>
        <v>0.35669049294470573</v>
      </c>
      <c r="CM97" s="1354">
        <f t="shared" si="580"/>
        <v>0.359840232389252</v>
      </c>
      <c r="CN97" s="1355">
        <f t="shared" ref="CN97:CO97" si="581">(CN86+CN87)/CN43</f>
        <v>0.34649374910188246</v>
      </c>
      <c r="CO97" s="1353">
        <f t="shared" si="581"/>
        <v>0.38402101684438261</v>
      </c>
      <c r="CP97" s="1353">
        <f t="shared" si="580"/>
        <v>0.35007665253855169</v>
      </c>
      <c r="CQ97" s="1354">
        <f t="shared" si="580"/>
        <v>0.31508942721304051</v>
      </c>
      <c r="CR97" s="869">
        <f t="shared" ref="CR97:CU97" si="582">(CR86+CR87)/CR43</f>
        <v>0.24320400096797612</v>
      </c>
      <c r="CS97" s="869">
        <f t="shared" si="582"/>
        <v>0.22577127208394929</v>
      </c>
      <c r="CT97" s="869">
        <f t="shared" si="582"/>
        <v>0.24205282645450002</v>
      </c>
      <c r="CU97" s="1354">
        <f t="shared" si="582"/>
        <v>0.22410489488851326</v>
      </c>
      <c r="CV97" s="1353">
        <f t="shared" ref="CV97:CY97" si="583">(CV86+CV87)/CV43</f>
        <v>0.21184339037826647</v>
      </c>
      <c r="CW97" s="1353">
        <f t="shared" si="583"/>
        <v>0.20369760647632312</v>
      </c>
      <c r="CX97" s="1353">
        <f t="shared" si="583"/>
        <v>0.19547742529025772</v>
      </c>
      <c r="CY97" s="1353">
        <f t="shared" si="583"/>
        <v>0.18901646919146867</v>
      </c>
      <c r="CZ97" s="1353">
        <f t="shared" ref="CZ97:DC97" si="584">(CZ86+CZ87)/CZ43</f>
        <v>0.18412092286966866</v>
      </c>
      <c r="DA97" s="1353">
        <f t="shared" si="584"/>
        <v>0.17976371155055676</v>
      </c>
      <c r="DB97" s="1353">
        <f t="shared" si="584"/>
        <v>0.1759187213168579</v>
      </c>
      <c r="DC97" s="1353">
        <f t="shared" si="584"/>
        <v>0.17227504514137748</v>
      </c>
      <c r="DD97" s="872"/>
      <c r="DE97" s="873"/>
      <c r="DF97" s="873"/>
      <c r="DG97" s="873"/>
      <c r="DH97" s="873"/>
      <c r="DI97" s="873"/>
      <c r="DJ97" s="873"/>
      <c r="DK97" s="873"/>
      <c r="DL97" s="873"/>
      <c r="DM97" s="873"/>
      <c r="DN97" s="873"/>
      <c r="DO97" s="873"/>
      <c r="DP97" s="873"/>
      <c r="DQ97" s="873"/>
      <c r="DR97" s="873"/>
      <c r="DS97" s="873"/>
      <c r="DT97" s="873"/>
      <c r="DU97" s="873"/>
      <c r="DV97" s="873"/>
      <c r="DW97" s="873"/>
      <c r="DX97" s="873"/>
      <c r="DY97" s="873"/>
      <c r="DZ97" s="873"/>
      <c r="EA97" s="873"/>
      <c r="EB97" s="873"/>
      <c r="EC97" s="873"/>
      <c r="ED97" s="874"/>
      <c r="EE97" s="872"/>
      <c r="EF97" s="875"/>
      <c r="EG97" s="873"/>
      <c r="EH97" s="873"/>
      <c r="EI97" s="873"/>
      <c r="EJ97" s="873"/>
      <c r="EK97" s="873"/>
      <c r="EL97" s="873"/>
      <c r="EM97" s="873"/>
      <c r="EN97" s="873"/>
      <c r="EO97" s="873"/>
      <c r="EP97" s="873"/>
      <c r="EQ97" s="873"/>
      <c r="ER97" s="873"/>
      <c r="ES97" s="873"/>
      <c r="ET97" s="873"/>
      <c r="EU97" s="873"/>
      <c r="EV97" s="873"/>
      <c r="EW97" s="873"/>
      <c r="EX97" s="873"/>
      <c r="EY97" s="873"/>
      <c r="EZ97" s="873"/>
      <c r="FA97" s="873"/>
      <c r="FB97" s="873"/>
      <c r="FC97" s="873"/>
      <c r="FD97" s="874"/>
      <c r="FE97" s="876"/>
      <c r="FF97" s="1401"/>
      <c r="FG97" s="1401"/>
      <c r="FH97" s="1401"/>
      <c r="FI97"/>
      <c r="FJ97"/>
      <c r="FK97"/>
      <c r="FL97"/>
      <c r="FM97"/>
      <c r="FN97"/>
      <c r="FO97" s="864"/>
    </row>
    <row r="98" spans="1:171" s="307" customFormat="1" ht="14.25" customHeight="1">
      <c r="A98" s="864"/>
      <c r="B98" s="865" t="s">
        <v>475</v>
      </c>
      <c r="C98" s="866"/>
      <c r="D98" s="867"/>
      <c r="E98" s="867"/>
      <c r="F98" s="867"/>
      <c r="G98" s="868"/>
      <c r="H98" s="867"/>
      <c r="I98" s="867"/>
      <c r="J98" s="867"/>
      <c r="K98" s="868"/>
      <c r="L98" s="869"/>
      <c r="M98" s="869"/>
      <c r="N98" s="869"/>
      <c r="O98" s="870"/>
      <c r="P98" s="869"/>
      <c r="Q98" s="869"/>
      <c r="R98" s="869"/>
      <c r="S98" s="870"/>
      <c r="T98" s="869"/>
      <c r="U98" s="869"/>
      <c r="V98" s="869"/>
      <c r="W98" s="870"/>
      <c r="X98" s="869"/>
      <c r="Y98" s="869"/>
      <c r="Z98" s="869"/>
      <c r="AA98" s="870"/>
      <c r="AB98" s="869"/>
      <c r="AC98" s="869"/>
      <c r="AD98" s="869"/>
      <c r="AE98" s="870"/>
      <c r="AF98" s="869"/>
      <c r="AG98" s="869"/>
      <c r="AH98" s="869"/>
      <c r="AI98" s="870"/>
      <c r="AJ98" s="869"/>
      <c r="AK98" s="869"/>
      <c r="AL98" s="869"/>
      <c r="AM98" s="870"/>
      <c r="AN98" s="869"/>
      <c r="AO98" s="869"/>
      <c r="AP98" s="869"/>
      <c r="AQ98" s="870"/>
      <c r="AR98" s="869"/>
      <c r="AS98" s="869"/>
      <c r="AT98" s="869"/>
      <c r="AU98" s="870"/>
      <c r="AV98" s="869"/>
      <c r="AW98" s="869"/>
      <c r="AX98" s="869"/>
      <c r="AY98" s="870"/>
      <c r="AZ98" s="869"/>
      <c r="BA98" s="869"/>
      <c r="BB98" s="869"/>
      <c r="BC98" s="870"/>
      <c r="BD98" s="869"/>
      <c r="BE98" s="869"/>
      <c r="BF98" s="869"/>
      <c r="BG98" s="870"/>
      <c r="BH98" s="869"/>
      <c r="BI98" s="869"/>
      <c r="BJ98" s="869"/>
      <c r="BK98" s="870"/>
      <c r="BL98" s="871"/>
      <c r="BM98" s="869"/>
      <c r="BN98" s="869"/>
      <c r="BO98" s="870"/>
      <c r="BP98" s="869"/>
      <c r="BQ98" s="869"/>
      <c r="BR98" s="869"/>
      <c r="BS98" s="870"/>
      <c r="BT98" s="869"/>
      <c r="BU98" s="869"/>
      <c r="BV98" s="869"/>
      <c r="BW98" s="1353"/>
      <c r="BX98" s="1355">
        <f>(BX86+BX87)/BX41</f>
        <v>0.4599009238184496</v>
      </c>
      <c r="BY98" s="1353">
        <f t="shared" ref="BY98:CI98" si="585">(BY86+BY87)/BY41</f>
        <v>0.50490941778453879</v>
      </c>
      <c r="BZ98" s="1353">
        <f t="shared" si="585"/>
        <v>0.49454148471615722</v>
      </c>
      <c r="CA98" s="1354">
        <f t="shared" si="585"/>
        <v>0.6603587836359659</v>
      </c>
      <c r="CB98" s="1355">
        <f t="shared" si="585"/>
        <v>0.62946089597570232</v>
      </c>
      <c r="CC98" s="1353">
        <f t="shared" si="585"/>
        <v>0.70519172770357608</v>
      </c>
      <c r="CD98" s="1353">
        <f t="shared" si="585"/>
        <v>0.56790744466800802</v>
      </c>
      <c r="CE98" s="1354">
        <f t="shared" si="585"/>
        <v>0.61210658249001948</v>
      </c>
      <c r="CF98" s="869">
        <f t="shared" si="585"/>
        <v>0.49460524062339439</v>
      </c>
      <c r="CG98" s="869">
        <f t="shared" si="585"/>
        <v>0.54064059230645423</v>
      </c>
      <c r="CH98" s="869">
        <f t="shared" si="585"/>
        <v>0.60611655161342104</v>
      </c>
      <c r="CI98" s="1353">
        <f t="shared" si="585"/>
        <v>0.60071533084051376</v>
      </c>
      <c r="CJ98" s="1355">
        <f t="shared" ref="CJ98:CQ98" si="586">(CJ86+CJ87)/CJ41</f>
        <v>0.59970734086659616</v>
      </c>
      <c r="CK98" s="1353">
        <f t="shared" si="586"/>
        <v>0.62124918460534895</v>
      </c>
      <c r="CL98" s="1353">
        <f t="shared" si="586"/>
        <v>0.79026831870025438</v>
      </c>
      <c r="CM98" s="1354">
        <f t="shared" si="586"/>
        <v>0.82036423841059603</v>
      </c>
      <c r="CN98" s="1355">
        <f t="shared" ref="CN98:CO98" si="587">(CN86+CN87)/CN41</f>
        <v>0.78287337662337664</v>
      </c>
      <c r="CO98" s="1353">
        <f t="shared" si="587"/>
        <v>0.86967172954434102</v>
      </c>
      <c r="CP98" s="1353">
        <f t="shared" si="586"/>
        <v>0.72017809659266585</v>
      </c>
      <c r="CQ98" s="1354">
        <f t="shared" si="586"/>
        <v>0.59792707158584391</v>
      </c>
      <c r="CR98" s="869">
        <f t="shared" ref="CR98:CU98" si="588">(CR86+CR87)/CR41</f>
        <v>0.40153600284116131</v>
      </c>
      <c r="CS98" s="869">
        <f t="shared" si="588"/>
        <v>0.36253259135307625</v>
      </c>
      <c r="CT98" s="869">
        <f t="shared" si="588"/>
        <v>0.38385975432438857</v>
      </c>
      <c r="CU98" s="1354">
        <f t="shared" si="588"/>
        <v>0.34311848098506187</v>
      </c>
      <c r="CV98" s="1353">
        <f t="shared" ref="CV98:CY98" si="589">(CV86+CV87)/CV41</f>
        <v>0.3163715355856388</v>
      </c>
      <c r="CW98" s="1353">
        <f t="shared" si="589"/>
        <v>0.29700191833415102</v>
      </c>
      <c r="CX98" s="1353">
        <f t="shared" si="589"/>
        <v>0.28295092811907963</v>
      </c>
      <c r="CY98" s="1353">
        <f t="shared" si="589"/>
        <v>0.27168680478184243</v>
      </c>
      <c r="CZ98" s="1353">
        <f t="shared" ref="CZ98:DC98" si="590">(CZ86+CZ87)/CZ41</f>
        <v>0.26237384523431628</v>
      </c>
      <c r="DA98" s="1353">
        <f t="shared" si="590"/>
        <v>0.2544651631224652</v>
      </c>
      <c r="DB98" s="1353">
        <f t="shared" si="590"/>
        <v>0.2473752953464102</v>
      </c>
      <c r="DC98" s="1353">
        <f t="shared" si="590"/>
        <v>0.24089716470582515</v>
      </c>
      <c r="DD98" s="872"/>
      <c r="DE98" s="873"/>
      <c r="DF98" s="873"/>
      <c r="DG98" s="873"/>
      <c r="DH98" s="873"/>
      <c r="DI98" s="873"/>
      <c r="DJ98" s="873"/>
      <c r="DK98" s="873"/>
      <c r="DL98" s="873"/>
      <c r="DM98" s="873"/>
      <c r="DN98" s="873"/>
      <c r="DO98" s="873"/>
      <c r="DP98" s="873"/>
      <c r="DQ98" s="873"/>
      <c r="DR98" s="873"/>
      <c r="DS98" s="873"/>
      <c r="DT98" s="873"/>
      <c r="DU98" s="873"/>
      <c r="DV98" s="873"/>
      <c r="DW98" s="873"/>
      <c r="DX98" s="873"/>
      <c r="DY98" s="873"/>
      <c r="DZ98" s="873"/>
      <c r="EA98" s="873"/>
      <c r="EB98" s="873"/>
      <c r="EC98" s="873"/>
      <c r="ED98" s="874"/>
      <c r="EE98" s="872"/>
      <c r="EF98" s="875"/>
      <c r="EG98" s="873"/>
      <c r="EH98" s="873"/>
      <c r="EI98" s="873"/>
      <c r="EJ98" s="873"/>
      <c r="EK98" s="873"/>
      <c r="EL98" s="873"/>
      <c r="EM98" s="873"/>
      <c r="EN98" s="873"/>
      <c r="EO98" s="873"/>
      <c r="EP98" s="873"/>
      <c r="EQ98" s="873"/>
      <c r="ER98" s="873"/>
      <c r="ES98" s="873"/>
      <c r="ET98" s="873"/>
      <c r="EU98" s="873"/>
      <c r="EV98" s="873"/>
      <c r="EW98" s="873"/>
      <c r="EX98" s="873"/>
      <c r="EY98" s="873"/>
      <c r="EZ98" s="873"/>
      <c r="FA98" s="873"/>
      <c r="FB98" s="873"/>
      <c r="FC98" s="873"/>
      <c r="FD98" s="874"/>
      <c r="FE98" s="876"/>
      <c r="FF98" s="1401"/>
      <c r="FG98" s="1401"/>
      <c r="FH98" s="1401"/>
      <c r="FI98"/>
      <c r="FJ98"/>
      <c r="FK98"/>
      <c r="FL98"/>
      <c r="FM98"/>
      <c r="FN98"/>
      <c r="FO98" s="864"/>
    </row>
    <row r="99" spans="1:171" s="307" customFormat="1" ht="14.25" customHeight="1">
      <c r="A99" s="864"/>
      <c r="B99" s="865" t="s">
        <v>476</v>
      </c>
      <c r="C99" s="866"/>
      <c r="D99" s="867"/>
      <c r="E99" s="867"/>
      <c r="F99" s="867"/>
      <c r="G99" s="868"/>
      <c r="H99" s="867"/>
      <c r="I99" s="867"/>
      <c r="J99" s="867"/>
      <c r="K99" s="868"/>
      <c r="L99" s="869"/>
      <c r="M99" s="869"/>
      <c r="N99" s="869"/>
      <c r="O99" s="870"/>
      <c r="P99" s="869"/>
      <c r="Q99" s="869"/>
      <c r="R99" s="869"/>
      <c r="S99" s="870"/>
      <c r="T99" s="869"/>
      <c r="U99" s="869"/>
      <c r="V99" s="869"/>
      <c r="W99" s="870"/>
      <c r="X99" s="869"/>
      <c r="Y99" s="869"/>
      <c r="Z99" s="869"/>
      <c r="AA99" s="870"/>
      <c r="AB99" s="869"/>
      <c r="AC99" s="869"/>
      <c r="AD99" s="869"/>
      <c r="AE99" s="870"/>
      <c r="AF99" s="869"/>
      <c r="AG99" s="869"/>
      <c r="AH99" s="869"/>
      <c r="AI99" s="870"/>
      <c r="AJ99" s="869"/>
      <c r="AK99" s="869"/>
      <c r="AL99" s="869"/>
      <c r="AM99" s="870"/>
      <c r="AN99" s="869"/>
      <c r="AO99" s="869"/>
      <c r="AP99" s="869"/>
      <c r="AQ99" s="870"/>
      <c r="AR99" s="869"/>
      <c r="AS99" s="869"/>
      <c r="AT99" s="869"/>
      <c r="AU99" s="870"/>
      <c r="AV99" s="869"/>
      <c r="AW99" s="869"/>
      <c r="AX99" s="869"/>
      <c r="AY99" s="870"/>
      <c r="AZ99" s="869"/>
      <c r="BA99" s="869"/>
      <c r="BB99" s="869"/>
      <c r="BC99" s="870"/>
      <c r="BD99" s="869"/>
      <c r="BE99" s="869"/>
      <c r="BF99" s="869"/>
      <c r="BG99" s="870"/>
      <c r="BH99" s="869"/>
      <c r="BI99" s="869"/>
      <c r="BJ99" s="869"/>
      <c r="BK99" s="870"/>
      <c r="BL99" s="871"/>
      <c r="BM99" s="869"/>
      <c r="BN99" s="869"/>
      <c r="BO99" s="870"/>
      <c r="BP99" s="869"/>
      <c r="BQ99" s="869"/>
      <c r="BR99" s="869"/>
      <c r="BS99" s="870"/>
      <c r="BT99" s="869"/>
      <c r="BU99" s="869"/>
      <c r="BV99" s="869"/>
      <c r="BW99" s="1353"/>
      <c r="BX99" s="1355">
        <f>BX88/BX41</f>
        <v>8.528584817244611E-2</v>
      </c>
      <c r="BY99" s="1353">
        <f t="shared" ref="BY99:CI99" si="591">BY88/BY41</f>
        <v>0.12128336329691605</v>
      </c>
      <c r="BZ99" s="1353">
        <f t="shared" si="591"/>
        <v>9.893558951965066E-2</v>
      </c>
      <c r="CA99" s="1354">
        <f t="shared" si="591"/>
        <v>0.26657186611244804</v>
      </c>
      <c r="CB99" s="1355">
        <f t="shared" si="591"/>
        <v>0.15131793036121055</v>
      </c>
      <c r="CC99" s="1353">
        <f t="shared" si="591"/>
        <v>0.16059887979319259</v>
      </c>
      <c r="CD99" s="1353">
        <f t="shared" si="591"/>
        <v>8.4104627766599604E-2</v>
      </c>
      <c r="CE99" s="1354">
        <f t="shared" si="591"/>
        <v>0.11512394392349828</v>
      </c>
      <c r="CF99" s="869">
        <f t="shared" si="591"/>
        <v>4.0160986470286007E-2</v>
      </c>
      <c r="CG99" s="869">
        <f t="shared" si="591"/>
        <v>2.9776275551263481E-2</v>
      </c>
      <c r="CH99" s="869">
        <f t="shared" si="591"/>
        <v>1.7739605073045433E-2</v>
      </c>
      <c r="CI99" s="1353">
        <f t="shared" si="591"/>
        <v>0.14274101772069583</v>
      </c>
      <c r="CJ99" s="1355">
        <f t="shared" ref="CJ99:CQ99" si="592">CJ88/CJ41</f>
        <v>0.15974311031623445</v>
      </c>
      <c r="CK99" s="1353">
        <f t="shared" si="592"/>
        <v>0.20189171559034572</v>
      </c>
      <c r="CL99" s="1353">
        <f t="shared" si="592"/>
        <v>0.30827931402313941</v>
      </c>
      <c r="CM99" s="1354">
        <f t="shared" si="592"/>
        <v>0.42201986754966886</v>
      </c>
      <c r="CN99" s="1355">
        <f t="shared" ref="CN99:CO99" si="593">CN88/CN41</f>
        <v>0.43189935064935064</v>
      </c>
      <c r="CO99" s="1353">
        <f t="shared" si="593"/>
        <v>0.55560999510044096</v>
      </c>
      <c r="CP99" s="1353">
        <f t="shared" si="592"/>
        <v>0.42328860305485128</v>
      </c>
      <c r="CQ99" s="1354">
        <f t="shared" si="592"/>
        <v>0.27329359325492725</v>
      </c>
      <c r="CR99" s="869">
        <f t="shared" ref="CR99:CU99" si="594">CR88/CR41</f>
        <v>0.11351327355056379</v>
      </c>
      <c r="CS99" s="869">
        <f t="shared" si="594"/>
        <v>2.9341946530723431E-2</v>
      </c>
      <c r="CT99" s="869">
        <f t="shared" si="594"/>
        <v>-4.5312955350918116E-2</v>
      </c>
      <c r="CU99" s="1354">
        <f t="shared" si="594"/>
        <v>-0.13060057648718948</v>
      </c>
      <c r="CV99" s="1353">
        <f t="shared" ref="CV99:CY99" si="595">CV88/CV41</f>
        <v>-0.17189610621754597</v>
      </c>
      <c r="CW99" s="1353">
        <f t="shared" si="595"/>
        <v>-0.20127245480317735</v>
      </c>
      <c r="CX99" s="1353">
        <f t="shared" si="595"/>
        <v>-0.21709380915028653</v>
      </c>
      <c r="CY99" s="1353">
        <f t="shared" si="595"/>
        <v>-0.22428022972532966</v>
      </c>
      <c r="CZ99" s="1353">
        <f t="shared" ref="CZ99:DC99" si="596">CZ88/CZ41</f>
        <v>-0.23385858242498772</v>
      </c>
      <c r="DA99" s="1353">
        <f t="shared" si="596"/>
        <v>-0.23260751052386841</v>
      </c>
      <c r="DB99" s="1353">
        <f t="shared" si="596"/>
        <v>-0.23280787988871635</v>
      </c>
      <c r="DC99" s="1353">
        <f t="shared" si="596"/>
        <v>-0.23169288919001982</v>
      </c>
      <c r="DD99" s="872"/>
      <c r="DE99" s="873"/>
      <c r="DF99" s="873"/>
      <c r="DG99" s="873"/>
      <c r="DH99" s="873"/>
      <c r="DI99" s="873"/>
      <c r="DJ99" s="873"/>
      <c r="DK99" s="873"/>
      <c r="DL99" s="873"/>
      <c r="DM99" s="873"/>
      <c r="DN99" s="873"/>
      <c r="DO99" s="873"/>
      <c r="DP99" s="873"/>
      <c r="DQ99" s="873"/>
      <c r="DR99" s="873"/>
      <c r="DS99" s="873"/>
      <c r="DT99" s="873"/>
      <c r="DU99" s="873"/>
      <c r="DV99" s="873"/>
      <c r="DW99" s="873"/>
      <c r="DX99" s="873"/>
      <c r="DY99" s="873"/>
      <c r="DZ99" s="873"/>
      <c r="EA99" s="873"/>
      <c r="EB99" s="873"/>
      <c r="EC99" s="873"/>
      <c r="ED99" s="874"/>
      <c r="EE99" s="872"/>
      <c r="EF99" s="875"/>
      <c r="EG99" s="873"/>
      <c r="EH99" s="873"/>
      <c r="EI99" s="873"/>
      <c r="EJ99" s="873"/>
      <c r="EK99" s="873"/>
      <c r="EL99" s="873"/>
      <c r="EM99" s="873"/>
      <c r="EN99" s="873"/>
      <c r="EO99" s="873"/>
      <c r="EP99" s="873"/>
      <c r="EQ99" s="873"/>
      <c r="ER99" s="873"/>
      <c r="ES99" s="873"/>
      <c r="ET99" s="873"/>
      <c r="EU99" s="873"/>
      <c r="EV99" s="873"/>
      <c r="EW99" s="873"/>
      <c r="EX99" s="873"/>
      <c r="EY99" s="873"/>
      <c r="EZ99" s="873"/>
      <c r="FA99" s="873"/>
      <c r="FB99" s="873"/>
      <c r="FC99" s="873"/>
      <c r="FD99" s="874"/>
      <c r="FE99" s="876"/>
      <c r="FF99" s="1401"/>
      <c r="FG99" s="1401"/>
      <c r="FH99" s="1401"/>
      <c r="FI99"/>
      <c r="FJ99"/>
      <c r="FK99"/>
      <c r="FL99"/>
      <c r="FM99"/>
      <c r="FN99"/>
      <c r="FO99" s="864"/>
    </row>
    <row r="100" spans="1:171" ht="14.25" customHeight="1">
      <c r="A100" s="1174">
        <f>BS!EH100-BS!EI100</f>
        <v>-888.90000000000032</v>
      </c>
      <c r="B100" s="435" t="s">
        <v>321</v>
      </c>
      <c r="C100" s="57"/>
      <c r="D100" s="168"/>
      <c r="E100" s="168"/>
      <c r="F100" s="168"/>
      <c r="G100" s="169"/>
      <c r="H100" s="168"/>
      <c r="I100" s="168"/>
      <c r="J100" s="168"/>
      <c r="K100" s="169"/>
      <c r="L100" s="168">
        <f t="shared" ref="L100:AQ100" si="597">L15-L33</f>
        <v>409.5</v>
      </c>
      <c r="M100" s="168">
        <f t="shared" si="597"/>
        <v>709.29999999999984</v>
      </c>
      <c r="N100" s="168">
        <f t="shared" si="597"/>
        <v>804.30000000000007</v>
      </c>
      <c r="O100" s="169">
        <f t="shared" si="597"/>
        <v>1349.1</v>
      </c>
      <c r="P100" s="168">
        <f t="shared" si="597"/>
        <v>1213.5999999999997</v>
      </c>
      <c r="Q100" s="168">
        <f t="shared" si="597"/>
        <v>1199.7</v>
      </c>
      <c r="R100" s="168">
        <f t="shared" si="597"/>
        <v>921.90000000000009</v>
      </c>
      <c r="S100" s="169">
        <f t="shared" si="597"/>
        <v>866.3</v>
      </c>
      <c r="T100" s="168">
        <f t="shared" si="597"/>
        <v>2102.5</v>
      </c>
      <c r="U100" s="168">
        <f t="shared" si="597"/>
        <v>2186.0000000000009</v>
      </c>
      <c r="V100" s="168">
        <f t="shared" si="597"/>
        <v>2062.7000000000003</v>
      </c>
      <c r="W100" s="169">
        <f t="shared" si="597"/>
        <v>2019.6999999999996</v>
      </c>
      <c r="X100" s="168">
        <f t="shared" si="597"/>
        <v>2431.3000000000011</v>
      </c>
      <c r="Y100" s="168">
        <f t="shared" si="597"/>
        <v>2467.0999999999995</v>
      </c>
      <c r="Z100" s="168">
        <f t="shared" si="597"/>
        <v>2749.9</v>
      </c>
      <c r="AA100" s="169">
        <f t="shared" si="597"/>
        <v>3304.8</v>
      </c>
      <c r="AB100" s="168">
        <f t="shared" si="597"/>
        <v>3313.1000000000004</v>
      </c>
      <c r="AC100" s="168">
        <f t="shared" si="597"/>
        <v>3090.5</v>
      </c>
      <c r="AD100" s="168">
        <f t="shared" si="597"/>
        <v>2693.7</v>
      </c>
      <c r="AE100" s="169">
        <f t="shared" si="597"/>
        <v>2536.8999999999996</v>
      </c>
      <c r="AF100" s="168">
        <f t="shared" si="597"/>
        <v>1965.8999999999996</v>
      </c>
      <c r="AG100" s="168">
        <f t="shared" si="597"/>
        <v>2517.3000000000002</v>
      </c>
      <c r="AH100" s="168">
        <f t="shared" si="597"/>
        <v>1923.5000000000002</v>
      </c>
      <c r="AI100" s="169">
        <f t="shared" si="597"/>
        <v>1459.2000000000003</v>
      </c>
      <c r="AJ100" s="168">
        <f t="shared" si="597"/>
        <v>933.6</v>
      </c>
      <c r="AK100" s="168">
        <f t="shared" si="597"/>
        <v>1351.6</v>
      </c>
      <c r="AL100" s="168">
        <f t="shared" si="597"/>
        <v>1160.5000000000002</v>
      </c>
      <c r="AM100" s="169">
        <f t="shared" si="597"/>
        <v>1132.8999999999996</v>
      </c>
      <c r="AN100" s="168">
        <f t="shared" si="597"/>
        <v>1456.6000000000004</v>
      </c>
      <c r="AO100" s="168">
        <f t="shared" si="597"/>
        <v>1582.7000000000003</v>
      </c>
      <c r="AP100" s="168">
        <f t="shared" si="597"/>
        <v>1617.7</v>
      </c>
      <c r="AQ100" s="169">
        <f t="shared" si="597"/>
        <v>1737.2000000000003</v>
      </c>
      <c r="AR100" s="168">
        <f t="shared" ref="AR100:BV100" si="598">AR15-AR33</f>
        <v>1821.1</v>
      </c>
      <c r="AS100" s="168">
        <f t="shared" si="598"/>
        <v>2079</v>
      </c>
      <c r="AT100" s="168">
        <f t="shared" si="598"/>
        <v>2075.8999999999996</v>
      </c>
      <c r="AU100" s="169">
        <f t="shared" si="598"/>
        <v>2094.0000000000005</v>
      </c>
      <c r="AV100" s="168">
        <f t="shared" si="598"/>
        <v>2110.8000000000002</v>
      </c>
      <c r="AW100" s="168">
        <f t="shared" si="598"/>
        <v>3229.7</v>
      </c>
      <c r="AX100" s="168">
        <f t="shared" si="598"/>
        <v>3422.2999999999997</v>
      </c>
      <c r="AY100" s="169">
        <f t="shared" si="598"/>
        <v>3605</v>
      </c>
      <c r="AZ100" s="168">
        <f t="shared" si="598"/>
        <v>3087</v>
      </c>
      <c r="BA100" s="168">
        <f t="shared" si="598"/>
        <v>2934</v>
      </c>
      <c r="BB100" s="168">
        <f t="shared" si="598"/>
        <v>3841</v>
      </c>
      <c r="BC100" s="169">
        <f t="shared" si="598"/>
        <v>3631</v>
      </c>
      <c r="BD100" s="168">
        <f t="shared" si="598"/>
        <v>3081</v>
      </c>
      <c r="BE100" s="168">
        <f t="shared" si="598"/>
        <v>2828</v>
      </c>
      <c r="BF100" s="168">
        <f t="shared" si="598"/>
        <v>2607</v>
      </c>
      <c r="BG100" s="169">
        <f t="shared" si="598"/>
        <v>2456</v>
      </c>
      <c r="BH100" s="168">
        <f t="shared" si="598"/>
        <v>1937</v>
      </c>
      <c r="BI100" s="168">
        <f t="shared" si="598"/>
        <v>1239</v>
      </c>
      <c r="BJ100" s="168">
        <f t="shared" si="598"/>
        <v>1675</v>
      </c>
      <c r="BK100" s="169">
        <f t="shared" si="598"/>
        <v>1876</v>
      </c>
      <c r="BL100" s="170">
        <f t="shared" si="598"/>
        <v>2145</v>
      </c>
      <c r="BM100" s="168">
        <f t="shared" si="598"/>
        <v>2567</v>
      </c>
      <c r="BN100" s="168">
        <f t="shared" si="598"/>
        <v>3765</v>
      </c>
      <c r="BO100" s="169">
        <f t="shared" si="598"/>
        <v>4343</v>
      </c>
      <c r="BP100" s="168">
        <f t="shared" si="598"/>
        <v>3493</v>
      </c>
      <c r="BQ100" s="168">
        <f t="shared" si="598"/>
        <v>3484</v>
      </c>
      <c r="BR100" s="168">
        <f t="shared" si="598"/>
        <v>3641</v>
      </c>
      <c r="BS100" s="169">
        <f t="shared" si="598"/>
        <v>3492</v>
      </c>
      <c r="BT100" s="168">
        <f t="shared" si="598"/>
        <v>3616</v>
      </c>
      <c r="BU100" s="168">
        <f t="shared" si="598"/>
        <v>3707</v>
      </c>
      <c r="BV100" s="168">
        <f t="shared" si="598"/>
        <v>3715</v>
      </c>
      <c r="BW100" s="1325">
        <f>BW15-BW33</f>
        <v>3739</v>
      </c>
      <c r="BX100" s="1327">
        <f t="shared" ref="BX100:CI100" si="599">BX15-BX33</f>
        <v>3177</v>
      </c>
      <c r="BY100" s="1325">
        <f t="shared" si="599"/>
        <v>3247</v>
      </c>
      <c r="BZ100" s="1325">
        <f t="shared" si="599"/>
        <v>3544</v>
      </c>
      <c r="CA100" s="1326">
        <f t="shared" si="599"/>
        <v>4786</v>
      </c>
      <c r="CB100" s="1327">
        <f t="shared" si="599"/>
        <v>4856</v>
      </c>
      <c r="CC100" s="1325">
        <f>CC15-CC33</f>
        <v>4686</v>
      </c>
      <c r="CD100" s="1325">
        <f>CD15-CD33</f>
        <v>4945</v>
      </c>
      <c r="CE100" s="1326">
        <f>CE15-CE33</f>
        <v>5434</v>
      </c>
      <c r="CF100" s="168">
        <f t="shared" si="599"/>
        <v>5253</v>
      </c>
      <c r="CG100" s="168">
        <f t="shared" si="599"/>
        <v>5798</v>
      </c>
      <c r="CH100" s="168">
        <f t="shared" si="599"/>
        <v>5442</v>
      </c>
      <c r="CI100" s="1325">
        <f t="shared" si="599"/>
        <v>4691</v>
      </c>
      <c r="CJ100" s="1327">
        <f t="shared" ref="CJ100:CQ100" si="600">CJ15-CJ33</f>
        <v>4485</v>
      </c>
      <c r="CK100" s="1325">
        <f t="shared" si="600"/>
        <v>4394</v>
      </c>
      <c r="CL100" s="1325">
        <f t="shared" si="600"/>
        <v>5610</v>
      </c>
      <c r="CM100" s="1326">
        <f t="shared" si="600"/>
        <v>4660</v>
      </c>
      <c r="CN100" s="1327">
        <f t="shared" ref="CN100:CO100" si="601">CN15-CN33</f>
        <v>3958</v>
      </c>
      <c r="CO100" s="1325">
        <f t="shared" si="601"/>
        <v>4738</v>
      </c>
      <c r="CP100" s="1325">
        <f t="shared" si="600"/>
        <v>5880</v>
      </c>
      <c r="CQ100" s="1326">
        <f t="shared" si="600"/>
        <v>7123</v>
      </c>
      <c r="CR100" s="168">
        <f t="shared" ref="CR100:CU100" si="602">CR15-CR33</f>
        <v>7775</v>
      </c>
      <c r="CS100" s="168">
        <f t="shared" si="602"/>
        <v>9701</v>
      </c>
      <c r="CT100" s="168">
        <f t="shared" si="602"/>
        <v>14612.280523599507</v>
      </c>
      <c r="CU100" s="1326">
        <f t="shared" si="602"/>
        <v>17575.29617019014</v>
      </c>
      <c r="CV100" s="1325">
        <f t="shared" ref="CV100:CY100" si="603">CV15-CV33</f>
        <v>19157.848451338345</v>
      </c>
      <c r="CW100" s="1325">
        <f t="shared" si="603"/>
        <v>20444.575840212139</v>
      </c>
      <c r="CX100" s="1325">
        <f t="shared" si="603"/>
        <v>21298.69014094018</v>
      </c>
      <c r="CY100" s="1326">
        <f t="shared" si="603"/>
        <v>21925.175953214541</v>
      </c>
      <c r="CZ100" s="1325">
        <f t="shared" ref="CZ100:DC100" si="604">CZ15-CZ33</f>
        <v>22452.491336333562</v>
      </c>
      <c r="DA100" s="1325">
        <f t="shared" si="604"/>
        <v>22846.850503961767</v>
      </c>
      <c r="DB100" s="1325">
        <f t="shared" si="604"/>
        <v>23180.080681700452</v>
      </c>
      <c r="DC100" s="1326">
        <f t="shared" si="604"/>
        <v>23473.662892503642</v>
      </c>
      <c r="DD100" s="18"/>
      <c r="DE100" s="171"/>
      <c r="DF100" s="171"/>
      <c r="DG100" s="171">
        <f t="shared" ref="DG100:EB100" si="605">DG15-DG33</f>
        <v>1349.1</v>
      </c>
      <c r="DH100" s="171">
        <f t="shared" si="605"/>
        <v>866.3</v>
      </c>
      <c r="DI100" s="171">
        <f t="shared" si="605"/>
        <v>2019.6999999999996</v>
      </c>
      <c r="DJ100" s="171">
        <f t="shared" si="605"/>
        <v>3304.8</v>
      </c>
      <c r="DK100" s="171">
        <f t="shared" si="605"/>
        <v>2536.8999999999996</v>
      </c>
      <c r="DL100" s="171">
        <f t="shared" si="605"/>
        <v>1459.2000000000003</v>
      </c>
      <c r="DM100" s="171">
        <f t="shared" si="605"/>
        <v>1132.8999999999996</v>
      </c>
      <c r="DN100" s="171">
        <f t="shared" si="605"/>
        <v>1737.2000000000003</v>
      </c>
      <c r="DO100" s="171">
        <f t="shared" si="605"/>
        <v>2094.0000000000005</v>
      </c>
      <c r="DP100" s="171">
        <f t="shared" si="605"/>
        <v>3605</v>
      </c>
      <c r="DQ100" s="171">
        <f t="shared" si="605"/>
        <v>3631</v>
      </c>
      <c r="DR100" s="171">
        <f t="shared" si="605"/>
        <v>2456</v>
      </c>
      <c r="DS100" s="171">
        <f t="shared" si="605"/>
        <v>1876</v>
      </c>
      <c r="DT100" s="171">
        <f t="shared" si="605"/>
        <v>4343</v>
      </c>
      <c r="DU100" s="171">
        <f t="shared" si="605"/>
        <v>3492</v>
      </c>
      <c r="DV100" s="171">
        <f t="shared" si="605"/>
        <v>3739</v>
      </c>
      <c r="DW100" s="171">
        <f t="shared" si="605"/>
        <v>4786</v>
      </c>
      <c r="DX100" s="171">
        <f t="shared" si="605"/>
        <v>5434</v>
      </c>
      <c r="DY100" s="171">
        <f t="shared" si="605"/>
        <v>4691</v>
      </c>
      <c r="DZ100" s="171">
        <f t="shared" si="605"/>
        <v>4660</v>
      </c>
      <c r="EA100" s="171">
        <f t="shared" si="605"/>
        <v>7123</v>
      </c>
      <c r="EB100" s="171">
        <f t="shared" si="605"/>
        <v>17575.29617019014</v>
      </c>
      <c r="EC100" s="171">
        <f>EC15-EC33</f>
        <v>21925.175953214541</v>
      </c>
      <c r="ED100" s="173">
        <f>ED15-ED33</f>
        <v>23473.662892503642</v>
      </c>
      <c r="EE100" s="18"/>
      <c r="EF100" s="172"/>
      <c r="EG100" s="171">
        <f t="shared" ref="EG100:EZ100" si="606">EG15-EG33</f>
        <v>409.5</v>
      </c>
      <c r="EH100" s="171">
        <f t="shared" si="606"/>
        <v>1213.5999999999997</v>
      </c>
      <c r="EI100" s="171">
        <f t="shared" si="606"/>
        <v>2102.5</v>
      </c>
      <c r="EJ100" s="171">
        <f t="shared" si="606"/>
        <v>2431.3000000000011</v>
      </c>
      <c r="EK100" s="171">
        <f t="shared" si="606"/>
        <v>3313.1000000000004</v>
      </c>
      <c r="EL100" s="171">
        <f t="shared" si="606"/>
        <v>1965.8999999999996</v>
      </c>
      <c r="EM100" s="171">
        <f t="shared" si="606"/>
        <v>933.6</v>
      </c>
      <c r="EN100" s="171">
        <f t="shared" si="606"/>
        <v>1456.6000000000004</v>
      </c>
      <c r="EO100" s="171">
        <f t="shared" si="606"/>
        <v>1821.1</v>
      </c>
      <c r="EP100" s="171">
        <f t="shared" si="606"/>
        <v>2110.8000000000002</v>
      </c>
      <c r="EQ100" s="171">
        <f t="shared" si="606"/>
        <v>3087</v>
      </c>
      <c r="ER100" s="171">
        <f t="shared" si="606"/>
        <v>3081</v>
      </c>
      <c r="ES100" s="171">
        <f t="shared" si="606"/>
        <v>1937</v>
      </c>
      <c r="ET100" s="171">
        <f t="shared" si="606"/>
        <v>2145</v>
      </c>
      <c r="EU100" s="171">
        <f t="shared" si="606"/>
        <v>3493</v>
      </c>
      <c r="EV100" s="171">
        <f t="shared" si="606"/>
        <v>3616</v>
      </c>
      <c r="EW100" s="171">
        <f t="shared" si="606"/>
        <v>3177</v>
      </c>
      <c r="EX100" s="171">
        <f t="shared" si="606"/>
        <v>4856</v>
      </c>
      <c r="EY100" s="171">
        <f t="shared" si="606"/>
        <v>5253</v>
      </c>
      <c r="EZ100" s="171">
        <f t="shared" si="606"/>
        <v>4485</v>
      </c>
      <c r="FA100" s="171">
        <f>FA15-FA33</f>
        <v>3958</v>
      </c>
      <c r="FB100" s="171">
        <f>FB15-FB33</f>
        <v>7775</v>
      </c>
      <c r="FC100" s="171">
        <f>FC15-FC33</f>
        <v>19157.848451338345</v>
      </c>
      <c r="FD100" s="171">
        <f>FD15-FD33</f>
        <v>22452.491336333562</v>
      </c>
      <c r="FE100" s="21"/>
      <c r="FF100" s="13"/>
      <c r="FG100" s="13"/>
      <c r="FH100" s="13"/>
      <c r="FO100" s="7"/>
    </row>
    <row r="101" spans="1:171" ht="14.25" customHeight="1">
      <c r="A101" s="7"/>
      <c r="B101" s="450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1224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13"/>
      <c r="FF101" s="13"/>
      <c r="FG101" s="13"/>
      <c r="FH101" s="13"/>
      <c r="FO101" s="7"/>
    </row>
    <row r="102" spans="1:171" ht="14.25" hidden="1" customHeight="1" outlineLevel="1">
      <c r="A102" s="7"/>
      <c r="B102" s="451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1224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13"/>
      <c r="FF102" s="13"/>
      <c r="FG102" s="13"/>
      <c r="FH102" s="13"/>
      <c r="FO102" s="7"/>
    </row>
    <row r="103" spans="1:171" ht="14.25" hidden="1" customHeight="1" outlineLevel="1">
      <c r="A103" s="7"/>
      <c r="B103" s="455" t="s">
        <v>151</v>
      </c>
      <c r="C103" s="456"/>
      <c r="D103" s="468" t="str">
        <f>+D$6</f>
        <v>F1Q95A</v>
      </c>
      <c r="E103" s="571" t="str">
        <f t="shared" ref="E103:BP103" si="607">+E$6</f>
        <v>F2Q95A</v>
      </c>
      <c r="F103" s="571" t="str">
        <f t="shared" si="607"/>
        <v>F3Q95A</v>
      </c>
      <c r="G103" s="571" t="str">
        <f t="shared" si="607"/>
        <v>F4Q95A</v>
      </c>
      <c r="H103" s="571" t="str">
        <f t="shared" si="607"/>
        <v>F1Q96A</v>
      </c>
      <c r="I103" s="571" t="str">
        <f t="shared" si="607"/>
        <v>F2Q96A</v>
      </c>
      <c r="J103" s="571" t="str">
        <f t="shared" si="607"/>
        <v>F3Q96A</v>
      </c>
      <c r="K103" s="571" t="str">
        <f t="shared" si="607"/>
        <v>F4Q96A</v>
      </c>
      <c r="L103" s="571" t="str">
        <f t="shared" si="607"/>
        <v>F1Q97A</v>
      </c>
      <c r="M103" s="571" t="str">
        <f t="shared" si="607"/>
        <v>F2Q97A</v>
      </c>
      <c r="N103" s="571" t="str">
        <f t="shared" si="607"/>
        <v>F3Q97A</v>
      </c>
      <c r="O103" s="571" t="str">
        <f t="shared" si="607"/>
        <v>F4Q97A</v>
      </c>
      <c r="P103" s="571" t="str">
        <f t="shared" si="607"/>
        <v>F1Q98A</v>
      </c>
      <c r="Q103" s="571" t="str">
        <f t="shared" si="607"/>
        <v>F2Q98A</v>
      </c>
      <c r="R103" s="571" t="str">
        <f t="shared" si="607"/>
        <v>F3Q98A</v>
      </c>
      <c r="S103" s="571" t="str">
        <f t="shared" si="607"/>
        <v>F4Q98A</v>
      </c>
      <c r="T103" s="571" t="str">
        <f t="shared" si="607"/>
        <v>F1Q99A</v>
      </c>
      <c r="U103" s="571" t="str">
        <f t="shared" si="607"/>
        <v>F2Q99A</v>
      </c>
      <c r="V103" s="571" t="str">
        <f t="shared" si="607"/>
        <v>F3Q99A</v>
      </c>
      <c r="W103" s="571" t="str">
        <f t="shared" si="607"/>
        <v>F4Q99A</v>
      </c>
      <c r="X103" s="571" t="str">
        <f t="shared" si="607"/>
        <v>F1Q00A</v>
      </c>
      <c r="Y103" s="571" t="str">
        <f t="shared" si="607"/>
        <v>F2Q00A</v>
      </c>
      <c r="Z103" s="571" t="str">
        <f t="shared" si="607"/>
        <v>F3Q00A</v>
      </c>
      <c r="AA103" s="571" t="str">
        <f t="shared" si="607"/>
        <v>F4Q00A</v>
      </c>
      <c r="AB103" s="571" t="str">
        <f t="shared" si="607"/>
        <v>F1Q01A</v>
      </c>
      <c r="AC103" s="571" t="str">
        <f t="shared" si="607"/>
        <v>F2Q01A</v>
      </c>
      <c r="AD103" s="571" t="str">
        <f t="shared" si="607"/>
        <v>F3Q01A</v>
      </c>
      <c r="AE103" s="571" t="str">
        <f t="shared" si="607"/>
        <v>F4Q01A</v>
      </c>
      <c r="AF103" s="571" t="str">
        <f t="shared" si="607"/>
        <v>F1Q02A</v>
      </c>
      <c r="AG103" s="571" t="str">
        <f t="shared" si="607"/>
        <v>F2Q02A</v>
      </c>
      <c r="AH103" s="571" t="str">
        <f t="shared" si="607"/>
        <v>F3Q02A</v>
      </c>
      <c r="AI103" s="571" t="str">
        <f t="shared" si="607"/>
        <v>F4Q02A</v>
      </c>
      <c r="AJ103" s="571" t="str">
        <f t="shared" si="607"/>
        <v>F1Q03A</v>
      </c>
      <c r="AK103" s="571" t="str">
        <f t="shared" si="607"/>
        <v>F2Q03A</v>
      </c>
      <c r="AL103" s="571" t="str">
        <f t="shared" si="607"/>
        <v>F3Q03A</v>
      </c>
      <c r="AM103" s="571" t="str">
        <f t="shared" si="607"/>
        <v>F4Q03A</v>
      </c>
      <c r="AN103" s="571" t="str">
        <f t="shared" si="607"/>
        <v>F1Q04A</v>
      </c>
      <c r="AO103" s="571" t="str">
        <f t="shared" si="607"/>
        <v>F2Q04A</v>
      </c>
      <c r="AP103" s="571" t="str">
        <f t="shared" si="607"/>
        <v>F3Q04A</v>
      </c>
      <c r="AQ103" s="571" t="str">
        <f t="shared" si="607"/>
        <v>F4Q04A</v>
      </c>
      <c r="AR103" s="571" t="str">
        <f t="shared" si="607"/>
        <v>F1Q05A</v>
      </c>
      <c r="AS103" s="571" t="str">
        <f t="shared" si="607"/>
        <v>F2Q05A</v>
      </c>
      <c r="AT103" s="571" t="str">
        <f t="shared" si="607"/>
        <v>F3Q05A</v>
      </c>
      <c r="AU103" s="571" t="str">
        <f t="shared" si="607"/>
        <v>F4Q05A</v>
      </c>
      <c r="AV103" s="571" t="str">
        <f t="shared" si="607"/>
        <v>F1Q06A</v>
      </c>
      <c r="AW103" s="571" t="str">
        <f t="shared" si="607"/>
        <v>F2Q06A</v>
      </c>
      <c r="AX103" s="571" t="str">
        <f t="shared" si="607"/>
        <v>F3Q06A</v>
      </c>
      <c r="AY103" s="571" t="str">
        <f t="shared" si="607"/>
        <v>F4Q06A</v>
      </c>
      <c r="AZ103" s="571" t="str">
        <f t="shared" si="607"/>
        <v>F1Q07A</v>
      </c>
      <c r="BA103" s="571" t="str">
        <f t="shared" si="607"/>
        <v>F2Q07A</v>
      </c>
      <c r="BB103" s="571" t="str">
        <f t="shared" si="607"/>
        <v>F3Q07A</v>
      </c>
      <c r="BC103" s="571" t="str">
        <f t="shared" si="607"/>
        <v>F4Q07A</v>
      </c>
      <c r="BD103" s="571" t="str">
        <f t="shared" si="607"/>
        <v>F1Q08A</v>
      </c>
      <c r="BE103" s="571" t="str">
        <f t="shared" si="607"/>
        <v>F2Q08A</v>
      </c>
      <c r="BF103" s="571" t="str">
        <f t="shared" si="607"/>
        <v>F3Q08A</v>
      </c>
      <c r="BG103" s="571" t="str">
        <f t="shared" si="607"/>
        <v>F4Q08A</v>
      </c>
      <c r="BH103" s="572" t="str">
        <f t="shared" si="607"/>
        <v>F1Q09A</v>
      </c>
      <c r="BI103" s="571" t="str">
        <f t="shared" si="607"/>
        <v>F2Q09A</v>
      </c>
      <c r="BJ103" s="571" t="str">
        <f t="shared" si="607"/>
        <v>F3Q09A</v>
      </c>
      <c r="BK103" s="573" t="str">
        <f t="shared" si="607"/>
        <v>F4Q09A</v>
      </c>
      <c r="BL103" s="571" t="str">
        <f t="shared" si="607"/>
        <v>F1Q10A</v>
      </c>
      <c r="BM103" s="571" t="str">
        <f t="shared" si="607"/>
        <v>F2Q10A</v>
      </c>
      <c r="BN103" s="571" t="str">
        <f t="shared" si="607"/>
        <v>F3Q10A</v>
      </c>
      <c r="BO103" s="571" t="str">
        <f t="shared" si="607"/>
        <v>F4Q10A</v>
      </c>
      <c r="BP103" s="572" t="str">
        <f t="shared" si="607"/>
        <v>F1Q11A</v>
      </c>
      <c r="BQ103" s="571" t="str">
        <f t="shared" ref="BQ103:DC103" si="608">+BQ$6</f>
        <v>F2Q11A</v>
      </c>
      <c r="BR103" s="571" t="str">
        <f t="shared" si="608"/>
        <v>F3Q11A</v>
      </c>
      <c r="BS103" s="573" t="str">
        <f t="shared" si="608"/>
        <v>F4Q11A</v>
      </c>
      <c r="BT103" s="470" t="str">
        <f t="shared" si="608"/>
        <v>F1Q12A</v>
      </c>
      <c r="BU103" s="468" t="str">
        <f t="shared" si="608"/>
        <v>F2Q12A</v>
      </c>
      <c r="BV103" s="468" t="str">
        <f t="shared" si="608"/>
        <v>F3Q12A</v>
      </c>
      <c r="BW103" s="469" t="str">
        <f t="shared" si="608"/>
        <v>F4Q12A</v>
      </c>
      <c r="BX103" s="470" t="str">
        <f t="shared" si="608"/>
        <v>F1Q13A</v>
      </c>
      <c r="BY103" s="468" t="str">
        <f t="shared" si="608"/>
        <v>F2Q13A</v>
      </c>
      <c r="BZ103" s="468" t="str">
        <f t="shared" si="608"/>
        <v>F3Q13</v>
      </c>
      <c r="CA103" s="469" t="str">
        <f t="shared" si="608"/>
        <v>F4Q13</v>
      </c>
      <c r="CB103" s="470" t="str">
        <f t="shared" si="608"/>
        <v>F1Q14</v>
      </c>
      <c r="CC103" s="468" t="str">
        <f t="shared" si="608"/>
        <v>F2Q14A</v>
      </c>
      <c r="CD103" s="468" t="str">
        <f t="shared" si="608"/>
        <v>F3Q14A</v>
      </c>
      <c r="CE103" s="469" t="str">
        <f t="shared" si="608"/>
        <v>F4Q14</v>
      </c>
      <c r="CF103" s="470" t="str">
        <f t="shared" si="608"/>
        <v>F1Q15A</v>
      </c>
      <c r="CG103" s="468" t="str">
        <f t="shared" si="608"/>
        <v>F2Q15A</v>
      </c>
      <c r="CH103" s="468" t="str">
        <f t="shared" si="608"/>
        <v>F3Q15A</v>
      </c>
      <c r="CI103" s="469" t="str">
        <f t="shared" si="608"/>
        <v>F4Q15A</v>
      </c>
      <c r="CJ103" s="470" t="str">
        <f t="shared" si="608"/>
        <v>F1Q16A</v>
      </c>
      <c r="CK103" s="468" t="str">
        <f t="shared" si="608"/>
        <v>F2Q16A</v>
      </c>
      <c r="CL103" s="468" t="str">
        <f t="shared" si="608"/>
        <v>F3Q16A</v>
      </c>
      <c r="CM103" s="469" t="str">
        <f t="shared" si="608"/>
        <v>F4Q16A</v>
      </c>
      <c r="CN103" s="468" t="str">
        <f t="shared" si="608"/>
        <v>F1Q17A</v>
      </c>
      <c r="CO103" s="1269" t="str">
        <f t="shared" si="608"/>
        <v>F2Q17A</v>
      </c>
      <c r="CP103" s="468" t="str">
        <f t="shared" si="608"/>
        <v>F3Q17A</v>
      </c>
      <c r="CQ103" s="469" t="str">
        <f t="shared" si="608"/>
        <v>F4Q17A</v>
      </c>
      <c r="CR103" s="468" t="str">
        <f t="shared" si="608"/>
        <v>F1Q18A</v>
      </c>
      <c r="CS103" s="468" t="str">
        <f t="shared" si="608"/>
        <v>F2Q18A</v>
      </c>
      <c r="CT103" s="468" t="str">
        <f t="shared" si="608"/>
        <v>F3Q18E</v>
      </c>
      <c r="CU103" s="469" t="str">
        <f t="shared" si="608"/>
        <v>F4Q18E</v>
      </c>
      <c r="CV103" s="468" t="str">
        <f t="shared" si="608"/>
        <v>F1Q19E</v>
      </c>
      <c r="CW103" s="468" t="str">
        <f t="shared" si="608"/>
        <v>F2Q19E</v>
      </c>
      <c r="CX103" s="468" t="str">
        <f t="shared" si="608"/>
        <v>F3Q19E</v>
      </c>
      <c r="CY103" s="469" t="str">
        <f t="shared" si="608"/>
        <v>F4Q19E</v>
      </c>
      <c r="CZ103" s="468" t="str">
        <f t="shared" si="608"/>
        <v>F1Q20E</v>
      </c>
      <c r="DA103" s="468" t="str">
        <f t="shared" si="608"/>
        <v>F2Q20E</v>
      </c>
      <c r="DB103" s="468" t="str">
        <f t="shared" si="608"/>
        <v>F3Q20E</v>
      </c>
      <c r="DC103" s="469" t="str">
        <f t="shared" si="608"/>
        <v>F4Q20E</v>
      </c>
      <c r="DD103" s="231"/>
      <c r="DE103" s="470" t="str">
        <f>+DE$6</f>
        <v>FY1995A</v>
      </c>
      <c r="DF103" s="468" t="str">
        <f t="shared" ref="DF103:ED103" si="609">+DF$6</f>
        <v>FY1996A</v>
      </c>
      <c r="DG103" s="468" t="str">
        <f t="shared" si="609"/>
        <v>FY1997A</v>
      </c>
      <c r="DH103" s="468" t="str">
        <f t="shared" si="609"/>
        <v>FY1998A</v>
      </c>
      <c r="DI103" s="468" t="str">
        <f t="shared" si="609"/>
        <v>FY1999A</v>
      </c>
      <c r="DJ103" s="468" t="str">
        <f t="shared" si="609"/>
        <v>FY2000A</v>
      </c>
      <c r="DK103" s="468" t="str">
        <f t="shared" si="609"/>
        <v>FY2001A</v>
      </c>
      <c r="DL103" s="468" t="str">
        <f t="shared" si="609"/>
        <v>FY2002A</v>
      </c>
      <c r="DM103" s="468" t="str">
        <f t="shared" si="609"/>
        <v>FY2003A</v>
      </c>
      <c r="DN103" s="468" t="str">
        <f t="shared" si="609"/>
        <v>FY2004A</v>
      </c>
      <c r="DO103" s="468" t="str">
        <f t="shared" si="609"/>
        <v>FY2005A</v>
      </c>
      <c r="DP103" s="468" t="str">
        <f t="shared" si="609"/>
        <v>FY2006A</v>
      </c>
      <c r="DQ103" s="468" t="str">
        <f t="shared" si="609"/>
        <v>FY2007A</v>
      </c>
      <c r="DR103" s="468" t="str">
        <f t="shared" si="609"/>
        <v>FY2008A</v>
      </c>
      <c r="DS103" s="468" t="str">
        <f t="shared" si="609"/>
        <v>FY2009A</v>
      </c>
      <c r="DT103" s="468" t="str">
        <f t="shared" si="609"/>
        <v>FY2010A</v>
      </c>
      <c r="DU103" s="468" t="str">
        <f t="shared" si="609"/>
        <v>FY2011A</v>
      </c>
      <c r="DV103" s="468" t="str">
        <f t="shared" si="609"/>
        <v>FY2012A</v>
      </c>
      <c r="DW103" s="468" t="str">
        <f t="shared" si="609"/>
        <v>FY2013A</v>
      </c>
      <c r="DX103" s="468" t="str">
        <f t="shared" si="609"/>
        <v>FY2014A</v>
      </c>
      <c r="DY103" s="468" t="str">
        <f t="shared" si="609"/>
        <v>FY2015A</v>
      </c>
      <c r="DZ103" s="468" t="str">
        <f t="shared" si="609"/>
        <v>FY2016A</v>
      </c>
      <c r="EA103" s="468" t="str">
        <f t="shared" si="609"/>
        <v>FY2017A</v>
      </c>
      <c r="EB103" s="468" t="str">
        <f t="shared" si="609"/>
        <v>FY2018E</v>
      </c>
      <c r="EC103" s="468" t="str">
        <f t="shared" si="609"/>
        <v>FY2019E</v>
      </c>
      <c r="ED103" s="469" t="str">
        <f t="shared" si="609"/>
        <v>FY2020E</v>
      </c>
      <c r="EE103" s="21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13"/>
      <c r="FF103" s="13"/>
      <c r="FG103" s="13"/>
      <c r="FH103" s="13"/>
      <c r="FO103" s="7"/>
    </row>
    <row r="104" spans="1:171" s="330" customFormat="1" ht="14.25" hidden="1" customHeight="1" outlineLevel="1">
      <c r="A104" s="10"/>
      <c r="B104" s="60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22"/>
      <c r="BI104" s="59"/>
      <c r="BJ104" s="59"/>
      <c r="BK104" s="23"/>
      <c r="BL104" s="59"/>
      <c r="BM104" s="59"/>
      <c r="BN104" s="59"/>
      <c r="BO104" s="59"/>
      <c r="BP104" s="22"/>
      <c r="BQ104" s="59"/>
      <c r="BR104" s="59"/>
      <c r="BS104" s="23"/>
      <c r="BT104" s="22"/>
      <c r="BU104" s="59"/>
      <c r="BV104" s="59"/>
      <c r="BW104" s="23"/>
      <c r="BX104" s="22"/>
      <c r="BY104" s="59"/>
      <c r="BZ104" s="59"/>
      <c r="CA104" s="23"/>
      <c r="CB104" s="22"/>
      <c r="CC104" s="59"/>
      <c r="CD104" s="59"/>
      <c r="CE104" s="23"/>
      <c r="CF104" s="22"/>
      <c r="CG104" s="59"/>
      <c r="CH104" s="59"/>
      <c r="CI104" s="23"/>
      <c r="CJ104" s="22"/>
      <c r="CK104" s="59"/>
      <c r="CL104" s="59"/>
      <c r="CM104" s="23"/>
      <c r="CN104" s="59"/>
      <c r="CO104" s="1228"/>
      <c r="CP104" s="59"/>
      <c r="CQ104" s="23"/>
      <c r="CR104" s="59"/>
      <c r="CS104" s="59"/>
      <c r="CT104" s="59"/>
      <c r="CU104" s="23"/>
      <c r="CV104" s="59"/>
      <c r="CW104" s="59"/>
      <c r="CX104" s="59"/>
      <c r="CY104" s="23"/>
      <c r="CZ104" s="59"/>
      <c r="DA104" s="59"/>
      <c r="DB104" s="59"/>
      <c r="DC104" s="23"/>
      <c r="DD104" s="23"/>
      <c r="DE104" s="22"/>
      <c r="DF104" s="59"/>
      <c r="DG104" s="59"/>
      <c r="DH104" s="59"/>
      <c r="DI104" s="59"/>
      <c r="DJ104" s="59"/>
      <c r="DK104" s="59"/>
      <c r="DL104" s="59"/>
      <c r="DM104" s="59"/>
      <c r="DN104" s="59"/>
      <c r="DO104" s="59"/>
      <c r="DP104" s="59"/>
      <c r="DQ104" s="59"/>
      <c r="DR104" s="59"/>
      <c r="DS104" s="59"/>
      <c r="DT104" s="59"/>
      <c r="DU104" s="59"/>
      <c r="DV104" s="59"/>
      <c r="DW104" s="59"/>
      <c r="DX104" s="59"/>
      <c r="DY104" s="59"/>
      <c r="DZ104" s="59"/>
      <c r="EA104" s="59"/>
      <c r="EB104" s="59"/>
      <c r="EC104" s="59"/>
      <c r="ED104" s="23"/>
      <c r="EE104" s="22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0"/>
      <c r="EY104" s="10"/>
      <c r="EZ104" s="10"/>
      <c r="FA104" s="10"/>
      <c r="FB104" s="10"/>
      <c r="FC104" s="10"/>
      <c r="FD104" s="10"/>
      <c r="FE104" s="59"/>
      <c r="FF104" s="59"/>
      <c r="FG104" s="59"/>
      <c r="FH104" s="59"/>
      <c r="FI104"/>
      <c r="FJ104"/>
      <c r="FK104"/>
      <c r="FL104"/>
      <c r="FM104"/>
      <c r="FN104"/>
      <c r="FO104" s="10"/>
    </row>
    <row r="105" spans="1:171" s="330" customFormat="1" ht="14.25" hidden="1" customHeight="1" outlineLevel="1">
      <c r="A105" s="10"/>
      <c r="B105" s="447" t="s">
        <v>128</v>
      </c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22"/>
      <c r="BI105" s="59"/>
      <c r="BJ105" s="59"/>
      <c r="BK105" s="23"/>
      <c r="BL105" s="59"/>
      <c r="BM105" s="59"/>
      <c r="BN105" s="59"/>
      <c r="BO105" s="59"/>
      <c r="BP105" s="22"/>
      <c r="BQ105" s="59"/>
      <c r="BR105" s="59"/>
      <c r="BS105" s="23"/>
      <c r="BT105" s="22"/>
      <c r="BU105" s="59"/>
      <c r="BV105" s="59"/>
      <c r="BW105" s="23"/>
      <c r="BX105" s="22"/>
      <c r="BY105" s="59"/>
      <c r="BZ105" s="59"/>
      <c r="CA105" s="23"/>
      <c r="CB105" s="22"/>
      <c r="CC105" s="59"/>
      <c r="CD105" s="59"/>
      <c r="CE105" s="23"/>
      <c r="CF105" s="22"/>
      <c r="CG105" s="59"/>
      <c r="CH105" s="59"/>
      <c r="CI105" s="23"/>
      <c r="CJ105" s="22"/>
      <c r="CK105" s="59"/>
      <c r="CL105" s="59"/>
      <c r="CM105" s="23"/>
      <c r="CN105" s="59"/>
      <c r="CO105" s="1228"/>
      <c r="CP105" s="59"/>
      <c r="CQ105" s="23"/>
      <c r="CR105" s="59"/>
      <c r="CS105" s="59"/>
      <c r="CT105" s="59"/>
      <c r="CU105" s="23"/>
      <c r="CV105" s="59"/>
      <c r="CW105" s="59"/>
      <c r="CX105" s="59"/>
      <c r="CY105" s="23"/>
      <c r="CZ105" s="59"/>
      <c r="DA105" s="59"/>
      <c r="DB105" s="59"/>
      <c r="DC105" s="23"/>
      <c r="DD105" s="23"/>
      <c r="DE105" s="22"/>
      <c r="DF105" s="59"/>
      <c r="DG105" s="59"/>
      <c r="DH105" s="59"/>
      <c r="DI105" s="59"/>
      <c r="DJ105" s="59"/>
      <c r="DK105" s="59"/>
      <c r="DL105" s="59"/>
      <c r="DM105" s="59"/>
      <c r="DN105" s="59"/>
      <c r="DO105" s="59"/>
      <c r="DP105" s="59"/>
      <c r="DQ105" s="59"/>
      <c r="DR105" s="59"/>
      <c r="DS105" s="59"/>
      <c r="DT105" s="59"/>
      <c r="DU105" s="59"/>
      <c r="DV105" s="59"/>
      <c r="DW105" s="59"/>
      <c r="DX105" s="59"/>
      <c r="DY105" s="59"/>
      <c r="DZ105" s="59"/>
      <c r="EA105" s="59"/>
      <c r="EB105" s="59"/>
      <c r="EC105" s="59"/>
      <c r="ED105" s="23"/>
      <c r="EE105" s="22"/>
      <c r="EF105" s="10"/>
      <c r="EG105" s="10"/>
      <c r="EH105" s="10"/>
      <c r="EI105" s="10"/>
      <c r="EJ105" s="10"/>
      <c r="EK105" s="10"/>
      <c r="EL105" s="10"/>
      <c r="EM105" s="10"/>
      <c r="EN105" s="10"/>
      <c r="EO105" s="10"/>
      <c r="EP105" s="10"/>
      <c r="EQ105" s="10"/>
      <c r="ER105" s="10"/>
      <c r="ES105" s="10"/>
      <c r="ET105" s="10"/>
      <c r="EU105" s="10"/>
      <c r="EV105" s="10"/>
      <c r="EW105" s="10"/>
      <c r="EX105" s="10"/>
      <c r="EY105" s="10"/>
      <c r="EZ105" s="10"/>
      <c r="FA105" s="10"/>
      <c r="FB105" s="10"/>
      <c r="FC105" s="10"/>
      <c r="FD105" s="10"/>
      <c r="FE105" s="59"/>
      <c r="FF105" s="59"/>
      <c r="FG105" s="59"/>
      <c r="FH105" s="59"/>
      <c r="FI105"/>
      <c r="FJ105"/>
      <c r="FK105"/>
      <c r="FL105"/>
      <c r="FM105"/>
      <c r="FN105"/>
      <c r="FO105" s="10"/>
    </row>
    <row r="106" spans="1:171" s="417" customFormat="1" ht="14.25" hidden="1" customHeight="1" outlineLevel="1">
      <c r="A106" s="416"/>
      <c r="B106" s="511" t="s">
        <v>115</v>
      </c>
      <c r="C106" s="228"/>
      <c r="D106" s="228"/>
      <c r="E106" s="228"/>
      <c r="F106" s="228"/>
      <c r="G106" s="228"/>
      <c r="H106" s="228"/>
      <c r="I106" s="228"/>
      <c r="J106" s="228"/>
      <c r="K106" s="228"/>
      <c r="L106" s="228"/>
      <c r="M106" s="228"/>
      <c r="N106" s="228"/>
      <c r="O106" s="228"/>
      <c r="P106" s="228"/>
      <c r="Q106" s="228"/>
      <c r="R106" s="228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  <c r="BC106" s="228"/>
      <c r="BD106" s="228"/>
      <c r="BE106" s="228"/>
      <c r="BF106" s="228"/>
      <c r="BG106" s="228"/>
      <c r="BH106" s="483"/>
      <c r="BI106" s="228"/>
      <c r="BJ106" s="228"/>
      <c r="BK106" s="229"/>
      <c r="BL106" s="228"/>
      <c r="BM106" s="228"/>
      <c r="BN106" s="228"/>
      <c r="BO106" s="228"/>
      <c r="BP106" s="483"/>
      <c r="BQ106" s="228"/>
      <c r="BR106" s="228"/>
      <c r="BS106" s="229"/>
      <c r="BT106" s="483"/>
      <c r="BU106" s="228"/>
      <c r="BV106" s="494">
        <v>550</v>
      </c>
      <c r="BW106" s="472">
        <f t="shared" ref="BW106:BW111" si="610">+BV106</f>
        <v>550</v>
      </c>
      <c r="BX106" s="471">
        <f t="shared" ref="BX106:CI106" si="611">+BW106</f>
        <v>550</v>
      </c>
      <c r="BY106" s="275">
        <f t="shared" si="611"/>
        <v>550</v>
      </c>
      <c r="BZ106" s="275">
        <f t="shared" si="611"/>
        <v>550</v>
      </c>
      <c r="CA106" s="472">
        <f t="shared" si="611"/>
        <v>550</v>
      </c>
      <c r="CB106" s="471">
        <f t="shared" si="611"/>
        <v>550</v>
      </c>
      <c r="CC106" s="275">
        <f t="shared" si="611"/>
        <v>550</v>
      </c>
      <c r="CD106" s="275">
        <f t="shared" si="611"/>
        <v>550</v>
      </c>
      <c r="CE106" s="472">
        <f t="shared" si="611"/>
        <v>550</v>
      </c>
      <c r="CF106" s="471">
        <f t="shared" si="611"/>
        <v>550</v>
      </c>
      <c r="CG106" s="275">
        <f t="shared" si="611"/>
        <v>550</v>
      </c>
      <c r="CH106" s="275">
        <f t="shared" si="611"/>
        <v>550</v>
      </c>
      <c r="CI106" s="472">
        <f t="shared" si="611"/>
        <v>550</v>
      </c>
      <c r="CJ106" s="471">
        <f t="shared" ref="CJ106:CJ118" si="612">+CI106</f>
        <v>550</v>
      </c>
      <c r="CK106" s="275">
        <f t="shared" ref="CK106:CK118" si="613">+CJ106</f>
        <v>550</v>
      </c>
      <c r="CL106" s="275">
        <f t="shared" ref="CL106:CM118" si="614">+CK106</f>
        <v>550</v>
      </c>
      <c r="CM106" s="472">
        <f t="shared" si="614"/>
        <v>550</v>
      </c>
      <c r="CN106" s="275">
        <f t="shared" ref="CN106:CO112" si="615">+CM106</f>
        <v>550</v>
      </c>
      <c r="CO106" s="1259">
        <f t="shared" si="615"/>
        <v>550</v>
      </c>
      <c r="CP106" s="275">
        <f t="shared" ref="CP106:CP112" si="616">+CO106</f>
        <v>550</v>
      </c>
      <c r="CQ106" s="472">
        <f t="shared" ref="CQ106:CQ112" si="617">+CP106</f>
        <v>550</v>
      </c>
      <c r="CR106" s="275">
        <f t="shared" ref="CR106:CR112" si="618">+CQ106</f>
        <v>550</v>
      </c>
      <c r="CS106" s="275">
        <f t="shared" ref="CS106:CS112" si="619">+CR106</f>
        <v>550</v>
      </c>
      <c r="CT106" s="275">
        <f t="shared" ref="CT106:CT112" si="620">+CS106</f>
        <v>550</v>
      </c>
      <c r="CU106" s="472">
        <f t="shared" ref="CU106:CU112" si="621">+CT106</f>
        <v>550</v>
      </c>
      <c r="CV106" s="1259">
        <f t="shared" ref="CV106:CV112" si="622">+CU106</f>
        <v>550</v>
      </c>
      <c r="CW106" s="1259">
        <f t="shared" ref="CW106:CW112" si="623">+CV106</f>
        <v>550</v>
      </c>
      <c r="CX106" s="1259">
        <f t="shared" ref="CX106:CX112" si="624">+CW106</f>
        <v>550</v>
      </c>
      <c r="CY106" s="472">
        <f t="shared" ref="CY106:CY112" si="625">+CX106</f>
        <v>550</v>
      </c>
      <c r="CZ106" s="1259">
        <f t="shared" ref="CZ106:CZ112" si="626">+CY106</f>
        <v>550</v>
      </c>
      <c r="DA106" s="1259">
        <f t="shared" ref="DA106:DA112" si="627">+CZ106</f>
        <v>550</v>
      </c>
      <c r="DB106" s="1259">
        <f t="shared" ref="DB106:DB112" si="628">+DA106</f>
        <v>550</v>
      </c>
      <c r="DC106" s="472">
        <f t="shared" ref="DC106:DC112" si="629">+DB106</f>
        <v>550</v>
      </c>
      <c r="DD106" s="23"/>
      <c r="DE106" s="483"/>
      <c r="DF106" s="228"/>
      <c r="DG106" s="228"/>
      <c r="DH106" s="228"/>
      <c r="DI106" s="228"/>
      <c r="DJ106" s="228"/>
      <c r="DK106" s="228"/>
      <c r="DL106" s="228"/>
      <c r="DM106" s="228"/>
      <c r="DN106" s="228"/>
      <c r="DO106" s="228"/>
      <c r="DP106" s="228"/>
      <c r="DQ106" s="228"/>
      <c r="DR106" s="228"/>
      <c r="DS106" s="228"/>
      <c r="DT106" s="275"/>
      <c r="DU106" s="1330"/>
      <c r="DV106" s="1330">
        <f t="shared" ref="DV106:DV111" si="630">+BW106</f>
        <v>550</v>
      </c>
      <c r="DW106" s="1330">
        <f t="shared" ref="DW106:DW112" si="631">+CA106</f>
        <v>550</v>
      </c>
      <c r="DX106" s="1330">
        <f t="shared" ref="DX106:DX112" si="632">+CE106</f>
        <v>550</v>
      </c>
      <c r="DY106" s="1330">
        <f t="shared" ref="DY106:DY112" si="633">+CI106</f>
        <v>550</v>
      </c>
      <c r="DZ106" s="1330">
        <f t="shared" ref="DZ106:DZ112" si="634">+CM106</f>
        <v>550</v>
      </c>
      <c r="EA106" s="275">
        <f>CQ106</f>
        <v>550</v>
      </c>
      <c r="EB106" s="1259">
        <f t="shared" ref="EB106:EB112" si="635">CU106</f>
        <v>550</v>
      </c>
      <c r="EC106" s="1259">
        <f>CY106</f>
        <v>550</v>
      </c>
      <c r="ED106" s="472">
        <f>DC106</f>
        <v>550</v>
      </c>
      <c r="EE106" s="483"/>
      <c r="EF106" s="416"/>
      <c r="EG106" s="416"/>
      <c r="EH106" s="416"/>
      <c r="EI106" s="416"/>
      <c r="EJ106" s="416"/>
      <c r="EK106" s="416"/>
      <c r="EL106" s="416"/>
      <c r="EM106" s="416"/>
      <c r="EN106" s="416"/>
      <c r="EO106" s="416"/>
      <c r="EP106" s="416"/>
      <c r="EQ106" s="416"/>
      <c r="ER106" s="416"/>
      <c r="ES106" s="416"/>
      <c r="ET106" s="416"/>
      <c r="EU106" s="416"/>
      <c r="EV106" s="416"/>
      <c r="EW106" s="416"/>
      <c r="EX106" s="416"/>
      <c r="EY106" s="416"/>
      <c r="EZ106" s="416"/>
      <c r="FA106" s="416"/>
      <c r="FB106" s="416"/>
      <c r="FC106" s="416"/>
      <c r="FD106" s="416"/>
      <c r="FE106" s="228"/>
      <c r="FF106" s="1330"/>
      <c r="FG106" s="1330"/>
      <c r="FH106" s="1330"/>
      <c r="FI106"/>
      <c r="FJ106"/>
      <c r="FK106"/>
      <c r="FL106"/>
      <c r="FM106"/>
      <c r="FN106"/>
      <c r="FO106" s="416"/>
    </row>
    <row r="107" spans="1:171" s="417" customFormat="1" ht="14.25" hidden="1" customHeight="1" outlineLevel="1">
      <c r="A107" s="416"/>
      <c r="B107" s="511" t="s">
        <v>116</v>
      </c>
      <c r="C107" s="228"/>
      <c r="D107" s="228"/>
      <c r="E107" s="228"/>
      <c r="F107" s="228"/>
      <c r="G107" s="228"/>
      <c r="H107" s="228"/>
      <c r="I107" s="228"/>
      <c r="J107" s="228"/>
      <c r="K107" s="228"/>
      <c r="L107" s="228"/>
      <c r="M107" s="228"/>
      <c r="N107" s="228"/>
      <c r="O107" s="228"/>
      <c r="P107" s="228"/>
      <c r="Q107" s="228"/>
      <c r="R107" s="228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  <c r="AX107" s="228"/>
      <c r="AY107" s="228"/>
      <c r="AZ107" s="228"/>
      <c r="BA107" s="228"/>
      <c r="BB107" s="228"/>
      <c r="BC107" s="228"/>
      <c r="BD107" s="228"/>
      <c r="BE107" s="228"/>
      <c r="BF107" s="228"/>
      <c r="BG107" s="228"/>
      <c r="BH107" s="483"/>
      <c r="BI107" s="228"/>
      <c r="BJ107" s="228"/>
      <c r="BK107" s="229"/>
      <c r="BL107" s="228"/>
      <c r="BM107" s="228"/>
      <c r="BN107" s="228"/>
      <c r="BO107" s="228"/>
      <c r="BP107" s="483"/>
      <c r="BQ107" s="228"/>
      <c r="BR107" s="228"/>
      <c r="BS107" s="229"/>
      <c r="BT107" s="483"/>
      <c r="BU107" s="228"/>
      <c r="BV107" s="494">
        <v>450</v>
      </c>
      <c r="BW107" s="472">
        <f t="shared" si="610"/>
        <v>450</v>
      </c>
      <c r="BX107" s="471">
        <f t="shared" ref="BX107:CI107" si="636">+BW107</f>
        <v>450</v>
      </c>
      <c r="BY107" s="275">
        <f t="shared" si="636"/>
        <v>450</v>
      </c>
      <c r="BZ107" s="275">
        <f t="shared" si="636"/>
        <v>450</v>
      </c>
      <c r="CA107" s="472">
        <f t="shared" si="636"/>
        <v>450</v>
      </c>
      <c r="CB107" s="471">
        <f t="shared" si="636"/>
        <v>450</v>
      </c>
      <c r="CC107" s="275">
        <f t="shared" si="636"/>
        <v>450</v>
      </c>
      <c r="CD107" s="275">
        <f t="shared" si="636"/>
        <v>450</v>
      </c>
      <c r="CE107" s="472">
        <f t="shared" si="636"/>
        <v>450</v>
      </c>
      <c r="CF107" s="471">
        <f t="shared" si="636"/>
        <v>450</v>
      </c>
      <c r="CG107" s="275">
        <f t="shared" si="636"/>
        <v>450</v>
      </c>
      <c r="CH107" s="275">
        <f t="shared" si="636"/>
        <v>450</v>
      </c>
      <c r="CI107" s="472">
        <f t="shared" si="636"/>
        <v>450</v>
      </c>
      <c r="CJ107" s="471">
        <f t="shared" si="612"/>
        <v>450</v>
      </c>
      <c r="CK107" s="275">
        <f t="shared" si="613"/>
        <v>450</v>
      </c>
      <c r="CL107" s="275">
        <f t="shared" si="614"/>
        <v>450</v>
      </c>
      <c r="CM107" s="472">
        <f t="shared" si="614"/>
        <v>450</v>
      </c>
      <c r="CN107" s="275">
        <f t="shared" si="615"/>
        <v>450</v>
      </c>
      <c r="CO107" s="1259">
        <f t="shared" si="615"/>
        <v>450</v>
      </c>
      <c r="CP107" s="275">
        <f t="shared" si="616"/>
        <v>450</v>
      </c>
      <c r="CQ107" s="472">
        <f t="shared" si="617"/>
        <v>450</v>
      </c>
      <c r="CR107" s="275">
        <f t="shared" si="618"/>
        <v>450</v>
      </c>
      <c r="CS107" s="275">
        <f t="shared" si="619"/>
        <v>450</v>
      </c>
      <c r="CT107" s="275">
        <f t="shared" si="620"/>
        <v>450</v>
      </c>
      <c r="CU107" s="472">
        <f t="shared" si="621"/>
        <v>450</v>
      </c>
      <c r="CV107" s="1259">
        <f t="shared" si="622"/>
        <v>450</v>
      </c>
      <c r="CW107" s="1259">
        <f t="shared" si="623"/>
        <v>450</v>
      </c>
      <c r="CX107" s="1259">
        <f t="shared" si="624"/>
        <v>450</v>
      </c>
      <c r="CY107" s="472">
        <f t="shared" si="625"/>
        <v>450</v>
      </c>
      <c r="CZ107" s="1259">
        <f t="shared" si="626"/>
        <v>450</v>
      </c>
      <c r="DA107" s="1259">
        <f t="shared" si="627"/>
        <v>450</v>
      </c>
      <c r="DB107" s="1259">
        <f t="shared" si="628"/>
        <v>450</v>
      </c>
      <c r="DC107" s="472">
        <f t="shared" si="629"/>
        <v>450</v>
      </c>
      <c r="DD107" s="23"/>
      <c r="DE107" s="483"/>
      <c r="DF107" s="228"/>
      <c r="DG107" s="228"/>
      <c r="DH107" s="228"/>
      <c r="DI107" s="228"/>
      <c r="DJ107" s="228"/>
      <c r="DK107" s="228"/>
      <c r="DL107" s="228"/>
      <c r="DM107" s="228"/>
      <c r="DN107" s="228"/>
      <c r="DO107" s="228"/>
      <c r="DP107" s="228"/>
      <c r="DQ107" s="228"/>
      <c r="DR107" s="228"/>
      <c r="DS107" s="228"/>
      <c r="DT107" s="275"/>
      <c r="DU107" s="1330"/>
      <c r="DV107" s="1330">
        <f t="shared" si="630"/>
        <v>450</v>
      </c>
      <c r="DW107" s="1330">
        <f t="shared" si="631"/>
        <v>450</v>
      </c>
      <c r="DX107" s="1330">
        <f t="shared" si="632"/>
        <v>450</v>
      </c>
      <c r="DY107" s="1330">
        <f t="shared" si="633"/>
        <v>450</v>
      </c>
      <c r="DZ107" s="1330">
        <f t="shared" si="634"/>
        <v>450</v>
      </c>
      <c r="EA107" s="275">
        <f t="shared" ref="EA107:EA112" si="637">CQ107</f>
        <v>450</v>
      </c>
      <c r="EB107" s="1259">
        <f t="shared" si="635"/>
        <v>450</v>
      </c>
      <c r="EC107" s="1259">
        <f t="shared" ref="EC107:EC112" si="638">CY107</f>
        <v>450</v>
      </c>
      <c r="ED107" s="472">
        <f t="shared" ref="ED107:ED112" si="639">DC107</f>
        <v>450</v>
      </c>
      <c r="EE107" s="483"/>
      <c r="EF107" s="416"/>
      <c r="EG107" s="416"/>
      <c r="EH107" s="416"/>
      <c r="EI107" s="416"/>
      <c r="EJ107" s="416"/>
      <c r="EK107" s="416"/>
      <c r="EL107" s="416"/>
      <c r="EM107" s="416"/>
      <c r="EN107" s="416"/>
      <c r="EO107" s="416"/>
      <c r="EP107" s="416"/>
      <c r="EQ107" s="416"/>
      <c r="ER107" s="416"/>
      <c r="ES107" s="416"/>
      <c r="ET107" s="416"/>
      <c r="EU107" s="416"/>
      <c r="EV107" s="416"/>
      <c r="EW107" s="416"/>
      <c r="EX107" s="416"/>
      <c r="EY107" s="416"/>
      <c r="EZ107" s="416"/>
      <c r="FA107" s="416"/>
      <c r="FB107" s="416"/>
      <c r="FC107" s="416"/>
      <c r="FD107" s="416"/>
      <c r="FE107" s="228"/>
      <c r="FF107" s="1330"/>
      <c r="FG107" s="1330"/>
      <c r="FH107" s="1330"/>
      <c r="FI107"/>
      <c r="FJ107"/>
      <c r="FK107"/>
      <c r="FL107"/>
      <c r="FM107"/>
      <c r="FN107"/>
      <c r="FO107" s="416"/>
    </row>
    <row r="108" spans="1:171" s="417" customFormat="1" ht="14.25" hidden="1" customHeight="1" outlineLevel="1">
      <c r="A108" s="416"/>
      <c r="B108" s="511" t="s">
        <v>117</v>
      </c>
      <c r="C108" s="228"/>
      <c r="D108" s="228"/>
      <c r="E108" s="228"/>
      <c r="F108" s="228"/>
      <c r="G108" s="228"/>
      <c r="H108" s="228"/>
      <c r="I108" s="228"/>
      <c r="J108" s="228"/>
      <c r="K108" s="228"/>
      <c r="L108" s="228"/>
      <c r="M108" s="228"/>
      <c r="N108" s="228"/>
      <c r="O108" s="228"/>
      <c r="P108" s="228"/>
      <c r="Q108" s="228"/>
      <c r="R108" s="228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  <c r="AX108" s="228"/>
      <c r="AY108" s="228"/>
      <c r="AZ108" s="228"/>
      <c r="BA108" s="228"/>
      <c r="BB108" s="228"/>
      <c r="BC108" s="228"/>
      <c r="BD108" s="228"/>
      <c r="BE108" s="228"/>
      <c r="BF108" s="228"/>
      <c r="BG108" s="228"/>
      <c r="BH108" s="483"/>
      <c r="BI108" s="228"/>
      <c r="BJ108" s="228"/>
      <c r="BK108" s="229"/>
      <c r="BL108" s="228"/>
      <c r="BM108" s="228"/>
      <c r="BN108" s="228"/>
      <c r="BO108" s="228"/>
      <c r="BP108" s="483"/>
      <c r="BQ108" s="228"/>
      <c r="BR108" s="228"/>
      <c r="BS108" s="229"/>
      <c r="BT108" s="483"/>
      <c r="BU108" s="228"/>
      <c r="BV108" s="494">
        <v>345</v>
      </c>
      <c r="BW108" s="472">
        <f t="shared" si="610"/>
        <v>345</v>
      </c>
      <c r="BX108" s="471">
        <f t="shared" ref="BX108:CE110" si="640">+BW108</f>
        <v>345</v>
      </c>
      <c r="BY108" s="275">
        <f t="shared" si="640"/>
        <v>345</v>
      </c>
      <c r="BZ108" s="275">
        <f t="shared" si="640"/>
        <v>345</v>
      </c>
      <c r="CA108" s="472">
        <f t="shared" si="640"/>
        <v>345</v>
      </c>
      <c r="CB108" s="471">
        <f t="shared" si="640"/>
        <v>345</v>
      </c>
      <c r="CC108" s="275">
        <f t="shared" si="640"/>
        <v>345</v>
      </c>
      <c r="CD108" s="275">
        <f t="shared" si="640"/>
        <v>345</v>
      </c>
      <c r="CE108" s="472">
        <f t="shared" si="640"/>
        <v>345</v>
      </c>
      <c r="CF108" s="471"/>
      <c r="CG108" s="275">
        <f t="shared" ref="CG108:CI112" si="641">+CF108</f>
        <v>0</v>
      </c>
      <c r="CH108" s="275">
        <f t="shared" si="641"/>
        <v>0</v>
      </c>
      <c r="CI108" s="472">
        <f t="shared" si="641"/>
        <v>0</v>
      </c>
      <c r="CJ108" s="471">
        <f t="shared" si="612"/>
        <v>0</v>
      </c>
      <c r="CK108" s="275">
        <f t="shared" si="613"/>
        <v>0</v>
      </c>
      <c r="CL108" s="275">
        <f t="shared" si="614"/>
        <v>0</v>
      </c>
      <c r="CM108" s="472">
        <f t="shared" si="614"/>
        <v>0</v>
      </c>
      <c r="CN108" s="275">
        <f t="shared" si="615"/>
        <v>0</v>
      </c>
      <c r="CO108" s="1259">
        <f t="shared" si="615"/>
        <v>0</v>
      </c>
      <c r="CP108" s="275">
        <f t="shared" si="616"/>
        <v>0</v>
      </c>
      <c r="CQ108" s="472">
        <f t="shared" si="617"/>
        <v>0</v>
      </c>
      <c r="CR108" s="275">
        <f t="shared" si="618"/>
        <v>0</v>
      </c>
      <c r="CS108" s="275">
        <f t="shared" si="619"/>
        <v>0</v>
      </c>
      <c r="CT108" s="275">
        <f t="shared" si="620"/>
        <v>0</v>
      </c>
      <c r="CU108" s="472">
        <f t="shared" si="621"/>
        <v>0</v>
      </c>
      <c r="CV108" s="1259">
        <f t="shared" si="622"/>
        <v>0</v>
      </c>
      <c r="CW108" s="1259">
        <f t="shared" si="623"/>
        <v>0</v>
      </c>
      <c r="CX108" s="1259">
        <f t="shared" si="624"/>
        <v>0</v>
      </c>
      <c r="CY108" s="472">
        <f t="shared" si="625"/>
        <v>0</v>
      </c>
      <c r="CZ108" s="1259">
        <f t="shared" si="626"/>
        <v>0</v>
      </c>
      <c r="DA108" s="1259">
        <f t="shared" si="627"/>
        <v>0</v>
      </c>
      <c r="DB108" s="1259">
        <f t="shared" si="628"/>
        <v>0</v>
      </c>
      <c r="DC108" s="472">
        <f t="shared" si="629"/>
        <v>0</v>
      </c>
      <c r="DD108" s="23"/>
      <c r="DE108" s="483"/>
      <c r="DF108" s="228"/>
      <c r="DG108" s="228"/>
      <c r="DH108" s="228"/>
      <c r="DI108" s="228"/>
      <c r="DJ108" s="228"/>
      <c r="DK108" s="228"/>
      <c r="DL108" s="228"/>
      <c r="DM108" s="228"/>
      <c r="DN108" s="228"/>
      <c r="DO108" s="228"/>
      <c r="DP108" s="228"/>
      <c r="DQ108" s="228"/>
      <c r="DR108" s="228"/>
      <c r="DS108" s="228"/>
      <c r="DT108" s="275"/>
      <c r="DU108" s="1330"/>
      <c r="DV108" s="1330">
        <f t="shared" si="630"/>
        <v>345</v>
      </c>
      <c r="DW108" s="1330">
        <f t="shared" si="631"/>
        <v>345</v>
      </c>
      <c r="DX108" s="1330">
        <f t="shared" si="632"/>
        <v>345</v>
      </c>
      <c r="DY108" s="1330">
        <f t="shared" si="633"/>
        <v>0</v>
      </c>
      <c r="DZ108" s="1330">
        <f t="shared" si="634"/>
        <v>0</v>
      </c>
      <c r="EA108" s="275">
        <f t="shared" si="637"/>
        <v>0</v>
      </c>
      <c r="EB108" s="1259">
        <f t="shared" si="635"/>
        <v>0</v>
      </c>
      <c r="EC108" s="1259">
        <f t="shared" si="638"/>
        <v>0</v>
      </c>
      <c r="ED108" s="472">
        <f t="shared" si="639"/>
        <v>0</v>
      </c>
      <c r="EE108" s="483"/>
      <c r="EF108" s="416"/>
      <c r="EG108" s="416"/>
      <c r="EH108" s="416"/>
      <c r="EI108" s="416"/>
      <c r="EJ108" s="416"/>
      <c r="EK108" s="416"/>
      <c r="EL108" s="416"/>
      <c r="EM108" s="416"/>
      <c r="EN108" s="416"/>
      <c r="EO108" s="416"/>
      <c r="EP108" s="416"/>
      <c r="EQ108" s="416"/>
      <c r="ER108" s="416"/>
      <c r="ES108" s="416"/>
      <c r="ET108" s="416"/>
      <c r="EU108" s="416"/>
      <c r="EV108" s="416"/>
      <c r="EW108" s="416"/>
      <c r="EX108" s="416"/>
      <c r="EY108" s="416"/>
      <c r="EZ108" s="416"/>
      <c r="FA108" s="416"/>
      <c r="FB108" s="416"/>
      <c r="FC108" s="416"/>
      <c r="FD108" s="416"/>
      <c r="FE108" s="228"/>
      <c r="FF108" s="1330"/>
      <c r="FG108" s="1330"/>
      <c r="FH108" s="1330"/>
      <c r="FI108"/>
      <c r="FJ108"/>
      <c r="FK108"/>
      <c r="FL108"/>
      <c r="FM108"/>
      <c r="FN108"/>
      <c r="FO108" s="416"/>
    </row>
    <row r="109" spans="1:171" s="417" customFormat="1" ht="14.25" hidden="1" customHeight="1" outlineLevel="1">
      <c r="A109" s="416"/>
      <c r="B109" s="511" t="s">
        <v>118</v>
      </c>
      <c r="C109" s="228"/>
      <c r="D109" s="228"/>
      <c r="E109" s="228"/>
      <c r="F109" s="228"/>
      <c r="G109" s="228"/>
      <c r="H109" s="228"/>
      <c r="I109" s="228"/>
      <c r="J109" s="228"/>
      <c r="K109" s="228"/>
      <c r="L109" s="228"/>
      <c r="M109" s="228"/>
      <c r="N109" s="228"/>
      <c r="O109" s="228"/>
      <c r="P109" s="228"/>
      <c r="Q109" s="228"/>
      <c r="R109" s="228"/>
      <c r="S109" s="228"/>
      <c r="T109" s="228"/>
      <c r="U109" s="22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  <c r="AX109" s="228"/>
      <c r="AY109" s="228"/>
      <c r="AZ109" s="228"/>
      <c r="BA109" s="228"/>
      <c r="BB109" s="228"/>
      <c r="BC109" s="228"/>
      <c r="BD109" s="228"/>
      <c r="BE109" s="228"/>
      <c r="BF109" s="228"/>
      <c r="BG109" s="228"/>
      <c r="BH109" s="483"/>
      <c r="BI109" s="228"/>
      <c r="BJ109" s="228"/>
      <c r="BK109" s="229"/>
      <c r="BL109" s="228"/>
      <c r="BM109" s="228"/>
      <c r="BN109" s="228"/>
      <c r="BO109" s="228"/>
      <c r="BP109" s="483"/>
      <c r="BQ109" s="228"/>
      <c r="BR109" s="228"/>
      <c r="BS109" s="229"/>
      <c r="BT109" s="483"/>
      <c r="BU109" s="228"/>
      <c r="BV109" s="494">
        <v>345</v>
      </c>
      <c r="BW109" s="472">
        <f t="shared" si="610"/>
        <v>345</v>
      </c>
      <c r="BX109" s="471">
        <f t="shared" si="640"/>
        <v>345</v>
      </c>
      <c r="BY109" s="275">
        <f t="shared" si="640"/>
        <v>345</v>
      </c>
      <c r="BZ109" s="275">
        <f t="shared" si="640"/>
        <v>345</v>
      </c>
      <c r="CA109" s="472">
        <f t="shared" si="640"/>
        <v>345</v>
      </c>
      <c r="CB109" s="471">
        <f t="shared" si="640"/>
        <v>345</v>
      </c>
      <c r="CC109" s="275">
        <f t="shared" si="640"/>
        <v>345</v>
      </c>
      <c r="CD109" s="275">
        <f t="shared" si="640"/>
        <v>345</v>
      </c>
      <c r="CE109" s="472">
        <f t="shared" si="640"/>
        <v>345</v>
      </c>
      <c r="CF109" s="471">
        <f>+CE109</f>
        <v>345</v>
      </c>
      <c r="CG109" s="275">
        <f t="shared" si="641"/>
        <v>345</v>
      </c>
      <c r="CH109" s="275">
        <f t="shared" si="641"/>
        <v>345</v>
      </c>
      <c r="CI109" s="472">
        <f t="shared" si="641"/>
        <v>345</v>
      </c>
      <c r="CJ109" s="471">
        <f t="shared" si="612"/>
        <v>345</v>
      </c>
      <c r="CK109" s="275">
        <f t="shared" si="613"/>
        <v>345</v>
      </c>
      <c r="CL109" s="275">
        <f t="shared" si="614"/>
        <v>345</v>
      </c>
      <c r="CM109" s="472">
        <f t="shared" si="614"/>
        <v>345</v>
      </c>
      <c r="CN109" s="275">
        <f t="shared" si="615"/>
        <v>345</v>
      </c>
      <c r="CO109" s="1259">
        <f t="shared" si="615"/>
        <v>345</v>
      </c>
      <c r="CP109" s="275">
        <f t="shared" si="616"/>
        <v>345</v>
      </c>
      <c r="CQ109" s="472">
        <f t="shared" si="617"/>
        <v>345</v>
      </c>
      <c r="CR109" s="275">
        <f t="shared" si="618"/>
        <v>345</v>
      </c>
      <c r="CS109" s="275">
        <f t="shared" si="619"/>
        <v>345</v>
      </c>
      <c r="CT109" s="275">
        <f t="shared" si="620"/>
        <v>345</v>
      </c>
      <c r="CU109" s="472">
        <f t="shared" si="621"/>
        <v>345</v>
      </c>
      <c r="CV109" s="1259">
        <f t="shared" si="622"/>
        <v>345</v>
      </c>
      <c r="CW109" s="1259">
        <f t="shared" si="623"/>
        <v>345</v>
      </c>
      <c r="CX109" s="1259">
        <f t="shared" si="624"/>
        <v>345</v>
      </c>
      <c r="CY109" s="472">
        <f t="shared" si="625"/>
        <v>345</v>
      </c>
      <c r="CZ109" s="1259">
        <f t="shared" si="626"/>
        <v>345</v>
      </c>
      <c r="DA109" s="1259">
        <f t="shared" si="627"/>
        <v>345</v>
      </c>
      <c r="DB109" s="1259">
        <f t="shared" si="628"/>
        <v>345</v>
      </c>
      <c r="DC109" s="472">
        <f t="shared" si="629"/>
        <v>345</v>
      </c>
      <c r="DD109" s="23"/>
      <c r="DE109" s="483"/>
      <c r="DF109" s="228"/>
      <c r="DG109" s="228"/>
      <c r="DH109" s="228"/>
      <c r="DI109" s="228"/>
      <c r="DJ109" s="228"/>
      <c r="DK109" s="228"/>
      <c r="DL109" s="228"/>
      <c r="DM109" s="228"/>
      <c r="DN109" s="228"/>
      <c r="DO109" s="228"/>
      <c r="DP109" s="228"/>
      <c r="DQ109" s="228"/>
      <c r="DR109" s="228"/>
      <c r="DS109" s="228"/>
      <c r="DT109" s="275"/>
      <c r="DU109" s="1330"/>
      <c r="DV109" s="1330">
        <f t="shared" si="630"/>
        <v>345</v>
      </c>
      <c r="DW109" s="1330">
        <f t="shared" si="631"/>
        <v>345</v>
      </c>
      <c r="DX109" s="1330">
        <f t="shared" si="632"/>
        <v>345</v>
      </c>
      <c r="DY109" s="1330">
        <f t="shared" si="633"/>
        <v>345</v>
      </c>
      <c r="DZ109" s="1330">
        <f t="shared" si="634"/>
        <v>345</v>
      </c>
      <c r="EA109" s="275">
        <f t="shared" si="637"/>
        <v>345</v>
      </c>
      <c r="EB109" s="1259">
        <f t="shared" si="635"/>
        <v>345</v>
      </c>
      <c r="EC109" s="1259">
        <f t="shared" si="638"/>
        <v>345</v>
      </c>
      <c r="ED109" s="472">
        <f t="shared" si="639"/>
        <v>345</v>
      </c>
      <c r="EE109" s="483"/>
      <c r="EF109" s="416"/>
      <c r="EG109" s="416"/>
      <c r="EH109" s="416"/>
      <c r="EI109" s="416"/>
      <c r="EJ109" s="416"/>
      <c r="EK109" s="416"/>
      <c r="EL109" s="416"/>
      <c r="EM109" s="416"/>
      <c r="EN109" s="416"/>
      <c r="EO109" s="416"/>
      <c r="EP109" s="416"/>
      <c r="EQ109" s="416"/>
      <c r="ER109" s="416"/>
      <c r="ES109" s="416"/>
      <c r="ET109" s="416"/>
      <c r="EU109" s="416"/>
      <c r="EV109" s="416"/>
      <c r="EW109" s="416"/>
      <c r="EX109" s="416"/>
      <c r="EY109" s="416"/>
      <c r="EZ109" s="416"/>
      <c r="FA109" s="416"/>
      <c r="FB109" s="416"/>
      <c r="FC109" s="416"/>
      <c r="FD109" s="416"/>
      <c r="FE109" s="228"/>
      <c r="FF109" s="1330"/>
      <c r="FG109" s="1330"/>
      <c r="FH109" s="1330"/>
      <c r="FI109"/>
      <c r="FJ109"/>
      <c r="FK109"/>
      <c r="FL109"/>
      <c r="FM109"/>
      <c r="FN109"/>
      <c r="FO109" s="416"/>
    </row>
    <row r="110" spans="1:171" s="417" customFormat="1" ht="14.25" hidden="1" customHeight="1" outlineLevel="1">
      <c r="A110" s="416"/>
      <c r="B110" s="511" t="s">
        <v>119</v>
      </c>
      <c r="C110" s="228"/>
      <c r="D110" s="228"/>
      <c r="E110" s="228"/>
      <c r="F110" s="228"/>
      <c r="G110" s="228"/>
      <c r="H110" s="228"/>
      <c r="I110" s="228"/>
      <c r="J110" s="228"/>
      <c r="K110" s="228"/>
      <c r="L110" s="228"/>
      <c r="M110" s="228"/>
      <c r="N110" s="228"/>
      <c r="O110" s="228"/>
      <c r="P110" s="228"/>
      <c r="Q110" s="228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  <c r="AX110" s="228"/>
      <c r="AY110" s="228"/>
      <c r="AZ110" s="228"/>
      <c r="BA110" s="228"/>
      <c r="BB110" s="228"/>
      <c r="BC110" s="228"/>
      <c r="BD110" s="228"/>
      <c r="BE110" s="228"/>
      <c r="BF110" s="228"/>
      <c r="BG110" s="228"/>
      <c r="BH110" s="483"/>
      <c r="BI110" s="228"/>
      <c r="BJ110" s="228"/>
      <c r="BK110" s="229"/>
      <c r="BL110" s="228"/>
      <c r="BM110" s="228"/>
      <c r="BN110" s="228"/>
      <c r="BO110" s="228"/>
      <c r="BP110" s="483"/>
      <c r="BQ110" s="228"/>
      <c r="BR110" s="228"/>
      <c r="BS110" s="229"/>
      <c r="BT110" s="483"/>
      <c r="BU110" s="228"/>
      <c r="BV110" s="494">
        <v>175</v>
      </c>
      <c r="BW110" s="472">
        <f t="shared" si="610"/>
        <v>175</v>
      </c>
      <c r="BX110" s="471">
        <f t="shared" si="640"/>
        <v>175</v>
      </c>
      <c r="BY110" s="275">
        <f t="shared" si="640"/>
        <v>175</v>
      </c>
      <c r="BZ110" s="275">
        <f t="shared" si="640"/>
        <v>175</v>
      </c>
      <c r="CA110" s="472">
        <f t="shared" si="640"/>
        <v>175</v>
      </c>
      <c r="CB110" s="471">
        <f t="shared" si="640"/>
        <v>175</v>
      </c>
      <c r="CC110" s="275">
        <f t="shared" si="640"/>
        <v>175</v>
      </c>
      <c r="CD110" s="275">
        <f t="shared" si="640"/>
        <v>175</v>
      </c>
      <c r="CE110" s="472">
        <f t="shared" si="640"/>
        <v>175</v>
      </c>
      <c r="CF110" s="471">
        <f>+CE110</f>
        <v>175</v>
      </c>
      <c r="CG110" s="275">
        <f t="shared" si="641"/>
        <v>175</v>
      </c>
      <c r="CH110" s="275">
        <f t="shared" si="641"/>
        <v>175</v>
      </c>
      <c r="CI110" s="472">
        <f t="shared" si="641"/>
        <v>175</v>
      </c>
      <c r="CJ110" s="471">
        <f t="shared" si="612"/>
        <v>175</v>
      </c>
      <c r="CK110" s="275">
        <f t="shared" si="613"/>
        <v>175</v>
      </c>
      <c r="CL110" s="275">
        <f t="shared" si="614"/>
        <v>175</v>
      </c>
      <c r="CM110" s="472">
        <f t="shared" si="614"/>
        <v>175</v>
      </c>
      <c r="CN110" s="275">
        <f t="shared" si="615"/>
        <v>175</v>
      </c>
      <c r="CO110" s="1259">
        <f t="shared" si="615"/>
        <v>175</v>
      </c>
      <c r="CP110" s="275">
        <f t="shared" si="616"/>
        <v>175</v>
      </c>
      <c r="CQ110" s="472">
        <f t="shared" si="617"/>
        <v>175</v>
      </c>
      <c r="CR110" s="275">
        <f t="shared" si="618"/>
        <v>175</v>
      </c>
      <c r="CS110" s="275">
        <f t="shared" si="619"/>
        <v>175</v>
      </c>
      <c r="CT110" s="275">
        <f t="shared" si="620"/>
        <v>175</v>
      </c>
      <c r="CU110" s="472">
        <f t="shared" si="621"/>
        <v>175</v>
      </c>
      <c r="CV110" s="1259">
        <f t="shared" si="622"/>
        <v>175</v>
      </c>
      <c r="CW110" s="1259">
        <f t="shared" si="623"/>
        <v>175</v>
      </c>
      <c r="CX110" s="1259">
        <f t="shared" si="624"/>
        <v>175</v>
      </c>
      <c r="CY110" s="472">
        <f t="shared" si="625"/>
        <v>175</v>
      </c>
      <c r="CZ110" s="1259">
        <f t="shared" si="626"/>
        <v>175</v>
      </c>
      <c r="DA110" s="1259">
        <f t="shared" si="627"/>
        <v>175</v>
      </c>
      <c r="DB110" s="1259">
        <f t="shared" si="628"/>
        <v>175</v>
      </c>
      <c r="DC110" s="472">
        <f t="shared" si="629"/>
        <v>175</v>
      </c>
      <c r="DD110" s="23"/>
      <c r="DE110" s="483"/>
      <c r="DF110" s="228"/>
      <c r="DG110" s="228"/>
      <c r="DH110" s="228"/>
      <c r="DI110" s="228"/>
      <c r="DJ110" s="228"/>
      <c r="DK110" s="228"/>
      <c r="DL110" s="228"/>
      <c r="DM110" s="228"/>
      <c r="DN110" s="228"/>
      <c r="DO110" s="228"/>
      <c r="DP110" s="228"/>
      <c r="DQ110" s="228"/>
      <c r="DR110" s="228"/>
      <c r="DS110" s="228"/>
      <c r="DT110" s="275"/>
      <c r="DU110" s="1330"/>
      <c r="DV110" s="1330">
        <f t="shared" si="630"/>
        <v>175</v>
      </c>
      <c r="DW110" s="1330">
        <f t="shared" si="631"/>
        <v>175</v>
      </c>
      <c r="DX110" s="1330">
        <f t="shared" si="632"/>
        <v>175</v>
      </c>
      <c r="DY110" s="1330">
        <f t="shared" si="633"/>
        <v>175</v>
      </c>
      <c r="DZ110" s="1330">
        <f t="shared" si="634"/>
        <v>175</v>
      </c>
      <c r="EA110" s="275">
        <f t="shared" si="637"/>
        <v>175</v>
      </c>
      <c r="EB110" s="1259">
        <f t="shared" si="635"/>
        <v>175</v>
      </c>
      <c r="EC110" s="1259">
        <f t="shared" si="638"/>
        <v>175</v>
      </c>
      <c r="ED110" s="472">
        <f t="shared" si="639"/>
        <v>175</v>
      </c>
      <c r="EE110" s="483"/>
      <c r="EF110" s="416"/>
      <c r="EG110" s="416"/>
      <c r="EH110" s="416"/>
      <c r="EI110" s="416"/>
      <c r="EJ110" s="416"/>
      <c r="EK110" s="416"/>
      <c r="EL110" s="416"/>
      <c r="EM110" s="416"/>
      <c r="EN110" s="416"/>
      <c r="EO110" s="416"/>
      <c r="EP110" s="416"/>
      <c r="EQ110" s="416"/>
      <c r="ER110" s="416"/>
      <c r="ES110" s="416"/>
      <c r="ET110" s="416"/>
      <c r="EU110" s="416"/>
      <c r="EV110" s="416"/>
      <c r="EW110" s="416"/>
      <c r="EX110" s="416"/>
      <c r="EY110" s="416"/>
      <c r="EZ110" s="416"/>
      <c r="FA110" s="416"/>
      <c r="FB110" s="416"/>
      <c r="FC110" s="416"/>
      <c r="FD110" s="416"/>
      <c r="FE110" s="228"/>
      <c r="FF110" s="1330"/>
      <c r="FG110" s="1330"/>
      <c r="FH110" s="1330"/>
      <c r="FI110"/>
      <c r="FJ110"/>
      <c r="FK110"/>
      <c r="FL110"/>
      <c r="FM110"/>
      <c r="FN110"/>
      <c r="FO110" s="416"/>
    </row>
    <row r="111" spans="1:171" s="637" customFormat="1" ht="14.25" hidden="1" customHeight="1" outlineLevel="1">
      <c r="A111" s="226"/>
      <c r="B111" s="634" t="s">
        <v>120</v>
      </c>
      <c r="C111" s="245"/>
      <c r="D111" s="245"/>
      <c r="E111" s="245"/>
      <c r="F111" s="245"/>
      <c r="G111" s="245"/>
      <c r="H111" s="245"/>
      <c r="I111" s="245"/>
      <c r="J111" s="245"/>
      <c r="K111" s="245"/>
      <c r="L111" s="245"/>
      <c r="M111" s="245"/>
      <c r="N111" s="245"/>
      <c r="O111" s="245"/>
      <c r="P111" s="245"/>
      <c r="Q111" s="245"/>
      <c r="R111" s="245"/>
      <c r="S111" s="245"/>
      <c r="T111" s="245"/>
      <c r="U111" s="245"/>
      <c r="V111" s="245"/>
      <c r="W111" s="245"/>
      <c r="X111" s="245"/>
      <c r="Y111" s="245"/>
      <c r="Z111" s="245"/>
      <c r="AA111" s="245"/>
      <c r="AB111" s="245"/>
      <c r="AC111" s="245"/>
      <c r="AD111" s="245"/>
      <c r="AE111" s="245"/>
      <c r="AF111" s="245"/>
      <c r="AG111" s="245"/>
      <c r="AH111" s="245"/>
      <c r="AI111" s="245"/>
      <c r="AJ111" s="245"/>
      <c r="AK111" s="245"/>
      <c r="AL111" s="245"/>
      <c r="AM111" s="245"/>
      <c r="AN111" s="245"/>
      <c r="AO111" s="245"/>
      <c r="AP111" s="245"/>
      <c r="AQ111" s="245"/>
      <c r="AR111" s="245"/>
      <c r="AS111" s="245"/>
      <c r="AT111" s="245"/>
      <c r="AU111" s="245"/>
      <c r="AV111" s="245"/>
      <c r="AW111" s="245"/>
      <c r="AX111" s="245"/>
      <c r="AY111" s="245"/>
      <c r="AZ111" s="245"/>
      <c r="BA111" s="245"/>
      <c r="BB111" s="245"/>
      <c r="BC111" s="245"/>
      <c r="BD111" s="245"/>
      <c r="BE111" s="245"/>
      <c r="BF111" s="245"/>
      <c r="BG111" s="245"/>
      <c r="BH111" s="246"/>
      <c r="BI111" s="245"/>
      <c r="BJ111" s="245"/>
      <c r="BK111" s="227"/>
      <c r="BL111" s="245"/>
      <c r="BM111" s="245"/>
      <c r="BN111" s="245"/>
      <c r="BO111" s="245"/>
      <c r="BP111" s="246"/>
      <c r="BQ111" s="245"/>
      <c r="BR111" s="245"/>
      <c r="BS111" s="227"/>
      <c r="BT111" s="246"/>
      <c r="BU111" s="245"/>
      <c r="BV111" s="599">
        <v>949.1</v>
      </c>
      <c r="BW111" s="605">
        <f t="shared" si="610"/>
        <v>949.1</v>
      </c>
      <c r="BX111" s="521">
        <f t="shared" ref="BX111:CD112" si="642">+BW111</f>
        <v>949.1</v>
      </c>
      <c r="BY111" s="635">
        <f t="shared" si="642"/>
        <v>949.1</v>
      </c>
      <c r="BZ111" s="635">
        <f t="shared" si="642"/>
        <v>949.1</v>
      </c>
      <c r="CA111" s="605">
        <f t="shared" si="642"/>
        <v>949.1</v>
      </c>
      <c r="CB111" s="521">
        <f t="shared" si="642"/>
        <v>949.1</v>
      </c>
      <c r="CC111" s="635">
        <f t="shared" si="642"/>
        <v>949.1</v>
      </c>
      <c r="CD111" s="635">
        <f t="shared" si="642"/>
        <v>949.1</v>
      </c>
      <c r="CE111" s="605">
        <v>0</v>
      </c>
      <c r="CF111" s="521">
        <f>+CE111</f>
        <v>0</v>
      </c>
      <c r="CG111" s="635">
        <f t="shared" si="641"/>
        <v>0</v>
      </c>
      <c r="CH111" s="635">
        <f t="shared" si="641"/>
        <v>0</v>
      </c>
      <c r="CI111" s="605">
        <f t="shared" si="641"/>
        <v>0</v>
      </c>
      <c r="CJ111" s="521">
        <f t="shared" si="612"/>
        <v>0</v>
      </c>
      <c r="CK111" s="635">
        <f t="shared" si="613"/>
        <v>0</v>
      </c>
      <c r="CL111" s="635">
        <f t="shared" si="614"/>
        <v>0</v>
      </c>
      <c r="CM111" s="605">
        <f t="shared" si="614"/>
        <v>0</v>
      </c>
      <c r="CN111" s="635">
        <f t="shared" si="615"/>
        <v>0</v>
      </c>
      <c r="CO111" s="1277">
        <f t="shared" si="615"/>
        <v>0</v>
      </c>
      <c r="CP111" s="635">
        <f t="shared" si="616"/>
        <v>0</v>
      </c>
      <c r="CQ111" s="605">
        <f t="shared" si="617"/>
        <v>0</v>
      </c>
      <c r="CR111" s="635">
        <f t="shared" si="618"/>
        <v>0</v>
      </c>
      <c r="CS111" s="635">
        <f t="shared" si="619"/>
        <v>0</v>
      </c>
      <c r="CT111" s="635">
        <f t="shared" si="620"/>
        <v>0</v>
      </c>
      <c r="CU111" s="605">
        <f t="shared" si="621"/>
        <v>0</v>
      </c>
      <c r="CV111" s="1277">
        <f t="shared" si="622"/>
        <v>0</v>
      </c>
      <c r="CW111" s="1277">
        <f t="shared" si="623"/>
        <v>0</v>
      </c>
      <c r="CX111" s="1277">
        <f t="shared" si="624"/>
        <v>0</v>
      </c>
      <c r="CY111" s="605">
        <f t="shared" si="625"/>
        <v>0</v>
      </c>
      <c r="CZ111" s="1277">
        <f t="shared" si="626"/>
        <v>0</v>
      </c>
      <c r="DA111" s="1277">
        <f t="shared" si="627"/>
        <v>0</v>
      </c>
      <c r="DB111" s="1277">
        <f t="shared" si="628"/>
        <v>0</v>
      </c>
      <c r="DC111" s="605">
        <f t="shared" si="629"/>
        <v>0</v>
      </c>
      <c r="DD111" s="23"/>
      <c r="DE111" s="246"/>
      <c r="DF111" s="245"/>
      <c r="DG111" s="245"/>
      <c r="DH111" s="245"/>
      <c r="DI111" s="245"/>
      <c r="DJ111" s="245"/>
      <c r="DK111" s="245"/>
      <c r="DL111" s="245"/>
      <c r="DM111" s="245"/>
      <c r="DN111" s="245"/>
      <c r="DO111" s="245"/>
      <c r="DP111" s="245"/>
      <c r="DQ111" s="245"/>
      <c r="DR111" s="245"/>
      <c r="DS111" s="245"/>
      <c r="DT111" s="635"/>
      <c r="DU111" s="245"/>
      <c r="DV111" s="245">
        <f t="shared" si="630"/>
        <v>949.1</v>
      </c>
      <c r="DW111" s="245">
        <f t="shared" si="631"/>
        <v>949.1</v>
      </c>
      <c r="DX111" s="245">
        <f t="shared" si="632"/>
        <v>0</v>
      </c>
      <c r="DY111" s="245">
        <f t="shared" si="633"/>
        <v>0</v>
      </c>
      <c r="DZ111" s="245">
        <f t="shared" si="634"/>
        <v>0</v>
      </c>
      <c r="EA111" s="635">
        <f t="shared" si="637"/>
        <v>0</v>
      </c>
      <c r="EB111" s="1277">
        <f t="shared" si="635"/>
        <v>0</v>
      </c>
      <c r="EC111" s="1277">
        <f t="shared" si="638"/>
        <v>0</v>
      </c>
      <c r="ED111" s="605">
        <f t="shared" si="639"/>
        <v>0</v>
      </c>
      <c r="EE111" s="246"/>
      <c r="EF111" s="226"/>
      <c r="EG111" s="226"/>
      <c r="EH111" s="226"/>
      <c r="EI111" s="226"/>
      <c r="EJ111" s="226"/>
      <c r="EK111" s="226"/>
      <c r="EL111" s="226"/>
      <c r="EM111" s="226"/>
      <c r="EN111" s="226"/>
      <c r="EO111" s="226"/>
      <c r="EP111" s="226"/>
      <c r="EQ111" s="226"/>
      <c r="ER111" s="226"/>
      <c r="ES111" s="226"/>
      <c r="ET111" s="226"/>
      <c r="EU111" s="226"/>
      <c r="EV111" s="226"/>
      <c r="EW111" s="226"/>
      <c r="EX111" s="226"/>
      <c r="EY111" s="226"/>
      <c r="EZ111" s="1251"/>
      <c r="FA111" s="1251"/>
      <c r="FB111" s="1251"/>
      <c r="FC111" s="1251"/>
      <c r="FD111" s="1251"/>
      <c r="FE111" s="245"/>
      <c r="FF111" s="245"/>
      <c r="FG111" s="245"/>
      <c r="FH111" s="245"/>
      <c r="FI111"/>
      <c r="FJ111"/>
      <c r="FK111"/>
      <c r="FL111"/>
      <c r="FM111"/>
      <c r="FN111"/>
      <c r="FO111" s="226"/>
    </row>
    <row r="112" spans="1:171" s="637" customFormat="1" ht="14.25" hidden="1" customHeight="1" outlineLevel="1">
      <c r="A112" s="226"/>
      <c r="B112" s="634" t="s">
        <v>217</v>
      </c>
      <c r="C112" s="245"/>
      <c r="D112" s="245"/>
      <c r="E112" s="245"/>
      <c r="F112" s="245"/>
      <c r="G112" s="245"/>
      <c r="H112" s="245"/>
      <c r="I112" s="245"/>
      <c r="J112" s="245"/>
      <c r="K112" s="245"/>
      <c r="L112" s="245"/>
      <c r="M112" s="245"/>
      <c r="N112" s="245"/>
      <c r="O112" s="245"/>
      <c r="P112" s="245"/>
      <c r="Q112" s="245"/>
      <c r="R112" s="245"/>
      <c r="S112" s="245"/>
      <c r="T112" s="245"/>
      <c r="U112" s="245"/>
      <c r="V112" s="245"/>
      <c r="W112" s="245"/>
      <c r="X112" s="245"/>
      <c r="Y112" s="245"/>
      <c r="Z112" s="245"/>
      <c r="AA112" s="245"/>
      <c r="AB112" s="245"/>
      <c r="AC112" s="245"/>
      <c r="AD112" s="245"/>
      <c r="AE112" s="245"/>
      <c r="AF112" s="245"/>
      <c r="AG112" s="245"/>
      <c r="AH112" s="245"/>
      <c r="AI112" s="245"/>
      <c r="AJ112" s="245"/>
      <c r="AK112" s="245"/>
      <c r="AL112" s="245"/>
      <c r="AM112" s="245"/>
      <c r="AN112" s="245"/>
      <c r="AO112" s="245"/>
      <c r="AP112" s="245"/>
      <c r="AQ112" s="245"/>
      <c r="AR112" s="245"/>
      <c r="AS112" s="245"/>
      <c r="AT112" s="245"/>
      <c r="AU112" s="245"/>
      <c r="AV112" s="245"/>
      <c r="AW112" s="245"/>
      <c r="AX112" s="245"/>
      <c r="AY112" s="245"/>
      <c r="AZ112" s="245"/>
      <c r="BA112" s="245"/>
      <c r="BB112" s="245"/>
      <c r="BC112" s="245"/>
      <c r="BD112" s="245"/>
      <c r="BE112" s="245"/>
      <c r="BF112" s="245"/>
      <c r="BG112" s="245"/>
      <c r="BH112" s="246"/>
      <c r="BI112" s="245"/>
      <c r="BJ112" s="245"/>
      <c r="BK112" s="227"/>
      <c r="BL112" s="245"/>
      <c r="BM112" s="245"/>
      <c r="BN112" s="245"/>
      <c r="BO112" s="245"/>
      <c r="BP112" s="246"/>
      <c r="BQ112" s="245"/>
      <c r="BR112" s="245"/>
      <c r="BS112" s="227"/>
      <c r="BT112" s="246"/>
      <c r="BU112" s="245"/>
      <c r="BV112" s="599"/>
      <c r="BW112" s="636">
        <v>58</v>
      </c>
      <c r="BX112" s="521">
        <f t="shared" si="642"/>
        <v>58</v>
      </c>
      <c r="BY112" s="635">
        <f t="shared" si="642"/>
        <v>58</v>
      </c>
      <c r="BZ112" s="635">
        <f t="shared" si="642"/>
        <v>58</v>
      </c>
      <c r="CA112" s="636">
        <f t="shared" si="642"/>
        <v>58</v>
      </c>
      <c r="CB112" s="521">
        <f t="shared" si="642"/>
        <v>58</v>
      </c>
      <c r="CC112" s="635">
        <f t="shared" si="642"/>
        <v>58</v>
      </c>
      <c r="CD112" s="635">
        <f t="shared" si="642"/>
        <v>58</v>
      </c>
      <c r="CE112" s="636">
        <f>+CD112</f>
        <v>58</v>
      </c>
      <c r="CF112" s="521">
        <f>+CE112</f>
        <v>58</v>
      </c>
      <c r="CG112" s="635">
        <f t="shared" si="641"/>
        <v>58</v>
      </c>
      <c r="CH112" s="635">
        <f t="shared" si="641"/>
        <v>58</v>
      </c>
      <c r="CI112" s="605">
        <f t="shared" si="641"/>
        <v>58</v>
      </c>
      <c r="CJ112" s="521">
        <f t="shared" si="612"/>
        <v>58</v>
      </c>
      <c r="CK112" s="635">
        <f t="shared" si="613"/>
        <v>58</v>
      </c>
      <c r="CL112" s="635">
        <f t="shared" si="614"/>
        <v>58</v>
      </c>
      <c r="CM112" s="605">
        <f t="shared" si="614"/>
        <v>58</v>
      </c>
      <c r="CN112" s="635">
        <f t="shared" si="615"/>
        <v>58</v>
      </c>
      <c r="CO112" s="1277">
        <f t="shared" si="615"/>
        <v>58</v>
      </c>
      <c r="CP112" s="635">
        <f t="shared" si="616"/>
        <v>58</v>
      </c>
      <c r="CQ112" s="605">
        <f t="shared" si="617"/>
        <v>58</v>
      </c>
      <c r="CR112" s="635">
        <f t="shared" si="618"/>
        <v>58</v>
      </c>
      <c r="CS112" s="635">
        <f t="shared" si="619"/>
        <v>58</v>
      </c>
      <c r="CT112" s="635">
        <f t="shared" si="620"/>
        <v>58</v>
      </c>
      <c r="CU112" s="605">
        <f t="shared" si="621"/>
        <v>58</v>
      </c>
      <c r="CV112" s="1277">
        <f t="shared" si="622"/>
        <v>58</v>
      </c>
      <c r="CW112" s="1277">
        <f t="shared" si="623"/>
        <v>58</v>
      </c>
      <c r="CX112" s="1277">
        <f t="shared" si="624"/>
        <v>58</v>
      </c>
      <c r="CY112" s="605">
        <f t="shared" si="625"/>
        <v>58</v>
      </c>
      <c r="CZ112" s="1277">
        <f t="shared" si="626"/>
        <v>58</v>
      </c>
      <c r="DA112" s="1277">
        <f t="shared" si="627"/>
        <v>58</v>
      </c>
      <c r="DB112" s="1277">
        <f t="shared" si="628"/>
        <v>58</v>
      </c>
      <c r="DC112" s="605">
        <f t="shared" si="629"/>
        <v>58</v>
      </c>
      <c r="DD112" s="23"/>
      <c r="DE112" s="246"/>
      <c r="DF112" s="245"/>
      <c r="DG112" s="245"/>
      <c r="DH112" s="245"/>
      <c r="DI112" s="245"/>
      <c r="DJ112" s="245"/>
      <c r="DK112" s="245"/>
      <c r="DL112" s="245"/>
      <c r="DM112" s="245"/>
      <c r="DN112" s="245"/>
      <c r="DO112" s="245"/>
      <c r="DP112" s="245"/>
      <c r="DQ112" s="245"/>
      <c r="DR112" s="245"/>
      <c r="DS112" s="245"/>
      <c r="DT112" s="635"/>
      <c r="DU112" s="245"/>
      <c r="DV112" s="245"/>
      <c r="DW112" s="245">
        <f t="shared" si="631"/>
        <v>58</v>
      </c>
      <c r="DX112" s="245">
        <f t="shared" si="632"/>
        <v>58</v>
      </c>
      <c r="DY112" s="245">
        <f t="shared" si="633"/>
        <v>58</v>
      </c>
      <c r="DZ112" s="245">
        <f t="shared" si="634"/>
        <v>58</v>
      </c>
      <c r="EA112" s="635">
        <f t="shared" si="637"/>
        <v>58</v>
      </c>
      <c r="EB112" s="1277">
        <f t="shared" si="635"/>
        <v>58</v>
      </c>
      <c r="EC112" s="1277">
        <f t="shared" si="638"/>
        <v>58</v>
      </c>
      <c r="ED112" s="605">
        <f t="shared" si="639"/>
        <v>58</v>
      </c>
      <c r="EE112" s="246"/>
      <c r="EF112" s="226"/>
      <c r="EG112" s="226"/>
      <c r="EH112" s="226"/>
      <c r="EI112" s="226"/>
      <c r="EJ112" s="226"/>
      <c r="EK112" s="226"/>
      <c r="EL112" s="226"/>
      <c r="EM112" s="226"/>
      <c r="EN112" s="226"/>
      <c r="EO112" s="226"/>
      <c r="EP112" s="226"/>
      <c r="EQ112" s="226"/>
      <c r="ER112" s="226"/>
      <c r="ES112" s="226"/>
      <c r="ET112" s="226"/>
      <c r="EU112" s="226"/>
      <c r="EV112" s="226"/>
      <c r="EW112" s="226"/>
      <c r="EX112" s="226"/>
      <c r="EY112" s="226"/>
      <c r="EZ112" s="1251"/>
      <c r="FA112" s="1251"/>
      <c r="FB112" s="1251"/>
      <c r="FC112" s="1251"/>
      <c r="FD112" s="1251"/>
      <c r="FE112" s="245"/>
      <c r="FF112" s="245"/>
      <c r="FG112" s="245"/>
      <c r="FH112" s="245"/>
      <c r="FI112"/>
      <c r="FJ112"/>
      <c r="FK112"/>
      <c r="FL112"/>
      <c r="FM112"/>
      <c r="FN112"/>
      <c r="FO112" s="226"/>
    </row>
    <row r="113" spans="1:171" s="637" customFormat="1" ht="14.25" hidden="1" customHeight="1" outlineLevel="1">
      <c r="A113" s="226"/>
      <c r="B113" s="634" t="s">
        <v>482</v>
      </c>
      <c r="C113" s="245"/>
      <c r="D113" s="245"/>
      <c r="E113" s="245"/>
      <c r="F113" s="245"/>
      <c r="G113" s="245"/>
      <c r="H113" s="245"/>
      <c r="I113" s="245"/>
      <c r="J113" s="245"/>
      <c r="K113" s="245"/>
      <c r="L113" s="245"/>
      <c r="M113" s="245"/>
      <c r="N113" s="245"/>
      <c r="O113" s="245"/>
      <c r="P113" s="245"/>
      <c r="Q113" s="245"/>
      <c r="R113" s="245"/>
      <c r="S113" s="245"/>
      <c r="T113" s="245"/>
      <c r="U113" s="245"/>
      <c r="V113" s="245"/>
      <c r="W113" s="245"/>
      <c r="X113" s="245"/>
      <c r="Y113" s="245"/>
      <c r="Z113" s="245"/>
      <c r="AA113" s="245"/>
      <c r="AB113" s="245"/>
      <c r="AC113" s="245"/>
      <c r="AD113" s="245"/>
      <c r="AE113" s="245"/>
      <c r="AF113" s="245"/>
      <c r="AG113" s="245"/>
      <c r="AH113" s="245"/>
      <c r="AI113" s="245"/>
      <c r="AJ113" s="245"/>
      <c r="AK113" s="245"/>
      <c r="AL113" s="245"/>
      <c r="AM113" s="245"/>
      <c r="AN113" s="245"/>
      <c r="AO113" s="245"/>
      <c r="AP113" s="245"/>
      <c r="AQ113" s="245"/>
      <c r="AR113" s="245"/>
      <c r="AS113" s="245"/>
      <c r="AT113" s="245"/>
      <c r="AU113" s="245"/>
      <c r="AV113" s="245"/>
      <c r="AW113" s="245"/>
      <c r="AX113" s="245"/>
      <c r="AY113" s="245"/>
      <c r="AZ113" s="245"/>
      <c r="BA113" s="245"/>
      <c r="BB113" s="245"/>
      <c r="BC113" s="245"/>
      <c r="BD113" s="245"/>
      <c r="BE113" s="245"/>
      <c r="BF113" s="245"/>
      <c r="BG113" s="245"/>
      <c r="BH113" s="246"/>
      <c r="BI113" s="245"/>
      <c r="BJ113" s="245"/>
      <c r="BK113" s="227"/>
      <c r="BL113" s="245"/>
      <c r="BM113" s="245"/>
      <c r="BN113" s="245"/>
      <c r="BO113" s="245"/>
      <c r="BP113" s="246"/>
      <c r="BQ113" s="245"/>
      <c r="BR113" s="245"/>
      <c r="BS113" s="227"/>
      <c r="BT113" s="246"/>
      <c r="BU113" s="245"/>
      <c r="BV113" s="599"/>
      <c r="BW113" s="636"/>
      <c r="BX113" s="521"/>
      <c r="BY113" s="635"/>
      <c r="BZ113" s="635"/>
      <c r="CA113" s="636"/>
      <c r="CB113" s="521"/>
      <c r="CC113" s="635"/>
      <c r="CD113" s="635"/>
      <c r="CE113" s="636"/>
      <c r="CF113" s="521"/>
      <c r="CG113" s="635">
        <v>1000</v>
      </c>
      <c r="CH113" s="635">
        <v>1000</v>
      </c>
      <c r="CI113" s="605">
        <v>1000</v>
      </c>
      <c r="CJ113" s="521">
        <v>1000</v>
      </c>
      <c r="CK113" s="635">
        <v>1000</v>
      </c>
      <c r="CL113" s="635">
        <v>1000</v>
      </c>
      <c r="CM113" s="605">
        <v>1000</v>
      </c>
      <c r="CN113" s="635">
        <v>1000</v>
      </c>
      <c r="CO113" s="1277">
        <v>1000</v>
      </c>
      <c r="CP113" s="635">
        <v>1000</v>
      </c>
      <c r="CQ113" s="605">
        <v>1000</v>
      </c>
      <c r="CR113" s="635">
        <v>1000</v>
      </c>
      <c r="CS113" s="635">
        <v>1000</v>
      </c>
      <c r="CT113" s="635">
        <v>1000</v>
      </c>
      <c r="CU113" s="605">
        <v>1000</v>
      </c>
      <c r="CV113" s="1277">
        <v>1000</v>
      </c>
      <c r="CW113" s="1277">
        <v>1000</v>
      </c>
      <c r="CX113" s="1277">
        <v>1000</v>
      </c>
      <c r="CY113" s="605">
        <v>1000</v>
      </c>
      <c r="CZ113" s="1277">
        <v>1000</v>
      </c>
      <c r="DA113" s="1277">
        <v>1000</v>
      </c>
      <c r="DB113" s="1277">
        <v>1000</v>
      </c>
      <c r="DC113" s="605">
        <v>1000</v>
      </c>
      <c r="DD113" s="23"/>
      <c r="DE113" s="246"/>
      <c r="DF113" s="245"/>
      <c r="DG113" s="245"/>
      <c r="DH113" s="245"/>
      <c r="DI113" s="245"/>
      <c r="DJ113" s="245"/>
      <c r="DK113" s="245"/>
      <c r="DL113" s="245"/>
      <c r="DM113" s="245"/>
      <c r="DN113" s="245"/>
      <c r="DO113" s="245"/>
      <c r="DP113" s="245"/>
      <c r="DQ113" s="245"/>
      <c r="DR113" s="245"/>
      <c r="DS113" s="245"/>
      <c r="DT113" s="635"/>
      <c r="DU113" s="245"/>
      <c r="DV113" s="245"/>
      <c r="DW113" s="245"/>
      <c r="DX113" s="245"/>
      <c r="DY113" s="245"/>
      <c r="DZ113" s="245">
        <f t="shared" ref="DZ113:DZ118" si="643">+CM113</f>
        <v>1000</v>
      </c>
      <c r="EA113" s="635">
        <f t="shared" ref="EA113:EA118" si="644">CQ113</f>
        <v>1000</v>
      </c>
      <c r="EB113" s="1277">
        <f t="shared" ref="EB113:EB118" si="645">CU113</f>
        <v>1000</v>
      </c>
      <c r="EC113" s="1277">
        <f t="shared" ref="EC113:EC118" si="646">CY113</f>
        <v>1000</v>
      </c>
      <c r="ED113" s="605">
        <f t="shared" ref="ED113:ED118" si="647">DC113</f>
        <v>1000</v>
      </c>
      <c r="EE113" s="246"/>
      <c r="EF113" s="226"/>
      <c r="EG113" s="226"/>
      <c r="EH113" s="226"/>
      <c r="EI113" s="226"/>
      <c r="EJ113" s="226"/>
      <c r="EK113" s="226"/>
      <c r="EL113" s="226"/>
      <c r="EM113" s="226"/>
      <c r="EN113" s="226"/>
      <c r="EO113" s="226"/>
      <c r="EP113" s="226"/>
      <c r="EQ113" s="226"/>
      <c r="ER113" s="226"/>
      <c r="ES113" s="226"/>
      <c r="ET113" s="226"/>
      <c r="EU113" s="226"/>
      <c r="EV113" s="226"/>
      <c r="EW113" s="226"/>
      <c r="EX113" s="226"/>
      <c r="EY113" s="226"/>
      <c r="EZ113" s="1251"/>
      <c r="FA113" s="1251"/>
      <c r="FB113" s="1251"/>
      <c r="FC113" s="1251"/>
      <c r="FD113" s="1251"/>
      <c r="FE113" s="245"/>
      <c r="FF113" s="245"/>
      <c r="FG113" s="245"/>
      <c r="FH113" s="245"/>
      <c r="FI113"/>
      <c r="FJ113"/>
      <c r="FK113"/>
      <c r="FL113"/>
      <c r="FM113"/>
      <c r="FN113"/>
      <c r="FO113" s="226"/>
    </row>
    <row r="114" spans="1:171" s="637" customFormat="1" ht="14.25" hidden="1" customHeight="1" outlineLevel="1">
      <c r="A114" s="226"/>
      <c r="B114" s="634" t="s">
        <v>542</v>
      </c>
      <c r="C114" s="245"/>
      <c r="D114" s="245"/>
      <c r="E114" s="245"/>
      <c r="F114" s="245"/>
      <c r="G114" s="245"/>
      <c r="H114" s="245"/>
      <c r="I114" s="245"/>
      <c r="J114" s="245"/>
      <c r="K114" s="245"/>
      <c r="L114" s="245"/>
      <c r="M114" s="245"/>
      <c r="N114" s="245"/>
      <c r="O114" s="245"/>
      <c r="P114" s="245"/>
      <c r="Q114" s="245"/>
      <c r="R114" s="245"/>
      <c r="S114" s="245"/>
      <c r="T114" s="245"/>
      <c r="U114" s="245"/>
      <c r="V114" s="245"/>
      <c r="W114" s="245"/>
      <c r="X114" s="245"/>
      <c r="Y114" s="245"/>
      <c r="Z114" s="245"/>
      <c r="AA114" s="245"/>
      <c r="AB114" s="245"/>
      <c r="AC114" s="245"/>
      <c r="AD114" s="245"/>
      <c r="AE114" s="245"/>
      <c r="AF114" s="245"/>
      <c r="AG114" s="245"/>
      <c r="AH114" s="245"/>
      <c r="AI114" s="245"/>
      <c r="AJ114" s="245"/>
      <c r="AK114" s="245"/>
      <c r="AL114" s="245"/>
      <c r="AM114" s="245"/>
      <c r="AN114" s="245"/>
      <c r="AO114" s="245"/>
      <c r="AP114" s="245"/>
      <c r="AQ114" s="245"/>
      <c r="AR114" s="245"/>
      <c r="AS114" s="245"/>
      <c r="AT114" s="245"/>
      <c r="AU114" s="245"/>
      <c r="AV114" s="245"/>
      <c r="AW114" s="245"/>
      <c r="AX114" s="245"/>
      <c r="AY114" s="245"/>
      <c r="AZ114" s="245"/>
      <c r="BA114" s="245"/>
      <c r="BB114" s="245"/>
      <c r="BC114" s="245"/>
      <c r="BD114" s="245"/>
      <c r="BE114" s="245"/>
      <c r="BF114" s="245"/>
      <c r="BG114" s="245"/>
      <c r="BH114" s="246"/>
      <c r="BI114" s="245"/>
      <c r="BJ114" s="245"/>
      <c r="BK114" s="227"/>
      <c r="BL114" s="245"/>
      <c r="BM114" s="245"/>
      <c r="BN114" s="245"/>
      <c r="BO114" s="245"/>
      <c r="BP114" s="246"/>
      <c r="BQ114" s="245"/>
      <c r="BR114" s="245"/>
      <c r="BS114" s="227"/>
      <c r="BT114" s="246"/>
      <c r="BU114" s="245"/>
      <c r="BV114" s="599"/>
      <c r="BW114" s="636"/>
      <c r="BX114" s="521"/>
      <c r="BY114" s="635"/>
      <c r="BZ114" s="635"/>
      <c r="CA114" s="636"/>
      <c r="CB114" s="521"/>
      <c r="CC114" s="635"/>
      <c r="CD114" s="635"/>
      <c r="CE114" s="636"/>
      <c r="CF114" s="521"/>
      <c r="CG114" s="635"/>
      <c r="CH114" s="635">
        <v>550</v>
      </c>
      <c r="CI114" s="605">
        <v>550</v>
      </c>
      <c r="CJ114" s="521">
        <v>550</v>
      </c>
      <c r="CK114" s="635">
        <v>550</v>
      </c>
      <c r="CL114" s="635">
        <v>550</v>
      </c>
      <c r="CM114" s="605">
        <v>550</v>
      </c>
      <c r="CN114" s="635">
        <v>550</v>
      </c>
      <c r="CO114" s="1277">
        <v>550</v>
      </c>
      <c r="CP114" s="635">
        <v>550</v>
      </c>
      <c r="CQ114" s="605">
        <v>550</v>
      </c>
      <c r="CR114" s="635">
        <v>550</v>
      </c>
      <c r="CS114" s="635">
        <v>550</v>
      </c>
      <c r="CT114" s="635">
        <v>550</v>
      </c>
      <c r="CU114" s="605">
        <v>550</v>
      </c>
      <c r="CV114" s="1277">
        <v>550</v>
      </c>
      <c r="CW114" s="1277">
        <v>550</v>
      </c>
      <c r="CX114" s="1277">
        <v>550</v>
      </c>
      <c r="CY114" s="605">
        <v>550</v>
      </c>
      <c r="CZ114" s="1277">
        <v>550</v>
      </c>
      <c r="DA114" s="1277">
        <v>550</v>
      </c>
      <c r="DB114" s="1277">
        <v>550</v>
      </c>
      <c r="DC114" s="605">
        <v>550</v>
      </c>
      <c r="DD114" s="23"/>
      <c r="DE114" s="246"/>
      <c r="DF114" s="245"/>
      <c r="DG114" s="245"/>
      <c r="DH114" s="245"/>
      <c r="DI114" s="245"/>
      <c r="DJ114" s="245"/>
      <c r="DK114" s="245"/>
      <c r="DL114" s="245"/>
      <c r="DM114" s="245"/>
      <c r="DN114" s="245"/>
      <c r="DO114" s="245"/>
      <c r="DP114" s="245"/>
      <c r="DQ114" s="245"/>
      <c r="DR114" s="245"/>
      <c r="DS114" s="245"/>
      <c r="DT114" s="635"/>
      <c r="DU114" s="245"/>
      <c r="DV114" s="245"/>
      <c r="DW114" s="245"/>
      <c r="DX114" s="245"/>
      <c r="DY114" s="245"/>
      <c r="DZ114" s="245">
        <f t="shared" si="643"/>
        <v>550</v>
      </c>
      <c r="EA114" s="635">
        <f t="shared" si="644"/>
        <v>550</v>
      </c>
      <c r="EB114" s="1277">
        <f t="shared" si="645"/>
        <v>550</v>
      </c>
      <c r="EC114" s="1277">
        <f t="shared" si="646"/>
        <v>550</v>
      </c>
      <c r="ED114" s="605">
        <f t="shared" si="647"/>
        <v>550</v>
      </c>
      <c r="EE114" s="246"/>
      <c r="EF114" s="226"/>
      <c r="EG114" s="226"/>
      <c r="EH114" s="226"/>
      <c r="EI114" s="226"/>
      <c r="EJ114" s="226"/>
      <c r="EK114" s="226"/>
      <c r="EL114" s="226"/>
      <c r="EM114" s="226"/>
      <c r="EN114" s="226"/>
      <c r="EO114" s="226"/>
      <c r="EP114" s="226"/>
      <c r="EQ114" s="226"/>
      <c r="ER114" s="226"/>
      <c r="ES114" s="226"/>
      <c r="ET114" s="226"/>
      <c r="EU114" s="226"/>
      <c r="EV114" s="226"/>
      <c r="EW114" s="226"/>
      <c r="EX114" s="226"/>
      <c r="EY114" s="226"/>
      <c r="EZ114" s="1251"/>
      <c r="FA114" s="1251"/>
      <c r="FB114" s="1251"/>
      <c r="FC114" s="1251"/>
      <c r="FD114" s="1251"/>
      <c r="FE114" s="245"/>
      <c r="FF114" s="245"/>
      <c r="FG114" s="245"/>
      <c r="FH114" s="245"/>
      <c r="FI114"/>
      <c r="FJ114"/>
      <c r="FK114"/>
      <c r="FL114"/>
      <c r="FM114"/>
      <c r="FN114"/>
      <c r="FO114" s="226"/>
    </row>
    <row r="115" spans="1:171" s="637" customFormat="1" ht="14.25" hidden="1" customHeight="1" outlineLevel="1">
      <c r="A115" s="226"/>
      <c r="B115" s="634" t="s">
        <v>543</v>
      </c>
      <c r="C115" s="245"/>
      <c r="D115" s="245"/>
      <c r="E115" s="245"/>
      <c r="F115" s="245"/>
      <c r="G115" s="245"/>
      <c r="H115" s="245"/>
      <c r="I115" s="245"/>
      <c r="J115" s="245"/>
      <c r="K115" s="245"/>
      <c r="L115" s="245"/>
      <c r="M115" s="245"/>
      <c r="N115" s="245"/>
      <c r="O115" s="245"/>
      <c r="P115" s="245"/>
      <c r="Q115" s="245"/>
      <c r="R115" s="245"/>
      <c r="S115" s="245"/>
      <c r="T115" s="245"/>
      <c r="U115" s="245"/>
      <c r="V115" s="245"/>
      <c r="W115" s="245"/>
      <c r="X115" s="245"/>
      <c r="Y115" s="245"/>
      <c r="Z115" s="245"/>
      <c r="AA115" s="245"/>
      <c r="AB115" s="245"/>
      <c r="AC115" s="245"/>
      <c r="AD115" s="245"/>
      <c r="AE115" s="245"/>
      <c r="AF115" s="245"/>
      <c r="AG115" s="245"/>
      <c r="AH115" s="245"/>
      <c r="AI115" s="245"/>
      <c r="AJ115" s="245"/>
      <c r="AK115" s="245"/>
      <c r="AL115" s="245"/>
      <c r="AM115" s="245"/>
      <c r="AN115" s="245"/>
      <c r="AO115" s="245"/>
      <c r="AP115" s="245"/>
      <c r="AQ115" s="245"/>
      <c r="AR115" s="245"/>
      <c r="AS115" s="245"/>
      <c r="AT115" s="245"/>
      <c r="AU115" s="245"/>
      <c r="AV115" s="245"/>
      <c r="AW115" s="245"/>
      <c r="AX115" s="245"/>
      <c r="AY115" s="245"/>
      <c r="AZ115" s="245"/>
      <c r="BA115" s="245"/>
      <c r="BB115" s="245"/>
      <c r="BC115" s="245"/>
      <c r="BD115" s="245"/>
      <c r="BE115" s="245"/>
      <c r="BF115" s="245"/>
      <c r="BG115" s="245"/>
      <c r="BH115" s="246"/>
      <c r="BI115" s="245"/>
      <c r="BJ115" s="245"/>
      <c r="BK115" s="227"/>
      <c r="BL115" s="245"/>
      <c r="BM115" s="245"/>
      <c r="BN115" s="245"/>
      <c r="BO115" s="245"/>
      <c r="BP115" s="246"/>
      <c r="BQ115" s="245"/>
      <c r="BR115" s="245"/>
      <c r="BS115" s="227"/>
      <c r="BT115" s="246"/>
      <c r="BU115" s="245"/>
      <c r="BV115" s="599"/>
      <c r="BW115" s="636"/>
      <c r="BX115" s="521"/>
      <c r="BY115" s="635"/>
      <c r="BZ115" s="635"/>
      <c r="CA115" s="636"/>
      <c r="CB115" s="521"/>
      <c r="CC115" s="635"/>
      <c r="CD115" s="635"/>
      <c r="CE115" s="636"/>
      <c r="CF115" s="521"/>
      <c r="CG115" s="635"/>
      <c r="CH115" s="635">
        <v>450</v>
      </c>
      <c r="CI115" s="605">
        <v>450</v>
      </c>
      <c r="CJ115" s="521">
        <v>450</v>
      </c>
      <c r="CK115" s="635">
        <v>450</v>
      </c>
      <c r="CL115" s="635">
        <v>450</v>
      </c>
      <c r="CM115" s="605">
        <v>450</v>
      </c>
      <c r="CN115" s="635">
        <v>450</v>
      </c>
      <c r="CO115" s="1277">
        <v>450</v>
      </c>
      <c r="CP115" s="635">
        <v>450</v>
      </c>
      <c r="CQ115" s="605">
        <v>450</v>
      </c>
      <c r="CR115" s="635">
        <v>450</v>
      </c>
      <c r="CS115" s="635">
        <v>450</v>
      </c>
      <c r="CT115" s="635">
        <v>450</v>
      </c>
      <c r="CU115" s="605">
        <v>450</v>
      </c>
      <c r="CV115" s="1277">
        <v>450</v>
      </c>
      <c r="CW115" s="1277">
        <v>450</v>
      </c>
      <c r="CX115" s="1277">
        <v>450</v>
      </c>
      <c r="CY115" s="605">
        <v>450</v>
      </c>
      <c r="CZ115" s="1277">
        <v>450</v>
      </c>
      <c r="DA115" s="1277">
        <v>450</v>
      </c>
      <c r="DB115" s="1277">
        <v>450</v>
      </c>
      <c r="DC115" s="605">
        <v>450</v>
      </c>
      <c r="DD115" s="23"/>
      <c r="DE115" s="246"/>
      <c r="DF115" s="245"/>
      <c r="DG115" s="245"/>
      <c r="DH115" s="245"/>
      <c r="DI115" s="245"/>
      <c r="DJ115" s="245"/>
      <c r="DK115" s="245"/>
      <c r="DL115" s="245"/>
      <c r="DM115" s="245"/>
      <c r="DN115" s="245"/>
      <c r="DO115" s="245"/>
      <c r="DP115" s="245"/>
      <c r="DQ115" s="245"/>
      <c r="DR115" s="245"/>
      <c r="DS115" s="245"/>
      <c r="DT115" s="635"/>
      <c r="DU115" s="245"/>
      <c r="DV115" s="245"/>
      <c r="DW115" s="245"/>
      <c r="DX115" s="245"/>
      <c r="DY115" s="245"/>
      <c r="DZ115" s="245">
        <f t="shared" si="643"/>
        <v>450</v>
      </c>
      <c r="EA115" s="635">
        <f t="shared" si="644"/>
        <v>450</v>
      </c>
      <c r="EB115" s="1277">
        <f t="shared" si="645"/>
        <v>450</v>
      </c>
      <c r="EC115" s="1277">
        <f t="shared" si="646"/>
        <v>450</v>
      </c>
      <c r="ED115" s="605">
        <f t="shared" si="647"/>
        <v>450</v>
      </c>
      <c r="EE115" s="246"/>
      <c r="EF115" s="226"/>
      <c r="EG115" s="226"/>
      <c r="EH115" s="226"/>
      <c r="EI115" s="226"/>
      <c r="EJ115" s="226"/>
      <c r="EK115" s="226"/>
      <c r="EL115" s="226"/>
      <c r="EM115" s="226"/>
      <c r="EN115" s="226"/>
      <c r="EO115" s="226"/>
      <c r="EP115" s="226"/>
      <c r="EQ115" s="226"/>
      <c r="ER115" s="226"/>
      <c r="ES115" s="226"/>
      <c r="ET115" s="226"/>
      <c r="EU115" s="226"/>
      <c r="EV115" s="226"/>
      <c r="EW115" s="226"/>
      <c r="EX115" s="226"/>
      <c r="EY115" s="226"/>
      <c r="EZ115" s="1251"/>
      <c r="FA115" s="1251"/>
      <c r="FB115" s="1251"/>
      <c r="FC115" s="1251"/>
      <c r="FD115" s="1251"/>
      <c r="FE115" s="245"/>
      <c r="FF115" s="245"/>
      <c r="FG115" s="245"/>
      <c r="FH115" s="245"/>
      <c r="FI115"/>
      <c r="FJ115"/>
      <c r="FK115"/>
      <c r="FL115"/>
      <c r="FM115"/>
      <c r="FN115"/>
      <c r="FO115" s="226"/>
    </row>
    <row r="116" spans="1:171" s="637" customFormat="1" ht="14.25" hidden="1" customHeight="1" outlineLevel="1">
      <c r="A116" s="226"/>
      <c r="B116" s="634" t="s">
        <v>564</v>
      </c>
      <c r="C116" s="245"/>
      <c r="D116" s="245"/>
      <c r="E116" s="245"/>
      <c r="F116" s="245"/>
      <c r="G116" s="245"/>
      <c r="H116" s="245"/>
      <c r="I116" s="245"/>
      <c r="J116" s="245"/>
      <c r="K116" s="245"/>
      <c r="L116" s="245"/>
      <c r="M116" s="245"/>
      <c r="N116" s="245"/>
      <c r="O116" s="245"/>
      <c r="P116" s="245"/>
      <c r="Q116" s="245"/>
      <c r="R116" s="245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45"/>
      <c r="AG116" s="245"/>
      <c r="AH116" s="245"/>
      <c r="AI116" s="245"/>
      <c r="AJ116" s="245"/>
      <c r="AK116" s="245"/>
      <c r="AL116" s="245"/>
      <c r="AM116" s="245"/>
      <c r="AN116" s="245"/>
      <c r="AO116" s="245"/>
      <c r="AP116" s="245"/>
      <c r="AQ116" s="245"/>
      <c r="AR116" s="245"/>
      <c r="AS116" s="245"/>
      <c r="AT116" s="245"/>
      <c r="AU116" s="245"/>
      <c r="AV116" s="245"/>
      <c r="AW116" s="245"/>
      <c r="AX116" s="245"/>
      <c r="AY116" s="245"/>
      <c r="AZ116" s="245"/>
      <c r="BA116" s="245"/>
      <c r="BB116" s="245"/>
      <c r="BC116" s="245"/>
      <c r="BD116" s="245"/>
      <c r="BE116" s="245"/>
      <c r="BF116" s="245"/>
      <c r="BG116" s="245"/>
      <c r="BH116" s="246"/>
      <c r="BI116" s="245"/>
      <c r="BJ116" s="245"/>
      <c r="BK116" s="227"/>
      <c r="BL116" s="245"/>
      <c r="BM116" s="245"/>
      <c r="BN116" s="245"/>
      <c r="BO116" s="245"/>
      <c r="BP116" s="246"/>
      <c r="BQ116" s="245"/>
      <c r="BR116" s="245"/>
      <c r="BS116" s="227"/>
      <c r="BT116" s="246"/>
      <c r="BU116" s="245"/>
      <c r="BV116" s="599"/>
      <c r="BW116" s="636"/>
      <c r="BX116" s="521"/>
      <c r="BY116" s="635"/>
      <c r="BZ116" s="635"/>
      <c r="CA116" s="636"/>
      <c r="CB116" s="521"/>
      <c r="CC116" s="635"/>
      <c r="CD116" s="635"/>
      <c r="CE116" s="636"/>
      <c r="CF116" s="521"/>
      <c r="CG116" s="635"/>
      <c r="CH116" s="635"/>
      <c r="CI116" s="605"/>
      <c r="CJ116" s="521"/>
      <c r="CK116" s="635"/>
      <c r="CL116" s="635">
        <v>1250</v>
      </c>
      <c r="CM116" s="605"/>
      <c r="CN116" s="635">
        <f t="shared" ref="CN116:CQ117" si="648">CM116</f>
        <v>0</v>
      </c>
      <c r="CO116" s="1277">
        <f t="shared" si="648"/>
        <v>0</v>
      </c>
      <c r="CP116" s="635">
        <f t="shared" si="648"/>
        <v>0</v>
      </c>
      <c r="CQ116" s="605">
        <f t="shared" si="648"/>
        <v>0</v>
      </c>
      <c r="CR116" s="635">
        <f t="shared" ref="CR116:CR117" si="649">CQ116</f>
        <v>0</v>
      </c>
      <c r="CS116" s="635">
        <f t="shared" ref="CS116:CS117" si="650">CR116</f>
        <v>0</v>
      </c>
      <c r="CT116" s="635">
        <f t="shared" ref="CT116:CT117" si="651">CS116</f>
        <v>0</v>
      </c>
      <c r="CU116" s="605">
        <f t="shared" ref="CU116:CU117" si="652">CT116</f>
        <v>0</v>
      </c>
      <c r="CV116" s="1277">
        <f t="shared" ref="CV116:CV117" si="653">CU116</f>
        <v>0</v>
      </c>
      <c r="CW116" s="1277">
        <f t="shared" ref="CW116:CW117" si="654">CV116</f>
        <v>0</v>
      </c>
      <c r="CX116" s="1277">
        <f t="shared" ref="CX116:CX117" si="655">CW116</f>
        <v>0</v>
      </c>
      <c r="CY116" s="605">
        <f t="shared" ref="CY116:CY117" si="656">CX116</f>
        <v>0</v>
      </c>
      <c r="CZ116" s="1277">
        <f t="shared" ref="CZ116:CZ117" si="657">CY116</f>
        <v>0</v>
      </c>
      <c r="DA116" s="1277">
        <f t="shared" ref="DA116:DA117" si="658">CZ116</f>
        <v>0</v>
      </c>
      <c r="DB116" s="1277">
        <f t="shared" ref="DB116:DB117" si="659">DA116</f>
        <v>0</v>
      </c>
      <c r="DC116" s="605">
        <f t="shared" ref="DC116:DC117" si="660">DB116</f>
        <v>0</v>
      </c>
      <c r="DD116" s="23"/>
      <c r="DE116" s="246"/>
      <c r="DF116" s="245"/>
      <c r="DG116" s="245"/>
      <c r="DH116" s="245"/>
      <c r="DI116" s="245"/>
      <c r="DJ116" s="245"/>
      <c r="DK116" s="245"/>
      <c r="DL116" s="245"/>
      <c r="DM116" s="245"/>
      <c r="DN116" s="245"/>
      <c r="DO116" s="245"/>
      <c r="DP116" s="245"/>
      <c r="DQ116" s="245"/>
      <c r="DR116" s="245"/>
      <c r="DS116" s="245"/>
      <c r="DT116" s="635"/>
      <c r="DU116" s="245"/>
      <c r="DV116" s="245"/>
      <c r="DW116" s="245"/>
      <c r="DX116" s="245"/>
      <c r="DY116" s="245"/>
      <c r="DZ116" s="245">
        <f t="shared" si="643"/>
        <v>0</v>
      </c>
      <c r="EA116" s="275">
        <f t="shared" si="644"/>
        <v>0</v>
      </c>
      <c r="EB116" s="1259">
        <f t="shared" si="645"/>
        <v>0</v>
      </c>
      <c r="EC116" s="1259">
        <f t="shared" si="646"/>
        <v>0</v>
      </c>
      <c r="ED116" s="472">
        <f t="shared" si="647"/>
        <v>0</v>
      </c>
      <c r="EE116" s="246"/>
      <c r="EF116" s="226"/>
      <c r="EG116" s="226"/>
      <c r="EH116" s="226"/>
      <c r="EI116" s="226"/>
      <c r="EJ116" s="226"/>
      <c r="EK116" s="226"/>
      <c r="EL116" s="226"/>
      <c r="EM116" s="226"/>
      <c r="EN116" s="226"/>
      <c r="EO116" s="226"/>
      <c r="EP116" s="226"/>
      <c r="EQ116" s="226"/>
      <c r="ER116" s="226"/>
      <c r="ES116" s="226"/>
      <c r="ET116" s="226"/>
      <c r="EU116" s="226"/>
      <c r="EV116" s="226"/>
      <c r="EW116" s="226"/>
      <c r="EX116" s="226"/>
      <c r="EY116" s="226"/>
      <c r="EZ116" s="1251"/>
      <c r="FA116" s="1251"/>
      <c r="FB116" s="1251"/>
      <c r="FC116" s="1251"/>
      <c r="FD116" s="1251"/>
      <c r="FE116" s="245"/>
      <c r="FF116" s="245"/>
      <c r="FG116" s="245"/>
      <c r="FH116" s="245"/>
      <c r="FI116"/>
      <c r="FJ116"/>
      <c r="FK116"/>
      <c r="FL116"/>
      <c r="FM116"/>
      <c r="FN116"/>
      <c r="FO116" s="226"/>
    </row>
    <row r="117" spans="1:171" s="637" customFormat="1" ht="14.25" hidden="1" customHeight="1" outlineLevel="1">
      <c r="A117" s="226"/>
      <c r="B117" s="634" t="s">
        <v>565</v>
      </c>
      <c r="C117" s="245"/>
      <c r="D117" s="245"/>
      <c r="E117" s="245"/>
      <c r="F117" s="245"/>
      <c r="G117" s="245"/>
      <c r="H117" s="245"/>
      <c r="I117" s="245"/>
      <c r="J117" s="245"/>
      <c r="K117" s="245"/>
      <c r="L117" s="245"/>
      <c r="M117" s="245"/>
      <c r="N117" s="245"/>
      <c r="O117" s="245"/>
      <c r="P117" s="245"/>
      <c r="Q117" s="245"/>
      <c r="R117" s="245"/>
      <c r="S117" s="245"/>
      <c r="T117" s="245"/>
      <c r="U117" s="245"/>
      <c r="V117" s="245"/>
      <c r="W117" s="245"/>
      <c r="X117" s="245"/>
      <c r="Y117" s="245"/>
      <c r="Z117" s="245"/>
      <c r="AA117" s="245"/>
      <c r="AB117" s="245"/>
      <c r="AC117" s="245"/>
      <c r="AD117" s="245"/>
      <c r="AE117" s="245"/>
      <c r="AF117" s="245"/>
      <c r="AG117" s="245"/>
      <c r="AH117" s="245"/>
      <c r="AI117" s="245"/>
      <c r="AJ117" s="245"/>
      <c r="AK117" s="245"/>
      <c r="AL117" s="245"/>
      <c r="AM117" s="245"/>
      <c r="AN117" s="245"/>
      <c r="AO117" s="245"/>
      <c r="AP117" s="245"/>
      <c r="AQ117" s="245"/>
      <c r="AR117" s="245"/>
      <c r="AS117" s="245"/>
      <c r="AT117" s="245"/>
      <c r="AU117" s="245"/>
      <c r="AV117" s="245"/>
      <c r="AW117" s="245"/>
      <c r="AX117" s="245"/>
      <c r="AY117" s="245"/>
      <c r="AZ117" s="245"/>
      <c r="BA117" s="245"/>
      <c r="BB117" s="245"/>
      <c r="BC117" s="245"/>
      <c r="BD117" s="245"/>
      <c r="BE117" s="245"/>
      <c r="BF117" s="245"/>
      <c r="BG117" s="245"/>
      <c r="BH117" s="246"/>
      <c r="BI117" s="245"/>
      <c r="BJ117" s="245"/>
      <c r="BK117" s="227"/>
      <c r="BL117" s="245"/>
      <c r="BM117" s="245"/>
      <c r="BN117" s="245"/>
      <c r="BO117" s="245"/>
      <c r="BP117" s="246"/>
      <c r="BQ117" s="245"/>
      <c r="BR117" s="245"/>
      <c r="BS117" s="227"/>
      <c r="BT117" s="246"/>
      <c r="BU117" s="245"/>
      <c r="BV117" s="599"/>
      <c r="BW117" s="636"/>
      <c r="BX117" s="521"/>
      <c r="BY117" s="635"/>
      <c r="BZ117" s="635"/>
      <c r="CA117" s="636"/>
      <c r="CB117" s="521"/>
      <c r="CC117" s="635"/>
      <c r="CD117" s="635"/>
      <c r="CE117" s="636"/>
      <c r="CF117" s="521"/>
      <c r="CG117" s="635"/>
      <c r="CH117" s="635"/>
      <c r="CI117" s="605"/>
      <c r="CJ117" s="521"/>
      <c r="CK117" s="635"/>
      <c r="CL117" s="635">
        <v>750</v>
      </c>
      <c r="CM117" s="605"/>
      <c r="CN117" s="635">
        <f t="shared" si="648"/>
        <v>0</v>
      </c>
      <c r="CO117" s="1277">
        <f t="shared" si="648"/>
        <v>0</v>
      </c>
      <c r="CP117" s="635">
        <f t="shared" si="648"/>
        <v>0</v>
      </c>
      <c r="CQ117" s="605">
        <f t="shared" si="648"/>
        <v>0</v>
      </c>
      <c r="CR117" s="635">
        <f t="shared" si="649"/>
        <v>0</v>
      </c>
      <c r="CS117" s="635">
        <f t="shared" si="650"/>
        <v>0</v>
      </c>
      <c r="CT117" s="635">
        <f t="shared" si="651"/>
        <v>0</v>
      </c>
      <c r="CU117" s="605">
        <f t="shared" si="652"/>
        <v>0</v>
      </c>
      <c r="CV117" s="1277">
        <f t="shared" si="653"/>
        <v>0</v>
      </c>
      <c r="CW117" s="1277">
        <f t="shared" si="654"/>
        <v>0</v>
      </c>
      <c r="CX117" s="1277">
        <f t="shared" si="655"/>
        <v>0</v>
      </c>
      <c r="CY117" s="605">
        <f t="shared" si="656"/>
        <v>0</v>
      </c>
      <c r="CZ117" s="1277">
        <f t="shared" si="657"/>
        <v>0</v>
      </c>
      <c r="DA117" s="1277">
        <f t="shared" si="658"/>
        <v>0</v>
      </c>
      <c r="DB117" s="1277">
        <f t="shared" si="659"/>
        <v>0</v>
      </c>
      <c r="DC117" s="605">
        <f t="shared" si="660"/>
        <v>0</v>
      </c>
      <c r="DD117" s="23"/>
      <c r="DE117" s="246"/>
      <c r="DF117" s="245"/>
      <c r="DG117" s="245"/>
      <c r="DH117" s="245"/>
      <c r="DI117" s="245"/>
      <c r="DJ117" s="245"/>
      <c r="DK117" s="245"/>
      <c r="DL117" s="245"/>
      <c r="DM117" s="245"/>
      <c r="DN117" s="245"/>
      <c r="DO117" s="245"/>
      <c r="DP117" s="245"/>
      <c r="DQ117" s="245"/>
      <c r="DR117" s="245"/>
      <c r="DS117" s="245"/>
      <c r="DT117" s="635"/>
      <c r="DU117" s="245"/>
      <c r="DV117" s="245"/>
      <c r="DW117" s="245"/>
      <c r="DX117" s="245"/>
      <c r="DY117" s="245"/>
      <c r="DZ117" s="245">
        <f t="shared" si="643"/>
        <v>0</v>
      </c>
      <c r="EA117" s="275">
        <f t="shared" si="644"/>
        <v>0</v>
      </c>
      <c r="EB117" s="1259">
        <f t="shared" si="645"/>
        <v>0</v>
      </c>
      <c r="EC117" s="1259">
        <f t="shared" si="646"/>
        <v>0</v>
      </c>
      <c r="ED117" s="472">
        <f t="shared" si="647"/>
        <v>0</v>
      </c>
      <c r="EE117" s="246"/>
      <c r="EF117" s="226"/>
      <c r="EG117" s="226"/>
      <c r="EH117" s="226"/>
      <c r="EI117" s="226"/>
      <c r="EJ117" s="226"/>
      <c r="EK117" s="226"/>
      <c r="EL117" s="226"/>
      <c r="EM117" s="226"/>
      <c r="EN117" s="226"/>
      <c r="EO117" s="226"/>
      <c r="EP117" s="226"/>
      <c r="EQ117" s="226"/>
      <c r="ER117" s="226"/>
      <c r="ES117" s="226"/>
      <c r="ET117" s="226"/>
      <c r="EU117" s="226"/>
      <c r="EV117" s="226"/>
      <c r="EW117" s="226"/>
      <c r="EX117" s="226"/>
      <c r="EY117" s="226"/>
      <c r="EZ117" s="1251"/>
      <c r="FA117" s="1251"/>
      <c r="FB117" s="1251"/>
      <c r="FC117" s="1251"/>
      <c r="FD117" s="1251"/>
      <c r="FE117" s="245"/>
      <c r="FF117" s="245"/>
      <c r="FG117" s="245"/>
      <c r="FH117" s="245"/>
      <c r="FI117"/>
      <c r="FJ117"/>
      <c r="FK117"/>
      <c r="FL117"/>
      <c r="FM117"/>
      <c r="FN117"/>
      <c r="FO117" s="226"/>
    </row>
    <row r="118" spans="1:171" s="644" customFormat="1" ht="14.25" hidden="1" customHeight="1" outlineLevel="1">
      <c r="A118" s="638"/>
      <c r="B118" s="639" t="s">
        <v>243</v>
      </c>
      <c r="C118" s="532"/>
      <c r="D118" s="532"/>
      <c r="E118" s="532"/>
      <c r="F118" s="532"/>
      <c r="G118" s="532"/>
      <c r="H118" s="532"/>
      <c r="I118" s="532"/>
      <c r="J118" s="532"/>
      <c r="K118" s="532"/>
      <c r="L118" s="532"/>
      <c r="M118" s="532"/>
      <c r="N118" s="532"/>
      <c r="O118" s="532"/>
      <c r="P118" s="532"/>
      <c r="Q118" s="532"/>
      <c r="R118" s="532"/>
      <c r="S118" s="532"/>
      <c r="T118" s="532"/>
      <c r="U118" s="532"/>
      <c r="V118" s="532"/>
      <c r="W118" s="532"/>
      <c r="X118" s="532"/>
      <c r="Y118" s="532"/>
      <c r="Z118" s="532"/>
      <c r="AA118" s="532"/>
      <c r="AB118" s="532"/>
      <c r="AC118" s="532"/>
      <c r="AD118" s="532"/>
      <c r="AE118" s="532"/>
      <c r="AF118" s="532"/>
      <c r="AG118" s="532"/>
      <c r="AH118" s="532"/>
      <c r="AI118" s="532"/>
      <c r="AJ118" s="532"/>
      <c r="AK118" s="532"/>
      <c r="AL118" s="532"/>
      <c r="AM118" s="532"/>
      <c r="AN118" s="532"/>
      <c r="AO118" s="532"/>
      <c r="AP118" s="532"/>
      <c r="AQ118" s="532"/>
      <c r="AR118" s="532"/>
      <c r="AS118" s="532"/>
      <c r="AT118" s="532"/>
      <c r="AU118" s="532"/>
      <c r="AV118" s="532"/>
      <c r="AW118" s="532"/>
      <c r="AX118" s="532"/>
      <c r="AY118" s="532"/>
      <c r="AZ118" s="532"/>
      <c r="BA118" s="532"/>
      <c r="BB118" s="532"/>
      <c r="BC118" s="532"/>
      <c r="BD118" s="532"/>
      <c r="BE118" s="532"/>
      <c r="BF118" s="532"/>
      <c r="BG118" s="532"/>
      <c r="BH118" s="526"/>
      <c r="BI118" s="532"/>
      <c r="BJ118" s="532"/>
      <c r="BK118" s="533"/>
      <c r="BL118" s="532"/>
      <c r="BM118" s="532"/>
      <c r="BN118" s="532"/>
      <c r="BO118" s="532"/>
      <c r="BP118" s="526"/>
      <c r="BQ118" s="532"/>
      <c r="BR118" s="532"/>
      <c r="BS118" s="533"/>
      <c r="BT118" s="526"/>
      <c r="BU118" s="532"/>
      <c r="BV118" s="640"/>
      <c r="BW118" s="641"/>
      <c r="BX118" s="522">
        <v>0</v>
      </c>
      <c r="BY118" s="642">
        <v>0</v>
      </c>
      <c r="BZ118" s="642">
        <v>0</v>
      </c>
      <c r="CA118" s="641">
        <v>0</v>
      </c>
      <c r="CB118" s="522">
        <v>0</v>
      </c>
      <c r="CC118" s="642">
        <v>0</v>
      </c>
      <c r="CD118" s="642">
        <v>0</v>
      </c>
      <c r="CE118" s="641">
        <v>950</v>
      </c>
      <c r="CF118" s="522">
        <f>+CE118</f>
        <v>950</v>
      </c>
      <c r="CG118" s="642">
        <f>+CF118</f>
        <v>950</v>
      </c>
      <c r="CH118" s="642">
        <v>0</v>
      </c>
      <c r="CI118" s="643">
        <f>+CH118</f>
        <v>0</v>
      </c>
      <c r="CJ118" s="522">
        <f t="shared" si="612"/>
        <v>0</v>
      </c>
      <c r="CK118" s="642">
        <f t="shared" si="613"/>
        <v>0</v>
      </c>
      <c r="CL118" s="642">
        <f t="shared" si="614"/>
        <v>0</v>
      </c>
      <c r="CM118" s="643">
        <f>+CL118</f>
        <v>0</v>
      </c>
      <c r="CN118" s="642">
        <f t="shared" ref="CN118:CO118" si="661">+CM118</f>
        <v>0</v>
      </c>
      <c r="CO118" s="1276">
        <f t="shared" si="661"/>
        <v>0</v>
      </c>
      <c r="CP118" s="642">
        <f t="shared" ref="CP118" si="662">+CO118</f>
        <v>0</v>
      </c>
      <c r="CQ118" s="643">
        <f t="shared" ref="CQ118" si="663">+CP118</f>
        <v>0</v>
      </c>
      <c r="CR118" s="642">
        <f t="shared" ref="CR118" si="664">+CQ118</f>
        <v>0</v>
      </c>
      <c r="CS118" s="642">
        <f t="shared" ref="CS118" si="665">+CR118</f>
        <v>0</v>
      </c>
      <c r="CT118" s="642">
        <f t="shared" ref="CT118" si="666">+CS118</f>
        <v>0</v>
      </c>
      <c r="CU118" s="643">
        <f t="shared" ref="CU118" si="667">+CT118</f>
        <v>0</v>
      </c>
      <c r="CV118" s="1276">
        <f t="shared" ref="CV118" si="668">+CU118</f>
        <v>0</v>
      </c>
      <c r="CW118" s="1276">
        <f t="shared" ref="CW118" si="669">+CV118</f>
        <v>0</v>
      </c>
      <c r="CX118" s="1276">
        <f t="shared" ref="CX118" si="670">+CW118</f>
        <v>0</v>
      </c>
      <c r="CY118" s="643">
        <f t="shared" ref="CY118" si="671">+CX118</f>
        <v>0</v>
      </c>
      <c r="CZ118" s="1276">
        <f t="shared" ref="CZ118" si="672">+CY118</f>
        <v>0</v>
      </c>
      <c r="DA118" s="1276">
        <f t="shared" ref="DA118" si="673">+CZ118</f>
        <v>0</v>
      </c>
      <c r="DB118" s="1276">
        <f t="shared" ref="DB118" si="674">+DA118</f>
        <v>0</v>
      </c>
      <c r="DC118" s="643">
        <f t="shared" ref="DC118" si="675">+DB118</f>
        <v>0</v>
      </c>
      <c r="DD118" s="23"/>
      <c r="DE118" s="526"/>
      <c r="DF118" s="532"/>
      <c r="DG118" s="532"/>
      <c r="DH118" s="532"/>
      <c r="DI118" s="532"/>
      <c r="DJ118" s="532"/>
      <c r="DK118" s="532"/>
      <c r="DL118" s="532"/>
      <c r="DM118" s="532"/>
      <c r="DN118" s="532"/>
      <c r="DO118" s="532"/>
      <c r="DP118" s="532"/>
      <c r="DQ118" s="532"/>
      <c r="DR118" s="532"/>
      <c r="DS118" s="532"/>
      <c r="DT118" s="642"/>
      <c r="DU118" s="532"/>
      <c r="DV118" s="532"/>
      <c r="DW118" s="532">
        <f>+CA118</f>
        <v>0</v>
      </c>
      <c r="DX118" s="532">
        <f>+CE118</f>
        <v>950</v>
      </c>
      <c r="DY118" s="532">
        <f>+CI118</f>
        <v>0</v>
      </c>
      <c r="DZ118" s="532">
        <f t="shared" si="643"/>
        <v>0</v>
      </c>
      <c r="EA118" s="642">
        <f t="shared" si="644"/>
        <v>0</v>
      </c>
      <c r="EB118" s="1276">
        <f t="shared" si="645"/>
        <v>0</v>
      </c>
      <c r="EC118" s="1276">
        <f t="shared" si="646"/>
        <v>0</v>
      </c>
      <c r="ED118" s="643">
        <f t="shared" si="647"/>
        <v>0</v>
      </c>
      <c r="EE118" s="526"/>
      <c r="EF118" s="638"/>
      <c r="EG118" s="638"/>
      <c r="EH118" s="638"/>
      <c r="EI118" s="638"/>
      <c r="EJ118" s="638"/>
      <c r="EK118" s="638"/>
      <c r="EL118" s="638"/>
      <c r="EM118" s="638"/>
      <c r="EN118" s="638"/>
      <c r="EO118" s="638"/>
      <c r="EP118" s="638"/>
      <c r="EQ118" s="638"/>
      <c r="ER118" s="638"/>
      <c r="ES118" s="638"/>
      <c r="ET118" s="638"/>
      <c r="EU118" s="638"/>
      <c r="EV118" s="638"/>
      <c r="EW118" s="638"/>
      <c r="EX118" s="638"/>
      <c r="EY118" s="638"/>
      <c r="EZ118" s="638"/>
      <c r="FA118" s="638"/>
      <c r="FB118" s="638"/>
      <c r="FC118" s="638"/>
      <c r="FD118" s="638"/>
      <c r="FE118" s="532"/>
      <c r="FF118" s="532"/>
      <c r="FG118" s="532"/>
      <c r="FH118" s="532"/>
      <c r="FI118"/>
      <c r="FJ118"/>
      <c r="FK118"/>
      <c r="FL118"/>
      <c r="FM118"/>
      <c r="FN118"/>
      <c r="FO118" s="638"/>
    </row>
    <row r="119" spans="1:171" s="423" customFormat="1" ht="14.25" hidden="1" customHeight="1" outlineLevel="1">
      <c r="A119" s="421"/>
      <c r="B119" s="513" t="s">
        <v>242</v>
      </c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R119" s="422"/>
      <c r="S119" s="422"/>
      <c r="T119" s="422"/>
      <c r="U119" s="422"/>
      <c r="V119" s="422"/>
      <c r="W119" s="422"/>
      <c r="X119" s="422"/>
      <c r="Y119" s="422"/>
      <c r="Z119" s="422"/>
      <c r="AA119" s="422"/>
      <c r="AB119" s="422"/>
      <c r="AC119" s="422"/>
      <c r="AD119" s="422"/>
      <c r="AE119" s="422"/>
      <c r="AF119" s="422"/>
      <c r="AG119" s="422"/>
      <c r="AH119" s="422"/>
      <c r="AI119" s="422"/>
      <c r="AJ119" s="422"/>
      <c r="AK119" s="422"/>
      <c r="AL119" s="422"/>
      <c r="AM119" s="422"/>
      <c r="AN119" s="422"/>
      <c r="AO119" s="422"/>
      <c r="AP119" s="422"/>
      <c r="AQ119" s="422"/>
      <c r="AR119" s="422"/>
      <c r="AS119" s="422"/>
      <c r="AT119" s="422"/>
      <c r="AU119" s="422"/>
      <c r="AV119" s="422"/>
      <c r="AW119" s="422"/>
      <c r="AX119" s="422"/>
      <c r="AY119" s="422"/>
      <c r="AZ119" s="422"/>
      <c r="BA119" s="422"/>
      <c r="BB119" s="422"/>
      <c r="BC119" s="422"/>
      <c r="BD119" s="422"/>
      <c r="BE119" s="422"/>
      <c r="BF119" s="422"/>
      <c r="BG119" s="422"/>
      <c r="BH119" s="489"/>
      <c r="BI119" s="422"/>
      <c r="BJ119" s="422"/>
      <c r="BK119" s="490"/>
      <c r="BL119" s="422"/>
      <c r="BM119" s="422"/>
      <c r="BN119" s="422"/>
      <c r="BO119" s="422"/>
      <c r="BP119" s="489"/>
      <c r="BQ119" s="422"/>
      <c r="BR119" s="422"/>
      <c r="BS119" s="490"/>
      <c r="BT119" s="489"/>
      <c r="BU119" s="422"/>
      <c r="BV119" s="461">
        <f t="shared" ref="BV119:CI119" si="676">+SUM(BV106:BV118)</f>
        <v>2814.1</v>
      </c>
      <c r="BW119" s="476">
        <f t="shared" si="676"/>
        <v>2872.1</v>
      </c>
      <c r="BX119" s="475">
        <f t="shared" si="676"/>
        <v>2872.1</v>
      </c>
      <c r="BY119" s="461">
        <f t="shared" si="676"/>
        <v>2872.1</v>
      </c>
      <c r="BZ119" s="461">
        <f t="shared" si="676"/>
        <v>2872.1</v>
      </c>
      <c r="CA119" s="476">
        <f t="shared" si="676"/>
        <v>2872.1</v>
      </c>
      <c r="CB119" s="475">
        <f t="shared" si="676"/>
        <v>2872.1</v>
      </c>
      <c r="CC119" s="461">
        <f>+SUM(CC106:CC118)</f>
        <v>2872.1</v>
      </c>
      <c r="CD119" s="461">
        <f t="shared" si="676"/>
        <v>2872.1</v>
      </c>
      <c r="CE119" s="476">
        <f t="shared" si="676"/>
        <v>2873</v>
      </c>
      <c r="CF119" s="475">
        <f t="shared" si="676"/>
        <v>2528</v>
      </c>
      <c r="CG119" s="461">
        <f t="shared" si="676"/>
        <v>3528</v>
      </c>
      <c r="CH119" s="461">
        <f>+SUM(CH106:CH118)</f>
        <v>3578</v>
      </c>
      <c r="CI119" s="476">
        <f t="shared" si="676"/>
        <v>3578</v>
      </c>
      <c r="CJ119" s="475">
        <f t="shared" ref="CJ119:CQ119" si="677">+SUM(CJ106:CJ118)</f>
        <v>3578</v>
      </c>
      <c r="CK119" s="461">
        <f t="shared" si="677"/>
        <v>3578</v>
      </c>
      <c r="CL119" s="461">
        <f t="shared" si="677"/>
        <v>5578</v>
      </c>
      <c r="CM119" s="476">
        <f t="shared" ref="CM119" si="678">+SUM(CM106:CM118)</f>
        <v>3578</v>
      </c>
      <c r="CN119" s="461">
        <f t="shared" si="677"/>
        <v>3578</v>
      </c>
      <c r="CO119" s="1267">
        <f t="shared" si="677"/>
        <v>3578</v>
      </c>
      <c r="CP119" s="461">
        <f t="shared" si="677"/>
        <v>3578</v>
      </c>
      <c r="CQ119" s="476">
        <f t="shared" si="677"/>
        <v>3578</v>
      </c>
      <c r="CR119" s="461">
        <f t="shared" ref="CR119:CU119" si="679">+SUM(CR106:CR118)</f>
        <v>3578</v>
      </c>
      <c r="CS119" s="461">
        <f t="shared" si="679"/>
        <v>3578</v>
      </c>
      <c r="CT119" s="461">
        <f t="shared" si="679"/>
        <v>3578</v>
      </c>
      <c r="CU119" s="476">
        <f t="shared" si="679"/>
        <v>3578</v>
      </c>
      <c r="CV119" s="461">
        <f t="shared" ref="CV119:CY119" si="680">+SUM(CV106:CV118)</f>
        <v>3578</v>
      </c>
      <c r="CW119" s="461">
        <f t="shared" si="680"/>
        <v>3578</v>
      </c>
      <c r="CX119" s="461">
        <f t="shared" si="680"/>
        <v>3578</v>
      </c>
      <c r="CY119" s="476">
        <f t="shared" si="680"/>
        <v>3578</v>
      </c>
      <c r="CZ119" s="461">
        <f t="shared" ref="CZ119:DC119" si="681">+SUM(CZ106:CZ118)</f>
        <v>3578</v>
      </c>
      <c r="DA119" s="461">
        <f t="shared" si="681"/>
        <v>3578</v>
      </c>
      <c r="DB119" s="461">
        <f t="shared" si="681"/>
        <v>3578</v>
      </c>
      <c r="DC119" s="476">
        <f t="shared" si="681"/>
        <v>3578</v>
      </c>
      <c r="DD119" s="23"/>
      <c r="DE119" s="489"/>
      <c r="DF119" s="422"/>
      <c r="DG119" s="422"/>
      <c r="DH119" s="422"/>
      <c r="DI119" s="422"/>
      <c r="DJ119" s="422"/>
      <c r="DK119" s="422"/>
      <c r="DL119" s="422"/>
      <c r="DM119" s="422"/>
      <c r="DN119" s="422"/>
      <c r="DO119" s="422"/>
      <c r="DP119" s="422"/>
      <c r="DQ119" s="422"/>
      <c r="DR119" s="422"/>
      <c r="DS119" s="422"/>
      <c r="DT119" s="461"/>
      <c r="DU119" s="422"/>
      <c r="DV119" s="422">
        <f>+BW119</f>
        <v>2872.1</v>
      </c>
      <c r="DW119" s="422">
        <f>+CA119</f>
        <v>2872.1</v>
      </c>
      <c r="DX119" s="422">
        <f>+CE119</f>
        <v>2873</v>
      </c>
      <c r="DY119" s="422">
        <f>+CI119</f>
        <v>3578</v>
      </c>
      <c r="DZ119" s="422">
        <f t="shared" ref="DZ119:DZ124" si="682">+CM119</f>
        <v>3578</v>
      </c>
      <c r="EA119" s="461">
        <f t="shared" ref="EA119:EA124" si="683">CQ119</f>
        <v>3578</v>
      </c>
      <c r="EB119" s="461">
        <f t="shared" ref="EB119:EB124" si="684">CU119</f>
        <v>3578</v>
      </c>
      <c r="EC119" s="461">
        <f>CY119</f>
        <v>3578</v>
      </c>
      <c r="ED119" s="476">
        <f>DC119</f>
        <v>3578</v>
      </c>
      <c r="EE119" s="489"/>
      <c r="EF119" s="421"/>
      <c r="EG119" s="421"/>
      <c r="EH119" s="421"/>
      <c r="EI119" s="421"/>
      <c r="EJ119" s="421"/>
      <c r="EK119" s="421"/>
      <c r="EL119" s="421"/>
      <c r="EM119" s="421"/>
      <c r="EN119" s="421"/>
      <c r="EO119" s="421"/>
      <c r="EP119" s="421"/>
      <c r="EQ119" s="421"/>
      <c r="ER119" s="421"/>
      <c r="ES119" s="421"/>
      <c r="ET119" s="421"/>
      <c r="EU119" s="421"/>
      <c r="EV119" s="421"/>
      <c r="EW119" s="421"/>
      <c r="EX119" s="421"/>
      <c r="EY119" s="421"/>
      <c r="EZ119" s="421"/>
      <c r="FA119" s="421"/>
      <c r="FB119" s="421"/>
      <c r="FC119" s="421"/>
      <c r="FD119" s="421"/>
      <c r="FE119" s="422"/>
      <c r="FF119" s="422"/>
      <c r="FG119" s="422"/>
      <c r="FH119" s="422"/>
      <c r="FI119"/>
      <c r="FJ119"/>
      <c r="FK119"/>
      <c r="FL119"/>
      <c r="FM119"/>
      <c r="FN119"/>
      <c r="FO119" s="421"/>
    </row>
    <row r="120" spans="1:171" s="695" customFormat="1" ht="14.25" hidden="1" customHeight="1" outlineLevel="1">
      <c r="A120" s="694"/>
      <c r="B120" s="689" t="s">
        <v>257</v>
      </c>
      <c r="C120" s="527"/>
      <c r="D120" s="527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7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  <c r="AL120" s="527"/>
      <c r="AM120" s="527"/>
      <c r="AN120" s="527"/>
      <c r="AO120" s="527"/>
      <c r="AP120" s="527"/>
      <c r="AQ120" s="527"/>
      <c r="AR120" s="527"/>
      <c r="AS120" s="527"/>
      <c r="AT120" s="527"/>
      <c r="AU120" s="527"/>
      <c r="AV120" s="527"/>
      <c r="AW120" s="527"/>
      <c r="AX120" s="527"/>
      <c r="AY120" s="527"/>
      <c r="AZ120" s="527"/>
      <c r="BA120" s="527"/>
      <c r="BB120" s="527"/>
      <c r="BC120" s="527"/>
      <c r="BD120" s="527"/>
      <c r="BE120" s="527"/>
      <c r="BF120" s="527"/>
      <c r="BG120" s="527"/>
      <c r="BH120" s="528"/>
      <c r="BI120" s="527"/>
      <c r="BJ120" s="527"/>
      <c r="BK120" s="692"/>
      <c r="BL120" s="527"/>
      <c r="BM120" s="527"/>
      <c r="BN120" s="527"/>
      <c r="BO120" s="527"/>
      <c r="BP120" s="528"/>
      <c r="BQ120" s="527"/>
      <c r="BR120" s="527"/>
      <c r="BS120" s="692"/>
      <c r="BT120" s="528"/>
      <c r="BU120" s="527"/>
      <c r="BV120" s="523"/>
      <c r="BW120" s="691"/>
      <c r="BX120" s="525"/>
      <c r="BY120" s="523"/>
      <c r="BZ120" s="523">
        <f t="shared" ref="BZ120:CI120" si="685">+BZ142</f>
        <v>0</v>
      </c>
      <c r="CA120" s="691">
        <f t="shared" si="685"/>
        <v>0</v>
      </c>
      <c r="CB120" s="525">
        <f t="shared" si="685"/>
        <v>2000</v>
      </c>
      <c r="CC120" s="523">
        <v>1400</v>
      </c>
      <c r="CD120" s="523">
        <f t="shared" si="685"/>
        <v>1400</v>
      </c>
      <c r="CE120" s="691">
        <f t="shared" si="685"/>
        <v>1400</v>
      </c>
      <c r="CF120" s="525">
        <f t="shared" si="685"/>
        <v>1400</v>
      </c>
      <c r="CG120" s="523">
        <f t="shared" si="685"/>
        <v>1200</v>
      </c>
      <c r="CH120" s="523">
        <f>+CH142</f>
        <v>1200</v>
      </c>
      <c r="CI120" s="691">
        <f t="shared" si="685"/>
        <v>1200</v>
      </c>
      <c r="CJ120" s="525">
        <f t="shared" ref="CJ120:CQ120" si="686">+CJ142</f>
        <v>1200</v>
      </c>
      <c r="CK120" s="523">
        <f t="shared" si="686"/>
        <v>1200</v>
      </c>
      <c r="CL120" s="523">
        <f t="shared" si="686"/>
        <v>1200</v>
      </c>
      <c r="CM120" s="691">
        <f t="shared" si="686"/>
        <v>1200</v>
      </c>
      <c r="CN120" s="523">
        <f t="shared" si="686"/>
        <v>1200</v>
      </c>
      <c r="CO120" s="1259">
        <f t="shared" si="686"/>
        <v>1200</v>
      </c>
      <c r="CP120" s="523">
        <f t="shared" si="686"/>
        <v>1200</v>
      </c>
      <c r="CQ120" s="691">
        <f t="shared" si="686"/>
        <v>1200</v>
      </c>
      <c r="CR120" s="523">
        <f t="shared" ref="CR120:CU120" si="687">+CR142</f>
        <v>1200</v>
      </c>
      <c r="CS120" s="523">
        <f t="shared" si="687"/>
        <v>1200</v>
      </c>
      <c r="CT120" s="523">
        <f t="shared" si="687"/>
        <v>1200</v>
      </c>
      <c r="CU120" s="691">
        <f t="shared" si="687"/>
        <v>1200</v>
      </c>
      <c r="CV120" s="523">
        <f t="shared" ref="CV120:CY120" si="688">+CV142</f>
        <v>1200</v>
      </c>
      <c r="CW120" s="523">
        <f t="shared" si="688"/>
        <v>1200</v>
      </c>
      <c r="CX120" s="523">
        <f t="shared" si="688"/>
        <v>1200</v>
      </c>
      <c r="CY120" s="691">
        <f t="shared" si="688"/>
        <v>1200</v>
      </c>
      <c r="CZ120" s="523">
        <f t="shared" ref="CZ120:DC120" si="689">+CZ142</f>
        <v>1200</v>
      </c>
      <c r="DA120" s="523">
        <f t="shared" si="689"/>
        <v>1200</v>
      </c>
      <c r="DB120" s="523">
        <f t="shared" si="689"/>
        <v>1200</v>
      </c>
      <c r="DC120" s="691">
        <f t="shared" si="689"/>
        <v>1200</v>
      </c>
      <c r="DD120" s="327"/>
      <c r="DE120" s="528"/>
      <c r="DF120" s="527"/>
      <c r="DG120" s="527"/>
      <c r="DH120" s="527"/>
      <c r="DI120" s="527"/>
      <c r="DJ120" s="527"/>
      <c r="DK120" s="527"/>
      <c r="DL120" s="527"/>
      <c r="DM120" s="527"/>
      <c r="DN120" s="527"/>
      <c r="DO120" s="527"/>
      <c r="DP120" s="527"/>
      <c r="DQ120" s="527"/>
      <c r="DR120" s="527"/>
      <c r="DS120" s="527"/>
      <c r="DT120" s="523"/>
      <c r="DU120" s="527"/>
      <c r="DV120" s="527">
        <f t="shared" ref="DV120:DY120" si="690">+DV142</f>
        <v>0</v>
      </c>
      <c r="DW120" s="527">
        <f t="shared" si="690"/>
        <v>0</v>
      </c>
      <c r="DX120" s="527">
        <f t="shared" si="690"/>
        <v>1400</v>
      </c>
      <c r="DY120" s="527">
        <f t="shared" si="690"/>
        <v>1200</v>
      </c>
      <c r="DZ120" s="527">
        <f t="shared" si="682"/>
        <v>1200</v>
      </c>
      <c r="EA120" s="523">
        <f t="shared" si="683"/>
        <v>1200</v>
      </c>
      <c r="EB120" s="523">
        <f t="shared" si="684"/>
        <v>1200</v>
      </c>
      <c r="EC120" s="523">
        <f t="shared" ref="EC120:EC123" si="691">CY120</f>
        <v>1200</v>
      </c>
      <c r="ED120" s="691">
        <f t="shared" ref="ED120:ED124" si="692">DC120</f>
        <v>1200</v>
      </c>
      <c r="EE120" s="528"/>
      <c r="EF120" s="694"/>
      <c r="EG120" s="694"/>
      <c r="EH120" s="694"/>
      <c r="EI120" s="694"/>
      <c r="EJ120" s="694"/>
      <c r="EK120" s="694"/>
      <c r="EL120" s="694"/>
      <c r="EM120" s="694"/>
      <c r="EN120" s="694"/>
      <c r="EO120" s="694"/>
      <c r="EP120" s="694"/>
      <c r="EQ120" s="694"/>
      <c r="ER120" s="694"/>
      <c r="ES120" s="694"/>
      <c r="ET120" s="694"/>
      <c r="EU120" s="694"/>
      <c r="EV120" s="694"/>
      <c r="EW120" s="694"/>
      <c r="EX120" s="694"/>
      <c r="EY120" s="694"/>
      <c r="EZ120" s="694"/>
      <c r="FA120" s="694"/>
      <c r="FB120" s="694"/>
      <c r="FC120" s="694"/>
      <c r="FD120" s="694"/>
      <c r="FE120" s="527"/>
      <c r="FF120" s="527"/>
      <c r="FG120" s="527"/>
      <c r="FH120" s="527"/>
      <c r="FI120"/>
      <c r="FJ120"/>
      <c r="FK120"/>
      <c r="FL120"/>
      <c r="FM120"/>
      <c r="FN120"/>
      <c r="FO120" s="694"/>
    </row>
    <row r="121" spans="1:171" s="695" customFormat="1" ht="14.25" hidden="1" customHeight="1" outlineLevel="1">
      <c r="A121" s="694"/>
      <c r="B121" s="689" t="s">
        <v>238</v>
      </c>
      <c r="C121" s="527"/>
      <c r="D121" s="527"/>
      <c r="E121" s="527"/>
      <c r="F121" s="527"/>
      <c r="G121" s="527"/>
      <c r="H121" s="527"/>
      <c r="I121" s="527"/>
      <c r="J121" s="527"/>
      <c r="K121" s="527"/>
      <c r="L121" s="527"/>
      <c r="M121" s="527"/>
      <c r="N121" s="527"/>
      <c r="O121" s="527"/>
      <c r="P121" s="527"/>
      <c r="Q121" s="527"/>
      <c r="R121" s="527"/>
      <c r="S121" s="527"/>
      <c r="T121" s="527"/>
      <c r="U121" s="527"/>
      <c r="V121" s="527"/>
      <c r="W121" s="527"/>
      <c r="X121" s="527"/>
      <c r="Y121" s="527"/>
      <c r="Z121" s="527"/>
      <c r="AA121" s="527"/>
      <c r="AB121" s="527"/>
      <c r="AC121" s="527"/>
      <c r="AD121" s="527"/>
      <c r="AE121" s="527"/>
      <c r="AF121" s="527"/>
      <c r="AG121" s="527"/>
      <c r="AH121" s="527"/>
      <c r="AI121" s="527"/>
      <c r="AJ121" s="527"/>
      <c r="AK121" s="527"/>
      <c r="AL121" s="527"/>
      <c r="AM121" s="527"/>
      <c r="AN121" s="527"/>
      <c r="AO121" s="527"/>
      <c r="AP121" s="527"/>
      <c r="AQ121" s="527"/>
      <c r="AR121" s="527"/>
      <c r="AS121" s="527"/>
      <c r="AT121" s="527"/>
      <c r="AU121" s="527"/>
      <c r="AV121" s="527"/>
      <c r="AW121" s="527"/>
      <c r="AX121" s="527"/>
      <c r="AY121" s="527"/>
      <c r="AZ121" s="527"/>
      <c r="BA121" s="527"/>
      <c r="BB121" s="527"/>
      <c r="BC121" s="527"/>
      <c r="BD121" s="527"/>
      <c r="BE121" s="527"/>
      <c r="BF121" s="527"/>
      <c r="BG121" s="527"/>
      <c r="BH121" s="528"/>
      <c r="BI121" s="527"/>
      <c r="BJ121" s="527"/>
      <c r="BK121" s="692"/>
      <c r="BL121" s="527"/>
      <c r="BM121" s="527"/>
      <c r="BN121" s="527"/>
      <c r="BO121" s="527"/>
      <c r="BP121" s="528"/>
      <c r="BQ121" s="527"/>
      <c r="BR121" s="527"/>
      <c r="BS121" s="692"/>
      <c r="BT121" s="528"/>
      <c r="BU121" s="527"/>
      <c r="BV121" s="523"/>
      <c r="BW121" s="691"/>
      <c r="BX121" s="696">
        <v>0</v>
      </c>
      <c r="BY121" s="523">
        <f t="shared" ref="BY121:CI121" si="693">+BX121</f>
        <v>0</v>
      </c>
      <c r="BZ121" s="523">
        <f t="shared" si="693"/>
        <v>0</v>
      </c>
      <c r="CA121" s="691">
        <f t="shared" si="693"/>
        <v>0</v>
      </c>
      <c r="CB121" s="525">
        <f t="shared" si="693"/>
        <v>0</v>
      </c>
      <c r="CC121" s="523">
        <f t="shared" si="693"/>
        <v>0</v>
      </c>
      <c r="CD121" s="523">
        <f t="shared" si="693"/>
        <v>0</v>
      </c>
      <c r="CE121" s="691">
        <f t="shared" si="693"/>
        <v>0</v>
      </c>
      <c r="CF121" s="525">
        <f t="shared" si="693"/>
        <v>0</v>
      </c>
      <c r="CG121" s="523">
        <f t="shared" si="693"/>
        <v>0</v>
      </c>
      <c r="CH121" s="523">
        <f t="shared" si="693"/>
        <v>0</v>
      </c>
      <c r="CI121" s="691">
        <f t="shared" si="693"/>
        <v>0</v>
      </c>
      <c r="CJ121" s="525">
        <f t="shared" ref="CJ121:CM122" si="694">+CI121</f>
        <v>0</v>
      </c>
      <c r="CK121" s="523">
        <f t="shared" si="694"/>
        <v>0</v>
      </c>
      <c r="CL121" s="523">
        <f t="shared" si="694"/>
        <v>0</v>
      </c>
      <c r="CM121" s="691">
        <f t="shared" si="694"/>
        <v>0</v>
      </c>
      <c r="CN121" s="523">
        <f t="shared" ref="CN121:CO122" si="695">+CM121</f>
        <v>0</v>
      </c>
      <c r="CO121" s="1259">
        <f t="shared" si="695"/>
        <v>0</v>
      </c>
      <c r="CP121" s="523">
        <f t="shared" ref="CP121:CP122" si="696">+CO121</f>
        <v>0</v>
      </c>
      <c r="CQ121" s="691">
        <f t="shared" ref="CQ121:CQ122" si="697">+CP121</f>
        <v>0</v>
      </c>
      <c r="CR121" s="523">
        <f t="shared" ref="CR121:CR122" si="698">+CQ121</f>
        <v>0</v>
      </c>
      <c r="CS121" s="523">
        <f t="shared" ref="CS121:CS122" si="699">+CR121</f>
        <v>0</v>
      </c>
      <c r="CT121" s="523">
        <f t="shared" ref="CT121:CT122" si="700">+CS121</f>
        <v>0</v>
      </c>
      <c r="CU121" s="691">
        <f t="shared" ref="CU121:CU122" si="701">+CT121</f>
        <v>0</v>
      </c>
      <c r="CV121" s="523">
        <f t="shared" ref="CV121:CV122" si="702">+CU121</f>
        <v>0</v>
      </c>
      <c r="CW121" s="523">
        <f t="shared" ref="CW121:CW122" si="703">+CV121</f>
        <v>0</v>
      </c>
      <c r="CX121" s="523">
        <f t="shared" ref="CX121:CX122" si="704">+CW121</f>
        <v>0</v>
      </c>
      <c r="CY121" s="691">
        <f t="shared" ref="CY121:CY122" si="705">+CX121</f>
        <v>0</v>
      </c>
      <c r="CZ121" s="523">
        <f t="shared" ref="CZ121:CZ122" si="706">+CY121</f>
        <v>0</v>
      </c>
      <c r="DA121" s="523">
        <f t="shared" ref="DA121:DA122" si="707">+CZ121</f>
        <v>0</v>
      </c>
      <c r="DB121" s="523">
        <f t="shared" ref="DB121:DB122" si="708">+DA121</f>
        <v>0</v>
      </c>
      <c r="DC121" s="691">
        <f t="shared" ref="DC121:DC122" si="709">+DB121</f>
        <v>0</v>
      </c>
      <c r="DD121" s="23"/>
      <c r="DE121" s="528"/>
      <c r="DF121" s="527"/>
      <c r="DG121" s="527"/>
      <c r="DH121" s="527"/>
      <c r="DI121" s="527"/>
      <c r="DJ121" s="527"/>
      <c r="DK121" s="527"/>
      <c r="DL121" s="527"/>
      <c r="DM121" s="527"/>
      <c r="DN121" s="527"/>
      <c r="DO121" s="527"/>
      <c r="DP121" s="527"/>
      <c r="DQ121" s="527"/>
      <c r="DR121" s="527"/>
      <c r="DS121" s="527"/>
      <c r="DT121" s="523"/>
      <c r="DU121" s="527"/>
      <c r="DV121" s="527"/>
      <c r="DW121" s="527">
        <f>+CA121</f>
        <v>0</v>
      </c>
      <c r="DX121" s="527">
        <f>+CE121</f>
        <v>0</v>
      </c>
      <c r="DY121" s="527">
        <f>+CI121</f>
        <v>0</v>
      </c>
      <c r="DZ121" s="527">
        <f t="shared" si="682"/>
        <v>0</v>
      </c>
      <c r="EA121" s="523">
        <f t="shared" si="683"/>
        <v>0</v>
      </c>
      <c r="EB121" s="523">
        <f t="shared" si="684"/>
        <v>0</v>
      </c>
      <c r="EC121" s="523">
        <f t="shared" si="691"/>
        <v>0</v>
      </c>
      <c r="ED121" s="691">
        <f t="shared" si="692"/>
        <v>0</v>
      </c>
      <c r="EE121" s="528"/>
      <c r="EF121" s="694"/>
      <c r="EG121" s="694"/>
      <c r="EH121" s="694"/>
      <c r="EI121" s="694"/>
      <c r="EJ121" s="694"/>
      <c r="EK121" s="694"/>
      <c r="EL121" s="694"/>
      <c r="EM121" s="694"/>
      <c r="EN121" s="694"/>
      <c r="EO121" s="694"/>
      <c r="EP121" s="694"/>
      <c r="EQ121" s="694"/>
      <c r="ER121" s="694"/>
      <c r="ES121" s="694"/>
      <c r="ET121" s="694"/>
      <c r="EU121" s="694"/>
      <c r="EV121" s="694"/>
      <c r="EW121" s="694"/>
      <c r="EX121" s="694"/>
      <c r="EY121" s="694"/>
      <c r="EZ121" s="694"/>
      <c r="FA121" s="694"/>
      <c r="FB121" s="694"/>
      <c r="FC121" s="694"/>
      <c r="FD121" s="694"/>
      <c r="FE121" s="527"/>
      <c r="FF121" s="527"/>
      <c r="FG121" s="527"/>
      <c r="FH121" s="527"/>
      <c r="FI121"/>
      <c r="FJ121"/>
      <c r="FK121"/>
      <c r="FL121"/>
      <c r="FM121"/>
      <c r="FN121"/>
      <c r="FO121" s="694"/>
    </row>
    <row r="122" spans="1:171" s="695" customFormat="1" ht="14.25" hidden="1" customHeight="1" outlineLevel="1">
      <c r="A122" s="694"/>
      <c r="B122" s="689" t="s">
        <v>239</v>
      </c>
      <c r="C122" s="527"/>
      <c r="D122" s="527"/>
      <c r="E122" s="527"/>
      <c r="F122" s="527"/>
      <c r="G122" s="527"/>
      <c r="H122" s="527"/>
      <c r="I122" s="527"/>
      <c r="J122" s="527"/>
      <c r="K122" s="527"/>
      <c r="L122" s="527"/>
      <c r="M122" s="527"/>
      <c r="N122" s="527"/>
      <c r="O122" s="527"/>
      <c r="P122" s="527"/>
      <c r="Q122" s="527"/>
      <c r="R122" s="527"/>
      <c r="S122" s="527"/>
      <c r="T122" s="527"/>
      <c r="U122" s="527"/>
      <c r="V122" s="527"/>
      <c r="W122" s="527"/>
      <c r="X122" s="527"/>
      <c r="Y122" s="527"/>
      <c r="Z122" s="527"/>
      <c r="AA122" s="527"/>
      <c r="AB122" s="527"/>
      <c r="AC122" s="527"/>
      <c r="AD122" s="527"/>
      <c r="AE122" s="527"/>
      <c r="AF122" s="527"/>
      <c r="AG122" s="527"/>
      <c r="AH122" s="527"/>
      <c r="AI122" s="527"/>
      <c r="AJ122" s="527"/>
      <c r="AK122" s="527"/>
      <c r="AL122" s="527"/>
      <c r="AM122" s="527"/>
      <c r="AN122" s="527"/>
      <c r="AO122" s="527"/>
      <c r="AP122" s="527"/>
      <c r="AQ122" s="527"/>
      <c r="AR122" s="527"/>
      <c r="AS122" s="527"/>
      <c r="AT122" s="527"/>
      <c r="AU122" s="527"/>
      <c r="AV122" s="527"/>
      <c r="AW122" s="527"/>
      <c r="AX122" s="527"/>
      <c r="AY122" s="527"/>
      <c r="AZ122" s="527"/>
      <c r="BA122" s="527"/>
      <c r="BB122" s="527"/>
      <c r="BC122" s="527"/>
      <c r="BD122" s="527"/>
      <c r="BE122" s="527"/>
      <c r="BF122" s="527"/>
      <c r="BG122" s="527"/>
      <c r="BH122" s="528"/>
      <c r="BI122" s="527"/>
      <c r="BJ122" s="527"/>
      <c r="BK122" s="692"/>
      <c r="BL122" s="527"/>
      <c r="BM122" s="527"/>
      <c r="BN122" s="527"/>
      <c r="BO122" s="527"/>
      <c r="BP122" s="528"/>
      <c r="BQ122" s="527"/>
      <c r="BR122" s="527"/>
      <c r="BS122" s="692"/>
      <c r="BT122" s="528"/>
      <c r="BU122" s="527"/>
      <c r="BV122" s="523"/>
      <c r="BW122" s="691"/>
      <c r="BX122" s="696">
        <v>173</v>
      </c>
      <c r="BY122" s="523">
        <f t="shared" ref="BY122:CI122" si="710">+BX122</f>
        <v>173</v>
      </c>
      <c r="BZ122" s="523">
        <f t="shared" si="710"/>
        <v>173</v>
      </c>
      <c r="CA122" s="691">
        <f t="shared" si="710"/>
        <v>173</v>
      </c>
      <c r="CB122" s="525">
        <f t="shared" si="710"/>
        <v>173</v>
      </c>
      <c r="CC122" s="523">
        <f t="shared" si="710"/>
        <v>173</v>
      </c>
      <c r="CD122" s="523">
        <f t="shared" si="710"/>
        <v>173</v>
      </c>
      <c r="CE122" s="691">
        <f t="shared" si="710"/>
        <v>173</v>
      </c>
      <c r="CF122" s="525">
        <f t="shared" si="710"/>
        <v>173</v>
      </c>
      <c r="CG122" s="523">
        <f t="shared" si="710"/>
        <v>173</v>
      </c>
      <c r="CH122" s="523">
        <f t="shared" si="710"/>
        <v>173</v>
      </c>
      <c r="CI122" s="691">
        <f t="shared" si="710"/>
        <v>173</v>
      </c>
      <c r="CJ122" s="525">
        <f t="shared" si="694"/>
        <v>173</v>
      </c>
      <c r="CK122" s="523">
        <f t="shared" si="694"/>
        <v>173</v>
      </c>
      <c r="CL122" s="523">
        <f t="shared" si="694"/>
        <v>173</v>
      </c>
      <c r="CM122" s="691">
        <f t="shared" si="694"/>
        <v>173</v>
      </c>
      <c r="CN122" s="523">
        <f t="shared" si="695"/>
        <v>173</v>
      </c>
      <c r="CO122" s="1259">
        <f t="shared" si="695"/>
        <v>173</v>
      </c>
      <c r="CP122" s="523">
        <f t="shared" si="696"/>
        <v>173</v>
      </c>
      <c r="CQ122" s="691">
        <f t="shared" si="697"/>
        <v>173</v>
      </c>
      <c r="CR122" s="523">
        <f t="shared" si="698"/>
        <v>173</v>
      </c>
      <c r="CS122" s="523">
        <f t="shared" si="699"/>
        <v>173</v>
      </c>
      <c r="CT122" s="523">
        <f t="shared" si="700"/>
        <v>173</v>
      </c>
      <c r="CU122" s="691">
        <f t="shared" si="701"/>
        <v>173</v>
      </c>
      <c r="CV122" s="523">
        <f t="shared" si="702"/>
        <v>173</v>
      </c>
      <c r="CW122" s="523">
        <f t="shared" si="703"/>
        <v>173</v>
      </c>
      <c r="CX122" s="523">
        <f t="shared" si="704"/>
        <v>173</v>
      </c>
      <c r="CY122" s="691">
        <f t="shared" si="705"/>
        <v>173</v>
      </c>
      <c r="CZ122" s="523">
        <f t="shared" si="706"/>
        <v>173</v>
      </c>
      <c r="DA122" s="523">
        <f t="shared" si="707"/>
        <v>173</v>
      </c>
      <c r="DB122" s="523">
        <f t="shared" si="708"/>
        <v>173</v>
      </c>
      <c r="DC122" s="691">
        <f t="shared" si="709"/>
        <v>173</v>
      </c>
      <c r="DD122" s="23"/>
      <c r="DE122" s="528"/>
      <c r="DF122" s="527"/>
      <c r="DG122" s="527"/>
      <c r="DH122" s="527"/>
      <c r="DI122" s="527"/>
      <c r="DJ122" s="527"/>
      <c r="DK122" s="527"/>
      <c r="DL122" s="527"/>
      <c r="DM122" s="527"/>
      <c r="DN122" s="527"/>
      <c r="DO122" s="527"/>
      <c r="DP122" s="527"/>
      <c r="DQ122" s="527"/>
      <c r="DR122" s="527"/>
      <c r="DS122" s="527"/>
      <c r="DT122" s="523"/>
      <c r="DU122" s="527"/>
      <c r="DV122" s="527">
        <f>+BW122</f>
        <v>0</v>
      </c>
      <c r="DW122" s="527">
        <f>+CA122</f>
        <v>173</v>
      </c>
      <c r="DX122" s="527">
        <f>+CE122</f>
        <v>173</v>
      </c>
      <c r="DY122" s="527">
        <f>+CI122</f>
        <v>173</v>
      </c>
      <c r="DZ122" s="527">
        <f t="shared" si="682"/>
        <v>173</v>
      </c>
      <c r="EA122" s="523">
        <f t="shared" si="683"/>
        <v>173</v>
      </c>
      <c r="EB122" s="523">
        <f t="shared" si="684"/>
        <v>173</v>
      </c>
      <c r="EC122" s="523">
        <f t="shared" si="691"/>
        <v>173</v>
      </c>
      <c r="ED122" s="691">
        <f t="shared" si="692"/>
        <v>173</v>
      </c>
      <c r="EE122" s="528"/>
      <c r="EF122" s="694"/>
      <c r="EG122" s="694"/>
      <c r="EH122" s="694"/>
      <c r="EI122" s="694"/>
      <c r="EJ122" s="694"/>
      <c r="EK122" s="694"/>
      <c r="EL122" s="694"/>
      <c r="EM122" s="694"/>
      <c r="EN122" s="694"/>
      <c r="EO122" s="694"/>
      <c r="EP122" s="694"/>
      <c r="EQ122" s="694"/>
      <c r="ER122" s="694"/>
      <c r="ES122" s="694"/>
      <c r="ET122" s="694"/>
      <c r="EU122" s="694"/>
      <c r="EV122" s="694"/>
      <c r="EW122" s="694"/>
      <c r="EX122" s="694"/>
      <c r="EY122" s="694"/>
      <c r="EZ122" s="694"/>
      <c r="FA122" s="694"/>
      <c r="FB122" s="694"/>
      <c r="FC122" s="694"/>
      <c r="FD122" s="694"/>
      <c r="FE122" s="527"/>
      <c r="FF122" s="527"/>
      <c r="FG122" s="527"/>
      <c r="FH122" s="527"/>
      <c r="FI122"/>
      <c r="FJ122"/>
      <c r="FK122"/>
      <c r="FL122"/>
      <c r="FM122"/>
      <c r="FN122"/>
      <c r="FO122" s="694"/>
    </row>
    <row r="123" spans="1:171" s="467" customFormat="1" ht="14.25" hidden="1" customHeight="1" outlineLevel="1">
      <c r="A123" s="424"/>
      <c r="B123" s="514" t="s">
        <v>126</v>
      </c>
      <c r="C123" s="466"/>
      <c r="D123" s="466"/>
      <c r="E123" s="466"/>
      <c r="F123" s="466"/>
      <c r="G123" s="466"/>
      <c r="H123" s="466"/>
      <c r="I123" s="466"/>
      <c r="J123" s="466"/>
      <c r="K123" s="466"/>
      <c r="L123" s="466"/>
      <c r="M123" s="466"/>
      <c r="N123" s="466"/>
      <c r="O123" s="466"/>
      <c r="P123" s="466"/>
      <c r="Q123" s="466"/>
      <c r="R123" s="466"/>
      <c r="S123" s="466"/>
      <c r="T123" s="466"/>
      <c r="U123" s="466"/>
      <c r="V123" s="466"/>
      <c r="W123" s="466"/>
      <c r="X123" s="466"/>
      <c r="Y123" s="466"/>
      <c r="Z123" s="466"/>
      <c r="AA123" s="466"/>
      <c r="AB123" s="466"/>
      <c r="AC123" s="466"/>
      <c r="AD123" s="466"/>
      <c r="AE123" s="466"/>
      <c r="AF123" s="466"/>
      <c r="AG123" s="466"/>
      <c r="AH123" s="466"/>
      <c r="AI123" s="466"/>
      <c r="AJ123" s="466"/>
      <c r="AK123" s="466"/>
      <c r="AL123" s="466"/>
      <c r="AM123" s="466"/>
      <c r="AN123" s="466"/>
      <c r="AO123" s="466"/>
      <c r="AP123" s="466"/>
      <c r="AQ123" s="466"/>
      <c r="AR123" s="466"/>
      <c r="AS123" s="466"/>
      <c r="AT123" s="466"/>
      <c r="AU123" s="466"/>
      <c r="AV123" s="466"/>
      <c r="AW123" s="466"/>
      <c r="AX123" s="466"/>
      <c r="AY123" s="466"/>
      <c r="AZ123" s="466"/>
      <c r="BA123" s="466"/>
      <c r="BB123" s="466"/>
      <c r="BC123" s="466"/>
      <c r="BD123" s="466"/>
      <c r="BE123" s="466"/>
      <c r="BF123" s="466"/>
      <c r="BG123" s="466"/>
      <c r="BH123" s="496"/>
      <c r="BI123" s="466"/>
      <c r="BJ123" s="466"/>
      <c r="BK123" s="567"/>
      <c r="BL123" s="466"/>
      <c r="BM123" s="466"/>
      <c r="BN123" s="466"/>
      <c r="BO123" s="466"/>
      <c r="BP123" s="496"/>
      <c r="BQ123" s="466"/>
      <c r="BR123" s="466"/>
      <c r="BS123" s="567"/>
      <c r="BT123" s="496"/>
      <c r="BU123" s="466"/>
      <c r="BV123" s="478">
        <f>+BV145</f>
        <v>719</v>
      </c>
      <c r="BW123" s="479">
        <f>+BW145</f>
        <v>883</v>
      </c>
      <c r="BX123" s="477">
        <f t="shared" ref="BX123:CI123" si="711">+BX145</f>
        <v>868</v>
      </c>
      <c r="BY123" s="478">
        <f t="shared" si="711"/>
        <v>868</v>
      </c>
      <c r="BZ123" s="478">
        <f t="shared" si="711"/>
        <v>868</v>
      </c>
      <c r="CA123" s="479">
        <f t="shared" si="711"/>
        <v>868</v>
      </c>
      <c r="CB123" s="477">
        <f t="shared" si="711"/>
        <v>868</v>
      </c>
      <c r="CC123" s="478">
        <f>+CC145</f>
        <v>868</v>
      </c>
      <c r="CD123" s="478">
        <f t="shared" si="711"/>
        <v>868</v>
      </c>
      <c r="CE123" s="479">
        <f t="shared" si="711"/>
        <v>868</v>
      </c>
      <c r="CF123" s="477">
        <f t="shared" si="711"/>
        <v>868</v>
      </c>
      <c r="CG123" s="478">
        <f t="shared" si="711"/>
        <v>1122</v>
      </c>
      <c r="CH123" s="478">
        <f>+CH145</f>
        <v>1122</v>
      </c>
      <c r="CI123" s="479">
        <f t="shared" si="711"/>
        <v>959.18251377047454</v>
      </c>
      <c r="CJ123" s="477">
        <f t="shared" ref="CJ123:CQ123" si="712">+CJ145</f>
        <v>959.18251377047454</v>
      </c>
      <c r="CK123" s="478">
        <f t="shared" si="712"/>
        <v>959.18251377047454</v>
      </c>
      <c r="CL123" s="478">
        <f t="shared" si="712"/>
        <v>959.18251377047454</v>
      </c>
      <c r="CM123" s="479">
        <f t="shared" si="712"/>
        <v>959.18251377047454</v>
      </c>
      <c r="CN123" s="478">
        <f t="shared" si="712"/>
        <v>959.18251377047454</v>
      </c>
      <c r="CO123" s="1268">
        <f t="shared" si="712"/>
        <v>959.18251377047454</v>
      </c>
      <c r="CP123" s="478">
        <f t="shared" si="712"/>
        <v>959.18251377047454</v>
      </c>
      <c r="CQ123" s="479">
        <f t="shared" si="712"/>
        <v>959.18251377047454</v>
      </c>
      <c r="CR123" s="478">
        <f t="shared" ref="CR123:CU123" si="713">+CR145</f>
        <v>959.18251377047454</v>
      </c>
      <c r="CS123" s="478">
        <f t="shared" si="713"/>
        <v>959.18251377047454</v>
      </c>
      <c r="CT123" s="478">
        <f t="shared" si="713"/>
        <v>959.18251377047454</v>
      </c>
      <c r="CU123" s="479">
        <f t="shared" si="713"/>
        <v>959.18251377047454</v>
      </c>
      <c r="CV123" s="478">
        <f t="shared" ref="CV123:CY123" si="714">+CV145</f>
        <v>959.18251377047454</v>
      </c>
      <c r="CW123" s="478">
        <f t="shared" si="714"/>
        <v>959.18251377047454</v>
      </c>
      <c r="CX123" s="478">
        <f t="shared" si="714"/>
        <v>959.18251377047454</v>
      </c>
      <c r="CY123" s="479">
        <f t="shared" si="714"/>
        <v>959.18251377047454</v>
      </c>
      <c r="CZ123" s="478">
        <f t="shared" ref="CZ123:DC123" si="715">+CZ145</f>
        <v>959.18251377047454</v>
      </c>
      <c r="DA123" s="478">
        <f t="shared" si="715"/>
        <v>959.18251377047454</v>
      </c>
      <c r="DB123" s="478">
        <f t="shared" si="715"/>
        <v>959.18251377047454</v>
      </c>
      <c r="DC123" s="479">
        <f t="shared" si="715"/>
        <v>959.18251377047454</v>
      </c>
      <c r="DD123" s="23"/>
      <c r="DE123" s="496"/>
      <c r="DF123" s="466"/>
      <c r="DG123" s="466"/>
      <c r="DH123" s="466"/>
      <c r="DI123" s="466"/>
      <c r="DJ123" s="466"/>
      <c r="DK123" s="466"/>
      <c r="DL123" s="466"/>
      <c r="DM123" s="466"/>
      <c r="DN123" s="466"/>
      <c r="DO123" s="466"/>
      <c r="DP123" s="466"/>
      <c r="DQ123" s="466"/>
      <c r="DR123" s="466"/>
      <c r="DS123" s="466"/>
      <c r="DT123" s="478"/>
      <c r="DU123" s="466"/>
      <c r="DV123" s="466">
        <f>+BW123</f>
        <v>883</v>
      </c>
      <c r="DW123" s="466">
        <f>+CA123</f>
        <v>868</v>
      </c>
      <c r="DX123" s="466">
        <f>+CE123</f>
        <v>868</v>
      </c>
      <c r="DY123" s="466">
        <f>+CI123</f>
        <v>959.18251377047454</v>
      </c>
      <c r="DZ123" s="466">
        <f t="shared" si="682"/>
        <v>959.18251377047454</v>
      </c>
      <c r="EA123" s="478">
        <f t="shared" si="683"/>
        <v>959.18251377047454</v>
      </c>
      <c r="EB123" s="478">
        <f t="shared" si="684"/>
        <v>959.18251377047454</v>
      </c>
      <c r="EC123" s="478">
        <f t="shared" si="691"/>
        <v>959.18251377047454</v>
      </c>
      <c r="ED123" s="479">
        <f t="shared" si="692"/>
        <v>959.18251377047454</v>
      </c>
      <c r="EE123" s="496"/>
      <c r="EF123" s="424"/>
      <c r="EG123" s="424"/>
      <c r="EH123" s="424"/>
      <c r="EI123" s="424"/>
      <c r="EJ123" s="424"/>
      <c r="EK123" s="424"/>
      <c r="EL123" s="424"/>
      <c r="EM123" s="424"/>
      <c r="EN123" s="424"/>
      <c r="EO123" s="424"/>
      <c r="EP123" s="424"/>
      <c r="EQ123" s="424"/>
      <c r="ER123" s="424"/>
      <c r="ES123" s="424"/>
      <c r="ET123" s="424"/>
      <c r="EU123" s="424"/>
      <c r="EV123" s="424"/>
      <c r="EW123" s="424"/>
      <c r="EX123" s="424"/>
      <c r="EY123" s="424"/>
      <c r="EZ123" s="424"/>
      <c r="FA123" s="424"/>
      <c r="FB123" s="424"/>
      <c r="FC123" s="424"/>
      <c r="FD123" s="424"/>
      <c r="FE123" s="466"/>
      <c r="FF123" s="466"/>
      <c r="FG123" s="466"/>
      <c r="FH123" s="466"/>
      <c r="FI123"/>
      <c r="FJ123"/>
      <c r="FK123"/>
      <c r="FL123"/>
      <c r="FM123"/>
      <c r="FN123"/>
      <c r="FO123" s="424"/>
    </row>
    <row r="124" spans="1:171" s="423" customFormat="1" ht="14.25" hidden="1" customHeight="1" outlineLevel="1">
      <c r="A124" s="421"/>
      <c r="B124" s="513" t="s">
        <v>127</v>
      </c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  <c r="T124" s="422"/>
      <c r="U124" s="422"/>
      <c r="V124" s="422"/>
      <c r="W124" s="422"/>
      <c r="X124" s="422"/>
      <c r="Y124" s="422"/>
      <c r="Z124" s="422"/>
      <c r="AA124" s="422"/>
      <c r="AB124" s="422"/>
      <c r="AC124" s="422"/>
      <c r="AD124" s="422"/>
      <c r="AE124" s="422"/>
      <c r="AF124" s="422"/>
      <c r="AG124" s="422"/>
      <c r="AH124" s="422"/>
      <c r="AI124" s="422"/>
      <c r="AJ124" s="422"/>
      <c r="AK124" s="422"/>
      <c r="AL124" s="422"/>
      <c r="AM124" s="422"/>
      <c r="AN124" s="422"/>
      <c r="AO124" s="422"/>
      <c r="AP124" s="422"/>
      <c r="AQ124" s="422"/>
      <c r="AR124" s="422"/>
      <c r="AS124" s="422"/>
      <c r="AT124" s="422"/>
      <c r="AU124" s="422"/>
      <c r="AV124" s="422"/>
      <c r="AW124" s="422"/>
      <c r="AX124" s="422"/>
      <c r="AY124" s="422"/>
      <c r="AZ124" s="422"/>
      <c r="BA124" s="422"/>
      <c r="BB124" s="422"/>
      <c r="BC124" s="422"/>
      <c r="BD124" s="422"/>
      <c r="BE124" s="422"/>
      <c r="BF124" s="422"/>
      <c r="BG124" s="422"/>
      <c r="BH124" s="489"/>
      <c r="BI124" s="422"/>
      <c r="BJ124" s="422"/>
      <c r="BK124" s="490"/>
      <c r="BL124" s="422"/>
      <c r="BM124" s="422"/>
      <c r="BN124" s="422"/>
      <c r="BO124" s="422"/>
      <c r="BP124" s="489"/>
      <c r="BQ124" s="422"/>
      <c r="BR124" s="422"/>
      <c r="BS124" s="490"/>
      <c r="BT124" s="489"/>
      <c r="BU124" s="422"/>
      <c r="BV124" s="461">
        <f>+SUM(BV119:BV123)</f>
        <v>3533.1</v>
      </c>
      <c r="BW124" s="476">
        <f t="shared" ref="BW124:CG124" si="716">+SUM(BW119:BW123)</f>
        <v>3755.1</v>
      </c>
      <c r="BX124" s="475">
        <f t="shared" si="716"/>
        <v>3913.1</v>
      </c>
      <c r="BY124" s="461">
        <f t="shared" si="716"/>
        <v>3913.1</v>
      </c>
      <c r="BZ124" s="461">
        <f>+SUM(BZ119:BZ123)</f>
        <v>3913.1</v>
      </c>
      <c r="CA124" s="476">
        <f t="shared" si="716"/>
        <v>3913.1</v>
      </c>
      <c r="CB124" s="475">
        <f t="shared" si="716"/>
        <v>5913.1</v>
      </c>
      <c r="CC124" s="461">
        <f>+SUM(CC119:CC123)</f>
        <v>5313.1</v>
      </c>
      <c r="CD124" s="461">
        <f t="shared" si="716"/>
        <v>5313.1</v>
      </c>
      <c r="CE124" s="476">
        <f t="shared" si="716"/>
        <v>5314</v>
      </c>
      <c r="CF124" s="475">
        <f t="shared" si="716"/>
        <v>4969</v>
      </c>
      <c r="CG124" s="461">
        <f t="shared" si="716"/>
        <v>6023</v>
      </c>
      <c r="CH124" s="461">
        <f t="shared" ref="CH124:CQ124" si="717">+SUM(CH119:CH123)</f>
        <v>6073</v>
      </c>
      <c r="CI124" s="476">
        <f t="shared" si="717"/>
        <v>5910.1825137704745</v>
      </c>
      <c r="CJ124" s="475">
        <f t="shared" si="717"/>
        <v>5910.1825137704745</v>
      </c>
      <c r="CK124" s="461">
        <f t="shared" si="717"/>
        <v>5910.1825137704745</v>
      </c>
      <c r="CL124" s="461">
        <f t="shared" si="717"/>
        <v>7910.1825137704745</v>
      </c>
      <c r="CM124" s="476">
        <f t="shared" ref="CM124" si="718">+SUM(CM119:CM123)</f>
        <v>5910.1825137704745</v>
      </c>
      <c r="CN124" s="461">
        <f t="shared" si="717"/>
        <v>5910.1825137704745</v>
      </c>
      <c r="CO124" s="1267">
        <f t="shared" si="717"/>
        <v>5910.1825137704745</v>
      </c>
      <c r="CP124" s="461">
        <f t="shared" si="717"/>
        <v>5910.1825137704745</v>
      </c>
      <c r="CQ124" s="476">
        <f t="shared" si="717"/>
        <v>5910.1825137704745</v>
      </c>
      <c r="CR124" s="461">
        <f t="shared" ref="CR124:CU124" si="719">+SUM(CR119:CR123)</f>
        <v>5910.1825137704745</v>
      </c>
      <c r="CS124" s="461">
        <f t="shared" si="719"/>
        <v>5910.1825137704745</v>
      </c>
      <c r="CT124" s="461">
        <f t="shared" si="719"/>
        <v>5910.1825137704745</v>
      </c>
      <c r="CU124" s="476">
        <f t="shared" si="719"/>
        <v>5910.1825137704745</v>
      </c>
      <c r="CV124" s="461">
        <f t="shared" ref="CV124:CY124" si="720">+SUM(CV119:CV123)</f>
        <v>5910.1825137704745</v>
      </c>
      <c r="CW124" s="461">
        <f t="shared" si="720"/>
        <v>5910.1825137704745</v>
      </c>
      <c r="CX124" s="461">
        <f t="shared" si="720"/>
        <v>5910.1825137704745</v>
      </c>
      <c r="CY124" s="476">
        <f t="shared" si="720"/>
        <v>5910.1825137704745</v>
      </c>
      <c r="CZ124" s="461">
        <f t="shared" ref="CZ124:DC124" si="721">+SUM(CZ119:CZ123)</f>
        <v>5910.1825137704745</v>
      </c>
      <c r="DA124" s="461">
        <f t="shared" si="721"/>
        <v>5910.1825137704745</v>
      </c>
      <c r="DB124" s="461">
        <f t="shared" si="721"/>
        <v>5910.1825137704745</v>
      </c>
      <c r="DC124" s="476">
        <f t="shared" si="721"/>
        <v>5910.1825137704745</v>
      </c>
      <c r="DD124" s="23"/>
      <c r="DE124" s="489"/>
      <c r="DF124" s="422"/>
      <c r="DG124" s="422"/>
      <c r="DH124" s="422"/>
      <c r="DI124" s="422"/>
      <c r="DJ124" s="422"/>
      <c r="DK124" s="422"/>
      <c r="DL124" s="422"/>
      <c r="DM124" s="422"/>
      <c r="DN124" s="422"/>
      <c r="DO124" s="422"/>
      <c r="DP124" s="422"/>
      <c r="DQ124" s="422"/>
      <c r="DR124" s="422"/>
      <c r="DS124" s="422"/>
      <c r="DT124" s="461"/>
      <c r="DU124" s="422"/>
      <c r="DV124" s="422">
        <f>+BW124</f>
        <v>3755.1</v>
      </c>
      <c r="DW124" s="422">
        <f>+CA124</f>
        <v>3913.1</v>
      </c>
      <c r="DX124" s="422">
        <f>+CE124</f>
        <v>5314</v>
      </c>
      <c r="DY124" s="422">
        <f>+CI124</f>
        <v>5910.1825137704745</v>
      </c>
      <c r="DZ124" s="422">
        <f t="shared" si="682"/>
        <v>5910.1825137704745</v>
      </c>
      <c r="EA124" s="461">
        <f t="shared" si="683"/>
        <v>5910.1825137704745</v>
      </c>
      <c r="EB124" s="461">
        <f t="shared" si="684"/>
        <v>5910.1825137704745</v>
      </c>
      <c r="EC124" s="461">
        <f>CY124</f>
        <v>5910.1825137704745</v>
      </c>
      <c r="ED124" s="476">
        <f t="shared" si="692"/>
        <v>5910.1825137704745</v>
      </c>
      <c r="EE124" s="489"/>
      <c r="EF124" s="421"/>
      <c r="EG124" s="421"/>
      <c r="EH124" s="421"/>
      <c r="EI124" s="421"/>
      <c r="EJ124" s="421"/>
      <c r="EK124" s="421"/>
      <c r="EL124" s="421"/>
      <c r="EM124" s="421"/>
      <c r="EN124" s="421"/>
      <c r="EO124" s="421"/>
      <c r="EP124" s="421"/>
      <c r="EQ124" s="421"/>
      <c r="ER124" s="421"/>
      <c r="ES124" s="421"/>
      <c r="ET124" s="421"/>
      <c r="EU124" s="421"/>
      <c r="EV124" s="421"/>
      <c r="EW124" s="421"/>
      <c r="EX124" s="421"/>
      <c r="EY124" s="421"/>
      <c r="EZ124" s="421"/>
      <c r="FA124" s="421"/>
      <c r="FB124" s="421"/>
      <c r="FC124" s="421"/>
      <c r="FD124" s="421"/>
      <c r="FE124" s="422"/>
      <c r="FF124" s="422"/>
      <c r="FG124" s="422"/>
      <c r="FH124" s="422"/>
      <c r="FI124"/>
      <c r="FJ124"/>
      <c r="FK124"/>
      <c r="FL124"/>
      <c r="FM124"/>
      <c r="FN124"/>
      <c r="FO124" s="421"/>
    </row>
    <row r="125" spans="1:171" ht="14.25" hidden="1" customHeight="1" outlineLevel="1">
      <c r="A125" s="7"/>
      <c r="B125" s="51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21"/>
      <c r="BI125" s="13"/>
      <c r="BJ125" s="13"/>
      <c r="BK125" s="231"/>
      <c r="BL125" s="13"/>
      <c r="BM125" s="13"/>
      <c r="BN125" s="13"/>
      <c r="BO125" s="13"/>
      <c r="BP125" s="21"/>
      <c r="BQ125" s="13"/>
      <c r="BR125" s="13"/>
      <c r="BS125" s="231"/>
      <c r="BT125" s="21"/>
      <c r="BU125" s="13"/>
      <c r="BV125" s="13"/>
      <c r="BW125" s="231"/>
      <c r="BX125" s="21"/>
      <c r="BY125" s="13"/>
      <c r="BZ125" s="13"/>
      <c r="CA125" s="231"/>
      <c r="CB125" s="21"/>
      <c r="CC125" s="13"/>
      <c r="CD125" s="13"/>
      <c r="CE125" s="231"/>
      <c r="CF125" s="21"/>
      <c r="CG125" s="13"/>
      <c r="CH125" s="13"/>
      <c r="CI125" s="231"/>
      <c r="CJ125" s="21"/>
      <c r="CK125" s="13"/>
      <c r="CL125" s="13"/>
      <c r="CM125" s="231"/>
      <c r="CN125" s="13"/>
      <c r="CO125" s="1225"/>
      <c r="CP125" s="13"/>
      <c r="CQ125" s="231"/>
      <c r="CR125" s="13"/>
      <c r="CS125" s="13"/>
      <c r="CT125" s="13"/>
      <c r="CU125" s="231"/>
      <c r="CV125" s="13"/>
      <c r="CW125" s="13"/>
      <c r="CX125" s="13"/>
      <c r="CY125" s="231"/>
      <c r="CZ125" s="13"/>
      <c r="DA125" s="13"/>
      <c r="DB125" s="13"/>
      <c r="DC125" s="231"/>
      <c r="DD125" s="23"/>
      <c r="DE125" s="21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703"/>
      <c r="DU125" s="13"/>
      <c r="DV125" s="13"/>
      <c r="DW125" s="13"/>
      <c r="DX125" s="13"/>
      <c r="DY125" s="13"/>
      <c r="DZ125" s="13"/>
      <c r="EA125" s="703"/>
      <c r="EB125" s="703"/>
      <c r="EC125" s="703"/>
      <c r="ED125" s="704"/>
      <c r="EE125" s="21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13"/>
      <c r="FF125" s="13"/>
      <c r="FG125" s="13"/>
      <c r="FH125" s="13"/>
      <c r="FO125" s="7"/>
    </row>
    <row r="126" spans="1:171" ht="14.25" hidden="1" customHeight="1" outlineLevel="1">
      <c r="A126" s="7"/>
      <c r="B126" s="447" t="s">
        <v>129</v>
      </c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21"/>
      <c r="BI126" s="13"/>
      <c r="BJ126" s="13"/>
      <c r="BK126" s="231"/>
      <c r="BL126" s="13"/>
      <c r="BM126" s="13"/>
      <c r="BN126" s="13"/>
      <c r="BO126" s="13"/>
      <c r="BP126" s="21"/>
      <c r="BQ126" s="13"/>
      <c r="BR126" s="13"/>
      <c r="BS126" s="231"/>
      <c r="BT126" s="21"/>
      <c r="BU126" s="13"/>
      <c r="BV126" s="497"/>
      <c r="BW126" s="231"/>
      <c r="BX126" s="21"/>
      <c r="BY126" s="13"/>
      <c r="BZ126" s="13"/>
      <c r="CA126" s="231"/>
      <c r="CB126" s="21"/>
      <c r="CC126" s="13"/>
      <c r="CD126" s="13"/>
      <c r="CE126" s="231"/>
      <c r="CF126" s="21"/>
      <c r="CG126" s="13"/>
      <c r="CH126" s="13"/>
      <c r="CI126" s="231"/>
      <c r="CJ126" s="21"/>
      <c r="CK126" s="13"/>
      <c r="CL126" s="13"/>
      <c r="CM126" s="231"/>
      <c r="CN126" s="13"/>
      <c r="CO126" s="1225"/>
      <c r="CP126" s="13"/>
      <c r="CQ126" s="231"/>
      <c r="CR126" s="13"/>
      <c r="CS126" s="13"/>
      <c r="CT126" s="13"/>
      <c r="CU126" s="231"/>
      <c r="CV126" s="13"/>
      <c r="CW126" s="13"/>
      <c r="CX126" s="13"/>
      <c r="CY126" s="231"/>
      <c r="CZ126" s="13"/>
      <c r="DA126" s="13"/>
      <c r="DB126" s="13"/>
      <c r="DC126" s="231"/>
      <c r="DD126" s="23"/>
      <c r="DE126" s="21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703"/>
      <c r="DU126" s="13"/>
      <c r="DV126" s="13"/>
      <c r="DW126" s="13"/>
      <c r="DX126" s="13"/>
      <c r="DY126" s="13"/>
      <c r="DZ126" s="13"/>
      <c r="EA126" s="703"/>
      <c r="EB126" s="703"/>
      <c r="EC126" s="703"/>
      <c r="ED126" s="704"/>
      <c r="EE126" s="21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13"/>
      <c r="FF126" s="13"/>
      <c r="FG126" s="13"/>
      <c r="FH126" s="13"/>
      <c r="FO126" s="7"/>
    </row>
    <row r="127" spans="1:171" s="458" customFormat="1" ht="14.25" hidden="1" customHeight="1" outlineLevel="1">
      <c r="A127" s="457"/>
      <c r="B127" s="511" t="s">
        <v>115</v>
      </c>
      <c r="C127" s="275"/>
      <c r="D127" s="275"/>
      <c r="E127" s="275"/>
      <c r="F127" s="275"/>
      <c r="G127" s="275"/>
      <c r="H127" s="275"/>
      <c r="I127" s="275"/>
      <c r="J127" s="275"/>
      <c r="K127" s="275"/>
      <c r="L127" s="275"/>
      <c r="M127" s="275"/>
      <c r="N127" s="275"/>
      <c r="O127" s="275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  <c r="AA127" s="275"/>
      <c r="AB127" s="275"/>
      <c r="AC127" s="275"/>
      <c r="AD127" s="275"/>
      <c r="AE127" s="275"/>
      <c r="AF127" s="275"/>
      <c r="AG127" s="275"/>
      <c r="AH127" s="275"/>
      <c r="AI127" s="275"/>
      <c r="AJ127" s="275"/>
      <c r="AK127" s="275"/>
      <c r="AL127" s="275"/>
      <c r="AM127" s="275"/>
      <c r="AN127" s="275"/>
      <c r="AO127" s="275"/>
      <c r="AP127" s="275"/>
      <c r="AQ127" s="275"/>
      <c r="AR127" s="275"/>
      <c r="AS127" s="275"/>
      <c r="AT127" s="275"/>
      <c r="AU127" s="275"/>
      <c r="AV127" s="275"/>
      <c r="AW127" s="275"/>
      <c r="AX127" s="275"/>
      <c r="AY127" s="275"/>
      <c r="AZ127" s="275"/>
      <c r="BA127" s="275"/>
      <c r="BB127" s="275"/>
      <c r="BC127" s="275"/>
      <c r="BD127" s="275"/>
      <c r="BE127" s="275"/>
      <c r="BF127" s="275"/>
      <c r="BG127" s="275"/>
      <c r="BH127" s="471"/>
      <c r="BI127" s="275"/>
      <c r="BJ127" s="275"/>
      <c r="BK127" s="472"/>
      <c r="BL127" s="275"/>
      <c r="BM127" s="275"/>
      <c r="BN127" s="275"/>
      <c r="BO127" s="275"/>
      <c r="BP127" s="471"/>
      <c r="BQ127" s="275"/>
      <c r="BR127" s="275"/>
      <c r="BS127" s="472"/>
      <c r="BT127" s="471"/>
      <c r="BU127" s="275"/>
      <c r="BV127" s="599">
        <v>448</v>
      </c>
      <c r="BW127" s="574">
        <v>451</v>
      </c>
      <c r="BX127" s="498">
        <v>454</v>
      </c>
      <c r="BY127" s="275">
        <f t="shared" ref="BY127:CE132" si="722">IF(BY106&gt;(BX127+BY228),BX127+BY228,BY106)</f>
        <v>457.544375</v>
      </c>
      <c r="BZ127" s="275">
        <f t="shared" si="722"/>
        <v>461.14191562500002</v>
      </c>
      <c r="CA127" s="574">
        <f t="shared" si="722"/>
        <v>464.79341935937504</v>
      </c>
      <c r="CB127" s="471">
        <f t="shared" si="722"/>
        <v>468.49969564976567</v>
      </c>
      <c r="CC127" s="275">
        <f t="shared" si="722"/>
        <v>472.26156608451214</v>
      </c>
      <c r="CD127" s="275">
        <f t="shared" si="722"/>
        <v>476.07986457577982</v>
      </c>
      <c r="CE127" s="574">
        <f t="shared" si="722"/>
        <v>479.9554375444165</v>
      </c>
      <c r="CF127" s="471">
        <f>+CE127+CF228</f>
        <v>483.88914410758275</v>
      </c>
      <c r="CG127" s="275">
        <f>+CF127+CG228</f>
        <v>487.88185626919648</v>
      </c>
      <c r="CH127" s="275">
        <f t="shared" ref="CH127:CH132" si="723">IF(CH106&gt;(CG127+CH228),CG127+CH228,CH106)</f>
        <v>491.93445911323442</v>
      </c>
      <c r="CI127" s="472">
        <f t="shared" ref="CI127:CU132" si="724">+CH127+CI228</f>
        <v>496.04785099993296</v>
      </c>
      <c r="CJ127" s="471">
        <f t="shared" si="724"/>
        <v>500.22294376493198</v>
      </c>
      <c r="CK127" s="275">
        <f t="shared" si="724"/>
        <v>504.46066292140597</v>
      </c>
      <c r="CL127" s="275">
        <f t="shared" si="724"/>
        <v>508.76194786522706</v>
      </c>
      <c r="CM127" s="472">
        <f t="shared" si="724"/>
        <v>513.12775208320545</v>
      </c>
      <c r="CN127" s="275">
        <f t="shared" si="724"/>
        <v>517.55904336445349</v>
      </c>
      <c r="CO127" s="1259">
        <f t="shared" si="724"/>
        <v>522.05680401492032</v>
      </c>
      <c r="CP127" s="275">
        <f t="shared" si="724"/>
        <v>526.62203107514415</v>
      </c>
      <c r="CQ127" s="472">
        <f t="shared" si="724"/>
        <v>531.25573654127129</v>
      </c>
      <c r="CR127" s="275">
        <f t="shared" si="724"/>
        <v>535.95894758939039</v>
      </c>
      <c r="CS127" s="275">
        <f t="shared" si="724"/>
        <v>540.73270680323128</v>
      </c>
      <c r="CT127" s="275">
        <f t="shared" si="724"/>
        <v>545.57807240527973</v>
      </c>
      <c r="CU127" s="472">
        <f t="shared" si="724"/>
        <v>550.49611849135897</v>
      </c>
      <c r="CV127" s="1259">
        <f t="shared" ref="CV127:CV132" si="725">+CU127+CV228</f>
        <v>555.4879352687293</v>
      </c>
      <c r="CW127" s="1259">
        <f t="shared" ref="CW127:CW132" si="726">+CV127+CW228</f>
        <v>560.55462929776024</v>
      </c>
      <c r="CX127" s="1259">
        <f t="shared" ref="CX127:CX132" si="727">+CW127+CX228</f>
        <v>565.69732373722661</v>
      </c>
      <c r="CY127" s="472">
        <f t="shared" ref="CY127:CY132" si="728">+CX127+CY228</f>
        <v>570.91715859328497</v>
      </c>
      <c r="CZ127" s="1259">
        <f t="shared" ref="CZ127:CZ132" si="729">+CY127+CZ228</f>
        <v>576.21529097218422</v>
      </c>
      <c r="DA127" s="1259">
        <f t="shared" ref="DA127:DA132" si="730">+CZ127+DA228</f>
        <v>581.59289533676701</v>
      </c>
      <c r="DB127" s="1259">
        <f t="shared" ref="DB127:DB132" si="731">+DA127+DB228</f>
        <v>587.05116376681849</v>
      </c>
      <c r="DC127" s="472">
        <f t="shared" ref="DC127:DC132" si="732">+DB127+DC228</f>
        <v>592.59130622332077</v>
      </c>
      <c r="DD127" s="23"/>
      <c r="DE127" s="471"/>
      <c r="DF127" s="275"/>
      <c r="DG127" s="275"/>
      <c r="DH127" s="275"/>
      <c r="DI127" s="275"/>
      <c r="DJ127" s="275"/>
      <c r="DK127" s="275"/>
      <c r="DL127" s="275"/>
      <c r="DM127" s="275"/>
      <c r="DN127" s="275"/>
      <c r="DO127" s="275"/>
      <c r="DP127" s="275"/>
      <c r="DQ127" s="275"/>
      <c r="DR127" s="275"/>
      <c r="DS127" s="275"/>
      <c r="DT127" s="275"/>
      <c r="DU127" s="1259"/>
      <c r="DV127" s="1259">
        <f t="shared" ref="DV127:DV133" si="733">+BW127</f>
        <v>451</v>
      </c>
      <c r="DW127" s="1259">
        <f t="shared" ref="DW127:DW133" si="734">+CA127</f>
        <v>464.79341935937504</v>
      </c>
      <c r="DX127" s="1259">
        <f t="shared" ref="DX127:DX133" si="735">+CE127</f>
        <v>479.9554375444165</v>
      </c>
      <c r="DY127" s="1259">
        <f t="shared" ref="DY127:DY133" si="736">+CI127</f>
        <v>496.04785099993296</v>
      </c>
      <c r="DZ127" s="1259">
        <f t="shared" ref="DZ127:DZ133" si="737">+CM127</f>
        <v>513.12775208320545</v>
      </c>
      <c r="EA127" s="275">
        <f t="shared" ref="EA127:EA133" si="738">CQ127</f>
        <v>531.25573654127129</v>
      </c>
      <c r="EB127" s="1259">
        <f t="shared" ref="EB127:EB133" si="739">CU127</f>
        <v>550.49611849135897</v>
      </c>
      <c r="EC127" s="1259">
        <f t="shared" ref="EC127:EC148" si="740">CY127</f>
        <v>570.91715859328497</v>
      </c>
      <c r="ED127" s="472">
        <f t="shared" ref="ED127:ED148" si="741">DC127</f>
        <v>592.59130622332077</v>
      </c>
      <c r="EE127" s="471"/>
      <c r="EF127" s="457"/>
      <c r="EG127" s="457"/>
      <c r="EH127" s="457"/>
      <c r="EI127" s="457"/>
      <c r="EJ127" s="457"/>
      <c r="EK127" s="457"/>
      <c r="EL127" s="457"/>
      <c r="EM127" s="457"/>
      <c r="EN127" s="457"/>
      <c r="EO127" s="457"/>
      <c r="EP127" s="457"/>
      <c r="EQ127" s="457"/>
      <c r="ER127" s="457"/>
      <c r="ES127" s="457"/>
      <c r="ET127" s="457"/>
      <c r="EU127" s="457"/>
      <c r="EV127" s="457"/>
      <c r="EW127" s="457"/>
      <c r="EX127" s="457"/>
      <c r="EY127" s="457"/>
      <c r="EZ127" s="457"/>
      <c r="FA127" s="457"/>
      <c r="FB127" s="457"/>
      <c r="FC127" s="457"/>
      <c r="FD127" s="457"/>
      <c r="FE127" s="275"/>
      <c r="FF127" s="1259"/>
      <c r="FG127" s="1259"/>
      <c r="FH127" s="1259"/>
      <c r="FI127"/>
      <c r="FJ127"/>
      <c r="FK127"/>
      <c r="FL127"/>
      <c r="FM127"/>
      <c r="FN127"/>
      <c r="FO127" s="457"/>
    </row>
    <row r="128" spans="1:171" s="458" customFormat="1" ht="14.25" hidden="1" customHeight="1" outlineLevel="1">
      <c r="A128" s="457"/>
      <c r="B128" s="511" t="s">
        <v>116</v>
      </c>
      <c r="C128" s="275"/>
      <c r="D128" s="275"/>
      <c r="E128" s="275"/>
      <c r="F128" s="275"/>
      <c r="G128" s="275"/>
      <c r="H128" s="275"/>
      <c r="I128" s="275"/>
      <c r="J128" s="275"/>
      <c r="K128" s="275"/>
      <c r="L128" s="275"/>
      <c r="M128" s="275"/>
      <c r="N128" s="275"/>
      <c r="O128" s="275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  <c r="AA128" s="275"/>
      <c r="AB128" s="275"/>
      <c r="AC128" s="275"/>
      <c r="AD128" s="275"/>
      <c r="AE128" s="275"/>
      <c r="AF128" s="275"/>
      <c r="AG128" s="275"/>
      <c r="AH128" s="275"/>
      <c r="AI128" s="275"/>
      <c r="AJ128" s="275"/>
      <c r="AK128" s="275"/>
      <c r="AL128" s="275"/>
      <c r="AM128" s="275"/>
      <c r="AN128" s="275"/>
      <c r="AO128" s="275"/>
      <c r="AP128" s="275"/>
      <c r="AQ128" s="275"/>
      <c r="AR128" s="275"/>
      <c r="AS128" s="275"/>
      <c r="AT128" s="275"/>
      <c r="AU128" s="275"/>
      <c r="AV128" s="275"/>
      <c r="AW128" s="275"/>
      <c r="AX128" s="275"/>
      <c r="AY128" s="275"/>
      <c r="AZ128" s="275"/>
      <c r="BA128" s="275"/>
      <c r="BB128" s="275"/>
      <c r="BC128" s="275"/>
      <c r="BD128" s="275"/>
      <c r="BE128" s="275"/>
      <c r="BF128" s="275"/>
      <c r="BG128" s="275"/>
      <c r="BH128" s="471"/>
      <c r="BI128" s="275"/>
      <c r="BJ128" s="275"/>
      <c r="BK128" s="472"/>
      <c r="BL128" s="275"/>
      <c r="BM128" s="275"/>
      <c r="BN128" s="275"/>
      <c r="BO128" s="275"/>
      <c r="BP128" s="471"/>
      <c r="BQ128" s="275"/>
      <c r="BR128" s="275"/>
      <c r="BS128" s="472"/>
      <c r="BT128" s="471"/>
      <c r="BU128" s="275"/>
      <c r="BV128" s="599">
        <v>359</v>
      </c>
      <c r="BW128" s="574">
        <v>361</v>
      </c>
      <c r="BX128" s="498">
        <v>363</v>
      </c>
      <c r="BY128" s="275">
        <f t="shared" si="722"/>
        <v>365.20162499999998</v>
      </c>
      <c r="BZ128" s="275">
        <f t="shared" si="722"/>
        <v>367.43792559374998</v>
      </c>
      <c r="CA128" s="574">
        <f t="shared" si="722"/>
        <v>369.70944792185156</v>
      </c>
      <c r="CB128" s="471">
        <f t="shared" si="722"/>
        <v>372.01674672662074</v>
      </c>
      <c r="CC128" s="275">
        <f t="shared" si="722"/>
        <v>374.360385487565</v>
      </c>
      <c r="CD128" s="275">
        <f t="shared" si="722"/>
        <v>376.74093655899412</v>
      </c>
      <c r="CE128" s="574">
        <f t="shared" si="722"/>
        <v>379.15898130979826</v>
      </c>
      <c r="CF128" s="471">
        <f>+CE128+CF229</f>
        <v>381.61511026542757</v>
      </c>
      <c r="CG128" s="275">
        <f>+CF128+CG229</f>
        <v>384.10992325210805</v>
      </c>
      <c r="CH128" s="275">
        <f t="shared" si="723"/>
        <v>386.64402954332877</v>
      </c>
      <c r="CI128" s="472">
        <f t="shared" ref="CI128:CQ128" si="742">+CH128+CI229</f>
        <v>389.21804800863617</v>
      </c>
      <c r="CJ128" s="471">
        <f t="shared" si="742"/>
        <v>391.83260726477221</v>
      </c>
      <c r="CK128" s="275">
        <f t="shared" si="742"/>
        <v>394.48834582919238</v>
      </c>
      <c r="CL128" s="275">
        <f t="shared" si="742"/>
        <v>397.18591227600217</v>
      </c>
      <c r="CM128" s="472">
        <f t="shared" si="742"/>
        <v>399.92596539434919</v>
      </c>
      <c r="CN128" s="275">
        <f t="shared" si="742"/>
        <v>402.70917434931022</v>
      </c>
      <c r="CO128" s="1259">
        <f t="shared" si="724"/>
        <v>405.53621884531185</v>
      </c>
      <c r="CP128" s="275">
        <f t="shared" si="742"/>
        <v>408.40778929212553</v>
      </c>
      <c r="CQ128" s="472">
        <f t="shared" si="742"/>
        <v>411.32458697347653</v>
      </c>
      <c r="CR128" s="275">
        <f t="shared" ref="CR128:CU132" si="743">+CQ128+CR229</f>
        <v>414.28732421830881</v>
      </c>
      <c r="CS128" s="275">
        <f t="shared" si="743"/>
        <v>417.2967245747472</v>
      </c>
      <c r="CT128" s="275">
        <f t="shared" si="743"/>
        <v>420.35352298679948</v>
      </c>
      <c r="CU128" s="472">
        <f t="shared" si="743"/>
        <v>423.45846597384156</v>
      </c>
      <c r="CV128" s="1259">
        <f t="shared" si="725"/>
        <v>426.61231181292953</v>
      </c>
      <c r="CW128" s="1259">
        <f t="shared" si="726"/>
        <v>429.8158307239832</v>
      </c>
      <c r="CX128" s="1259">
        <f t="shared" si="727"/>
        <v>433.06980505788596</v>
      </c>
      <c r="CY128" s="472">
        <f t="shared" si="728"/>
        <v>436.37502948754764</v>
      </c>
      <c r="CZ128" s="1259">
        <f t="shared" si="729"/>
        <v>439.73231120197653</v>
      </c>
      <c r="DA128" s="1259">
        <f t="shared" si="730"/>
        <v>443.14247010340767</v>
      </c>
      <c r="DB128" s="1259">
        <f t="shared" si="731"/>
        <v>446.60633900753635</v>
      </c>
      <c r="DC128" s="472">
        <f t="shared" si="732"/>
        <v>450.12476384690507</v>
      </c>
      <c r="DD128" s="23"/>
      <c r="DE128" s="471"/>
      <c r="DF128" s="275"/>
      <c r="DG128" s="275"/>
      <c r="DH128" s="275"/>
      <c r="DI128" s="275"/>
      <c r="DJ128" s="275"/>
      <c r="DK128" s="275"/>
      <c r="DL128" s="275"/>
      <c r="DM128" s="275"/>
      <c r="DN128" s="275"/>
      <c r="DO128" s="275"/>
      <c r="DP128" s="275"/>
      <c r="DQ128" s="275"/>
      <c r="DR128" s="275"/>
      <c r="DS128" s="275"/>
      <c r="DT128" s="275"/>
      <c r="DU128" s="1259"/>
      <c r="DV128" s="1259">
        <f t="shared" si="733"/>
        <v>361</v>
      </c>
      <c r="DW128" s="1259">
        <f t="shared" si="734"/>
        <v>369.70944792185156</v>
      </c>
      <c r="DX128" s="1259">
        <f t="shared" si="735"/>
        <v>379.15898130979826</v>
      </c>
      <c r="DY128" s="1259">
        <f t="shared" si="736"/>
        <v>389.21804800863617</v>
      </c>
      <c r="DZ128" s="1259">
        <f t="shared" si="737"/>
        <v>399.92596539434919</v>
      </c>
      <c r="EA128" s="275">
        <f t="shared" si="738"/>
        <v>411.32458697347653</v>
      </c>
      <c r="EB128" s="1259">
        <f t="shared" si="739"/>
        <v>423.45846597384156</v>
      </c>
      <c r="EC128" s="1259">
        <f t="shared" si="740"/>
        <v>436.37502948754764</v>
      </c>
      <c r="ED128" s="472">
        <f t="shared" si="741"/>
        <v>450.12476384690507</v>
      </c>
      <c r="EE128" s="471"/>
      <c r="EF128" s="457"/>
      <c r="EG128" s="457"/>
      <c r="EH128" s="457"/>
      <c r="EI128" s="457"/>
      <c r="EJ128" s="457"/>
      <c r="EK128" s="457"/>
      <c r="EL128" s="457"/>
      <c r="EM128" s="457"/>
      <c r="EN128" s="457"/>
      <c r="EO128" s="457"/>
      <c r="EP128" s="457"/>
      <c r="EQ128" s="457"/>
      <c r="ER128" s="457"/>
      <c r="ES128" s="457"/>
      <c r="ET128" s="457"/>
      <c r="EU128" s="457"/>
      <c r="EV128" s="457"/>
      <c r="EW128" s="457"/>
      <c r="EX128" s="457"/>
      <c r="EY128" s="457"/>
      <c r="EZ128" s="457"/>
      <c r="FA128" s="457"/>
      <c r="FB128" s="457"/>
      <c r="FC128" s="457"/>
      <c r="FD128" s="457"/>
      <c r="FE128" s="275"/>
      <c r="FF128" s="1259"/>
      <c r="FG128" s="1259"/>
      <c r="FH128" s="1259"/>
      <c r="FI128"/>
      <c r="FJ128"/>
      <c r="FK128"/>
      <c r="FL128"/>
      <c r="FM128"/>
      <c r="FN128"/>
      <c r="FO128" s="457"/>
    </row>
    <row r="129" spans="1:171" s="458" customFormat="1" ht="14.25" hidden="1" customHeight="1" outlineLevel="1">
      <c r="A129" s="457"/>
      <c r="B129" s="511" t="s">
        <v>117</v>
      </c>
      <c r="C129" s="275"/>
      <c r="D129" s="275"/>
      <c r="E129" s="275"/>
      <c r="F129" s="275"/>
      <c r="G129" s="275"/>
      <c r="H129" s="275"/>
      <c r="I129" s="275"/>
      <c r="J129" s="275"/>
      <c r="K129" s="275"/>
      <c r="L129" s="275"/>
      <c r="M129" s="275"/>
      <c r="N129" s="275"/>
      <c r="O129" s="275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  <c r="AA129" s="275"/>
      <c r="AB129" s="275"/>
      <c r="AC129" s="275"/>
      <c r="AD129" s="275"/>
      <c r="AE129" s="275"/>
      <c r="AF129" s="275"/>
      <c r="AG129" s="275"/>
      <c r="AH129" s="275"/>
      <c r="AI129" s="275"/>
      <c r="AJ129" s="275"/>
      <c r="AK129" s="275"/>
      <c r="AL129" s="275"/>
      <c r="AM129" s="275"/>
      <c r="AN129" s="275"/>
      <c r="AO129" s="275"/>
      <c r="AP129" s="275"/>
      <c r="AQ129" s="275"/>
      <c r="AR129" s="275"/>
      <c r="AS129" s="275"/>
      <c r="AT129" s="275"/>
      <c r="AU129" s="275"/>
      <c r="AV129" s="275"/>
      <c r="AW129" s="275"/>
      <c r="AX129" s="275"/>
      <c r="AY129" s="275"/>
      <c r="AZ129" s="275"/>
      <c r="BA129" s="275"/>
      <c r="BB129" s="275"/>
      <c r="BC129" s="275"/>
      <c r="BD129" s="275"/>
      <c r="BE129" s="275"/>
      <c r="BF129" s="275"/>
      <c r="BG129" s="275"/>
      <c r="BH129" s="471"/>
      <c r="BI129" s="275"/>
      <c r="BJ129" s="275"/>
      <c r="BK129" s="472"/>
      <c r="BL129" s="275"/>
      <c r="BM129" s="275"/>
      <c r="BN129" s="275"/>
      <c r="BO129" s="275"/>
      <c r="BP129" s="471"/>
      <c r="BQ129" s="275"/>
      <c r="BR129" s="275"/>
      <c r="BS129" s="574">
        <v>255</v>
      </c>
      <c r="BT129" s="498">
        <v>257</v>
      </c>
      <c r="BU129" s="494">
        <v>260</v>
      </c>
      <c r="BV129" s="599">
        <v>263</v>
      </c>
      <c r="BW129" s="574">
        <v>265</v>
      </c>
      <c r="BX129" s="498">
        <v>268</v>
      </c>
      <c r="BY129" s="275">
        <f t="shared" si="722"/>
        <v>271.06124999999997</v>
      </c>
      <c r="BZ129" s="275">
        <f t="shared" si="722"/>
        <v>274.17224531249997</v>
      </c>
      <c r="CA129" s="574">
        <f t="shared" si="722"/>
        <v>277.33379429882808</v>
      </c>
      <c r="CB129" s="471">
        <f t="shared" si="722"/>
        <v>280.54671845618401</v>
      </c>
      <c r="CC129" s="275">
        <f t="shared" si="722"/>
        <v>283.811852631097</v>
      </c>
      <c r="CD129" s="275">
        <f t="shared" si="722"/>
        <v>287.13004523635232</v>
      </c>
      <c r="CE129" s="574">
        <f t="shared" si="722"/>
        <v>290.50215847144307</v>
      </c>
      <c r="CF129" s="471"/>
      <c r="CG129" s="275">
        <f>+CF129+CG230</f>
        <v>0</v>
      </c>
      <c r="CH129" s="275">
        <f t="shared" si="723"/>
        <v>0</v>
      </c>
      <c r="CI129" s="472">
        <f t="shared" ref="CI129:CQ129" si="744">+CH129+CI230</f>
        <v>0</v>
      </c>
      <c r="CJ129" s="471">
        <f t="shared" si="744"/>
        <v>0</v>
      </c>
      <c r="CK129" s="275">
        <f t="shared" si="744"/>
        <v>0</v>
      </c>
      <c r="CL129" s="275">
        <f t="shared" si="744"/>
        <v>0</v>
      </c>
      <c r="CM129" s="472">
        <f t="shared" si="744"/>
        <v>0</v>
      </c>
      <c r="CN129" s="275">
        <f t="shared" si="744"/>
        <v>0</v>
      </c>
      <c r="CO129" s="1259">
        <f t="shared" si="724"/>
        <v>0</v>
      </c>
      <c r="CP129" s="275">
        <f t="shared" si="744"/>
        <v>0</v>
      </c>
      <c r="CQ129" s="472">
        <f t="shared" si="744"/>
        <v>0</v>
      </c>
      <c r="CR129" s="275">
        <f t="shared" si="743"/>
        <v>0</v>
      </c>
      <c r="CS129" s="275">
        <f t="shared" si="743"/>
        <v>0</v>
      </c>
      <c r="CT129" s="275">
        <f t="shared" si="743"/>
        <v>0</v>
      </c>
      <c r="CU129" s="472">
        <f t="shared" si="743"/>
        <v>0</v>
      </c>
      <c r="CV129" s="1259">
        <f t="shared" si="725"/>
        <v>0</v>
      </c>
      <c r="CW129" s="1259">
        <f t="shared" si="726"/>
        <v>0</v>
      </c>
      <c r="CX129" s="1259">
        <f t="shared" si="727"/>
        <v>0</v>
      </c>
      <c r="CY129" s="472">
        <f t="shared" si="728"/>
        <v>0</v>
      </c>
      <c r="CZ129" s="1259">
        <f t="shared" si="729"/>
        <v>0</v>
      </c>
      <c r="DA129" s="1259">
        <f t="shared" si="730"/>
        <v>0</v>
      </c>
      <c r="DB129" s="1259">
        <f t="shared" si="731"/>
        <v>0</v>
      </c>
      <c r="DC129" s="472">
        <f t="shared" si="732"/>
        <v>0</v>
      </c>
      <c r="DD129" s="23"/>
      <c r="DE129" s="471"/>
      <c r="DF129" s="275"/>
      <c r="DG129" s="275"/>
      <c r="DH129" s="275"/>
      <c r="DI129" s="275"/>
      <c r="DJ129" s="275"/>
      <c r="DK129" s="275"/>
      <c r="DL129" s="275"/>
      <c r="DM129" s="275"/>
      <c r="DN129" s="275"/>
      <c r="DO129" s="275"/>
      <c r="DP129" s="275"/>
      <c r="DQ129" s="275"/>
      <c r="DR129" s="275"/>
      <c r="DS129" s="275"/>
      <c r="DT129" s="275"/>
      <c r="DU129" s="1259"/>
      <c r="DV129" s="1259">
        <f t="shared" si="733"/>
        <v>265</v>
      </c>
      <c r="DW129" s="1259">
        <f t="shared" si="734"/>
        <v>277.33379429882808</v>
      </c>
      <c r="DX129" s="1259">
        <f t="shared" si="735"/>
        <v>290.50215847144307</v>
      </c>
      <c r="DY129" s="1259">
        <f t="shared" si="736"/>
        <v>0</v>
      </c>
      <c r="DZ129" s="1259">
        <f t="shared" si="737"/>
        <v>0</v>
      </c>
      <c r="EA129" s="275">
        <f t="shared" si="738"/>
        <v>0</v>
      </c>
      <c r="EB129" s="1259">
        <f t="shared" si="739"/>
        <v>0</v>
      </c>
      <c r="EC129" s="1259">
        <f t="shared" si="740"/>
        <v>0</v>
      </c>
      <c r="ED129" s="472">
        <f t="shared" si="741"/>
        <v>0</v>
      </c>
      <c r="EE129" s="471"/>
      <c r="EF129" s="457"/>
      <c r="EG129" s="457"/>
      <c r="EH129" s="457"/>
      <c r="EI129" s="457"/>
      <c r="EJ129" s="457"/>
      <c r="EK129" s="457"/>
      <c r="EL129" s="457"/>
      <c r="EM129" s="457"/>
      <c r="EN129" s="457"/>
      <c r="EO129" s="457"/>
      <c r="EP129" s="457"/>
      <c r="EQ129" s="457"/>
      <c r="ER129" s="457"/>
      <c r="ES129" s="457"/>
      <c r="ET129" s="457"/>
      <c r="EU129" s="457"/>
      <c r="EV129" s="457"/>
      <c r="EW129" s="457"/>
      <c r="EX129" s="457"/>
      <c r="EY129" s="457"/>
      <c r="EZ129" s="457"/>
      <c r="FA129" s="457"/>
      <c r="FB129" s="457"/>
      <c r="FC129" s="457"/>
      <c r="FD129" s="457"/>
      <c r="FE129" s="275"/>
      <c r="FF129" s="1259"/>
      <c r="FG129" s="1259"/>
      <c r="FH129" s="1259"/>
      <c r="FI129"/>
      <c r="FJ129"/>
      <c r="FK129"/>
      <c r="FL129"/>
      <c r="FM129"/>
      <c r="FN129"/>
      <c r="FO129" s="457"/>
    </row>
    <row r="130" spans="1:171" s="458" customFormat="1" ht="14.25" hidden="1" customHeight="1" outlineLevel="1">
      <c r="A130" s="457"/>
      <c r="B130" s="511" t="s">
        <v>118</v>
      </c>
      <c r="C130" s="275"/>
      <c r="D130" s="275"/>
      <c r="E130" s="275"/>
      <c r="F130" s="275"/>
      <c r="G130" s="275"/>
      <c r="H130" s="275"/>
      <c r="I130" s="275"/>
      <c r="J130" s="275"/>
      <c r="K130" s="275"/>
      <c r="L130" s="275"/>
      <c r="M130" s="275"/>
      <c r="N130" s="275"/>
      <c r="O130" s="275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  <c r="AA130" s="275"/>
      <c r="AB130" s="275"/>
      <c r="AC130" s="275"/>
      <c r="AD130" s="275"/>
      <c r="AE130" s="275"/>
      <c r="AF130" s="275"/>
      <c r="AG130" s="275"/>
      <c r="AH130" s="275"/>
      <c r="AI130" s="275"/>
      <c r="AJ130" s="275"/>
      <c r="AK130" s="275"/>
      <c r="AL130" s="275"/>
      <c r="AM130" s="275"/>
      <c r="AN130" s="275"/>
      <c r="AO130" s="275"/>
      <c r="AP130" s="275"/>
      <c r="AQ130" s="275"/>
      <c r="AR130" s="275"/>
      <c r="AS130" s="275"/>
      <c r="AT130" s="275"/>
      <c r="AU130" s="275"/>
      <c r="AV130" s="275"/>
      <c r="AW130" s="275"/>
      <c r="AX130" s="275"/>
      <c r="AY130" s="275"/>
      <c r="AZ130" s="275"/>
      <c r="BA130" s="275"/>
      <c r="BB130" s="275"/>
      <c r="BC130" s="275"/>
      <c r="BD130" s="275"/>
      <c r="BE130" s="275"/>
      <c r="BF130" s="275"/>
      <c r="BG130" s="275"/>
      <c r="BH130" s="471"/>
      <c r="BI130" s="275"/>
      <c r="BJ130" s="275"/>
      <c r="BK130" s="472"/>
      <c r="BL130" s="275"/>
      <c r="BM130" s="275"/>
      <c r="BN130" s="275"/>
      <c r="BO130" s="275"/>
      <c r="BP130" s="471"/>
      <c r="BQ130" s="275"/>
      <c r="BR130" s="275"/>
      <c r="BS130" s="574">
        <v>234</v>
      </c>
      <c r="BT130" s="498">
        <v>236</v>
      </c>
      <c r="BU130" s="494">
        <v>239</v>
      </c>
      <c r="BV130" s="599">
        <v>241</v>
      </c>
      <c r="BW130" s="574">
        <v>243</v>
      </c>
      <c r="BX130" s="498">
        <v>246</v>
      </c>
      <c r="BY130" s="275">
        <f t="shared" si="722"/>
        <v>248.68781250000001</v>
      </c>
      <c r="BZ130" s="275">
        <f t="shared" si="722"/>
        <v>251.42266171875002</v>
      </c>
      <c r="CA130" s="574">
        <f t="shared" si="722"/>
        <v>254.20537079882814</v>
      </c>
      <c r="CB130" s="471">
        <f t="shared" si="722"/>
        <v>257.03677728780764</v>
      </c>
      <c r="CC130" s="275">
        <f t="shared" si="722"/>
        <v>259.91773339034427</v>
      </c>
      <c r="CD130" s="275">
        <f t="shared" si="722"/>
        <v>262.84910622467527</v>
      </c>
      <c r="CE130" s="574">
        <f t="shared" si="722"/>
        <v>265.83177808360711</v>
      </c>
      <c r="CF130" s="471">
        <f>+CE130+CF231</f>
        <v>268.86664670007025</v>
      </c>
      <c r="CG130" s="275">
        <f>+CF130+CG231</f>
        <v>271.95462551732146</v>
      </c>
      <c r="CH130" s="275">
        <f t="shared" si="723"/>
        <v>275.09664396387461</v>
      </c>
      <c r="CI130" s="472">
        <f t="shared" ref="CI130:CQ130" si="745">+CH130+CI231</f>
        <v>278.29364773324244</v>
      </c>
      <c r="CJ130" s="471">
        <f t="shared" si="745"/>
        <v>281.54659906857415</v>
      </c>
      <c r="CK130" s="275">
        <f t="shared" si="745"/>
        <v>284.85647705227422</v>
      </c>
      <c r="CL130" s="275">
        <f t="shared" si="745"/>
        <v>288.224277900689</v>
      </c>
      <c r="CM130" s="472">
        <f t="shared" si="745"/>
        <v>291.65101526395108</v>
      </c>
      <c r="CN130" s="275">
        <f t="shared" si="745"/>
        <v>295.13772053107022</v>
      </c>
      <c r="CO130" s="1259">
        <f t="shared" si="724"/>
        <v>298.68544314036393</v>
      </c>
      <c r="CP130" s="275">
        <f t="shared" si="745"/>
        <v>302.29525089532029</v>
      </c>
      <c r="CQ130" s="472">
        <f t="shared" si="745"/>
        <v>305.9682302859884</v>
      </c>
      <c r="CR130" s="275">
        <f t="shared" si="743"/>
        <v>309.7054868159932</v>
      </c>
      <c r="CS130" s="275">
        <f t="shared" si="743"/>
        <v>313.50814533527307</v>
      </c>
      <c r="CT130" s="275">
        <f t="shared" si="743"/>
        <v>317.37735037864036</v>
      </c>
      <c r="CU130" s="472">
        <f t="shared" si="743"/>
        <v>321.31426651026658</v>
      </c>
      <c r="CV130" s="1259">
        <f t="shared" si="725"/>
        <v>325.32007867419622</v>
      </c>
      <c r="CW130" s="1259">
        <f t="shared" si="726"/>
        <v>329.39599255099466</v>
      </c>
      <c r="CX130" s="1259">
        <f t="shared" si="727"/>
        <v>333.54323492063708</v>
      </c>
      <c r="CY130" s="472">
        <f t="shared" si="728"/>
        <v>337.7630540317482</v>
      </c>
      <c r="CZ130" s="1259">
        <f t="shared" si="729"/>
        <v>342.05671997730377</v>
      </c>
      <c r="DA130" s="1259">
        <f t="shared" si="730"/>
        <v>346.42552507690658</v>
      </c>
      <c r="DB130" s="1259">
        <f t="shared" si="731"/>
        <v>350.87078426575243</v>
      </c>
      <c r="DC130" s="472">
        <f t="shared" si="732"/>
        <v>355.39383549040309</v>
      </c>
      <c r="DD130" s="23"/>
      <c r="DE130" s="471"/>
      <c r="DF130" s="275"/>
      <c r="DG130" s="275"/>
      <c r="DH130" s="275"/>
      <c r="DI130" s="275"/>
      <c r="DJ130" s="275"/>
      <c r="DK130" s="275"/>
      <c r="DL130" s="275"/>
      <c r="DM130" s="275"/>
      <c r="DN130" s="275"/>
      <c r="DO130" s="275"/>
      <c r="DP130" s="275"/>
      <c r="DQ130" s="275"/>
      <c r="DR130" s="275"/>
      <c r="DS130" s="275"/>
      <c r="DT130" s="275"/>
      <c r="DU130" s="1259"/>
      <c r="DV130" s="1259">
        <f t="shared" si="733"/>
        <v>243</v>
      </c>
      <c r="DW130" s="1259">
        <f t="shared" si="734"/>
        <v>254.20537079882814</v>
      </c>
      <c r="DX130" s="1259">
        <f t="shared" si="735"/>
        <v>265.83177808360711</v>
      </c>
      <c r="DY130" s="1259">
        <f t="shared" si="736"/>
        <v>278.29364773324244</v>
      </c>
      <c r="DZ130" s="1259">
        <f t="shared" si="737"/>
        <v>291.65101526395108</v>
      </c>
      <c r="EA130" s="275">
        <f t="shared" si="738"/>
        <v>305.9682302859884</v>
      </c>
      <c r="EB130" s="1259">
        <f t="shared" si="739"/>
        <v>321.31426651026658</v>
      </c>
      <c r="EC130" s="1259">
        <f t="shared" si="740"/>
        <v>337.7630540317482</v>
      </c>
      <c r="ED130" s="472">
        <f t="shared" si="741"/>
        <v>355.39383549040309</v>
      </c>
      <c r="EE130" s="471"/>
      <c r="EF130" s="457"/>
      <c r="EG130" s="457"/>
      <c r="EH130" s="457"/>
      <c r="EI130" s="457"/>
      <c r="EJ130" s="457"/>
      <c r="EK130" s="457"/>
      <c r="EL130" s="457"/>
      <c r="EM130" s="457"/>
      <c r="EN130" s="457"/>
      <c r="EO130" s="457"/>
      <c r="EP130" s="457"/>
      <c r="EQ130" s="457"/>
      <c r="ER130" s="457"/>
      <c r="ES130" s="457"/>
      <c r="ET130" s="457"/>
      <c r="EU130" s="457"/>
      <c r="EV130" s="457"/>
      <c r="EW130" s="457"/>
      <c r="EX130" s="457"/>
      <c r="EY130" s="457"/>
      <c r="EZ130" s="457"/>
      <c r="FA130" s="457"/>
      <c r="FB130" s="457"/>
      <c r="FC130" s="457"/>
      <c r="FD130" s="457"/>
      <c r="FE130" s="275"/>
      <c r="FF130" s="1259"/>
      <c r="FG130" s="1259"/>
      <c r="FH130" s="1259"/>
      <c r="FI130"/>
      <c r="FJ130"/>
      <c r="FK130"/>
      <c r="FL130"/>
      <c r="FM130"/>
      <c r="FN130"/>
      <c r="FO130" s="457"/>
    </row>
    <row r="131" spans="1:171" s="458" customFormat="1" ht="14.25" hidden="1" customHeight="1" outlineLevel="1">
      <c r="A131" s="457"/>
      <c r="B131" s="511" t="s">
        <v>119</v>
      </c>
      <c r="C131" s="275"/>
      <c r="D131" s="275"/>
      <c r="E131" s="275"/>
      <c r="F131" s="275"/>
      <c r="G131" s="275"/>
      <c r="H131" s="275"/>
      <c r="I131" s="275"/>
      <c r="J131" s="275"/>
      <c r="K131" s="275"/>
      <c r="L131" s="275"/>
      <c r="M131" s="275"/>
      <c r="N131" s="275"/>
      <c r="O131" s="275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  <c r="AA131" s="275"/>
      <c r="AB131" s="275"/>
      <c r="AC131" s="275"/>
      <c r="AD131" s="275"/>
      <c r="AE131" s="275"/>
      <c r="AF131" s="275"/>
      <c r="AG131" s="275"/>
      <c r="AH131" s="275"/>
      <c r="AI131" s="275"/>
      <c r="AJ131" s="275"/>
      <c r="AK131" s="275"/>
      <c r="AL131" s="275"/>
      <c r="AM131" s="275"/>
      <c r="AN131" s="275"/>
      <c r="AO131" s="275"/>
      <c r="AP131" s="275"/>
      <c r="AQ131" s="275"/>
      <c r="AR131" s="275"/>
      <c r="AS131" s="275"/>
      <c r="AT131" s="275"/>
      <c r="AU131" s="275"/>
      <c r="AV131" s="275"/>
      <c r="AW131" s="275"/>
      <c r="AX131" s="275"/>
      <c r="AY131" s="275"/>
      <c r="AZ131" s="275"/>
      <c r="BA131" s="275"/>
      <c r="BB131" s="275"/>
      <c r="BC131" s="275"/>
      <c r="BD131" s="275"/>
      <c r="BE131" s="275"/>
      <c r="BF131" s="275"/>
      <c r="BG131" s="275"/>
      <c r="BH131" s="471"/>
      <c r="BI131" s="275"/>
      <c r="BJ131" s="275"/>
      <c r="BK131" s="472"/>
      <c r="BL131" s="275"/>
      <c r="BM131" s="275"/>
      <c r="BN131" s="275"/>
      <c r="BO131" s="275"/>
      <c r="BP131" s="471"/>
      <c r="BQ131" s="275"/>
      <c r="BR131" s="275"/>
      <c r="BS131" s="574">
        <v>135</v>
      </c>
      <c r="BT131" s="498">
        <v>136</v>
      </c>
      <c r="BU131" s="494">
        <v>138</v>
      </c>
      <c r="BV131" s="599">
        <v>139</v>
      </c>
      <c r="BW131" s="574">
        <v>141</v>
      </c>
      <c r="BX131" s="498">
        <v>142</v>
      </c>
      <c r="BY131" s="275">
        <f t="shared" si="722"/>
        <v>143.6291875</v>
      </c>
      <c r="BZ131" s="275">
        <f t="shared" si="722"/>
        <v>145.28647848437501</v>
      </c>
      <c r="CA131" s="574">
        <f t="shared" si="722"/>
        <v>146.97235773823047</v>
      </c>
      <c r="CB131" s="471">
        <f t="shared" si="722"/>
        <v>148.68731840921495</v>
      </c>
      <c r="CC131" s="275">
        <f t="shared" si="722"/>
        <v>150.43186215177391</v>
      </c>
      <c r="CD131" s="275">
        <f t="shared" si="722"/>
        <v>152.20649927389201</v>
      </c>
      <c r="CE131" s="574">
        <f t="shared" si="722"/>
        <v>154.01174888636663</v>
      </c>
      <c r="CF131" s="471">
        <f>+CE131+CF232</f>
        <v>155.84813905465646</v>
      </c>
      <c r="CG131" s="275">
        <f>+CF131+CG232</f>
        <v>157.71620695334929</v>
      </c>
      <c r="CH131" s="275">
        <f t="shared" si="723"/>
        <v>159.61649902329455</v>
      </c>
      <c r="CI131" s="472">
        <f t="shared" ref="CI131:CQ131" si="746">+CH131+CI232</f>
        <v>161.54957113144638</v>
      </c>
      <c r="CJ131" s="471">
        <f t="shared" si="746"/>
        <v>163.51598873346384</v>
      </c>
      <c r="CK131" s="275">
        <f t="shared" si="746"/>
        <v>165.51632703911611</v>
      </c>
      <c r="CL131" s="275">
        <f t="shared" si="746"/>
        <v>167.55117118054085</v>
      </c>
      <c r="CM131" s="472">
        <f t="shared" si="746"/>
        <v>169.62111638340517</v>
      </c>
      <c r="CN131" s="275">
        <f t="shared" si="746"/>
        <v>171.72676814101891</v>
      </c>
      <c r="CO131" s="1259">
        <f t="shared" si="724"/>
        <v>173.86874239145149</v>
      </c>
      <c r="CP131" s="275">
        <f t="shared" si="746"/>
        <v>176.04766569770402</v>
      </c>
      <c r="CQ131" s="472">
        <f t="shared" si="746"/>
        <v>178.26417543098941</v>
      </c>
      <c r="CR131" s="275">
        <f t="shared" si="743"/>
        <v>180.51891995717398</v>
      </c>
      <c r="CS131" s="275">
        <f t="shared" si="743"/>
        <v>182.81255882643524</v>
      </c>
      <c r="CT131" s="275">
        <f t="shared" si="743"/>
        <v>185.14576296619126</v>
      </c>
      <c r="CU131" s="472">
        <f t="shared" si="743"/>
        <v>187.51921487735805</v>
      </c>
      <c r="CV131" s="1259">
        <f t="shared" si="725"/>
        <v>189.93360883399248</v>
      </c>
      <c r="CW131" s="1259">
        <f t="shared" si="726"/>
        <v>192.38965108637885</v>
      </c>
      <c r="CX131" s="1259">
        <f t="shared" si="727"/>
        <v>194.88806006761888</v>
      </c>
      <c r="CY131" s="472">
        <f t="shared" si="728"/>
        <v>197.4295666037853</v>
      </c>
      <c r="CZ131" s="1259">
        <f t="shared" si="729"/>
        <v>200.01491412770059</v>
      </c>
      <c r="DA131" s="1259">
        <f t="shared" si="730"/>
        <v>202.64485889640343</v>
      </c>
      <c r="DB131" s="1259">
        <f t="shared" si="731"/>
        <v>205.32017021236641</v>
      </c>
      <c r="DC131" s="472">
        <f t="shared" si="732"/>
        <v>208.04163064852972</v>
      </c>
      <c r="DD131" s="23"/>
      <c r="DE131" s="471"/>
      <c r="DF131" s="275"/>
      <c r="DG131" s="275"/>
      <c r="DH131" s="275"/>
      <c r="DI131" s="275"/>
      <c r="DJ131" s="275"/>
      <c r="DK131" s="275"/>
      <c r="DL131" s="275"/>
      <c r="DM131" s="275"/>
      <c r="DN131" s="275"/>
      <c r="DO131" s="275"/>
      <c r="DP131" s="275"/>
      <c r="DQ131" s="275"/>
      <c r="DR131" s="275"/>
      <c r="DS131" s="275"/>
      <c r="DT131" s="275"/>
      <c r="DU131" s="1259"/>
      <c r="DV131" s="1259">
        <f t="shared" si="733"/>
        <v>141</v>
      </c>
      <c r="DW131" s="1259">
        <f t="shared" si="734"/>
        <v>146.97235773823047</v>
      </c>
      <c r="DX131" s="1259">
        <f t="shared" si="735"/>
        <v>154.01174888636663</v>
      </c>
      <c r="DY131" s="1259">
        <f t="shared" si="736"/>
        <v>161.54957113144638</v>
      </c>
      <c r="DZ131" s="1259">
        <f t="shared" si="737"/>
        <v>169.62111638340517</v>
      </c>
      <c r="EA131" s="275">
        <f t="shared" si="738"/>
        <v>178.26417543098941</v>
      </c>
      <c r="EB131" s="1259">
        <f t="shared" si="739"/>
        <v>187.51921487735805</v>
      </c>
      <c r="EC131" s="1259">
        <f t="shared" si="740"/>
        <v>197.4295666037853</v>
      </c>
      <c r="ED131" s="472">
        <f t="shared" si="741"/>
        <v>208.04163064852972</v>
      </c>
      <c r="EE131" s="471"/>
      <c r="EF131" s="457"/>
      <c r="EG131" s="457"/>
      <c r="EH131" s="457"/>
      <c r="EI131" s="457"/>
      <c r="EJ131" s="457"/>
      <c r="EK131" s="457"/>
      <c r="EL131" s="457"/>
      <c r="EM131" s="457"/>
      <c r="EN131" s="457"/>
      <c r="EO131" s="457"/>
      <c r="EP131" s="457"/>
      <c r="EQ131" s="457"/>
      <c r="ER131" s="457"/>
      <c r="ES131" s="457"/>
      <c r="ET131" s="457"/>
      <c r="EU131" s="457"/>
      <c r="EV131" s="457"/>
      <c r="EW131" s="457"/>
      <c r="EX131" s="457"/>
      <c r="EY131" s="457"/>
      <c r="EZ131" s="457"/>
      <c r="FA131" s="457"/>
      <c r="FB131" s="457"/>
      <c r="FC131" s="457"/>
      <c r="FD131" s="457"/>
      <c r="FE131" s="275"/>
      <c r="FF131" s="1259"/>
      <c r="FG131" s="1259"/>
      <c r="FH131" s="1259"/>
      <c r="FI131"/>
      <c r="FJ131"/>
      <c r="FK131"/>
      <c r="FL131"/>
      <c r="FM131"/>
      <c r="FN131"/>
      <c r="FO131" s="457"/>
    </row>
    <row r="132" spans="1:171" s="623" customFormat="1" ht="14.25" hidden="1" customHeight="1" outlineLevel="1">
      <c r="A132" s="457"/>
      <c r="B132" s="511" t="s">
        <v>120</v>
      </c>
      <c r="C132" s="275"/>
      <c r="D132" s="275"/>
      <c r="E132" s="275"/>
      <c r="F132" s="275"/>
      <c r="G132" s="275"/>
      <c r="H132" s="275"/>
      <c r="I132" s="275"/>
      <c r="J132" s="275"/>
      <c r="K132" s="275"/>
      <c r="L132" s="275"/>
      <c r="M132" s="275"/>
      <c r="N132" s="275"/>
      <c r="O132" s="275"/>
      <c r="P132" s="275"/>
      <c r="Q132" s="275"/>
      <c r="R132" s="275"/>
      <c r="S132" s="275"/>
      <c r="T132" s="275"/>
      <c r="U132" s="275"/>
      <c r="V132" s="275"/>
      <c r="W132" s="275"/>
      <c r="X132" s="275"/>
      <c r="Y132" s="275"/>
      <c r="Z132" s="275"/>
      <c r="AA132" s="275"/>
      <c r="AB132" s="275"/>
      <c r="AC132" s="275"/>
      <c r="AD132" s="275"/>
      <c r="AE132" s="275"/>
      <c r="AF132" s="275"/>
      <c r="AG132" s="275"/>
      <c r="AH132" s="275"/>
      <c r="AI132" s="275"/>
      <c r="AJ132" s="275"/>
      <c r="AK132" s="275"/>
      <c r="AL132" s="275"/>
      <c r="AM132" s="275"/>
      <c r="AN132" s="275"/>
      <c r="AO132" s="275"/>
      <c r="AP132" s="275"/>
      <c r="AQ132" s="275"/>
      <c r="AR132" s="275"/>
      <c r="AS132" s="275"/>
      <c r="AT132" s="275"/>
      <c r="AU132" s="275"/>
      <c r="AV132" s="275"/>
      <c r="AW132" s="275"/>
      <c r="AX132" s="275"/>
      <c r="AY132" s="275"/>
      <c r="AZ132" s="275"/>
      <c r="BA132" s="275"/>
      <c r="BB132" s="275"/>
      <c r="BC132" s="275"/>
      <c r="BD132" s="275"/>
      <c r="BE132" s="275"/>
      <c r="BF132" s="275"/>
      <c r="BG132" s="275"/>
      <c r="BH132" s="471"/>
      <c r="BI132" s="275"/>
      <c r="BJ132" s="275"/>
      <c r="BK132" s="472"/>
      <c r="BL132" s="275"/>
      <c r="BM132" s="275"/>
      <c r="BN132" s="275"/>
      <c r="BO132" s="275"/>
      <c r="BP132" s="471"/>
      <c r="BQ132" s="275"/>
      <c r="BR132" s="275"/>
      <c r="BS132" s="574">
        <v>815</v>
      </c>
      <c r="BT132" s="498">
        <v>826</v>
      </c>
      <c r="BU132" s="494">
        <v>837</v>
      </c>
      <c r="BV132" s="599">
        <v>848</v>
      </c>
      <c r="BW132" s="574">
        <v>860</v>
      </c>
      <c r="BX132" s="498">
        <v>872</v>
      </c>
      <c r="BY132" s="275">
        <f t="shared" si="722"/>
        <v>884.77309375000004</v>
      </c>
      <c r="BZ132" s="275">
        <f t="shared" si="722"/>
        <v>897.79845610156258</v>
      </c>
      <c r="CA132" s="574">
        <f t="shared" si="722"/>
        <v>911.08106935956846</v>
      </c>
      <c r="CB132" s="471">
        <f t="shared" si="722"/>
        <v>924.62601422941998</v>
      </c>
      <c r="CC132" s="275">
        <f t="shared" si="722"/>
        <v>938.43847176045097</v>
      </c>
      <c r="CD132" s="635">
        <f t="shared" si="722"/>
        <v>949.1</v>
      </c>
      <c r="CE132" s="574">
        <f t="shared" si="722"/>
        <v>0</v>
      </c>
      <c r="CF132" s="471">
        <f>+CE132+CF233</f>
        <v>0</v>
      </c>
      <c r="CG132" s="275">
        <f>+CF132+CG233</f>
        <v>0</v>
      </c>
      <c r="CH132" s="635">
        <f t="shared" si="723"/>
        <v>0</v>
      </c>
      <c r="CI132" s="472">
        <f t="shared" ref="CI132:CQ132" si="747">+CH132+CI233</f>
        <v>0</v>
      </c>
      <c r="CJ132" s="471">
        <f t="shared" si="747"/>
        <v>0</v>
      </c>
      <c r="CK132" s="275">
        <f t="shared" si="747"/>
        <v>0</v>
      </c>
      <c r="CL132" s="635">
        <f t="shared" si="747"/>
        <v>0</v>
      </c>
      <c r="CM132" s="472">
        <f t="shared" si="747"/>
        <v>0</v>
      </c>
      <c r="CN132" s="275">
        <f t="shared" si="747"/>
        <v>0</v>
      </c>
      <c r="CO132" s="1259">
        <f t="shared" si="724"/>
        <v>0</v>
      </c>
      <c r="CP132" s="275">
        <f t="shared" si="747"/>
        <v>0</v>
      </c>
      <c r="CQ132" s="472">
        <f t="shared" si="747"/>
        <v>0</v>
      </c>
      <c r="CR132" s="275">
        <f t="shared" si="743"/>
        <v>0</v>
      </c>
      <c r="CS132" s="275">
        <f t="shared" si="743"/>
        <v>0</v>
      </c>
      <c r="CT132" s="275">
        <f t="shared" si="743"/>
        <v>0</v>
      </c>
      <c r="CU132" s="472">
        <f t="shared" si="743"/>
        <v>0</v>
      </c>
      <c r="CV132" s="1259">
        <f t="shared" si="725"/>
        <v>0</v>
      </c>
      <c r="CW132" s="1259">
        <f t="shared" si="726"/>
        <v>0</v>
      </c>
      <c r="CX132" s="1259">
        <f t="shared" si="727"/>
        <v>0</v>
      </c>
      <c r="CY132" s="472">
        <f t="shared" si="728"/>
        <v>0</v>
      </c>
      <c r="CZ132" s="1259">
        <f t="shared" si="729"/>
        <v>0</v>
      </c>
      <c r="DA132" s="1259">
        <f t="shared" si="730"/>
        <v>0</v>
      </c>
      <c r="DB132" s="1259">
        <f t="shared" si="731"/>
        <v>0</v>
      </c>
      <c r="DC132" s="472">
        <f t="shared" si="732"/>
        <v>0</v>
      </c>
      <c r="DD132" s="23"/>
      <c r="DE132" s="471"/>
      <c r="DF132" s="275"/>
      <c r="DG132" s="275"/>
      <c r="DH132" s="275"/>
      <c r="DI132" s="275"/>
      <c r="DJ132" s="275"/>
      <c r="DK132" s="275"/>
      <c r="DL132" s="275"/>
      <c r="DM132" s="275"/>
      <c r="DN132" s="275"/>
      <c r="DO132" s="275"/>
      <c r="DP132" s="275"/>
      <c r="DQ132" s="275"/>
      <c r="DR132" s="275"/>
      <c r="DS132" s="275"/>
      <c r="DT132" s="275"/>
      <c r="DU132" s="1259"/>
      <c r="DV132" s="1259">
        <f t="shared" si="733"/>
        <v>860</v>
      </c>
      <c r="DW132" s="1259">
        <f t="shared" si="734"/>
        <v>911.08106935956846</v>
      </c>
      <c r="DX132" s="1259">
        <f t="shared" si="735"/>
        <v>0</v>
      </c>
      <c r="DY132" s="1259">
        <f t="shared" si="736"/>
        <v>0</v>
      </c>
      <c r="DZ132" s="1259">
        <f t="shared" si="737"/>
        <v>0</v>
      </c>
      <c r="EA132" s="275">
        <f t="shared" si="738"/>
        <v>0</v>
      </c>
      <c r="EB132" s="1259">
        <f t="shared" si="739"/>
        <v>0</v>
      </c>
      <c r="EC132" s="1259">
        <f t="shared" si="740"/>
        <v>0</v>
      </c>
      <c r="ED132" s="472">
        <f t="shared" si="741"/>
        <v>0</v>
      </c>
      <c r="EE132" s="471"/>
      <c r="EF132" s="457"/>
      <c r="EG132" s="457"/>
      <c r="EH132" s="457"/>
      <c r="EI132" s="457"/>
      <c r="EJ132" s="457"/>
      <c r="EK132" s="457"/>
      <c r="EL132" s="457"/>
      <c r="EM132" s="457"/>
      <c r="EN132" s="457"/>
      <c r="EO132" s="457"/>
      <c r="EP132" s="457"/>
      <c r="EQ132" s="457"/>
      <c r="ER132" s="457"/>
      <c r="ES132" s="457"/>
      <c r="ET132" s="457"/>
      <c r="EU132" s="457"/>
      <c r="EV132" s="457"/>
      <c r="EW132" s="457"/>
      <c r="EX132" s="457"/>
      <c r="EY132" s="457"/>
      <c r="EZ132" s="457"/>
      <c r="FA132" s="457"/>
      <c r="FB132" s="457"/>
      <c r="FC132" s="457"/>
      <c r="FD132" s="457"/>
      <c r="FE132" s="275"/>
      <c r="FF132" s="1259"/>
      <c r="FG132" s="1259"/>
      <c r="FH132" s="1259"/>
      <c r="FI132"/>
      <c r="FJ132"/>
      <c r="FK132"/>
      <c r="FL132"/>
      <c r="FM132"/>
      <c r="FN132"/>
      <c r="FO132" s="457"/>
    </row>
    <row r="133" spans="1:171" s="623" customFormat="1" ht="14.25" hidden="1" customHeight="1" outlineLevel="1">
      <c r="A133" s="457"/>
      <c r="B133" s="511" t="s">
        <v>217</v>
      </c>
      <c r="C133" s="709"/>
      <c r="D133" s="709"/>
      <c r="E133" s="709"/>
      <c r="F133" s="709"/>
      <c r="G133" s="709"/>
      <c r="H133" s="709"/>
      <c r="I133" s="709"/>
      <c r="J133" s="709"/>
      <c r="K133" s="709"/>
      <c r="L133" s="709"/>
      <c r="M133" s="709"/>
      <c r="N133" s="709"/>
      <c r="O133" s="709"/>
      <c r="P133" s="709"/>
      <c r="Q133" s="709"/>
      <c r="R133" s="709"/>
      <c r="S133" s="709"/>
      <c r="T133" s="709"/>
      <c r="U133" s="709"/>
      <c r="V133" s="709"/>
      <c r="W133" s="709"/>
      <c r="X133" s="709"/>
      <c r="Y133" s="709"/>
      <c r="Z133" s="709"/>
      <c r="AA133" s="709"/>
      <c r="AB133" s="709"/>
      <c r="AC133" s="709"/>
      <c r="AD133" s="709"/>
      <c r="AE133" s="709"/>
      <c r="AF133" s="709"/>
      <c r="AG133" s="709"/>
      <c r="AH133" s="709"/>
      <c r="AI133" s="709"/>
      <c r="AJ133" s="709"/>
      <c r="AK133" s="709"/>
      <c r="AL133" s="709"/>
      <c r="AM133" s="709"/>
      <c r="AN133" s="709"/>
      <c r="AO133" s="709"/>
      <c r="AP133" s="709"/>
      <c r="AQ133" s="709"/>
      <c r="AR133" s="709"/>
      <c r="AS133" s="709"/>
      <c r="AT133" s="709"/>
      <c r="AU133" s="709"/>
      <c r="AV133" s="709"/>
      <c r="AW133" s="709"/>
      <c r="AX133" s="709"/>
      <c r="AY133" s="709"/>
      <c r="AZ133" s="709"/>
      <c r="BA133" s="709"/>
      <c r="BB133" s="709"/>
      <c r="BC133" s="709"/>
      <c r="BD133" s="709"/>
      <c r="BE133" s="709"/>
      <c r="BF133" s="709"/>
      <c r="BG133" s="709"/>
      <c r="BH133" s="710"/>
      <c r="BI133" s="709"/>
      <c r="BJ133" s="709"/>
      <c r="BK133" s="711"/>
      <c r="BL133" s="709"/>
      <c r="BM133" s="709"/>
      <c r="BN133" s="709"/>
      <c r="BO133" s="709"/>
      <c r="BP133" s="710"/>
      <c r="BQ133" s="709"/>
      <c r="BR133" s="709"/>
      <c r="BS133" s="711"/>
      <c r="BT133" s="710">
        <v>0</v>
      </c>
      <c r="BU133" s="709">
        <v>0</v>
      </c>
      <c r="BV133" s="712">
        <v>0</v>
      </c>
      <c r="BW133" s="574">
        <v>58</v>
      </c>
      <c r="BX133" s="498">
        <v>49</v>
      </c>
      <c r="BY133" s="275">
        <f t="shared" ref="BY133:CI133" si="748">+BX133</f>
        <v>49</v>
      </c>
      <c r="BZ133" s="275">
        <f t="shared" si="748"/>
        <v>49</v>
      </c>
      <c r="CA133" s="574">
        <f t="shared" si="748"/>
        <v>49</v>
      </c>
      <c r="CB133" s="471">
        <f t="shared" si="748"/>
        <v>49</v>
      </c>
      <c r="CC133" s="275">
        <f t="shared" si="748"/>
        <v>49</v>
      </c>
      <c r="CD133" s="635">
        <f t="shared" si="748"/>
        <v>49</v>
      </c>
      <c r="CE133" s="574">
        <f>+CD133</f>
        <v>49</v>
      </c>
      <c r="CF133" s="471">
        <v>31.018245621290589</v>
      </c>
      <c r="CG133" s="275">
        <f t="shared" si="748"/>
        <v>31.018245621290589</v>
      </c>
      <c r="CH133" s="635">
        <f t="shared" si="748"/>
        <v>31.018245621290589</v>
      </c>
      <c r="CI133" s="472">
        <f t="shared" si="748"/>
        <v>31.018245621290589</v>
      </c>
      <c r="CJ133" s="471">
        <f t="shared" ref="CJ133:CQ133" si="749">+CI133</f>
        <v>31.018245621290589</v>
      </c>
      <c r="CK133" s="275">
        <f t="shared" si="749"/>
        <v>31.018245621290589</v>
      </c>
      <c r="CL133" s="635">
        <f t="shared" si="749"/>
        <v>31.018245621290589</v>
      </c>
      <c r="CM133" s="472">
        <f t="shared" si="749"/>
        <v>31.018245621290589</v>
      </c>
      <c r="CN133" s="275">
        <f t="shared" si="749"/>
        <v>31.018245621290589</v>
      </c>
      <c r="CO133" s="1259">
        <f t="shared" si="749"/>
        <v>31.018245621290589</v>
      </c>
      <c r="CP133" s="275">
        <f t="shared" si="749"/>
        <v>31.018245621290589</v>
      </c>
      <c r="CQ133" s="472">
        <f t="shared" si="749"/>
        <v>31.018245621290589</v>
      </c>
      <c r="CR133" s="275">
        <f t="shared" ref="CR133" si="750">+CQ133</f>
        <v>31.018245621290589</v>
      </c>
      <c r="CS133" s="275">
        <f t="shared" ref="CS133" si="751">+CR133</f>
        <v>31.018245621290589</v>
      </c>
      <c r="CT133" s="275">
        <f t="shared" ref="CT133" si="752">+CS133</f>
        <v>31.018245621290589</v>
      </c>
      <c r="CU133" s="472">
        <f t="shared" ref="CU133" si="753">+CT133</f>
        <v>31.018245621290589</v>
      </c>
      <c r="CV133" s="1259">
        <f t="shared" ref="CV133" si="754">+CU133</f>
        <v>31.018245621290589</v>
      </c>
      <c r="CW133" s="1259">
        <f t="shared" ref="CW133" si="755">+CV133</f>
        <v>31.018245621290589</v>
      </c>
      <c r="CX133" s="1259">
        <f t="shared" ref="CX133" si="756">+CW133</f>
        <v>31.018245621290589</v>
      </c>
      <c r="CY133" s="472">
        <f t="shared" ref="CY133" si="757">+CX133</f>
        <v>31.018245621290589</v>
      </c>
      <c r="CZ133" s="1259">
        <f t="shared" ref="CZ133" si="758">+CY133</f>
        <v>31.018245621290589</v>
      </c>
      <c r="DA133" s="1259">
        <f t="shared" ref="DA133" si="759">+CZ133</f>
        <v>31.018245621290589</v>
      </c>
      <c r="DB133" s="1259">
        <f t="shared" ref="DB133" si="760">+DA133</f>
        <v>31.018245621290589</v>
      </c>
      <c r="DC133" s="472">
        <f t="shared" ref="DC133" si="761">+DB133</f>
        <v>31.018245621290589</v>
      </c>
      <c r="DD133" s="23"/>
      <c r="DE133" s="471"/>
      <c r="DF133" s="275"/>
      <c r="DG133" s="275"/>
      <c r="DH133" s="275"/>
      <c r="DI133" s="275"/>
      <c r="DJ133" s="275"/>
      <c r="DK133" s="275"/>
      <c r="DL133" s="275"/>
      <c r="DM133" s="275"/>
      <c r="DN133" s="275"/>
      <c r="DO133" s="275"/>
      <c r="DP133" s="275"/>
      <c r="DQ133" s="275"/>
      <c r="DR133" s="275"/>
      <c r="DS133" s="275"/>
      <c r="DT133" s="275"/>
      <c r="DU133" s="1259"/>
      <c r="DV133" s="1259">
        <f t="shared" si="733"/>
        <v>58</v>
      </c>
      <c r="DW133" s="1259">
        <f t="shared" si="734"/>
        <v>49</v>
      </c>
      <c r="DX133" s="1259">
        <f t="shared" si="735"/>
        <v>49</v>
      </c>
      <c r="DY133" s="1259">
        <f t="shared" si="736"/>
        <v>31.018245621290589</v>
      </c>
      <c r="DZ133" s="1259">
        <f t="shared" si="737"/>
        <v>31.018245621290589</v>
      </c>
      <c r="EA133" s="275">
        <f t="shared" si="738"/>
        <v>31.018245621290589</v>
      </c>
      <c r="EB133" s="1259">
        <f t="shared" si="739"/>
        <v>31.018245621290589</v>
      </c>
      <c r="EC133" s="1259">
        <f t="shared" si="740"/>
        <v>31.018245621290589</v>
      </c>
      <c r="ED133" s="472">
        <f t="shared" si="741"/>
        <v>31.018245621290589</v>
      </c>
      <c r="EE133" s="471"/>
      <c r="EF133" s="457"/>
      <c r="EG133" s="457"/>
      <c r="EH133" s="457"/>
      <c r="EI133" s="457"/>
      <c r="EJ133" s="457"/>
      <c r="EK133" s="457"/>
      <c r="EL133" s="457"/>
      <c r="EM133" s="457"/>
      <c r="EN133" s="457"/>
      <c r="EO133" s="457"/>
      <c r="EP133" s="457"/>
      <c r="EQ133" s="457"/>
      <c r="ER133" s="457"/>
      <c r="ES133" s="457"/>
      <c r="ET133" s="457"/>
      <c r="EU133" s="457"/>
      <c r="EV133" s="457"/>
      <c r="EW133" s="457"/>
      <c r="EX133" s="457"/>
      <c r="EY133" s="457"/>
      <c r="EZ133" s="457"/>
      <c r="FA133" s="457"/>
      <c r="FB133" s="457"/>
      <c r="FC133" s="457"/>
      <c r="FD133" s="457"/>
      <c r="FE133" s="275"/>
      <c r="FF133" s="1259"/>
      <c r="FG133" s="1259"/>
      <c r="FH133" s="1259"/>
      <c r="FI133"/>
      <c r="FJ133"/>
      <c r="FK133"/>
      <c r="FL133"/>
      <c r="FM133"/>
      <c r="FN133"/>
      <c r="FO133" s="457"/>
    </row>
    <row r="134" spans="1:171" s="623" customFormat="1" ht="14.25" hidden="1" customHeight="1" outlineLevel="1">
      <c r="A134" s="457"/>
      <c r="B134" s="634" t="s">
        <v>482</v>
      </c>
      <c r="C134" s="709"/>
      <c r="D134" s="709"/>
      <c r="E134" s="709"/>
      <c r="F134" s="709"/>
      <c r="G134" s="709"/>
      <c r="H134" s="709"/>
      <c r="I134" s="709"/>
      <c r="J134" s="709"/>
      <c r="K134" s="709"/>
      <c r="L134" s="709"/>
      <c r="M134" s="709"/>
      <c r="N134" s="709"/>
      <c r="O134" s="709"/>
      <c r="P134" s="709"/>
      <c r="Q134" s="709"/>
      <c r="R134" s="709"/>
      <c r="S134" s="709"/>
      <c r="T134" s="709"/>
      <c r="U134" s="709"/>
      <c r="V134" s="709"/>
      <c r="W134" s="709"/>
      <c r="X134" s="709"/>
      <c r="Y134" s="709"/>
      <c r="Z134" s="709"/>
      <c r="AA134" s="709"/>
      <c r="AB134" s="709"/>
      <c r="AC134" s="709"/>
      <c r="AD134" s="709"/>
      <c r="AE134" s="709"/>
      <c r="AF134" s="709"/>
      <c r="AG134" s="709"/>
      <c r="AH134" s="709"/>
      <c r="AI134" s="709"/>
      <c r="AJ134" s="709"/>
      <c r="AK134" s="709"/>
      <c r="AL134" s="709"/>
      <c r="AM134" s="709"/>
      <c r="AN134" s="709"/>
      <c r="AO134" s="709"/>
      <c r="AP134" s="709"/>
      <c r="AQ134" s="709"/>
      <c r="AR134" s="709"/>
      <c r="AS134" s="709"/>
      <c r="AT134" s="709"/>
      <c r="AU134" s="709"/>
      <c r="AV134" s="709"/>
      <c r="AW134" s="709"/>
      <c r="AX134" s="709"/>
      <c r="AY134" s="709"/>
      <c r="AZ134" s="709"/>
      <c r="BA134" s="709"/>
      <c r="BB134" s="709"/>
      <c r="BC134" s="709"/>
      <c r="BD134" s="709"/>
      <c r="BE134" s="709"/>
      <c r="BF134" s="709"/>
      <c r="BG134" s="709"/>
      <c r="BH134" s="710"/>
      <c r="BI134" s="709"/>
      <c r="BJ134" s="709"/>
      <c r="BK134" s="711"/>
      <c r="BL134" s="709"/>
      <c r="BM134" s="709"/>
      <c r="BN134" s="709"/>
      <c r="BO134" s="709"/>
      <c r="BP134" s="710"/>
      <c r="BQ134" s="709"/>
      <c r="BR134" s="709"/>
      <c r="BS134" s="711"/>
      <c r="BT134" s="710"/>
      <c r="BU134" s="709"/>
      <c r="BV134" s="712"/>
      <c r="BW134" s="574"/>
      <c r="BX134" s="498"/>
      <c r="BY134" s="275"/>
      <c r="BZ134" s="275"/>
      <c r="CA134" s="574"/>
      <c r="CB134" s="471"/>
      <c r="CC134" s="275"/>
      <c r="CD134" s="635"/>
      <c r="CE134" s="574"/>
      <c r="CF134" s="471"/>
      <c r="CG134" s="275">
        <v>1000</v>
      </c>
      <c r="CH134" s="635">
        <v>1000</v>
      </c>
      <c r="CI134" s="472">
        <v>1000</v>
      </c>
      <c r="CJ134" s="471">
        <v>1000</v>
      </c>
      <c r="CK134" s="275">
        <v>1000</v>
      </c>
      <c r="CL134" s="635">
        <v>1000</v>
      </c>
      <c r="CM134" s="472">
        <v>1000</v>
      </c>
      <c r="CN134" s="275">
        <v>1000</v>
      </c>
      <c r="CO134" s="1259">
        <v>1000</v>
      </c>
      <c r="CP134" s="275">
        <v>1000</v>
      </c>
      <c r="CQ134" s="472">
        <v>1000</v>
      </c>
      <c r="CR134" s="275">
        <v>1000</v>
      </c>
      <c r="CS134" s="275">
        <v>1000</v>
      </c>
      <c r="CT134" s="275">
        <v>1000</v>
      </c>
      <c r="CU134" s="472">
        <v>1000</v>
      </c>
      <c r="CV134" s="1259">
        <v>1000</v>
      </c>
      <c r="CW134" s="1259">
        <v>1000</v>
      </c>
      <c r="CX134" s="1259">
        <v>1000</v>
      </c>
      <c r="CY134" s="472">
        <v>1000</v>
      </c>
      <c r="CZ134" s="1259">
        <v>1000</v>
      </c>
      <c r="DA134" s="1259">
        <v>1000</v>
      </c>
      <c r="DB134" s="1259">
        <v>1000</v>
      </c>
      <c r="DC134" s="472">
        <v>1000</v>
      </c>
      <c r="DD134" s="23"/>
      <c r="DE134" s="471"/>
      <c r="DF134" s="275"/>
      <c r="DG134" s="275"/>
      <c r="DH134" s="275"/>
      <c r="DI134" s="275"/>
      <c r="DJ134" s="275"/>
      <c r="DK134" s="275"/>
      <c r="DL134" s="275"/>
      <c r="DM134" s="275"/>
      <c r="DN134" s="275"/>
      <c r="DO134" s="275"/>
      <c r="DP134" s="275"/>
      <c r="DQ134" s="275"/>
      <c r="DR134" s="275"/>
      <c r="DS134" s="275"/>
      <c r="DT134" s="275"/>
      <c r="DU134" s="1259"/>
      <c r="DV134" s="1259"/>
      <c r="DW134" s="1259"/>
      <c r="DX134" s="1259"/>
      <c r="DY134" s="1259"/>
      <c r="DZ134" s="1259">
        <v>1000</v>
      </c>
      <c r="EA134" s="275">
        <v>1000</v>
      </c>
      <c r="EB134" s="1259">
        <v>1000</v>
      </c>
      <c r="EC134" s="1259">
        <f t="shared" si="740"/>
        <v>1000</v>
      </c>
      <c r="ED134" s="472">
        <f t="shared" si="741"/>
        <v>1000</v>
      </c>
      <c r="EE134" s="471"/>
      <c r="EF134" s="457"/>
      <c r="EG134" s="457"/>
      <c r="EH134" s="457"/>
      <c r="EI134" s="457"/>
      <c r="EJ134" s="457"/>
      <c r="EK134" s="457"/>
      <c r="EL134" s="457"/>
      <c r="EM134" s="457"/>
      <c r="EN134" s="457"/>
      <c r="EO134" s="457"/>
      <c r="EP134" s="457"/>
      <c r="EQ134" s="457"/>
      <c r="ER134" s="457"/>
      <c r="ES134" s="457"/>
      <c r="ET134" s="457"/>
      <c r="EU134" s="457"/>
      <c r="EV134" s="457"/>
      <c r="EW134" s="457"/>
      <c r="EX134" s="457"/>
      <c r="EY134" s="457"/>
      <c r="EZ134" s="457"/>
      <c r="FA134" s="457"/>
      <c r="FB134" s="457"/>
      <c r="FC134" s="457"/>
      <c r="FD134" s="457"/>
      <c r="FE134" s="275"/>
      <c r="FF134" s="1259"/>
      <c r="FG134" s="1259"/>
      <c r="FH134" s="1259"/>
      <c r="FI134"/>
      <c r="FJ134"/>
      <c r="FK134"/>
      <c r="FL134"/>
      <c r="FM134"/>
      <c r="FN134"/>
      <c r="FO134" s="457"/>
    </row>
    <row r="135" spans="1:171" s="623" customFormat="1" ht="14.25" hidden="1" customHeight="1" outlineLevel="1">
      <c r="A135" s="457"/>
      <c r="B135" s="634" t="s">
        <v>542</v>
      </c>
      <c r="C135" s="245"/>
      <c r="D135" s="245"/>
      <c r="E135" s="245"/>
      <c r="F135" s="245"/>
      <c r="G135" s="245"/>
      <c r="H135" s="245"/>
      <c r="I135" s="245"/>
      <c r="J135" s="245"/>
      <c r="K135" s="245"/>
      <c r="L135" s="245"/>
      <c r="M135" s="245"/>
      <c r="N135" s="245"/>
      <c r="O135" s="245"/>
      <c r="P135" s="245"/>
      <c r="Q135" s="245"/>
      <c r="R135" s="245"/>
      <c r="S135" s="245"/>
      <c r="T135" s="245"/>
      <c r="U135" s="245"/>
      <c r="V135" s="245"/>
      <c r="W135" s="245"/>
      <c r="X135" s="245"/>
      <c r="Y135" s="245"/>
      <c r="Z135" s="245"/>
      <c r="AA135" s="245"/>
      <c r="AB135" s="245"/>
      <c r="AC135" s="245"/>
      <c r="AD135" s="245"/>
      <c r="AE135" s="245"/>
      <c r="AF135" s="245"/>
      <c r="AG135" s="245"/>
      <c r="AH135" s="245"/>
      <c r="AI135" s="245"/>
      <c r="AJ135" s="245"/>
      <c r="AK135" s="245"/>
      <c r="AL135" s="245"/>
      <c r="AM135" s="245"/>
      <c r="AN135" s="245"/>
      <c r="AO135" s="245"/>
      <c r="AP135" s="245"/>
      <c r="AQ135" s="245"/>
      <c r="AR135" s="245"/>
      <c r="AS135" s="245"/>
      <c r="AT135" s="245"/>
      <c r="AU135" s="245"/>
      <c r="AV135" s="245"/>
      <c r="AW135" s="245"/>
      <c r="AX135" s="245"/>
      <c r="AY135" s="245"/>
      <c r="AZ135" s="245"/>
      <c r="BA135" s="245"/>
      <c r="BB135" s="245"/>
      <c r="BC135" s="245"/>
      <c r="BD135" s="245"/>
      <c r="BE135" s="245"/>
      <c r="BF135" s="245"/>
      <c r="BG135" s="245"/>
      <c r="BH135" s="246"/>
      <c r="BI135" s="245"/>
      <c r="BJ135" s="245"/>
      <c r="BK135" s="227"/>
      <c r="BL135" s="245"/>
      <c r="BM135" s="245"/>
      <c r="BN135" s="245"/>
      <c r="BO135" s="245"/>
      <c r="BP135" s="246"/>
      <c r="BQ135" s="245"/>
      <c r="BR135" s="245"/>
      <c r="BS135" s="227"/>
      <c r="BT135" s="246"/>
      <c r="BU135" s="245"/>
      <c r="BV135" s="599"/>
      <c r="BW135" s="636"/>
      <c r="BX135" s="521"/>
      <c r="BY135" s="635"/>
      <c r="BZ135" s="635"/>
      <c r="CA135" s="636"/>
      <c r="CB135" s="521"/>
      <c r="CC135" s="635"/>
      <c r="CD135" s="635"/>
      <c r="CE135" s="636"/>
      <c r="CF135" s="521"/>
      <c r="CG135" s="635"/>
      <c r="CH135" s="635">
        <v>550</v>
      </c>
      <c r="CI135" s="605">
        <v>550</v>
      </c>
      <c r="CJ135" s="521">
        <v>550</v>
      </c>
      <c r="CK135" s="635">
        <v>550</v>
      </c>
      <c r="CL135" s="635">
        <v>550</v>
      </c>
      <c r="CM135" s="605">
        <v>550</v>
      </c>
      <c r="CN135" s="635">
        <v>550</v>
      </c>
      <c r="CO135" s="1277">
        <v>550</v>
      </c>
      <c r="CP135" s="635">
        <v>550</v>
      </c>
      <c r="CQ135" s="605">
        <v>550</v>
      </c>
      <c r="CR135" s="635">
        <v>550</v>
      </c>
      <c r="CS135" s="635">
        <v>550</v>
      </c>
      <c r="CT135" s="635">
        <v>550</v>
      </c>
      <c r="CU135" s="605">
        <v>550</v>
      </c>
      <c r="CV135" s="1277">
        <v>550</v>
      </c>
      <c r="CW135" s="1277">
        <v>550</v>
      </c>
      <c r="CX135" s="1277">
        <v>550</v>
      </c>
      <c r="CY135" s="605">
        <v>550</v>
      </c>
      <c r="CZ135" s="1277">
        <v>550</v>
      </c>
      <c r="DA135" s="1277">
        <v>550</v>
      </c>
      <c r="DB135" s="1277">
        <v>550</v>
      </c>
      <c r="DC135" s="605">
        <v>550</v>
      </c>
      <c r="DD135" s="23"/>
      <c r="DE135" s="471"/>
      <c r="DF135" s="275"/>
      <c r="DG135" s="275"/>
      <c r="DH135" s="275"/>
      <c r="DI135" s="275"/>
      <c r="DJ135" s="275"/>
      <c r="DK135" s="275"/>
      <c r="DL135" s="275"/>
      <c r="DM135" s="275"/>
      <c r="DN135" s="275"/>
      <c r="DO135" s="275"/>
      <c r="DP135" s="275"/>
      <c r="DQ135" s="275"/>
      <c r="DR135" s="275"/>
      <c r="DS135" s="275"/>
      <c r="DT135" s="275"/>
      <c r="DU135" s="1259"/>
      <c r="DV135" s="1259"/>
      <c r="DW135" s="1259"/>
      <c r="DX135" s="1259"/>
      <c r="DY135" s="1259"/>
      <c r="DZ135" s="1259">
        <v>550</v>
      </c>
      <c r="EA135" s="275">
        <v>550</v>
      </c>
      <c r="EB135" s="1259">
        <v>550</v>
      </c>
      <c r="EC135" s="1259">
        <f t="shared" si="740"/>
        <v>550</v>
      </c>
      <c r="ED135" s="472">
        <f t="shared" si="741"/>
        <v>550</v>
      </c>
      <c r="EE135" s="471"/>
      <c r="EF135" s="457"/>
      <c r="EG135" s="457"/>
      <c r="EH135" s="457"/>
      <c r="EI135" s="457"/>
      <c r="EJ135" s="457"/>
      <c r="EK135" s="457"/>
      <c r="EL135" s="457"/>
      <c r="EM135" s="457"/>
      <c r="EN135" s="457"/>
      <c r="EO135" s="457"/>
      <c r="EP135" s="457"/>
      <c r="EQ135" s="457"/>
      <c r="ER135" s="457"/>
      <c r="ES135" s="457"/>
      <c r="ET135" s="457"/>
      <c r="EU135" s="457"/>
      <c r="EV135" s="457"/>
      <c r="EW135" s="457"/>
      <c r="EX135" s="457"/>
      <c r="EY135" s="457"/>
      <c r="EZ135" s="457"/>
      <c r="FA135" s="457"/>
      <c r="FB135" s="457"/>
      <c r="FC135" s="457"/>
      <c r="FD135" s="457"/>
      <c r="FE135" s="275"/>
      <c r="FF135" s="1259"/>
      <c r="FG135" s="1259"/>
      <c r="FH135" s="1259"/>
      <c r="FI135"/>
      <c r="FJ135"/>
      <c r="FK135"/>
      <c r="FL135"/>
      <c r="FM135"/>
      <c r="FN135"/>
      <c r="FO135" s="457"/>
    </row>
    <row r="136" spans="1:171" s="623" customFormat="1" ht="14.25" hidden="1" customHeight="1" outlineLevel="1">
      <c r="A136" s="457"/>
      <c r="B136" s="634" t="s">
        <v>581</v>
      </c>
      <c r="C136" s="245"/>
      <c r="D136" s="245"/>
      <c r="E136" s="245"/>
      <c r="F136" s="245"/>
      <c r="G136" s="245"/>
      <c r="H136" s="245"/>
      <c r="I136" s="245"/>
      <c r="J136" s="245"/>
      <c r="K136" s="245"/>
      <c r="L136" s="245"/>
      <c r="M136" s="245"/>
      <c r="N136" s="245"/>
      <c r="O136" s="245"/>
      <c r="P136" s="245"/>
      <c r="Q136" s="245"/>
      <c r="R136" s="245"/>
      <c r="S136" s="245"/>
      <c r="T136" s="245"/>
      <c r="U136" s="245"/>
      <c r="V136" s="245"/>
      <c r="W136" s="245"/>
      <c r="X136" s="245"/>
      <c r="Y136" s="245"/>
      <c r="Z136" s="245"/>
      <c r="AA136" s="245"/>
      <c r="AB136" s="245"/>
      <c r="AC136" s="245"/>
      <c r="AD136" s="245"/>
      <c r="AE136" s="245"/>
      <c r="AF136" s="245"/>
      <c r="AG136" s="245"/>
      <c r="AH136" s="245"/>
      <c r="AI136" s="245"/>
      <c r="AJ136" s="245"/>
      <c r="AK136" s="245"/>
      <c r="AL136" s="245"/>
      <c r="AM136" s="245"/>
      <c r="AN136" s="245"/>
      <c r="AO136" s="245"/>
      <c r="AP136" s="245"/>
      <c r="AQ136" s="245"/>
      <c r="AR136" s="245"/>
      <c r="AS136" s="245"/>
      <c r="AT136" s="245"/>
      <c r="AU136" s="245"/>
      <c r="AV136" s="245"/>
      <c r="AW136" s="245"/>
      <c r="AX136" s="245"/>
      <c r="AY136" s="245"/>
      <c r="AZ136" s="245"/>
      <c r="BA136" s="245"/>
      <c r="BB136" s="245"/>
      <c r="BC136" s="245"/>
      <c r="BD136" s="245"/>
      <c r="BE136" s="245"/>
      <c r="BF136" s="245"/>
      <c r="BG136" s="245"/>
      <c r="BH136" s="246"/>
      <c r="BI136" s="245"/>
      <c r="BJ136" s="245"/>
      <c r="BK136" s="227"/>
      <c r="BL136" s="245"/>
      <c r="BM136" s="245"/>
      <c r="BN136" s="245"/>
      <c r="BO136" s="245"/>
      <c r="BP136" s="246"/>
      <c r="BQ136" s="245"/>
      <c r="BR136" s="245"/>
      <c r="BS136" s="227"/>
      <c r="BT136" s="246"/>
      <c r="BU136" s="245"/>
      <c r="BV136" s="599"/>
      <c r="BW136" s="636"/>
      <c r="BX136" s="521"/>
      <c r="BY136" s="635"/>
      <c r="BZ136" s="635"/>
      <c r="CA136" s="636"/>
      <c r="CB136" s="521"/>
      <c r="CC136" s="635"/>
      <c r="CD136" s="635"/>
      <c r="CE136" s="636"/>
      <c r="CF136" s="521"/>
      <c r="CG136" s="635"/>
      <c r="CH136" s="635"/>
      <c r="CI136" s="605"/>
      <c r="CJ136" s="521"/>
      <c r="CK136" s="635"/>
      <c r="CL136" s="635">
        <v>1140</v>
      </c>
      <c r="CM136" s="605">
        <f t="shared" ref="CM136:CU136" si="762">CL136</f>
        <v>1140</v>
      </c>
      <c r="CN136" s="635">
        <f t="shared" si="762"/>
        <v>1140</v>
      </c>
      <c r="CO136" s="1277">
        <f t="shared" si="762"/>
        <v>1140</v>
      </c>
      <c r="CP136" s="635">
        <f t="shared" si="762"/>
        <v>1140</v>
      </c>
      <c r="CQ136" s="605">
        <f t="shared" si="762"/>
        <v>1140</v>
      </c>
      <c r="CR136" s="635">
        <f t="shared" si="762"/>
        <v>1140</v>
      </c>
      <c r="CS136" s="635">
        <f t="shared" si="762"/>
        <v>1140</v>
      </c>
      <c r="CT136" s="635">
        <f t="shared" si="762"/>
        <v>1140</v>
      </c>
      <c r="CU136" s="605">
        <f t="shared" si="762"/>
        <v>1140</v>
      </c>
      <c r="CV136" s="1277">
        <f t="shared" ref="CV136" si="763">CU136</f>
        <v>1140</v>
      </c>
      <c r="CW136" s="1277">
        <f t="shared" ref="CW136" si="764">CV136</f>
        <v>1140</v>
      </c>
      <c r="CX136" s="1277">
        <f t="shared" ref="CX136" si="765">CW136</f>
        <v>1140</v>
      </c>
      <c r="CY136" s="605">
        <f t="shared" ref="CY136" si="766">CX136</f>
        <v>1140</v>
      </c>
      <c r="CZ136" s="1277">
        <f t="shared" ref="CZ136" si="767">CY136</f>
        <v>1140</v>
      </c>
      <c r="DA136" s="1277">
        <f t="shared" ref="DA136" si="768">CZ136</f>
        <v>1140</v>
      </c>
      <c r="DB136" s="1277">
        <f t="shared" ref="DB136" si="769">DA136</f>
        <v>1140</v>
      </c>
      <c r="DC136" s="605">
        <f t="shared" ref="DC136" si="770">DB136</f>
        <v>1140</v>
      </c>
      <c r="DD136" s="23"/>
      <c r="DE136" s="471"/>
      <c r="DF136" s="275"/>
      <c r="DG136" s="275"/>
      <c r="DH136" s="275"/>
      <c r="DI136" s="275"/>
      <c r="DJ136" s="275"/>
      <c r="DK136" s="275"/>
      <c r="DL136" s="275"/>
      <c r="DM136" s="275"/>
      <c r="DN136" s="275"/>
      <c r="DO136" s="275"/>
      <c r="DP136" s="275"/>
      <c r="DQ136" s="275"/>
      <c r="DR136" s="275"/>
      <c r="DS136" s="275"/>
      <c r="DT136" s="275"/>
      <c r="DU136" s="1259"/>
      <c r="DV136" s="1259"/>
      <c r="DW136" s="1259"/>
      <c r="DX136" s="1259"/>
      <c r="DY136" s="1259"/>
      <c r="DZ136" s="1259">
        <v>1140</v>
      </c>
      <c r="EA136" s="275">
        <v>1140</v>
      </c>
      <c r="EB136" s="1259">
        <v>1140</v>
      </c>
      <c r="EC136" s="1259">
        <f t="shared" si="740"/>
        <v>1140</v>
      </c>
      <c r="ED136" s="472">
        <f t="shared" si="741"/>
        <v>1140</v>
      </c>
      <c r="EE136" s="471"/>
      <c r="EF136" s="457"/>
      <c r="EG136" s="457"/>
      <c r="EH136" s="457"/>
      <c r="EI136" s="457"/>
      <c r="EJ136" s="457"/>
      <c r="EK136" s="457"/>
      <c r="EL136" s="457"/>
      <c r="EM136" s="457"/>
      <c r="EN136" s="457"/>
      <c r="EO136" s="457"/>
      <c r="EP136" s="457"/>
      <c r="EQ136" s="457"/>
      <c r="ER136" s="457"/>
      <c r="ES136" s="457"/>
      <c r="ET136" s="457"/>
      <c r="EU136" s="457"/>
      <c r="EV136" s="457"/>
      <c r="EW136" s="457"/>
      <c r="EX136" s="457"/>
      <c r="EY136" s="457"/>
      <c r="EZ136" s="457"/>
      <c r="FA136" s="457"/>
      <c r="FB136" s="457"/>
      <c r="FC136" s="457"/>
      <c r="FD136" s="457"/>
      <c r="FE136" s="275"/>
      <c r="FF136" s="1259"/>
      <c r="FG136" s="1259"/>
      <c r="FH136" s="1259"/>
      <c r="FI136"/>
      <c r="FJ136"/>
      <c r="FK136"/>
      <c r="FL136"/>
      <c r="FM136"/>
      <c r="FN136"/>
      <c r="FO136" s="457"/>
    </row>
    <row r="137" spans="1:171" s="623" customFormat="1" ht="14.25" hidden="1" customHeight="1" outlineLevel="1">
      <c r="A137" s="457"/>
      <c r="B137" s="634" t="s">
        <v>543</v>
      </c>
      <c r="C137" s="245"/>
      <c r="D137" s="245"/>
      <c r="E137" s="245"/>
      <c r="F137" s="245"/>
      <c r="G137" s="245"/>
      <c r="H137" s="245"/>
      <c r="I137" s="245"/>
      <c r="J137" s="245"/>
      <c r="K137" s="245"/>
      <c r="L137" s="245"/>
      <c r="M137" s="245"/>
      <c r="N137" s="245"/>
      <c r="O137" s="245"/>
      <c r="P137" s="245"/>
      <c r="Q137" s="245"/>
      <c r="R137" s="245"/>
      <c r="S137" s="245"/>
      <c r="T137" s="245"/>
      <c r="U137" s="245"/>
      <c r="V137" s="245"/>
      <c r="W137" s="245"/>
      <c r="X137" s="245"/>
      <c r="Y137" s="245"/>
      <c r="Z137" s="245"/>
      <c r="AA137" s="245"/>
      <c r="AB137" s="245"/>
      <c r="AC137" s="245"/>
      <c r="AD137" s="245"/>
      <c r="AE137" s="245"/>
      <c r="AF137" s="245"/>
      <c r="AG137" s="245"/>
      <c r="AH137" s="245"/>
      <c r="AI137" s="245"/>
      <c r="AJ137" s="245"/>
      <c r="AK137" s="245"/>
      <c r="AL137" s="245"/>
      <c r="AM137" s="245"/>
      <c r="AN137" s="245"/>
      <c r="AO137" s="245"/>
      <c r="AP137" s="245"/>
      <c r="AQ137" s="245"/>
      <c r="AR137" s="245"/>
      <c r="AS137" s="245"/>
      <c r="AT137" s="245"/>
      <c r="AU137" s="245"/>
      <c r="AV137" s="245"/>
      <c r="AW137" s="245"/>
      <c r="AX137" s="245"/>
      <c r="AY137" s="245"/>
      <c r="AZ137" s="245"/>
      <c r="BA137" s="245"/>
      <c r="BB137" s="245"/>
      <c r="BC137" s="245"/>
      <c r="BD137" s="245"/>
      <c r="BE137" s="245"/>
      <c r="BF137" s="245"/>
      <c r="BG137" s="245"/>
      <c r="BH137" s="246"/>
      <c r="BI137" s="245"/>
      <c r="BJ137" s="245"/>
      <c r="BK137" s="227"/>
      <c r="BL137" s="245"/>
      <c r="BM137" s="245"/>
      <c r="BN137" s="245"/>
      <c r="BO137" s="245"/>
      <c r="BP137" s="246"/>
      <c r="BQ137" s="245"/>
      <c r="BR137" s="245"/>
      <c r="BS137" s="227"/>
      <c r="BT137" s="246"/>
      <c r="BU137" s="245"/>
      <c r="BV137" s="599"/>
      <c r="BW137" s="636"/>
      <c r="BX137" s="521"/>
      <c r="BY137" s="635"/>
      <c r="BZ137" s="635"/>
      <c r="CA137" s="636"/>
      <c r="CB137" s="521"/>
      <c r="CC137" s="635"/>
      <c r="CD137" s="635"/>
      <c r="CE137" s="636"/>
      <c r="CF137" s="521"/>
      <c r="CG137" s="635"/>
      <c r="CH137" s="635">
        <v>450</v>
      </c>
      <c r="CI137" s="605">
        <v>450</v>
      </c>
      <c r="CJ137" s="521">
        <v>450</v>
      </c>
      <c r="CK137" s="635">
        <v>450</v>
      </c>
      <c r="CL137" s="635">
        <v>450</v>
      </c>
      <c r="CM137" s="605">
        <v>450</v>
      </c>
      <c r="CN137" s="635">
        <v>450</v>
      </c>
      <c r="CO137" s="1277">
        <v>450</v>
      </c>
      <c r="CP137" s="635">
        <v>450</v>
      </c>
      <c r="CQ137" s="605">
        <v>450</v>
      </c>
      <c r="CR137" s="635">
        <v>450</v>
      </c>
      <c r="CS137" s="635">
        <v>450</v>
      </c>
      <c r="CT137" s="635">
        <v>450</v>
      </c>
      <c r="CU137" s="605">
        <v>450</v>
      </c>
      <c r="CV137" s="1277">
        <v>450</v>
      </c>
      <c r="CW137" s="1277">
        <v>450</v>
      </c>
      <c r="CX137" s="1277">
        <v>450</v>
      </c>
      <c r="CY137" s="605">
        <v>450</v>
      </c>
      <c r="CZ137" s="1277">
        <v>450</v>
      </c>
      <c r="DA137" s="1277">
        <v>450</v>
      </c>
      <c r="DB137" s="1277">
        <v>450</v>
      </c>
      <c r="DC137" s="605">
        <v>450</v>
      </c>
      <c r="DD137" s="23"/>
      <c r="DE137" s="471"/>
      <c r="DF137" s="275"/>
      <c r="DG137" s="275"/>
      <c r="DH137" s="275"/>
      <c r="DI137" s="275"/>
      <c r="DJ137" s="275"/>
      <c r="DK137" s="275"/>
      <c r="DL137" s="275"/>
      <c r="DM137" s="275"/>
      <c r="DN137" s="275"/>
      <c r="DO137" s="275"/>
      <c r="DP137" s="275"/>
      <c r="DQ137" s="275"/>
      <c r="DR137" s="275"/>
      <c r="DS137" s="275"/>
      <c r="DT137" s="275"/>
      <c r="DU137" s="1259"/>
      <c r="DV137" s="1259"/>
      <c r="DW137" s="1259"/>
      <c r="DX137" s="1259"/>
      <c r="DY137" s="1259"/>
      <c r="DZ137" s="1259">
        <v>450</v>
      </c>
      <c r="EA137" s="275">
        <v>450</v>
      </c>
      <c r="EB137" s="1259">
        <v>450</v>
      </c>
      <c r="EC137" s="1259">
        <f t="shared" si="740"/>
        <v>450</v>
      </c>
      <c r="ED137" s="472">
        <f t="shared" si="741"/>
        <v>450</v>
      </c>
      <c r="EE137" s="471"/>
      <c r="EF137" s="457"/>
      <c r="EG137" s="457"/>
      <c r="EH137" s="457"/>
      <c r="EI137" s="457"/>
      <c r="EJ137" s="457"/>
      <c r="EK137" s="457"/>
      <c r="EL137" s="457"/>
      <c r="EM137" s="457"/>
      <c r="EN137" s="457"/>
      <c r="EO137" s="457"/>
      <c r="EP137" s="457"/>
      <c r="EQ137" s="457"/>
      <c r="ER137" s="457"/>
      <c r="ES137" s="457"/>
      <c r="ET137" s="457"/>
      <c r="EU137" s="457"/>
      <c r="EV137" s="457"/>
      <c r="EW137" s="457"/>
      <c r="EX137" s="457"/>
      <c r="EY137" s="457"/>
      <c r="EZ137" s="457"/>
      <c r="FA137" s="457"/>
      <c r="FB137" s="457"/>
      <c r="FC137" s="457"/>
      <c r="FD137" s="457"/>
      <c r="FE137" s="275"/>
      <c r="FF137" s="1259"/>
      <c r="FG137" s="1259"/>
      <c r="FH137" s="1259"/>
      <c r="FI137"/>
      <c r="FJ137"/>
      <c r="FK137"/>
      <c r="FL137"/>
      <c r="FM137"/>
      <c r="FN137"/>
      <c r="FO137" s="457"/>
    </row>
    <row r="138" spans="1:171" s="623" customFormat="1" ht="14.25" hidden="1" customHeight="1" outlineLevel="1">
      <c r="A138" s="457"/>
      <c r="B138" s="634" t="s">
        <v>564</v>
      </c>
      <c r="C138" s="245"/>
      <c r="D138" s="245"/>
      <c r="E138" s="245"/>
      <c r="F138" s="245"/>
      <c r="G138" s="245"/>
      <c r="H138" s="245"/>
      <c r="I138" s="245"/>
      <c r="J138" s="245"/>
      <c r="K138" s="245"/>
      <c r="L138" s="245"/>
      <c r="M138" s="245"/>
      <c r="N138" s="245"/>
      <c r="O138" s="245"/>
      <c r="P138" s="245"/>
      <c r="Q138" s="245"/>
      <c r="R138" s="245"/>
      <c r="S138" s="245"/>
      <c r="T138" s="245"/>
      <c r="U138" s="245"/>
      <c r="V138" s="245"/>
      <c r="W138" s="245"/>
      <c r="X138" s="245"/>
      <c r="Y138" s="245"/>
      <c r="Z138" s="245"/>
      <c r="AA138" s="245"/>
      <c r="AB138" s="245"/>
      <c r="AC138" s="245"/>
      <c r="AD138" s="245"/>
      <c r="AE138" s="245"/>
      <c r="AF138" s="245"/>
      <c r="AG138" s="245"/>
      <c r="AH138" s="245"/>
      <c r="AI138" s="245"/>
      <c r="AJ138" s="245"/>
      <c r="AK138" s="245"/>
      <c r="AL138" s="245"/>
      <c r="AM138" s="245"/>
      <c r="AN138" s="245"/>
      <c r="AO138" s="245"/>
      <c r="AP138" s="245"/>
      <c r="AQ138" s="245"/>
      <c r="AR138" s="245"/>
      <c r="AS138" s="245"/>
      <c r="AT138" s="245"/>
      <c r="AU138" s="245"/>
      <c r="AV138" s="245"/>
      <c r="AW138" s="245"/>
      <c r="AX138" s="245"/>
      <c r="AY138" s="245"/>
      <c r="AZ138" s="245"/>
      <c r="BA138" s="245"/>
      <c r="BB138" s="245"/>
      <c r="BC138" s="245"/>
      <c r="BD138" s="245"/>
      <c r="BE138" s="245"/>
      <c r="BF138" s="245"/>
      <c r="BG138" s="245"/>
      <c r="BH138" s="246"/>
      <c r="BI138" s="245"/>
      <c r="BJ138" s="245"/>
      <c r="BK138" s="227"/>
      <c r="BL138" s="245"/>
      <c r="BM138" s="245"/>
      <c r="BN138" s="245"/>
      <c r="BO138" s="245"/>
      <c r="BP138" s="246"/>
      <c r="BQ138" s="245"/>
      <c r="BR138" s="245"/>
      <c r="BS138" s="227"/>
      <c r="BT138" s="246"/>
      <c r="BU138" s="245"/>
      <c r="BV138" s="599"/>
      <c r="BW138" s="636"/>
      <c r="BX138" s="521"/>
      <c r="BY138" s="635"/>
      <c r="BZ138" s="635"/>
      <c r="CA138" s="636"/>
      <c r="CB138" s="521"/>
      <c r="CC138" s="635"/>
      <c r="CD138" s="635"/>
      <c r="CE138" s="636"/>
      <c r="CF138" s="521"/>
      <c r="CG138" s="635"/>
      <c r="CH138" s="635"/>
      <c r="CI138" s="605"/>
      <c r="CJ138" s="521"/>
      <c r="CK138" s="635"/>
      <c r="CL138" s="635">
        <v>1250</v>
      </c>
      <c r="CM138" s="605">
        <v>1250</v>
      </c>
      <c r="CN138" s="635">
        <f t="shared" ref="CN138:CQ139" si="771">CM138</f>
        <v>1250</v>
      </c>
      <c r="CO138" s="1277">
        <f t="shared" si="771"/>
        <v>1250</v>
      </c>
      <c r="CP138" s="635">
        <f t="shared" si="771"/>
        <v>1250</v>
      </c>
      <c r="CQ138" s="605">
        <f t="shared" si="771"/>
        <v>1250</v>
      </c>
      <c r="CR138" s="635">
        <f t="shared" ref="CR138:CR139" si="772">CQ138</f>
        <v>1250</v>
      </c>
      <c r="CS138" s="635">
        <f t="shared" ref="CS138:CS139" si="773">CR138</f>
        <v>1250</v>
      </c>
      <c r="CT138" s="635">
        <f t="shared" ref="CT138:CT139" si="774">CS138</f>
        <v>1250</v>
      </c>
      <c r="CU138" s="605">
        <f t="shared" ref="CU138:CU139" si="775">CT138</f>
        <v>1250</v>
      </c>
      <c r="CV138" s="1277">
        <f t="shared" ref="CV138:CV139" si="776">CU138</f>
        <v>1250</v>
      </c>
      <c r="CW138" s="1277">
        <f t="shared" ref="CW138:CW139" si="777">CV138</f>
        <v>1250</v>
      </c>
      <c r="CX138" s="1277">
        <f t="shared" ref="CX138:CX139" si="778">CW138</f>
        <v>1250</v>
      </c>
      <c r="CY138" s="605">
        <f t="shared" ref="CY138:CY139" si="779">CX138</f>
        <v>1250</v>
      </c>
      <c r="CZ138" s="1277">
        <f t="shared" ref="CZ138:CZ139" si="780">CY138</f>
        <v>1250</v>
      </c>
      <c r="DA138" s="1277">
        <f t="shared" ref="DA138:DA139" si="781">CZ138</f>
        <v>1250</v>
      </c>
      <c r="DB138" s="1277">
        <f t="shared" ref="DB138:DB139" si="782">DA138</f>
        <v>1250</v>
      </c>
      <c r="DC138" s="605">
        <f t="shared" ref="DC138:DC139" si="783">DB138</f>
        <v>1250</v>
      </c>
      <c r="DD138" s="23"/>
      <c r="DE138" s="246"/>
      <c r="DF138" s="245"/>
      <c r="DG138" s="245"/>
      <c r="DH138" s="245"/>
      <c r="DI138" s="245"/>
      <c r="DJ138" s="245"/>
      <c r="DK138" s="245"/>
      <c r="DL138" s="245"/>
      <c r="DM138" s="245"/>
      <c r="DN138" s="245"/>
      <c r="DO138" s="245"/>
      <c r="DP138" s="245"/>
      <c r="DQ138" s="245"/>
      <c r="DR138" s="245"/>
      <c r="DS138" s="245"/>
      <c r="DT138" s="635"/>
      <c r="DU138" s="245"/>
      <c r="DV138" s="245"/>
      <c r="DW138" s="245"/>
      <c r="DX138" s="245"/>
      <c r="DY138" s="245"/>
      <c r="DZ138" s="245">
        <f t="shared" ref="DZ138:DZ139" si="784">+CM138</f>
        <v>1250</v>
      </c>
      <c r="EA138" s="275">
        <f t="shared" ref="EA138:EA139" si="785">CQ138</f>
        <v>1250</v>
      </c>
      <c r="EB138" s="1259">
        <f t="shared" ref="EB138:EB147" si="786">CU138</f>
        <v>1250</v>
      </c>
      <c r="EC138" s="1259">
        <f t="shared" si="740"/>
        <v>1250</v>
      </c>
      <c r="ED138" s="472">
        <f t="shared" si="741"/>
        <v>1250</v>
      </c>
      <c r="EE138" s="471"/>
      <c r="EF138" s="457"/>
      <c r="EG138" s="457"/>
      <c r="EH138" s="457"/>
      <c r="EI138" s="457"/>
      <c r="EJ138" s="457"/>
      <c r="EK138" s="457"/>
      <c r="EL138" s="457"/>
      <c r="EM138" s="457"/>
      <c r="EN138" s="457"/>
      <c r="EO138" s="457"/>
      <c r="EP138" s="457"/>
      <c r="EQ138" s="457"/>
      <c r="ER138" s="457"/>
      <c r="ES138" s="457"/>
      <c r="ET138" s="457"/>
      <c r="EU138" s="457"/>
      <c r="EV138" s="457"/>
      <c r="EW138" s="457"/>
      <c r="EX138" s="457"/>
      <c r="EY138" s="457"/>
      <c r="EZ138" s="457"/>
      <c r="FA138" s="457"/>
      <c r="FB138" s="457"/>
      <c r="FC138" s="457"/>
      <c r="FD138" s="457"/>
      <c r="FE138" s="275"/>
      <c r="FF138" s="1259"/>
      <c r="FG138" s="1259"/>
      <c r="FH138" s="1259"/>
      <c r="FI138"/>
      <c r="FJ138"/>
      <c r="FK138"/>
      <c r="FL138"/>
      <c r="FM138"/>
      <c r="FN138"/>
      <c r="FO138" s="457"/>
    </row>
    <row r="139" spans="1:171" s="623" customFormat="1" ht="14.25" hidden="1" customHeight="1" outlineLevel="1">
      <c r="A139" s="457"/>
      <c r="B139" s="634" t="s">
        <v>565</v>
      </c>
      <c r="C139" s="245"/>
      <c r="D139" s="245"/>
      <c r="E139" s="245"/>
      <c r="F139" s="245"/>
      <c r="G139" s="245"/>
      <c r="H139" s="245"/>
      <c r="I139" s="245"/>
      <c r="J139" s="245"/>
      <c r="K139" s="245"/>
      <c r="L139" s="245"/>
      <c r="M139" s="245"/>
      <c r="N139" s="245"/>
      <c r="O139" s="245"/>
      <c r="P139" s="245"/>
      <c r="Q139" s="245"/>
      <c r="R139" s="245"/>
      <c r="S139" s="245"/>
      <c r="T139" s="245"/>
      <c r="U139" s="245"/>
      <c r="V139" s="245"/>
      <c r="W139" s="245"/>
      <c r="X139" s="245"/>
      <c r="Y139" s="245"/>
      <c r="Z139" s="245"/>
      <c r="AA139" s="245"/>
      <c r="AB139" s="245"/>
      <c r="AC139" s="245"/>
      <c r="AD139" s="245"/>
      <c r="AE139" s="245"/>
      <c r="AF139" s="245"/>
      <c r="AG139" s="245"/>
      <c r="AH139" s="245"/>
      <c r="AI139" s="245"/>
      <c r="AJ139" s="245"/>
      <c r="AK139" s="245"/>
      <c r="AL139" s="245"/>
      <c r="AM139" s="245"/>
      <c r="AN139" s="245"/>
      <c r="AO139" s="245"/>
      <c r="AP139" s="245"/>
      <c r="AQ139" s="245"/>
      <c r="AR139" s="245"/>
      <c r="AS139" s="245"/>
      <c r="AT139" s="245"/>
      <c r="AU139" s="245"/>
      <c r="AV139" s="245"/>
      <c r="AW139" s="245"/>
      <c r="AX139" s="245"/>
      <c r="AY139" s="245"/>
      <c r="AZ139" s="245"/>
      <c r="BA139" s="245"/>
      <c r="BB139" s="245"/>
      <c r="BC139" s="245"/>
      <c r="BD139" s="245"/>
      <c r="BE139" s="245"/>
      <c r="BF139" s="245"/>
      <c r="BG139" s="245"/>
      <c r="BH139" s="246"/>
      <c r="BI139" s="245"/>
      <c r="BJ139" s="245"/>
      <c r="BK139" s="227"/>
      <c r="BL139" s="245"/>
      <c r="BM139" s="245"/>
      <c r="BN139" s="245"/>
      <c r="BO139" s="245"/>
      <c r="BP139" s="246"/>
      <c r="BQ139" s="245"/>
      <c r="BR139" s="245"/>
      <c r="BS139" s="227"/>
      <c r="BT139" s="246"/>
      <c r="BU139" s="245"/>
      <c r="BV139" s="599"/>
      <c r="BW139" s="636"/>
      <c r="BX139" s="521"/>
      <c r="BY139" s="635"/>
      <c r="BZ139" s="635"/>
      <c r="CA139" s="636"/>
      <c r="CB139" s="521"/>
      <c r="CC139" s="635"/>
      <c r="CD139" s="635"/>
      <c r="CE139" s="636"/>
      <c r="CF139" s="521"/>
      <c r="CG139" s="635"/>
      <c r="CH139" s="635"/>
      <c r="CI139" s="605"/>
      <c r="CJ139" s="521"/>
      <c r="CK139" s="635"/>
      <c r="CL139" s="635">
        <v>750</v>
      </c>
      <c r="CM139" s="605">
        <v>750</v>
      </c>
      <c r="CN139" s="635">
        <f t="shared" ref="CN139:CQ139" si="787">CM139</f>
        <v>750</v>
      </c>
      <c r="CO139" s="1277">
        <f t="shared" si="771"/>
        <v>750</v>
      </c>
      <c r="CP139" s="635">
        <f t="shared" si="787"/>
        <v>750</v>
      </c>
      <c r="CQ139" s="605">
        <f t="shared" si="787"/>
        <v>750</v>
      </c>
      <c r="CR139" s="635">
        <f t="shared" si="772"/>
        <v>750</v>
      </c>
      <c r="CS139" s="635">
        <f t="shared" si="773"/>
        <v>750</v>
      </c>
      <c r="CT139" s="635">
        <f t="shared" si="774"/>
        <v>750</v>
      </c>
      <c r="CU139" s="605">
        <f t="shared" si="775"/>
        <v>750</v>
      </c>
      <c r="CV139" s="1277">
        <f t="shared" si="776"/>
        <v>750</v>
      </c>
      <c r="CW139" s="1277">
        <f t="shared" si="777"/>
        <v>750</v>
      </c>
      <c r="CX139" s="1277">
        <f t="shared" si="778"/>
        <v>750</v>
      </c>
      <c r="CY139" s="605">
        <f t="shared" si="779"/>
        <v>750</v>
      </c>
      <c r="CZ139" s="1277">
        <f t="shared" si="780"/>
        <v>750</v>
      </c>
      <c r="DA139" s="1277">
        <f t="shared" si="781"/>
        <v>750</v>
      </c>
      <c r="DB139" s="1277">
        <f t="shared" si="782"/>
        <v>750</v>
      </c>
      <c r="DC139" s="605">
        <f t="shared" si="783"/>
        <v>750</v>
      </c>
      <c r="DD139" s="23"/>
      <c r="DE139" s="246"/>
      <c r="DF139" s="245"/>
      <c r="DG139" s="245"/>
      <c r="DH139" s="245"/>
      <c r="DI139" s="245"/>
      <c r="DJ139" s="245"/>
      <c r="DK139" s="245"/>
      <c r="DL139" s="245"/>
      <c r="DM139" s="245"/>
      <c r="DN139" s="245"/>
      <c r="DO139" s="245"/>
      <c r="DP139" s="245"/>
      <c r="DQ139" s="245"/>
      <c r="DR139" s="245"/>
      <c r="DS139" s="245"/>
      <c r="DT139" s="635"/>
      <c r="DU139" s="245"/>
      <c r="DV139" s="245"/>
      <c r="DW139" s="245"/>
      <c r="DX139" s="245"/>
      <c r="DY139" s="245"/>
      <c r="DZ139" s="245">
        <f t="shared" si="784"/>
        <v>750</v>
      </c>
      <c r="EA139" s="275">
        <f t="shared" si="785"/>
        <v>750</v>
      </c>
      <c r="EB139" s="1259">
        <f t="shared" si="786"/>
        <v>750</v>
      </c>
      <c r="EC139" s="1259">
        <f t="shared" si="740"/>
        <v>750</v>
      </c>
      <c r="ED139" s="472">
        <f t="shared" si="741"/>
        <v>750</v>
      </c>
      <c r="EE139" s="471"/>
      <c r="EF139" s="457"/>
      <c r="EG139" s="457"/>
      <c r="EH139" s="457"/>
      <c r="EI139" s="457"/>
      <c r="EJ139" s="457"/>
      <c r="EK139" s="457"/>
      <c r="EL139" s="457"/>
      <c r="EM139" s="457"/>
      <c r="EN139" s="457"/>
      <c r="EO139" s="457"/>
      <c r="EP139" s="457"/>
      <c r="EQ139" s="457"/>
      <c r="ER139" s="457"/>
      <c r="ES139" s="457"/>
      <c r="ET139" s="457"/>
      <c r="EU139" s="457"/>
      <c r="EV139" s="457"/>
      <c r="EW139" s="457"/>
      <c r="EX139" s="457"/>
      <c r="EY139" s="457"/>
      <c r="EZ139" s="457"/>
      <c r="FA139" s="457"/>
      <c r="FB139" s="457"/>
      <c r="FC139" s="457"/>
      <c r="FD139" s="457"/>
      <c r="FE139" s="275"/>
      <c r="FF139" s="1259"/>
      <c r="FG139" s="1259"/>
      <c r="FH139" s="1259"/>
      <c r="FI139"/>
      <c r="FJ139"/>
      <c r="FK139"/>
      <c r="FL139"/>
      <c r="FM139"/>
      <c r="FN139"/>
      <c r="FO139" s="457"/>
    </row>
    <row r="140" spans="1:171" s="464" customFormat="1" ht="14.25" hidden="1" customHeight="1" outlineLevel="1">
      <c r="A140" s="459"/>
      <c r="B140" s="512" t="s">
        <v>243</v>
      </c>
      <c r="C140" s="463"/>
      <c r="D140" s="463"/>
      <c r="E140" s="463"/>
      <c r="F140" s="463"/>
      <c r="G140" s="463"/>
      <c r="H140" s="463"/>
      <c r="I140" s="463"/>
      <c r="J140" s="463"/>
      <c r="K140" s="463"/>
      <c r="L140" s="463"/>
      <c r="M140" s="463"/>
      <c r="N140" s="463"/>
      <c r="O140" s="463"/>
      <c r="P140" s="463"/>
      <c r="Q140" s="463"/>
      <c r="R140" s="463"/>
      <c r="S140" s="463"/>
      <c r="T140" s="463"/>
      <c r="U140" s="463"/>
      <c r="V140" s="463"/>
      <c r="W140" s="463"/>
      <c r="X140" s="463"/>
      <c r="Y140" s="463"/>
      <c r="Z140" s="463"/>
      <c r="AA140" s="463"/>
      <c r="AB140" s="463"/>
      <c r="AC140" s="463"/>
      <c r="AD140" s="463"/>
      <c r="AE140" s="463"/>
      <c r="AF140" s="463"/>
      <c r="AG140" s="463"/>
      <c r="AH140" s="463"/>
      <c r="AI140" s="463"/>
      <c r="AJ140" s="463"/>
      <c r="AK140" s="463"/>
      <c r="AL140" s="463"/>
      <c r="AM140" s="463"/>
      <c r="AN140" s="463"/>
      <c r="AO140" s="463"/>
      <c r="AP140" s="463"/>
      <c r="AQ140" s="463"/>
      <c r="AR140" s="463"/>
      <c r="AS140" s="463"/>
      <c r="AT140" s="463"/>
      <c r="AU140" s="463"/>
      <c r="AV140" s="463"/>
      <c r="AW140" s="463"/>
      <c r="AX140" s="463"/>
      <c r="AY140" s="463"/>
      <c r="AZ140" s="463"/>
      <c r="BA140" s="463"/>
      <c r="BB140" s="463"/>
      <c r="BC140" s="463"/>
      <c r="BD140" s="463"/>
      <c r="BE140" s="463"/>
      <c r="BF140" s="463"/>
      <c r="BG140" s="463"/>
      <c r="BH140" s="473"/>
      <c r="BI140" s="463"/>
      <c r="BJ140" s="463"/>
      <c r="BK140" s="474"/>
      <c r="BL140" s="463"/>
      <c r="BM140" s="463"/>
      <c r="BN140" s="463"/>
      <c r="BO140" s="463"/>
      <c r="BP140" s="473"/>
      <c r="BQ140" s="463"/>
      <c r="BR140" s="463"/>
      <c r="BS140" s="474"/>
      <c r="BT140" s="473"/>
      <c r="BU140" s="463"/>
      <c r="BV140" s="642"/>
      <c r="BW140" s="474"/>
      <c r="BX140" s="473">
        <f>+BX118</f>
        <v>0</v>
      </c>
      <c r="BY140" s="463">
        <f t="shared" ref="BY140:CI140" si="788">+BY118</f>
        <v>0</v>
      </c>
      <c r="BZ140" s="463">
        <f t="shared" si="788"/>
        <v>0</v>
      </c>
      <c r="CA140" s="474">
        <f t="shared" si="788"/>
        <v>0</v>
      </c>
      <c r="CB140" s="473">
        <f t="shared" si="788"/>
        <v>0</v>
      </c>
      <c r="CC140" s="463">
        <f>+CC118</f>
        <v>0</v>
      </c>
      <c r="CD140" s="642">
        <f t="shared" si="788"/>
        <v>0</v>
      </c>
      <c r="CE140" s="474">
        <f t="shared" si="788"/>
        <v>950</v>
      </c>
      <c r="CF140" s="473">
        <f t="shared" si="788"/>
        <v>950</v>
      </c>
      <c r="CG140" s="463">
        <f t="shared" si="788"/>
        <v>950</v>
      </c>
      <c r="CH140" s="642">
        <f>+CH118</f>
        <v>0</v>
      </c>
      <c r="CI140" s="474">
        <f t="shared" si="788"/>
        <v>0</v>
      </c>
      <c r="CJ140" s="473">
        <f t="shared" ref="CJ140:CQ140" si="789">+CJ118</f>
        <v>0</v>
      </c>
      <c r="CK140" s="463">
        <f t="shared" si="789"/>
        <v>0</v>
      </c>
      <c r="CL140" s="642">
        <f t="shared" si="789"/>
        <v>0</v>
      </c>
      <c r="CM140" s="474">
        <f t="shared" si="789"/>
        <v>0</v>
      </c>
      <c r="CN140" s="463">
        <f t="shared" si="789"/>
        <v>0</v>
      </c>
      <c r="CO140" s="1268">
        <f t="shared" si="789"/>
        <v>0</v>
      </c>
      <c r="CP140" s="463">
        <f t="shared" si="789"/>
        <v>0</v>
      </c>
      <c r="CQ140" s="474">
        <f t="shared" si="789"/>
        <v>0</v>
      </c>
      <c r="CR140" s="463">
        <f t="shared" ref="CR140:CU140" si="790">+CR118</f>
        <v>0</v>
      </c>
      <c r="CS140" s="463">
        <f t="shared" si="790"/>
        <v>0</v>
      </c>
      <c r="CT140" s="463">
        <f t="shared" si="790"/>
        <v>0</v>
      </c>
      <c r="CU140" s="474">
        <f t="shared" si="790"/>
        <v>0</v>
      </c>
      <c r="CV140" s="1268">
        <f t="shared" ref="CV140:CY140" si="791">+CV118</f>
        <v>0</v>
      </c>
      <c r="CW140" s="1268">
        <f t="shared" si="791"/>
        <v>0</v>
      </c>
      <c r="CX140" s="1268">
        <f t="shared" si="791"/>
        <v>0</v>
      </c>
      <c r="CY140" s="474">
        <f t="shared" si="791"/>
        <v>0</v>
      </c>
      <c r="CZ140" s="1268">
        <f t="shared" ref="CZ140:DC140" si="792">+CZ118</f>
        <v>0</v>
      </c>
      <c r="DA140" s="1268">
        <f t="shared" si="792"/>
        <v>0</v>
      </c>
      <c r="DB140" s="1268">
        <f t="shared" si="792"/>
        <v>0</v>
      </c>
      <c r="DC140" s="474">
        <f t="shared" si="792"/>
        <v>0</v>
      </c>
      <c r="DD140" s="23"/>
      <c r="DE140" s="473"/>
      <c r="DF140" s="463"/>
      <c r="DG140" s="463"/>
      <c r="DH140" s="463"/>
      <c r="DI140" s="463"/>
      <c r="DJ140" s="463"/>
      <c r="DK140" s="463"/>
      <c r="DL140" s="463"/>
      <c r="DM140" s="463"/>
      <c r="DN140" s="463"/>
      <c r="DO140" s="463"/>
      <c r="DP140" s="463"/>
      <c r="DQ140" s="463"/>
      <c r="DR140" s="463"/>
      <c r="DS140" s="463"/>
      <c r="DT140" s="463"/>
      <c r="DU140" s="1268"/>
      <c r="DV140" s="1268"/>
      <c r="DW140" s="1268">
        <f t="shared" ref="DW140:DW147" si="793">+CA140</f>
        <v>0</v>
      </c>
      <c r="DX140" s="1268">
        <f t="shared" ref="DX140:DX147" si="794">+CE140</f>
        <v>950</v>
      </c>
      <c r="DY140" s="1268">
        <f t="shared" ref="DY140:DY147" si="795">+CI140</f>
        <v>0</v>
      </c>
      <c r="DZ140" s="1268">
        <f t="shared" ref="DZ140:DZ147" si="796">+CM140</f>
        <v>0</v>
      </c>
      <c r="EA140" s="463">
        <f t="shared" ref="EA140:EA141" si="797">CQ140</f>
        <v>0</v>
      </c>
      <c r="EB140" s="1268">
        <f t="shared" si="786"/>
        <v>0</v>
      </c>
      <c r="EC140" s="1268">
        <f t="shared" si="740"/>
        <v>0</v>
      </c>
      <c r="ED140" s="474">
        <f t="shared" si="741"/>
        <v>0</v>
      </c>
      <c r="EE140" s="471"/>
      <c r="EF140" s="459"/>
      <c r="EG140" s="459"/>
      <c r="EH140" s="459"/>
      <c r="EI140" s="459"/>
      <c r="EJ140" s="459"/>
      <c r="EK140" s="459"/>
      <c r="EL140" s="459"/>
      <c r="EM140" s="459"/>
      <c r="EN140" s="459"/>
      <c r="EO140" s="459"/>
      <c r="EP140" s="459"/>
      <c r="EQ140" s="459"/>
      <c r="ER140" s="459"/>
      <c r="ES140" s="459"/>
      <c r="ET140" s="459"/>
      <c r="EU140" s="459"/>
      <c r="EV140" s="459"/>
      <c r="EW140" s="459"/>
      <c r="EX140" s="459"/>
      <c r="EY140" s="459"/>
      <c r="EZ140" s="459"/>
      <c r="FA140" s="459"/>
      <c r="FB140" s="459"/>
      <c r="FC140" s="459"/>
      <c r="FD140" s="459"/>
      <c r="FE140" s="463"/>
      <c r="FF140" s="1268"/>
      <c r="FG140" s="1268"/>
      <c r="FH140" s="1268"/>
      <c r="FI140"/>
      <c r="FJ140"/>
      <c r="FK140"/>
      <c r="FL140"/>
      <c r="FM140"/>
      <c r="FN140"/>
      <c r="FO140" s="459"/>
    </row>
    <row r="141" spans="1:171" s="721" customFormat="1" ht="14.25" hidden="1" customHeight="1" outlineLevel="1">
      <c r="A141" s="718"/>
      <c r="B141" s="719" t="s">
        <v>242</v>
      </c>
      <c r="C141" s="635"/>
      <c r="D141" s="635"/>
      <c r="E141" s="635"/>
      <c r="F141" s="635"/>
      <c r="G141" s="635"/>
      <c r="H141" s="635"/>
      <c r="I141" s="635"/>
      <c r="J141" s="635"/>
      <c r="K141" s="635"/>
      <c r="L141" s="635"/>
      <c r="M141" s="635"/>
      <c r="N141" s="635"/>
      <c r="O141" s="635"/>
      <c r="P141" s="635"/>
      <c r="Q141" s="635"/>
      <c r="R141" s="635"/>
      <c r="S141" s="635"/>
      <c r="T141" s="635"/>
      <c r="U141" s="635"/>
      <c r="V141" s="635"/>
      <c r="W141" s="635"/>
      <c r="X141" s="635"/>
      <c r="Y141" s="635"/>
      <c r="Z141" s="635"/>
      <c r="AA141" s="635"/>
      <c r="AB141" s="635"/>
      <c r="AC141" s="635"/>
      <c r="AD141" s="635"/>
      <c r="AE141" s="635"/>
      <c r="AF141" s="635"/>
      <c r="AG141" s="635"/>
      <c r="AH141" s="635"/>
      <c r="AI141" s="635"/>
      <c r="AJ141" s="635"/>
      <c r="AK141" s="635"/>
      <c r="AL141" s="635"/>
      <c r="AM141" s="635"/>
      <c r="AN141" s="635"/>
      <c r="AO141" s="635"/>
      <c r="AP141" s="635"/>
      <c r="AQ141" s="635"/>
      <c r="AR141" s="635"/>
      <c r="AS141" s="635"/>
      <c r="AT141" s="635"/>
      <c r="AU141" s="635"/>
      <c r="AV141" s="635"/>
      <c r="AW141" s="635"/>
      <c r="AX141" s="635"/>
      <c r="AY141" s="635"/>
      <c r="AZ141" s="635"/>
      <c r="BA141" s="635"/>
      <c r="BB141" s="635"/>
      <c r="BC141" s="635"/>
      <c r="BD141" s="635"/>
      <c r="BE141" s="635"/>
      <c r="BF141" s="635"/>
      <c r="BG141" s="635"/>
      <c r="BH141" s="521"/>
      <c r="BI141" s="635"/>
      <c r="BJ141" s="635"/>
      <c r="BK141" s="605"/>
      <c r="BL141" s="635"/>
      <c r="BM141" s="635"/>
      <c r="BN141" s="635"/>
      <c r="BO141" s="635"/>
      <c r="BP141" s="521"/>
      <c r="BQ141" s="635"/>
      <c r="BR141" s="635"/>
      <c r="BS141" s="714">
        <f>+SUM(BS129:BS140)</f>
        <v>1439</v>
      </c>
      <c r="BT141" s="720">
        <f>+SUM(BT129:BT140)</f>
        <v>1455</v>
      </c>
      <c r="BU141" s="701">
        <f>+SUM(BU129:BU140)</f>
        <v>1474</v>
      </c>
      <c r="BV141" s="701">
        <f t="shared" ref="BV141:CI141" si="798">+SUM(BV127:BV140)</f>
        <v>2298</v>
      </c>
      <c r="BW141" s="714">
        <f t="shared" si="798"/>
        <v>2379</v>
      </c>
      <c r="BX141" s="720">
        <f t="shared" si="798"/>
        <v>2394</v>
      </c>
      <c r="BY141" s="701">
        <f t="shared" si="798"/>
        <v>2419.8973437499999</v>
      </c>
      <c r="BZ141" s="701">
        <f>+SUM(BZ127:BZ140)</f>
        <v>2446.2596828359374</v>
      </c>
      <c r="CA141" s="714">
        <f t="shared" si="798"/>
        <v>2473.0954594766818</v>
      </c>
      <c r="CB141" s="720">
        <f t="shared" si="798"/>
        <v>2500.4132707590129</v>
      </c>
      <c r="CC141" s="701">
        <f>+SUM(CC127:CC140)</f>
        <v>2528.2218715057434</v>
      </c>
      <c r="CD141" s="701">
        <f t="shared" si="798"/>
        <v>2553.1064518696935</v>
      </c>
      <c r="CE141" s="714">
        <f t="shared" si="798"/>
        <v>2568.4601042956319</v>
      </c>
      <c r="CF141" s="720">
        <f t="shared" si="798"/>
        <v>2271.2372857490277</v>
      </c>
      <c r="CG141" s="701">
        <f t="shared" si="798"/>
        <v>3282.6808576132657</v>
      </c>
      <c r="CH141" s="701">
        <f>+SUM(CH127:CH140)</f>
        <v>3344.3098772650228</v>
      </c>
      <c r="CI141" s="714">
        <f t="shared" si="798"/>
        <v>3356.1273634945483</v>
      </c>
      <c r="CJ141" s="720">
        <f t="shared" ref="CJ141:CQ141" si="799">+SUM(CJ127:CJ140)</f>
        <v>3368.1363844530329</v>
      </c>
      <c r="CK141" s="701">
        <f t="shared" si="799"/>
        <v>3380.3400584632791</v>
      </c>
      <c r="CL141" s="701">
        <f t="shared" si="799"/>
        <v>6532.7415548437493</v>
      </c>
      <c r="CM141" s="714">
        <f>+SUM(CM127:CM140)</f>
        <v>6545.3440947462013</v>
      </c>
      <c r="CN141" s="701">
        <f t="shared" si="799"/>
        <v>6558.1509520071431</v>
      </c>
      <c r="CO141" s="1275">
        <f t="shared" si="799"/>
        <v>6571.1654540133386</v>
      </c>
      <c r="CP141" s="701">
        <f t="shared" si="799"/>
        <v>6584.3909825815845</v>
      </c>
      <c r="CQ141" s="714">
        <f t="shared" si="799"/>
        <v>6597.8309748530155</v>
      </c>
      <c r="CR141" s="701">
        <f t="shared" ref="CR141:CU141" si="800">+SUM(CR127:CR140)</f>
        <v>6611.4889242021572</v>
      </c>
      <c r="CS141" s="701">
        <f t="shared" si="800"/>
        <v>6625.3683811609772</v>
      </c>
      <c r="CT141" s="701">
        <f t="shared" si="800"/>
        <v>6639.4729543582016</v>
      </c>
      <c r="CU141" s="714">
        <f t="shared" si="800"/>
        <v>6653.8063114741162</v>
      </c>
      <c r="CV141" s="1275">
        <f t="shared" ref="CV141:CY141" si="801">+SUM(CV127:CV140)</f>
        <v>6668.3721802111377</v>
      </c>
      <c r="CW141" s="1275">
        <f t="shared" si="801"/>
        <v>6683.1743492804071</v>
      </c>
      <c r="CX141" s="1275">
        <f t="shared" si="801"/>
        <v>6698.2166694046591</v>
      </c>
      <c r="CY141" s="714">
        <f t="shared" si="801"/>
        <v>6713.503054337657</v>
      </c>
      <c r="CZ141" s="1275">
        <f t="shared" ref="CZ141:DC141" si="802">+SUM(CZ127:CZ140)</f>
        <v>6729.0374819004555</v>
      </c>
      <c r="DA141" s="1275">
        <f t="shared" si="802"/>
        <v>6744.8239950347752</v>
      </c>
      <c r="DB141" s="1275">
        <f t="shared" si="802"/>
        <v>6760.8667028737636</v>
      </c>
      <c r="DC141" s="714">
        <f t="shared" si="802"/>
        <v>6777.1697818304492</v>
      </c>
      <c r="DD141" s="23"/>
      <c r="DE141" s="521"/>
      <c r="DF141" s="635"/>
      <c r="DG141" s="635"/>
      <c r="DH141" s="635"/>
      <c r="DI141" s="635"/>
      <c r="DJ141" s="635"/>
      <c r="DK141" s="635"/>
      <c r="DL141" s="635"/>
      <c r="DM141" s="635"/>
      <c r="DN141" s="635"/>
      <c r="DO141" s="635"/>
      <c r="DP141" s="635"/>
      <c r="DQ141" s="635"/>
      <c r="DR141" s="635"/>
      <c r="DS141" s="635"/>
      <c r="DT141" s="701"/>
      <c r="DU141" s="1277"/>
      <c r="DV141" s="1277">
        <f t="shared" ref="DV141:DV147" si="803">+BW141</f>
        <v>2379</v>
      </c>
      <c r="DW141" s="1277">
        <f t="shared" si="793"/>
        <v>2473.0954594766818</v>
      </c>
      <c r="DX141" s="1277">
        <f t="shared" si="794"/>
        <v>2568.4601042956319</v>
      </c>
      <c r="DY141" s="1277">
        <f t="shared" si="795"/>
        <v>3356.1273634945483</v>
      </c>
      <c r="DZ141" s="1277">
        <f t="shared" si="796"/>
        <v>6545.3440947462013</v>
      </c>
      <c r="EA141" s="701">
        <f t="shared" si="797"/>
        <v>6597.8309748530155</v>
      </c>
      <c r="EB141" s="1275">
        <f t="shared" si="786"/>
        <v>6653.8063114741162</v>
      </c>
      <c r="EC141" s="1275">
        <f t="shared" si="740"/>
        <v>6713.503054337657</v>
      </c>
      <c r="ED141" s="714">
        <f t="shared" si="741"/>
        <v>6777.1697818304492</v>
      </c>
      <c r="EE141" s="521"/>
      <c r="EF141" s="718"/>
      <c r="EG141" s="718"/>
      <c r="EH141" s="718"/>
      <c r="EI141" s="718"/>
      <c r="EJ141" s="718"/>
      <c r="EK141" s="718"/>
      <c r="EL141" s="718"/>
      <c r="EM141" s="718"/>
      <c r="EN141" s="718"/>
      <c r="EO141" s="718"/>
      <c r="EP141" s="718"/>
      <c r="EQ141" s="718"/>
      <c r="ER141" s="718"/>
      <c r="ES141" s="718"/>
      <c r="ET141" s="718"/>
      <c r="EU141" s="718"/>
      <c r="EV141" s="718"/>
      <c r="EW141" s="718"/>
      <c r="EX141" s="718"/>
      <c r="EY141" s="718"/>
      <c r="EZ141" s="718"/>
      <c r="FA141" s="718"/>
      <c r="FB141" s="718"/>
      <c r="FC141" s="718"/>
      <c r="FD141" s="718"/>
      <c r="FE141" s="635"/>
      <c r="FF141" s="1277"/>
      <c r="FG141" s="1277"/>
      <c r="FH141" s="1277"/>
      <c r="FI141"/>
      <c r="FJ141"/>
      <c r="FK141"/>
      <c r="FL141"/>
      <c r="FM141"/>
      <c r="FN141"/>
      <c r="FO141" s="718"/>
    </row>
    <row r="142" spans="1:171" s="721" customFormat="1" ht="14.25" hidden="1" customHeight="1" outlineLevel="1">
      <c r="A142" s="718"/>
      <c r="B142" s="689" t="s">
        <v>257</v>
      </c>
      <c r="C142" s="635"/>
      <c r="D142" s="635"/>
      <c r="E142" s="635"/>
      <c r="F142" s="635"/>
      <c r="G142" s="635"/>
      <c r="H142" s="635"/>
      <c r="I142" s="635"/>
      <c r="J142" s="635"/>
      <c r="K142" s="635"/>
      <c r="L142" s="635"/>
      <c r="M142" s="635"/>
      <c r="N142" s="635"/>
      <c r="O142" s="635"/>
      <c r="P142" s="635"/>
      <c r="Q142" s="635"/>
      <c r="R142" s="635"/>
      <c r="S142" s="635"/>
      <c r="T142" s="635"/>
      <c r="U142" s="635"/>
      <c r="V142" s="635"/>
      <c r="W142" s="635"/>
      <c r="X142" s="635"/>
      <c r="Y142" s="635"/>
      <c r="Z142" s="635"/>
      <c r="AA142" s="635"/>
      <c r="AB142" s="635"/>
      <c r="AC142" s="635"/>
      <c r="AD142" s="635"/>
      <c r="AE142" s="635"/>
      <c r="AF142" s="635"/>
      <c r="AG142" s="635"/>
      <c r="AH142" s="635"/>
      <c r="AI142" s="635"/>
      <c r="AJ142" s="635"/>
      <c r="AK142" s="635"/>
      <c r="AL142" s="635"/>
      <c r="AM142" s="635"/>
      <c r="AN142" s="635"/>
      <c r="AO142" s="635"/>
      <c r="AP142" s="635"/>
      <c r="AQ142" s="635"/>
      <c r="AR142" s="635"/>
      <c r="AS142" s="635"/>
      <c r="AT142" s="635"/>
      <c r="AU142" s="635"/>
      <c r="AV142" s="635"/>
      <c r="AW142" s="635"/>
      <c r="AX142" s="635"/>
      <c r="AY142" s="635"/>
      <c r="AZ142" s="635"/>
      <c r="BA142" s="635"/>
      <c r="BB142" s="635"/>
      <c r="BC142" s="635"/>
      <c r="BD142" s="635"/>
      <c r="BE142" s="635"/>
      <c r="BF142" s="635"/>
      <c r="BG142" s="635"/>
      <c r="BH142" s="521"/>
      <c r="BI142" s="635"/>
      <c r="BJ142" s="635"/>
      <c r="BK142" s="605"/>
      <c r="BL142" s="635"/>
      <c r="BM142" s="635"/>
      <c r="BN142" s="635"/>
      <c r="BO142" s="635"/>
      <c r="BP142" s="521"/>
      <c r="BQ142" s="635"/>
      <c r="BR142" s="635"/>
      <c r="BS142" s="714"/>
      <c r="BT142" s="720"/>
      <c r="BU142" s="701"/>
      <c r="BV142" s="701"/>
      <c r="BW142" s="714"/>
      <c r="BX142" s="720"/>
      <c r="BY142" s="701"/>
      <c r="BZ142" s="722">
        <v>0</v>
      </c>
      <c r="CA142" s="714">
        <v>0</v>
      </c>
      <c r="CB142" s="696">
        <v>2000</v>
      </c>
      <c r="CC142" s="494">
        <v>1400</v>
      </c>
      <c r="CD142" s="523">
        <f t="shared" ref="CD142:CI142" si="804">+CC142</f>
        <v>1400</v>
      </c>
      <c r="CE142" s="605">
        <f t="shared" si="804"/>
        <v>1400</v>
      </c>
      <c r="CF142" s="696">
        <f t="shared" si="804"/>
        <v>1400</v>
      </c>
      <c r="CG142" s="494">
        <f>+CF142-200</f>
        <v>1200</v>
      </c>
      <c r="CH142" s="523">
        <f t="shared" si="804"/>
        <v>1200</v>
      </c>
      <c r="CI142" s="691">
        <f t="shared" si="804"/>
        <v>1200</v>
      </c>
      <c r="CJ142" s="696">
        <f t="shared" ref="CJ142:CQ142" si="805">+CI142</f>
        <v>1200</v>
      </c>
      <c r="CK142" s="494">
        <f t="shared" si="805"/>
        <v>1200</v>
      </c>
      <c r="CL142" s="523">
        <f t="shared" si="805"/>
        <v>1200</v>
      </c>
      <c r="CM142" s="691">
        <f t="shared" si="805"/>
        <v>1200</v>
      </c>
      <c r="CN142" s="722">
        <f t="shared" si="805"/>
        <v>1200</v>
      </c>
      <c r="CO142" s="1273">
        <f t="shared" si="805"/>
        <v>1200</v>
      </c>
      <c r="CP142" s="523">
        <f t="shared" si="805"/>
        <v>1200</v>
      </c>
      <c r="CQ142" s="691">
        <f t="shared" si="805"/>
        <v>1200</v>
      </c>
      <c r="CR142" s="722">
        <f t="shared" ref="CR142" si="806">+CQ142</f>
        <v>1200</v>
      </c>
      <c r="CS142" s="722">
        <f t="shared" ref="CS142" si="807">+CR142</f>
        <v>1200</v>
      </c>
      <c r="CT142" s="523">
        <f t="shared" ref="CT142" si="808">+CS142</f>
        <v>1200</v>
      </c>
      <c r="CU142" s="691">
        <f t="shared" ref="CU142" si="809">+CT142</f>
        <v>1200</v>
      </c>
      <c r="CV142" s="722">
        <f t="shared" ref="CV142" si="810">+CU142</f>
        <v>1200</v>
      </c>
      <c r="CW142" s="722">
        <f t="shared" ref="CW142" si="811">+CV142</f>
        <v>1200</v>
      </c>
      <c r="CX142" s="523">
        <f t="shared" ref="CX142" si="812">+CW142</f>
        <v>1200</v>
      </c>
      <c r="CY142" s="691">
        <f t="shared" ref="CY142" si="813">+CX142</f>
        <v>1200</v>
      </c>
      <c r="CZ142" s="722">
        <f t="shared" ref="CZ142" si="814">+CY142</f>
        <v>1200</v>
      </c>
      <c r="DA142" s="722">
        <f t="shared" ref="DA142" si="815">+CZ142</f>
        <v>1200</v>
      </c>
      <c r="DB142" s="523">
        <f t="shared" ref="DB142" si="816">+DA142</f>
        <v>1200</v>
      </c>
      <c r="DC142" s="691">
        <f t="shared" ref="DC142" si="817">+DB142</f>
        <v>1200</v>
      </c>
      <c r="DD142" s="327"/>
      <c r="DE142" s="528"/>
      <c r="DF142" s="527"/>
      <c r="DG142" s="527"/>
      <c r="DH142" s="527"/>
      <c r="DI142" s="527"/>
      <c r="DJ142" s="527"/>
      <c r="DK142" s="527"/>
      <c r="DL142" s="527"/>
      <c r="DM142" s="527"/>
      <c r="DN142" s="527"/>
      <c r="DO142" s="527"/>
      <c r="DP142" s="527"/>
      <c r="DQ142" s="527"/>
      <c r="DR142" s="527"/>
      <c r="DS142" s="527"/>
      <c r="DT142" s="523"/>
      <c r="DU142" s="527"/>
      <c r="DV142" s="527">
        <f t="shared" si="803"/>
        <v>0</v>
      </c>
      <c r="DW142" s="527">
        <f t="shared" si="793"/>
        <v>0</v>
      </c>
      <c r="DX142" s="527">
        <f t="shared" si="794"/>
        <v>1400</v>
      </c>
      <c r="DY142" s="527">
        <f t="shared" si="795"/>
        <v>1200</v>
      </c>
      <c r="DZ142" s="527">
        <f t="shared" si="796"/>
        <v>1200</v>
      </c>
      <c r="EA142" s="523">
        <f t="shared" ref="EA142:EA146" si="818">CQ142</f>
        <v>1200</v>
      </c>
      <c r="EB142" s="523">
        <f t="shared" si="786"/>
        <v>1200</v>
      </c>
      <c r="EC142" s="523">
        <f t="shared" si="740"/>
        <v>1200</v>
      </c>
      <c r="ED142" s="691">
        <f t="shared" si="741"/>
        <v>1200</v>
      </c>
      <c r="EE142" s="521"/>
      <c r="EF142" s="718"/>
      <c r="EG142" s="718"/>
      <c r="EH142" s="718"/>
      <c r="EI142" s="718"/>
      <c r="EJ142" s="718"/>
      <c r="EK142" s="718"/>
      <c r="EL142" s="718"/>
      <c r="EM142" s="718"/>
      <c r="EN142" s="718"/>
      <c r="EO142" s="718"/>
      <c r="EP142" s="718"/>
      <c r="EQ142" s="718"/>
      <c r="ER142" s="718"/>
      <c r="ES142" s="718"/>
      <c r="ET142" s="718"/>
      <c r="EU142" s="718"/>
      <c r="EV142" s="718"/>
      <c r="EW142" s="718"/>
      <c r="EX142" s="718"/>
      <c r="EY142" s="718"/>
      <c r="EZ142" s="718"/>
      <c r="FA142" s="718"/>
      <c r="FB142" s="718"/>
      <c r="FC142" s="718"/>
      <c r="FD142" s="718"/>
      <c r="FE142" s="635"/>
      <c r="FF142" s="1277"/>
      <c r="FG142" s="1277"/>
      <c r="FH142" s="1277"/>
      <c r="FI142"/>
      <c r="FJ142"/>
      <c r="FK142"/>
      <c r="FL142"/>
      <c r="FM142"/>
      <c r="FN142"/>
      <c r="FO142" s="718"/>
    </row>
    <row r="143" spans="1:171" s="623" customFormat="1" ht="14.25" hidden="1" customHeight="1" outlineLevel="1">
      <c r="A143" s="457"/>
      <c r="B143" s="689" t="s">
        <v>238</v>
      </c>
      <c r="C143" s="275"/>
      <c r="D143" s="275"/>
      <c r="E143" s="275"/>
      <c r="F143" s="275"/>
      <c r="G143" s="275"/>
      <c r="H143" s="275"/>
      <c r="I143" s="275"/>
      <c r="J143" s="275"/>
      <c r="K143" s="275"/>
      <c r="L143" s="275"/>
      <c r="M143" s="275"/>
      <c r="N143" s="275"/>
      <c r="O143" s="275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  <c r="AA143" s="275"/>
      <c r="AB143" s="275"/>
      <c r="AC143" s="275"/>
      <c r="AD143" s="275"/>
      <c r="AE143" s="275"/>
      <c r="AF143" s="275"/>
      <c r="AG143" s="275"/>
      <c r="AH143" s="275"/>
      <c r="AI143" s="275"/>
      <c r="AJ143" s="275"/>
      <c r="AK143" s="275"/>
      <c r="AL143" s="275"/>
      <c r="AM143" s="275"/>
      <c r="AN143" s="275"/>
      <c r="AO143" s="275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/>
      <c r="AZ143" s="275"/>
      <c r="BA143" s="275"/>
      <c r="BB143" s="275"/>
      <c r="BC143" s="275"/>
      <c r="BD143" s="275"/>
      <c r="BE143" s="275"/>
      <c r="BF143" s="275"/>
      <c r="BG143" s="275"/>
      <c r="BH143" s="471"/>
      <c r="BI143" s="275"/>
      <c r="BJ143" s="275"/>
      <c r="BK143" s="472"/>
      <c r="BL143" s="275"/>
      <c r="BM143" s="275"/>
      <c r="BN143" s="275"/>
      <c r="BO143" s="275"/>
      <c r="BP143" s="471"/>
      <c r="BQ143" s="275"/>
      <c r="BR143" s="275"/>
      <c r="BS143" s="699"/>
      <c r="BT143" s="700"/>
      <c r="BU143" s="520"/>
      <c r="BV143" s="701"/>
      <c r="BW143" s="699"/>
      <c r="BX143" s="700">
        <f t="shared" ref="BX143:CI143" si="819">+BX121</f>
        <v>0</v>
      </c>
      <c r="BY143" s="520">
        <f t="shared" si="819"/>
        <v>0</v>
      </c>
      <c r="BZ143" s="520">
        <f t="shared" si="819"/>
        <v>0</v>
      </c>
      <c r="CA143" s="699">
        <f t="shared" si="819"/>
        <v>0</v>
      </c>
      <c r="CB143" s="700">
        <f t="shared" si="819"/>
        <v>0</v>
      </c>
      <c r="CC143" s="520">
        <f>+CC121</f>
        <v>0</v>
      </c>
      <c r="CD143" s="520">
        <f t="shared" si="819"/>
        <v>0</v>
      </c>
      <c r="CE143" s="699">
        <f t="shared" si="819"/>
        <v>0</v>
      </c>
      <c r="CF143" s="700">
        <f t="shared" si="819"/>
        <v>0</v>
      </c>
      <c r="CG143" s="520">
        <f t="shared" si="819"/>
        <v>0</v>
      </c>
      <c r="CH143" s="520">
        <f>+CH121</f>
        <v>0</v>
      </c>
      <c r="CI143" s="699">
        <f t="shared" si="819"/>
        <v>0</v>
      </c>
      <c r="CJ143" s="700">
        <f t="shared" ref="CJ143:CM144" si="820">+CJ121</f>
        <v>0</v>
      </c>
      <c r="CK143" s="520">
        <f t="shared" si="820"/>
        <v>0</v>
      </c>
      <c r="CL143" s="520">
        <f t="shared" si="820"/>
        <v>0</v>
      </c>
      <c r="CM143" s="699">
        <f t="shared" si="820"/>
        <v>0</v>
      </c>
      <c r="CN143" s="520">
        <f t="shared" ref="CN143:CQ144" si="821">+CN121</f>
        <v>0</v>
      </c>
      <c r="CO143" s="1267">
        <f t="shared" si="821"/>
        <v>0</v>
      </c>
      <c r="CP143" s="520">
        <f t="shared" si="821"/>
        <v>0</v>
      </c>
      <c r="CQ143" s="699">
        <f t="shared" si="821"/>
        <v>0</v>
      </c>
      <c r="CR143" s="520">
        <f t="shared" ref="CR143:CU143" si="822">+CR121</f>
        <v>0</v>
      </c>
      <c r="CS143" s="520">
        <f t="shared" si="822"/>
        <v>0</v>
      </c>
      <c r="CT143" s="520">
        <f t="shared" si="822"/>
        <v>0</v>
      </c>
      <c r="CU143" s="699">
        <f t="shared" si="822"/>
        <v>0</v>
      </c>
      <c r="CV143" s="1267">
        <f t="shared" ref="CV143:CY143" si="823">+CV121</f>
        <v>0</v>
      </c>
      <c r="CW143" s="1267">
        <f t="shared" si="823"/>
        <v>0</v>
      </c>
      <c r="CX143" s="1267">
        <f t="shared" si="823"/>
        <v>0</v>
      </c>
      <c r="CY143" s="699">
        <f t="shared" si="823"/>
        <v>0</v>
      </c>
      <c r="CZ143" s="1267">
        <f t="shared" ref="CZ143:DC143" si="824">+CZ121</f>
        <v>0</v>
      </c>
      <c r="DA143" s="1267">
        <f t="shared" si="824"/>
        <v>0</v>
      </c>
      <c r="DB143" s="1267">
        <f t="shared" si="824"/>
        <v>0</v>
      </c>
      <c r="DC143" s="699">
        <f t="shared" si="824"/>
        <v>0</v>
      </c>
      <c r="DD143" s="23"/>
      <c r="DE143" s="471"/>
      <c r="DF143" s="275"/>
      <c r="DG143" s="275"/>
      <c r="DH143" s="275"/>
      <c r="DI143" s="275"/>
      <c r="DJ143" s="275"/>
      <c r="DK143" s="275"/>
      <c r="DL143" s="275"/>
      <c r="DM143" s="275"/>
      <c r="DN143" s="275"/>
      <c r="DO143" s="275"/>
      <c r="DP143" s="275"/>
      <c r="DQ143" s="275"/>
      <c r="DR143" s="275"/>
      <c r="DS143" s="275"/>
      <c r="DT143" s="520"/>
      <c r="DU143" s="1259"/>
      <c r="DV143" s="1259">
        <f t="shared" si="803"/>
        <v>0</v>
      </c>
      <c r="DW143" s="1259">
        <f t="shared" si="793"/>
        <v>0</v>
      </c>
      <c r="DX143" s="1259">
        <f t="shared" si="794"/>
        <v>0</v>
      </c>
      <c r="DY143" s="1259">
        <f t="shared" si="795"/>
        <v>0</v>
      </c>
      <c r="DZ143" s="1259">
        <f t="shared" si="796"/>
        <v>0</v>
      </c>
      <c r="EA143" s="520">
        <f t="shared" si="818"/>
        <v>0</v>
      </c>
      <c r="EB143" s="1267">
        <f t="shared" si="786"/>
        <v>0</v>
      </c>
      <c r="EC143" s="1267">
        <f t="shared" si="740"/>
        <v>0</v>
      </c>
      <c r="ED143" s="699">
        <f t="shared" si="741"/>
        <v>0</v>
      </c>
      <c r="EE143" s="471"/>
      <c r="EF143" s="457"/>
      <c r="EG143" s="457"/>
      <c r="EH143" s="457"/>
      <c r="EI143" s="457"/>
      <c r="EJ143" s="457"/>
      <c r="EK143" s="457"/>
      <c r="EL143" s="457"/>
      <c r="EM143" s="457"/>
      <c r="EN143" s="457"/>
      <c r="EO143" s="457"/>
      <c r="EP143" s="457"/>
      <c r="EQ143" s="457"/>
      <c r="ER143" s="457"/>
      <c r="ES143" s="457"/>
      <c r="ET143" s="457"/>
      <c r="EU143" s="457"/>
      <c r="EV143" s="457"/>
      <c r="EW143" s="457"/>
      <c r="EX143" s="457"/>
      <c r="EY143" s="457"/>
      <c r="EZ143" s="457"/>
      <c r="FA143" s="457"/>
      <c r="FB143" s="457"/>
      <c r="FC143" s="457"/>
      <c r="FD143" s="457"/>
      <c r="FE143" s="275"/>
      <c r="FF143" s="1259"/>
      <c r="FG143" s="1259"/>
      <c r="FH143" s="1259"/>
      <c r="FI143"/>
      <c r="FJ143"/>
      <c r="FK143"/>
      <c r="FL143"/>
      <c r="FM143"/>
      <c r="FN143"/>
      <c r="FO143" s="457"/>
    </row>
    <row r="144" spans="1:171" s="698" customFormat="1" ht="14.25" hidden="1" customHeight="1" outlineLevel="1">
      <c r="A144" s="697"/>
      <c r="B144" s="689" t="s">
        <v>239</v>
      </c>
      <c r="C144" s="478"/>
      <c r="D144" s="478"/>
      <c r="E144" s="478"/>
      <c r="F144" s="478"/>
      <c r="G144" s="478"/>
      <c r="H144" s="478"/>
      <c r="I144" s="478"/>
      <c r="J144" s="478"/>
      <c r="K144" s="478"/>
      <c r="L144" s="478"/>
      <c r="M144" s="478"/>
      <c r="N144" s="478"/>
      <c r="O144" s="478"/>
      <c r="P144" s="478"/>
      <c r="Q144" s="478"/>
      <c r="R144" s="478"/>
      <c r="S144" s="478"/>
      <c r="T144" s="478"/>
      <c r="U144" s="478"/>
      <c r="V144" s="478"/>
      <c r="W144" s="478"/>
      <c r="X144" s="478"/>
      <c r="Y144" s="478"/>
      <c r="Z144" s="478"/>
      <c r="AA144" s="478"/>
      <c r="AB144" s="478"/>
      <c r="AC144" s="478"/>
      <c r="AD144" s="478"/>
      <c r="AE144" s="478"/>
      <c r="AF144" s="478"/>
      <c r="AG144" s="478"/>
      <c r="AH144" s="478"/>
      <c r="AI144" s="478"/>
      <c r="AJ144" s="478"/>
      <c r="AK144" s="478"/>
      <c r="AL144" s="478"/>
      <c r="AM144" s="478"/>
      <c r="AN144" s="478"/>
      <c r="AO144" s="478"/>
      <c r="AP144" s="478"/>
      <c r="AQ144" s="478"/>
      <c r="AR144" s="478"/>
      <c r="AS144" s="478"/>
      <c r="AT144" s="478"/>
      <c r="AU144" s="478"/>
      <c r="AV144" s="478"/>
      <c r="AW144" s="478"/>
      <c r="AX144" s="478"/>
      <c r="AY144" s="478"/>
      <c r="AZ144" s="478"/>
      <c r="BA144" s="478"/>
      <c r="BB144" s="478"/>
      <c r="BC144" s="478"/>
      <c r="BD144" s="478"/>
      <c r="BE144" s="478"/>
      <c r="BF144" s="478"/>
      <c r="BG144" s="478"/>
      <c r="BH144" s="477"/>
      <c r="BI144" s="478"/>
      <c r="BJ144" s="478"/>
      <c r="BK144" s="479"/>
      <c r="BL144" s="478"/>
      <c r="BM144" s="478"/>
      <c r="BN144" s="478"/>
      <c r="BO144" s="478"/>
      <c r="BP144" s="477"/>
      <c r="BQ144" s="478"/>
      <c r="BR144" s="478"/>
      <c r="BS144" s="691"/>
      <c r="BT144" s="525"/>
      <c r="BU144" s="523"/>
      <c r="BV144" s="547"/>
      <c r="BW144" s="691"/>
      <c r="BX144" s="525">
        <f>+BX122</f>
        <v>173</v>
      </c>
      <c r="BY144" s="523">
        <f t="shared" ref="BY144:CI144" si="825">+BY122</f>
        <v>173</v>
      </c>
      <c r="BZ144" s="523">
        <f t="shared" si="825"/>
        <v>173</v>
      </c>
      <c r="CA144" s="691">
        <f t="shared" si="825"/>
        <v>173</v>
      </c>
      <c r="CB144" s="525">
        <f t="shared" si="825"/>
        <v>173</v>
      </c>
      <c r="CC144" s="523">
        <f>+CC122</f>
        <v>173</v>
      </c>
      <c r="CD144" s="523">
        <f t="shared" si="825"/>
        <v>173</v>
      </c>
      <c r="CE144" s="691">
        <f t="shared" si="825"/>
        <v>173</v>
      </c>
      <c r="CF144" s="525">
        <f t="shared" si="825"/>
        <v>173</v>
      </c>
      <c r="CG144" s="523">
        <f t="shared" si="825"/>
        <v>173</v>
      </c>
      <c r="CH144" s="523">
        <f>+CH122</f>
        <v>173</v>
      </c>
      <c r="CI144" s="691">
        <f t="shared" si="825"/>
        <v>173</v>
      </c>
      <c r="CJ144" s="525">
        <f t="shared" si="820"/>
        <v>173</v>
      </c>
      <c r="CK144" s="523">
        <f t="shared" si="820"/>
        <v>173</v>
      </c>
      <c r="CL144" s="523">
        <f t="shared" si="820"/>
        <v>173</v>
      </c>
      <c r="CM144" s="691">
        <f t="shared" si="820"/>
        <v>173</v>
      </c>
      <c r="CN144" s="523">
        <f t="shared" ref="CN144:CQ144" si="826">+CN122</f>
        <v>173</v>
      </c>
      <c r="CO144" s="1259">
        <f t="shared" si="821"/>
        <v>173</v>
      </c>
      <c r="CP144" s="523">
        <f t="shared" si="826"/>
        <v>173</v>
      </c>
      <c r="CQ144" s="691">
        <f t="shared" si="826"/>
        <v>173</v>
      </c>
      <c r="CR144" s="523">
        <f t="shared" ref="CR144:CU144" si="827">+CR122</f>
        <v>173</v>
      </c>
      <c r="CS144" s="523">
        <f t="shared" si="827"/>
        <v>173</v>
      </c>
      <c r="CT144" s="523">
        <f t="shared" si="827"/>
        <v>173</v>
      </c>
      <c r="CU144" s="691">
        <f t="shared" si="827"/>
        <v>173</v>
      </c>
      <c r="CV144" s="523">
        <f t="shared" ref="CV144:CY144" si="828">+CV122</f>
        <v>173</v>
      </c>
      <c r="CW144" s="523">
        <f t="shared" si="828"/>
        <v>173</v>
      </c>
      <c r="CX144" s="523">
        <f t="shared" si="828"/>
        <v>173</v>
      </c>
      <c r="CY144" s="691">
        <f t="shared" si="828"/>
        <v>173</v>
      </c>
      <c r="CZ144" s="523">
        <f t="shared" ref="CZ144:DC144" si="829">+CZ122</f>
        <v>173</v>
      </c>
      <c r="DA144" s="523">
        <f t="shared" si="829"/>
        <v>173</v>
      </c>
      <c r="DB144" s="523">
        <f t="shared" si="829"/>
        <v>173</v>
      </c>
      <c r="DC144" s="691">
        <f t="shared" si="829"/>
        <v>173</v>
      </c>
      <c r="DD144" s="23"/>
      <c r="DE144" s="477"/>
      <c r="DF144" s="478"/>
      <c r="DG144" s="478"/>
      <c r="DH144" s="478"/>
      <c r="DI144" s="478"/>
      <c r="DJ144" s="478"/>
      <c r="DK144" s="478"/>
      <c r="DL144" s="478"/>
      <c r="DM144" s="478"/>
      <c r="DN144" s="478"/>
      <c r="DO144" s="478"/>
      <c r="DP144" s="478"/>
      <c r="DQ144" s="478"/>
      <c r="DR144" s="478"/>
      <c r="DS144" s="478"/>
      <c r="DT144" s="523"/>
      <c r="DU144" s="478"/>
      <c r="DV144" s="478">
        <f t="shared" si="803"/>
        <v>0</v>
      </c>
      <c r="DW144" s="478">
        <f t="shared" si="793"/>
        <v>173</v>
      </c>
      <c r="DX144" s="478">
        <f t="shared" si="794"/>
        <v>173</v>
      </c>
      <c r="DY144" s="478">
        <f t="shared" si="795"/>
        <v>173</v>
      </c>
      <c r="DZ144" s="478">
        <f t="shared" si="796"/>
        <v>173</v>
      </c>
      <c r="EA144" s="523">
        <f t="shared" si="818"/>
        <v>173</v>
      </c>
      <c r="EB144" s="523">
        <f t="shared" si="786"/>
        <v>173</v>
      </c>
      <c r="EC144" s="523">
        <f t="shared" si="740"/>
        <v>173</v>
      </c>
      <c r="ED144" s="691">
        <f t="shared" si="741"/>
        <v>173</v>
      </c>
      <c r="EE144" s="477"/>
      <c r="EF144" s="697"/>
      <c r="EG144" s="697"/>
      <c r="EH144" s="697"/>
      <c r="EI144" s="697"/>
      <c r="EJ144" s="697"/>
      <c r="EK144" s="697"/>
      <c r="EL144" s="697"/>
      <c r="EM144" s="697"/>
      <c r="EN144" s="697"/>
      <c r="EO144" s="697"/>
      <c r="EP144" s="697"/>
      <c r="EQ144" s="697"/>
      <c r="ER144" s="697"/>
      <c r="ES144" s="697"/>
      <c r="ET144" s="697"/>
      <c r="EU144" s="697"/>
      <c r="EV144" s="697"/>
      <c r="EW144" s="697"/>
      <c r="EX144" s="697"/>
      <c r="EY144" s="697"/>
      <c r="EZ144" s="697"/>
      <c r="FA144" s="697"/>
      <c r="FB144" s="697"/>
      <c r="FC144" s="697"/>
      <c r="FD144" s="697"/>
      <c r="FE144" s="478"/>
      <c r="FF144" s="478"/>
      <c r="FG144" s="478"/>
      <c r="FH144" s="478"/>
      <c r="FI144"/>
      <c r="FJ144"/>
      <c r="FK144"/>
      <c r="FL144"/>
      <c r="FM144"/>
      <c r="FN144"/>
      <c r="FO144" s="697"/>
    </row>
    <row r="145" spans="1:171" s="464" customFormat="1" ht="14.25" hidden="1" customHeight="1" outlineLevel="1">
      <c r="A145" s="459"/>
      <c r="B145" s="512" t="s">
        <v>126</v>
      </c>
      <c r="C145" s="463"/>
      <c r="D145" s="463"/>
      <c r="E145" s="463"/>
      <c r="F145" s="463"/>
      <c r="G145" s="463"/>
      <c r="H145" s="463"/>
      <c r="I145" s="463"/>
      <c r="J145" s="463"/>
      <c r="K145" s="463"/>
      <c r="L145" s="463"/>
      <c r="M145" s="463"/>
      <c r="N145" s="463"/>
      <c r="O145" s="463"/>
      <c r="P145" s="463"/>
      <c r="Q145" s="463"/>
      <c r="R145" s="463"/>
      <c r="S145" s="463"/>
      <c r="T145" s="463"/>
      <c r="U145" s="463"/>
      <c r="V145" s="463"/>
      <c r="W145" s="463"/>
      <c r="X145" s="463"/>
      <c r="Y145" s="463"/>
      <c r="Z145" s="463"/>
      <c r="AA145" s="463"/>
      <c r="AB145" s="463"/>
      <c r="AC145" s="463"/>
      <c r="AD145" s="463"/>
      <c r="AE145" s="463"/>
      <c r="AF145" s="463"/>
      <c r="AG145" s="463"/>
      <c r="AH145" s="463"/>
      <c r="AI145" s="463"/>
      <c r="AJ145" s="463"/>
      <c r="AK145" s="463"/>
      <c r="AL145" s="463"/>
      <c r="AM145" s="463"/>
      <c r="AN145" s="463"/>
      <c r="AO145" s="463"/>
      <c r="AP145" s="463"/>
      <c r="AQ145" s="463"/>
      <c r="AR145" s="463"/>
      <c r="AS145" s="463"/>
      <c r="AT145" s="463"/>
      <c r="AU145" s="463"/>
      <c r="AV145" s="463"/>
      <c r="AW145" s="463"/>
      <c r="AX145" s="463"/>
      <c r="AY145" s="463"/>
      <c r="AZ145" s="463"/>
      <c r="BA145" s="463"/>
      <c r="BB145" s="463"/>
      <c r="BC145" s="463"/>
      <c r="BD145" s="463"/>
      <c r="BE145" s="463"/>
      <c r="BF145" s="463"/>
      <c r="BG145" s="463"/>
      <c r="BH145" s="473"/>
      <c r="BI145" s="463"/>
      <c r="BJ145" s="463"/>
      <c r="BK145" s="474"/>
      <c r="BL145" s="463"/>
      <c r="BM145" s="463"/>
      <c r="BN145" s="463"/>
      <c r="BO145" s="463"/>
      <c r="BP145" s="473"/>
      <c r="BQ145" s="463"/>
      <c r="BR145" s="463"/>
      <c r="BS145" s="575">
        <v>423</v>
      </c>
      <c r="BT145" s="499">
        <v>525</v>
      </c>
      <c r="BU145" s="495">
        <v>702</v>
      </c>
      <c r="BV145" s="495">
        <v>719</v>
      </c>
      <c r="BW145" s="575">
        <v>883</v>
      </c>
      <c r="BX145" s="499">
        <v>868</v>
      </c>
      <c r="BY145" s="463">
        <f t="shared" ref="BY145:CH145" si="830">+BX145</f>
        <v>868</v>
      </c>
      <c r="BZ145" s="463">
        <f t="shared" si="830"/>
        <v>868</v>
      </c>
      <c r="CA145" s="575">
        <f t="shared" si="830"/>
        <v>868</v>
      </c>
      <c r="CB145" s="473">
        <f t="shared" si="830"/>
        <v>868</v>
      </c>
      <c r="CC145" s="463">
        <f t="shared" si="830"/>
        <v>868</v>
      </c>
      <c r="CD145" s="463">
        <f t="shared" si="830"/>
        <v>868</v>
      </c>
      <c r="CE145" s="575">
        <f t="shared" si="830"/>
        <v>868</v>
      </c>
      <c r="CF145" s="473">
        <f t="shared" si="830"/>
        <v>868</v>
      </c>
      <c r="CG145" s="463">
        <f>+CF145+254</f>
        <v>1122</v>
      </c>
      <c r="CH145" s="463">
        <f t="shared" si="830"/>
        <v>1122</v>
      </c>
      <c r="CI145" s="474">
        <v>959.18251377047454</v>
      </c>
      <c r="CJ145" s="473">
        <f t="shared" ref="CJ145:CQ145" si="831">+CI145</f>
        <v>959.18251377047454</v>
      </c>
      <c r="CK145" s="463">
        <f t="shared" si="831"/>
        <v>959.18251377047454</v>
      </c>
      <c r="CL145" s="463">
        <f t="shared" si="831"/>
        <v>959.18251377047454</v>
      </c>
      <c r="CM145" s="474">
        <v>959.18251377047454</v>
      </c>
      <c r="CN145" s="463">
        <f t="shared" si="831"/>
        <v>959.18251377047454</v>
      </c>
      <c r="CO145" s="1268">
        <f t="shared" si="831"/>
        <v>959.18251377047454</v>
      </c>
      <c r="CP145" s="463">
        <f t="shared" si="831"/>
        <v>959.18251377047454</v>
      </c>
      <c r="CQ145" s="474">
        <f t="shared" si="831"/>
        <v>959.18251377047454</v>
      </c>
      <c r="CR145" s="463">
        <f t="shared" ref="CR145" si="832">+CQ145</f>
        <v>959.18251377047454</v>
      </c>
      <c r="CS145" s="463">
        <f t="shared" ref="CS145" si="833">+CR145</f>
        <v>959.18251377047454</v>
      </c>
      <c r="CT145" s="463">
        <f t="shared" ref="CT145" si="834">+CS145</f>
        <v>959.18251377047454</v>
      </c>
      <c r="CU145" s="474">
        <f t="shared" ref="CU145" si="835">+CT145</f>
        <v>959.18251377047454</v>
      </c>
      <c r="CV145" s="1268">
        <f t="shared" ref="CV145" si="836">+CU145</f>
        <v>959.18251377047454</v>
      </c>
      <c r="CW145" s="1268">
        <f t="shared" ref="CW145" si="837">+CV145</f>
        <v>959.18251377047454</v>
      </c>
      <c r="CX145" s="1268">
        <f t="shared" ref="CX145" si="838">+CW145</f>
        <v>959.18251377047454</v>
      </c>
      <c r="CY145" s="474">
        <f t="shared" ref="CY145" si="839">+CX145</f>
        <v>959.18251377047454</v>
      </c>
      <c r="CZ145" s="1268">
        <f t="shared" ref="CZ145" si="840">+CY145</f>
        <v>959.18251377047454</v>
      </c>
      <c r="DA145" s="1268">
        <f t="shared" ref="DA145" si="841">+CZ145</f>
        <v>959.18251377047454</v>
      </c>
      <c r="DB145" s="1268">
        <f t="shared" ref="DB145" si="842">+DA145</f>
        <v>959.18251377047454</v>
      </c>
      <c r="DC145" s="474">
        <f t="shared" ref="DC145" si="843">+DB145</f>
        <v>959.18251377047454</v>
      </c>
      <c r="DD145" s="23"/>
      <c r="DE145" s="473"/>
      <c r="DF145" s="463"/>
      <c r="DG145" s="463"/>
      <c r="DH145" s="463"/>
      <c r="DI145" s="463"/>
      <c r="DJ145" s="463"/>
      <c r="DK145" s="463"/>
      <c r="DL145" s="463"/>
      <c r="DM145" s="463"/>
      <c r="DN145" s="463"/>
      <c r="DO145" s="463"/>
      <c r="DP145" s="463"/>
      <c r="DQ145" s="463"/>
      <c r="DR145" s="463"/>
      <c r="DS145" s="463"/>
      <c r="DT145" s="463"/>
      <c r="DU145" s="1268"/>
      <c r="DV145" s="1268">
        <f t="shared" si="803"/>
        <v>883</v>
      </c>
      <c r="DW145" s="1268">
        <f t="shared" si="793"/>
        <v>868</v>
      </c>
      <c r="DX145" s="1268">
        <f t="shared" si="794"/>
        <v>868</v>
      </c>
      <c r="DY145" s="1268">
        <f t="shared" si="795"/>
        <v>959.18251377047454</v>
      </c>
      <c r="DZ145" s="1268">
        <f t="shared" si="796"/>
        <v>959.18251377047454</v>
      </c>
      <c r="EA145" s="463">
        <f t="shared" si="818"/>
        <v>959.18251377047454</v>
      </c>
      <c r="EB145" s="1268">
        <f t="shared" si="786"/>
        <v>959.18251377047454</v>
      </c>
      <c r="EC145" s="1268">
        <f t="shared" si="740"/>
        <v>959.18251377047454</v>
      </c>
      <c r="ED145" s="474">
        <f t="shared" si="741"/>
        <v>959.18251377047454</v>
      </c>
      <c r="EE145" s="473"/>
      <c r="EF145" s="459"/>
      <c r="EG145" s="459"/>
      <c r="EH145" s="459"/>
      <c r="EI145" s="459"/>
      <c r="EJ145" s="459"/>
      <c r="EK145" s="459"/>
      <c r="EL145" s="459"/>
      <c r="EM145" s="459"/>
      <c r="EN145" s="459"/>
      <c r="EO145" s="459"/>
      <c r="EP145" s="459"/>
      <c r="EQ145" s="459"/>
      <c r="ER145" s="459"/>
      <c r="ES145" s="459"/>
      <c r="ET145" s="459"/>
      <c r="EU145" s="459"/>
      <c r="EV145" s="459"/>
      <c r="EW145" s="459"/>
      <c r="EX145" s="459"/>
      <c r="EY145" s="459"/>
      <c r="EZ145" s="459"/>
      <c r="FA145" s="459"/>
      <c r="FB145" s="459"/>
      <c r="FC145" s="459"/>
      <c r="FD145" s="459"/>
      <c r="FE145" s="463"/>
      <c r="FF145" s="1268"/>
      <c r="FG145" s="1268"/>
      <c r="FH145" s="1268"/>
      <c r="FI145"/>
      <c r="FJ145"/>
      <c r="FK145"/>
      <c r="FL145"/>
      <c r="FM145"/>
      <c r="FN145"/>
      <c r="FO145" s="459"/>
    </row>
    <row r="146" spans="1:171" s="462" customFormat="1" ht="14.25" hidden="1" customHeight="1" outlineLevel="1">
      <c r="A146" s="460"/>
      <c r="B146" s="513" t="s">
        <v>121</v>
      </c>
      <c r="C146" s="461"/>
      <c r="D146" s="461"/>
      <c r="E146" s="461"/>
      <c r="F146" s="461"/>
      <c r="G146" s="461"/>
      <c r="H146" s="461"/>
      <c r="I146" s="461"/>
      <c r="J146" s="461"/>
      <c r="K146" s="461"/>
      <c r="L146" s="461"/>
      <c r="M146" s="461"/>
      <c r="N146" s="461"/>
      <c r="O146" s="461"/>
      <c r="P146" s="461"/>
      <c r="Q146" s="461"/>
      <c r="R146" s="461"/>
      <c r="S146" s="461"/>
      <c r="T146" s="461"/>
      <c r="U146" s="461"/>
      <c r="V146" s="461"/>
      <c r="W146" s="461"/>
      <c r="X146" s="461"/>
      <c r="Y146" s="461"/>
      <c r="Z146" s="461"/>
      <c r="AA146" s="461"/>
      <c r="AB146" s="461"/>
      <c r="AC146" s="461"/>
      <c r="AD146" s="461"/>
      <c r="AE146" s="461"/>
      <c r="AF146" s="461"/>
      <c r="AG146" s="461"/>
      <c r="AH146" s="461"/>
      <c r="AI146" s="461"/>
      <c r="AJ146" s="461"/>
      <c r="AK146" s="461"/>
      <c r="AL146" s="461"/>
      <c r="AM146" s="461"/>
      <c r="AN146" s="461"/>
      <c r="AO146" s="461"/>
      <c r="AP146" s="461"/>
      <c r="AQ146" s="461"/>
      <c r="AR146" s="461"/>
      <c r="AS146" s="461"/>
      <c r="AT146" s="461"/>
      <c r="AU146" s="461"/>
      <c r="AV146" s="461"/>
      <c r="AW146" s="461"/>
      <c r="AX146" s="461"/>
      <c r="AY146" s="461"/>
      <c r="AZ146" s="461"/>
      <c r="BA146" s="461"/>
      <c r="BB146" s="461"/>
      <c r="BC146" s="461"/>
      <c r="BD146" s="461"/>
      <c r="BE146" s="461"/>
      <c r="BF146" s="461"/>
      <c r="BG146" s="461"/>
      <c r="BH146" s="475"/>
      <c r="BI146" s="461"/>
      <c r="BJ146" s="461"/>
      <c r="BK146" s="476"/>
      <c r="BL146" s="461"/>
      <c r="BM146" s="461"/>
      <c r="BN146" s="461"/>
      <c r="BO146" s="461"/>
      <c r="BP146" s="475"/>
      <c r="BQ146" s="461"/>
      <c r="BR146" s="461"/>
      <c r="BS146" s="476">
        <f>+SUM(BS141:BS145)</f>
        <v>1862</v>
      </c>
      <c r="BT146" s="475">
        <f t="shared" ref="BT146:CB146" si="844">+SUM(BT141:BT145)</f>
        <v>1980</v>
      </c>
      <c r="BU146" s="461">
        <f t="shared" si="844"/>
        <v>2176</v>
      </c>
      <c r="BV146" s="461">
        <f t="shared" si="844"/>
        <v>3017</v>
      </c>
      <c r="BW146" s="476">
        <f t="shared" si="844"/>
        <v>3262</v>
      </c>
      <c r="BX146" s="475">
        <f>+SUM(BX141:BX145)</f>
        <v>3435</v>
      </c>
      <c r="BY146" s="461">
        <f t="shared" si="844"/>
        <v>3460.8973437499999</v>
      </c>
      <c r="BZ146" s="461">
        <f>+SUM(BZ141:BZ145)</f>
        <v>3487.2596828359374</v>
      </c>
      <c r="CA146" s="476">
        <f t="shared" si="844"/>
        <v>3514.0954594766818</v>
      </c>
      <c r="CB146" s="475">
        <f t="shared" si="844"/>
        <v>5541.4132707590124</v>
      </c>
      <c r="CC146" s="461">
        <f>+SUM(CC141:CC145)</f>
        <v>4969.2218715057434</v>
      </c>
      <c r="CD146" s="461">
        <f t="shared" ref="CD146:CI146" si="845">+SUM(CD141:CD145)</f>
        <v>4994.106451869693</v>
      </c>
      <c r="CE146" s="476">
        <f t="shared" si="845"/>
        <v>5009.4601042956319</v>
      </c>
      <c r="CF146" s="475">
        <f>+SUM(CF141:CF145)</f>
        <v>4712.2372857490282</v>
      </c>
      <c r="CG146" s="461">
        <f t="shared" si="845"/>
        <v>5777.6808576132662</v>
      </c>
      <c r="CH146" s="461">
        <f>+SUM(CH141:CH145)</f>
        <v>5839.3098772650228</v>
      </c>
      <c r="CI146" s="476">
        <f t="shared" si="845"/>
        <v>5688.3098772650228</v>
      </c>
      <c r="CJ146" s="475">
        <f t="shared" ref="CJ146:CQ146" si="846">+SUM(CJ141:CJ145)</f>
        <v>5700.3188982235079</v>
      </c>
      <c r="CK146" s="461">
        <f t="shared" si="846"/>
        <v>5712.5225722337536</v>
      </c>
      <c r="CL146" s="461">
        <f t="shared" si="846"/>
        <v>8864.9240686142239</v>
      </c>
      <c r="CM146" s="476">
        <f t="shared" si="846"/>
        <v>8877.5266085166768</v>
      </c>
      <c r="CN146" s="461">
        <f t="shared" si="846"/>
        <v>8890.3334657776177</v>
      </c>
      <c r="CO146" s="1267">
        <f t="shared" si="846"/>
        <v>8903.3479677838131</v>
      </c>
      <c r="CP146" s="461">
        <f t="shared" si="846"/>
        <v>8916.573496352059</v>
      </c>
      <c r="CQ146" s="476">
        <f t="shared" si="846"/>
        <v>8930.01348862349</v>
      </c>
      <c r="CR146" s="461">
        <f t="shared" ref="CR146:CU146" si="847">+SUM(CR141:CR145)</f>
        <v>8943.6714379726327</v>
      </c>
      <c r="CS146" s="461">
        <f t="shared" si="847"/>
        <v>8957.5508949314517</v>
      </c>
      <c r="CT146" s="461">
        <f t="shared" si="847"/>
        <v>8971.6554681286761</v>
      </c>
      <c r="CU146" s="476">
        <f t="shared" si="847"/>
        <v>8985.9888252445908</v>
      </c>
      <c r="CV146" s="461">
        <f t="shared" ref="CV146:CY146" si="848">+SUM(CV141:CV145)</f>
        <v>9000.5546939816122</v>
      </c>
      <c r="CW146" s="461">
        <f t="shared" si="848"/>
        <v>9015.3568630508817</v>
      </c>
      <c r="CX146" s="461">
        <f t="shared" si="848"/>
        <v>9030.3991831751337</v>
      </c>
      <c r="CY146" s="476">
        <f t="shared" si="848"/>
        <v>9045.6855681081324</v>
      </c>
      <c r="CZ146" s="461">
        <f t="shared" ref="CZ146:DC146" si="849">+SUM(CZ141:CZ145)</f>
        <v>9061.2199956709301</v>
      </c>
      <c r="DA146" s="461">
        <f t="shared" si="849"/>
        <v>9077.0065088052506</v>
      </c>
      <c r="DB146" s="461">
        <f t="shared" si="849"/>
        <v>9093.0492166442382</v>
      </c>
      <c r="DC146" s="476">
        <f t="shared" si="849"/>
        <v>9109.3522956009238</v>
      </c>
      <c r="DD146" s="23"/>
      <c r="DE146" s="475"/>
      <c r="DF146" s="461"/>
      <c r="DG146" s="461"/>
      <c r="DH146" s="461"/>
      <c r="DI146" s="461"/>
      <c r="DJ146" s="461"/>
      <c r="DK146" s="461"/>
      <c r="DL146" s="461"/>
      <c r="DM146" s="461"/>
      <c r="DN146" s="461"/>
      <c r="DO146" s="461"/>
      <c r="DP146" s="461"/>
      <c r="DQ146" s="461"/>
      <c r="DR146" s="461"/>
      <c r="DS146" s="461"/>
      <c r="DT146" s="461"/>
      <c r="DU146" s="461"/>
      <c r="DV146" s="461">
        <f t="shared" si="803"/>
        <v>3262</v>
      </c>
      <c r="DW146" s="461">
        <f t="shared" si="793"/>
        <v>3514.0954594766818</v>
      </c>
      <c r="DX146" s="461">
        <f t="shared" si="794"/>
        <v>5009.4601042956319</v>
      </c>
      <c r="DY146" s="461">
        <f t="shared" si="795"/>
        <v>5688.3098772650228</v>
      </c>
      <c r="DZ146" s="461">
        <f t="shared" si="796"/>
        <v>8877.5266085166768</v>
      </c>
      <c r="EA146" s="461">
        <f t="shared" si="818"/>
        <v>8930.01348862349</v>
      </c>
      <c r="EB146" s="461">
        <f t="shared" si="786"/>
        <v>8985.9888252445908</v>
      </c>
      <c r="EC146" s="461">
        <f t="shared" si="740"/>
        <v>9045.6855681081324</v>
      </c>
      <c r="ED146" s="476">
        <f t="shared" si="741"/>
        <v>9109.3522956009238</v>
      </c>
      <c r="EE146" s="475"/>
      <c r="EF146" s="460"/>
      <c r="EG146" s="460"/>
      <c r="EH146" s="460"/>
      <c r="EI146" s="460"/>
      <c r="EJ146" s="460"/>
      <c r="EK146" s="460"/>
      <c r="EL146" s="460"/>
      <c r="EM146" s="460"/>
      <c r="EN146" s="460"/>
      <c r="EO146" s="460"/>
      <c r="EP146" s="460"/>
      <c r="EQ146" s="460"/>
      <c r="ER146" s="460"/>
      <c r="ES146" s="460"/>
      <c r="ET146" s="460"/>
      <c r="EU146" s="460"/>
      <c r="EV146" s="460"/>
      <c r="EW146" s="460"/>
      <c r="EX146" s="460"/>
      <c r="EY146" s="460"/>
      <c r="EZ146" s="460"/>
      <c r="FA146" s="460"/>
      <c r="FB146" s="460"/>
      <c r="FC146" s="460"/>
      <c r="FD146" s="460"/>
      <c r="FE146" s="461"/>
      <c r="FF146" s="461"/>
      <c r="FG146" s="461"/>
      <c r="FH146" s="461"/>
      <c r="FI146"/>
      <c r="FJ146"/>
      <c r="FK146"/>
      <c r="FL146"/>
      <c r="FM146"/>
      <c r="FN146"/>
      <c r="FO146" s="460"/>
    </row>
    <row r="147" spans="1:171" s="698" customFormat="1" ht="14.25" hidden="1" customHeight="1" outlineLevel="1">
      <c r="A147" s="697"/>
      <c r="B147" s="514" t="s">
        <v>409</v>
      </c>
      <c r="C147" s="478"/>
      <c r="D147" s="478"/>
      <c r="E147" s="478"/>
      <c r="F147" s="478"/>
      <c r="G147" s="478"/>
      <c r="H147" s="478"/>
      <c r="I147" s="478"/>
      <c r="J147" s="478"/>
      <c r="K147" s="478"/>
      <c r="L147" s="478"/>
      <c r="M147" s="478"/>
      <c r="N147" s="478"/>
      <c r="O147" s="478"/>
      <c r="P147" s="478"/>
      <c r="Q147" s="478"/>
      <c r="R147" s="478"/>
      <c r="S147" s="478"/>
      <c r="T147" s="478"/>
      <c r="U147" s="478"/>
      <c r="V147" s="478"/>
      <c r="W147" s="478"/>
      <c r="X147" s="478"/>
      <c r="Y147" s="478"/>
      <c r="Z147" s="478"/>
      <c r="AA147" s="478"/>
      <c r="AB147" s="478"/>
      <c r="AC147" s="478"/>
      <c r="AD147" s="478"/>
      <c r="AE147" s="478"/>
      <c r="AF147" s="478"/>
      <c r="AG147" s="478"/>
      <c r="AH147" s="478"/>
      <c r="AI147" s="478"/>
      <c r="AJ147" s="478"/>
      <c r="AK147" s="478"/>
      <c r="AL147" s="478"/>
      <c r="AM147" s="478"/>
      <c r="AN147" s="478"/>
      <c r="AO147" s="478"/>
      <c r="AP147" s="478"/>
      <c r="AQ147" s="478"/>
      <c r="AR147" s="478"/>
      <c r="AS147" s="478"/>
      <c r="AT147" s="478"/>
      <c r="AU147" s="478"/>
      <c r="AV147" s="478"/>
      <c r="AW147" s="478"/>
      <c r="AX147" s="478"/>
      <c r="AY147" s="478"/>
      <c r="AZ147" s="478"/>
      <c r="BA147" s="478"/>
      <c r="BB147" s="478"/>
      <c r="BC147" s="478"/>
      <c r="BD147" s="478"/>
      <c r="BE147" s="478"/>
      <c r="BF147" s="478"/>
      <c r="BG147" s="478"/>
      <c r="BH147" s="477"/>
      <c r="BI147" s="478"/>
      <c r="BJ147" s="478"/>
      <c r="BK147" s="479"/>
      <c r="BL147" s="478"/>
      <c r="BM147" s="478"/>
      <c r="BN147" s="478"/>
      <c r="BO147" s="478"/>
      <c r="BP147" s="477"/>
      <c r="BQ147" s="478"/>
      <c r="BR147" s="478"/>
      <c r="BS147" s="479"/>
      <c r="BT147" s="477"/>
      <c r="BU147" s="478"/>
      <c r="BV147" s="478"/>
      <c r="BW147" s="479"/>
      <c r="BX147" s="724">
        <f t="shared" ref="BX147:CD147" si="850">+BX148-BX146</f>
        <v>-266</v>
      </c>
      <c r="BY147" s="730">
        <f t="shared" si="850"/>
        <v>-159.89734374999989</v>
      </c>
      <c r="BZ147" s="730">
        <f t="shared" si="850"/>
        <v>-220.25968283593738</v>
      </c>
      <c r="CA147" s="781">
        <f t="shared" si="850"/>
        <v>937.90454052331825</v>
      </c>
      <c r="CB147" s="724">
        <f t="shared" si="850"/>
        <v>-1281.4132707590124</v>
      </c>
      <c r="CC147" s="730">
        <f t="shared" si="850"/>
        <v>-652.22187150574337</v>
      </c>
      <c r="CD147" s="730">
        <f t="shared" si="850"/>
        <v>-857.10645186969305</v>
      </c>
      <c r="CE147" s="781">
        <f>+CE148-CE146</f>
        <v>-54.460104295631936</v>
      </c>
      <c r="CF147" s="724">
        <f>+CF148-CF146</f>
        <v>-104.23728574902816</v>
      </c>
      <c r="CG147" s="730">
        <f>+CG148-CG146</f>
        <v>-258.6808576132662</v>
      </c>
      <c r="CH147" s="730">
        <f>+CH148-CH146</f>
        <v>563.69012273497719</v>
      </c>
      <c r="CI147" s="781">
        <f t="shared" ref="CI147:CQ147" si="851">+CH147</f>
        <v>563.69012273497719</v>
      </c>
      <c r="CJ147" s="724">
        <v>626</v>
      </c>
      <c r="CK147" s="730">
        <v>781</v>
      </c>
      <c r="CL147" s="730">
        <v>750</v>
      </c>
      <c r="CM147" s="781">
        <v>750</v>
      </c>
      <c r="CN147" s="478">
        <f t="shared" si="851"/>
        <v>750</v>
      </c>
      <c r="CO147" s="1268">
        <f t="shared" si="851"/>
        <v>750</v>
      </c>
      <c r="CP147" s="478">
        <f t="shared" si="851"/>
        <v>750</v>
      </c>
      <c r="CQ147" s="479">
        <f t="shared" si="851"/>
        <v>750</v>
      </c>
      <c r="CR147" s="478">
        <f t="shared" ref="CR147" si="852">+CQ147</f>
        <v>750</v>
      </c>
      <c r="CS147" s="478">
        <f t="shared" ref="CS147" si="853">+CR147</f>
        <v>750</v>
      </c>
      <c r="CT147" s="478">
        <f t="shared" ref="CT147" si="854">+CS147</f>
        <v>750</v>
      </c>
      <c r="CU147" s="479">
        <f t="shared" ref="CU147" si="855">+CT147</f>
        <v>750</v>
      </c>
      <c r="CV147" s="478">
        <f t="shared" ref="CV147" si="856">+CU147</f>
        <v>750</v>
      </c>
      <c r="CW147" s="478">
        <f t="shared" ref="CW147" si="857">+CV147</f>
        <v>750</v>
      </c>
      <c r="CX147" s="478">
        <f t="shared" ref="CX147" si="858">+CW147</f>
        <v>750</v>
      </c>
      <c r="CY147" s="479">
        <f t="shared" ref="CY147" si="859">+CX147</f>
        <v>750</v>
      </c>
      <c r="CZ147" s="478">
        <f t="shared" ref="CZ147" si="860">+CY147</f>
        <v>750</v>
      </c>
      <c r="DA147" s="478">
        <f t="shared" ref="DA147" si="861">+CZ147</f>
        <v>750</v>
      </c>
      <c r="DB147" s="478">
        <f t="shared" ref="DB147" si="862">+DA147</f>
        <v>750</v>
      </c>
      <c r="DC147" s="479">
        <f t="shared" ref="DC147" si="863">+DB147</f>
        <v>750</v>
      </c>
      <c r="DD147" s="23"/>
      <c r="DE147" s="477"/>
      <c r="DF147" s="478"/>
      <c r="DG147" s="478"/>
      <c r="DH147" s="478"/>
      <c r="DI147" s="478"/>
      <c r="DJ147" s="478"/>
      <c r="DK147" s="478"/>
      <c r="DL147" s="478"/>
      <c r="DM147" s="478"/>
      <c r="DN147" s="478"/>
      <c r="DO147" s="478"/>
      <c r="DP147" s="478"/>
      <c r="DQ147" s="478"/>
      <c r="DR147" s="478"/>
      <c r="DS147" s="478"/>
      <c r="DT147" s="478"/>
      <c r="DU147" s="478"/>
      <c r="DV147" s="478">
        <f t="shared" si="803"/>
        <v>0</v>
      </c>
      <c r="DW147" s="478">
        <f t="shared" si="793"/>
        <v>937.90454052331825</v>
      </c>
      <c r="DX147" s="478">
        <f t="shared" si="794"/>
        <v>-54.460104295631936</v>
      </c>
      <c r="DY147" s="478">
        <f t="shared" si="795"/>
        <v>563.69012273497719</v>
      </c>
      <c r="DZ147" s="478">
        <f t="shared" si="796"/>
        <v>750</v>
      </c>
      <c r="EA147" s="478">
        <f t="shared" ref="EA147" si="864">CQ147</f>
        <v>750</v>
      </c>
      <c r="EB147" s="478">
        <f t="shared" si="786"/>
        <v>750</v>
      </c>
      <c r="EC147" s="478">
        <f t="shared" si="740"/>
        <v>750</v>
      </c>
      <c r="ED147" s="479">
        <f t="shared" si="741"/>
        <v>750</v>
      </c>
      <c r="EE147" s="477"/>
      <c r="EF147" s="697"/>
      <c r="EG147" s="697"/>
      <c r="EH147" s="697"/>
      <c r="EI147" s="697"/>
      <c r="EJ147" s="697"/>
      <c r="EK147" s="697"/>
      <c r="EL147" s="697"/>
      <c r="EM147" s="697"/>
      <c r="EN147" s="697"/>
      <c r="EO147" s="697"/>
      <c r="EP147" s="697"/>
      <c r="EQ147" s="697"/>
      <c r="ER147" s="697"/>
      <c r="ES147" s="697"/>
      <c r="ET147" s="697"/>
      <c r="EU147" s="697"/>
      <c r="EV147" s="697"/>
      <c r="EW147" s="697"/>
      <c r="EX147" s="697"/>
      <c r="EY147" s="697"/>
      <c r="EZ147" s="697"/>
      <c r="FA147" s="697"/>
      <c r="FB147" s="697"/>
      <c r="FC147" s="697"/>
      <c r="FD147" s="697"/>
      <c r="FE147" s="478"/>
      <c r="FF147" s="478"/>
      <c r="FG147" s="478"/>
      <c r="FH147" s="478"/>
      <c r="FI147"/>
      <c r="FJ147"/>
      <c r="FK147"/>
      <c r="FL147"/>
      <c r="FM147"/>
      <c r="FN147"/>
      <c r="FO147" s="697"/>
    </row>
    <row r="148" spans="1:171" s="693" customFormat="1" ht="14.25" hidden="1" customHeight="1" outlineLevel="1">
      <c r="A148" s="690"/>
      <c r="B148" s="689" t="s">
        <v>241</v>
      </c>
      <c r="C148" s="523"/>
      <c r="D148" s="523"/>
      <c r="E148" s="523"/>
      <c r="F148" s="523"/>
      <c r="G148" s="523"/>
      <c r="H148" s="523"/>
      <c r="I148" s="523"/>
      <c r="J148" s="523"/>
      <c r="K148" s="523"/>
      <c r="L148" s="523"/>
      <c r="M148" s="523"/>
      <c r="N148" s="523"/>
      <c r="O148" s="523"/>
      <c r="P148" s="523"/>
      <c r="Q148" s="523"/>
      <c r="R148" s="523"/>
      <c r="S148" s="523"/>
      <c r="T148" s="523"/>
      <c r="U148" s="523"/>
      <c r="V148" s="523"/>
      <c r="W148" s="523"/>
      <c r="X148" s="523"/>
      <c r="Y148" s="523"/>
      <c r="Z148" s="523"/>
      <c r="AA148" s="523"/>
      <c r="AB148" s="523"/>
      <c r="AC148" s="523"/>
      <c r="AD148" s="523"/>
      <c r="AE148" s="523"/>
      <c r="AF148" s="523"/>
      <c r="AG148" s="523"/>
      <c r="AH148" s="523"/>
      <c r="AI148" s="523"/>
      <c r="AJ148" s="523"/>
      <c r="AK148" s="523"/>
      <c r="AL148" s="523"/>
      <c r="AM148" s="523"/>
      <c r="AN148" s="523"/>
      <c r="AO148" s="523"/>
      <c r="AP148" s="523"/>
      <c r="AQ148" s="523"/>
      <c r="AR148" s="523"/>
      <c r="AS148" s="523"/>
      <c r="AT148" s="523"/>
      <c r="AU148" s="523"/>
      <c r="AV148" s="523"/>
      <c r="AW148" s="523"/>
      <c r="AX148" s="523"/>
      <c r="AY148" s="523"/>
      <c r="AZ148" s="523"/>
      <c r="BA148" s="523"/>
      <c r="BB148" s="523"/>
      <c r="BC148" s="523"/>
      <c r="BD148" s="523"/>
      <c r="BE148" s="523"/>
      <c r="BF148" s="523"/>
      <c r="BG148" s="523"/>
      <c r="BH148" s="525"/>
      <c r="BI148" s="523"/>
      <c r="BJ148" s="523"/>
      <c r="BK148" s="691"/>
      <c r="BL148" s="523"/>
      <c r="BM148" s="523"/>
      <c r="BN148" s="523"/>
      <c r="BO148" s="523"/>
      <c r="BP148" s="525"/>
      <c r="BQ148" s="523"/>
      <c r="BR148" s="523"/>
      <c r="BS148" s="691"/>
      <c r="BT148" s="525"/>
      <c r="BU148" s="523"/>
      <c r="BV148" s="523"/>
      <c r="BW148" s="691"/>
      <c r="BX148" s="708">
        <f t="shared" ref="BX148:CF148" si="865">+BX35</f>
        <v>3169</v>
      </c>
      <c r="BY148" s="731">
        <f t="shared" si="865"/>
        <v>3301</v>
      </c>
      <c r="BZ148" s="731">
        <f t="shared" si="865"/>
        <v>3267</v>
      </c>
      <c r="CA148" s="782">
        <f t="shared" si="865"/>
        <v>4452</v>
      </c>
      <c r="CB148" s="708">
        <f t="shared" si="865"/>
        <v>4260</v>
      </c>
      <c r="CC148" s="731">
        <f t="shared" si="865"/>
        <v>4317</v>
      </c>
      <c r="CD148" s="731">
        <f t="shared" si="865"/>
        <v>4137</v>
      </c>
      <c r="CE148" s="782">
        <f>+CE35</f>
        <v>4955</v>
      </c>
      <c r="CF148" s="708">
        <f t="shared" si="865"/>
        <v>4608</v>
      </c>
      <c r="CG148" s="731">
        <f>+CG35</f>
        <v>5519</v>
      </c>
      <c r="CH148" s="731">
        <f>+CH35</f>
        <v>6403</v>
      </c>
      <c r="CI148" s="782">
        <f t="shared" ref="CI148:CQ148" si="866">+SUM(CI146:CI147)</f>
        <v>6252</v>
      </c>
      <c r="CJ148" s="708">
        <f t="shared" si="866"/>
        <v>6326.3188982235079</v>
      </c>
      <c r="CK148" s="731">
        <f t="shared" si="866"/>
        <v>6493.5225722337536</v>
      </c>
      <c r="CL148" s="731">
        <f t="shared" si="866"/>
        <v>9614.9240686142239</v>
      </c>
      <c r="CM148" s="782">
        <f t="shared" ref="CM148" si="867">+SUM(CM146:CM147)</f>
        <v>9627.5266085166768</v>
      </c>
      <c r="CN148" s="523">
        <f t="shared" si="866"/>
        <v>9640.3334657776177</v>
      </c>
      <c r="CO148" s="1259">
        <f t="shared" si="866"/>
        <v>9653.3479677838131</v>
      </c>
      <c r="CP148" s="523">
        <f t="shared" si="866"/>
        <v>9666.573496352059</v>
      </c>
      <c r="CQ148" s="691">
        <f t="shared" si="866"/>
        <v>9680.01348862349</v>
      </c>
      <c r="CR148" s="523">
        <f t="shared" ref="CR148:CU148" si="868">+SUM(CR146:CR147)</f>
        <v>9693.6714379726327</v>
      </c>
      <c r="CS148" s="523">
        <f t="shared" si="868"/>
        <v>9707.5508949314517</v>
      </c>
      <c r="CT148" s="523">
        <f t="shared" si="868"/>
        <v>9721.6554681286761</v>
      </c>
      <c r="CU148" s="691">
        <f t="shared" si="868"/>
        <v>9735.9888252445908</v>
      </c>
      <c r="CV148" s="523">
        <f t="shared" ref="CV148:CY148" si="869">+SUM(CV146:CV147)</f>
        <v>9750.5546939816122</v>
      </c>
      <c r="CW148" s="523">
        <f t="shared" si="869"/>
        <v>9765.3568630508817</v>
      </c>
      <c r="CX148" s="523">
        <f t="shared" si="869"/>
        <v>9780.3991831751337</v>
      </c>
      <c r="CY148" s="691">
        <f t="shared" si="869"/>
        <v>9795.6855681081324</v>
      </c>
      <c r="CZ148" s="523">
        <f t="shared" ref="CZ148:DC148" si="870">+SUM(CZ146:CZ147)</f>
        <v>9811.2199956709301</v>
      </c>
      <c r="DA148" s="523">
        <f t="shared" si="870"/>
        <v>9827.0065088052506</v>
      </c>
      <c r="DB148" s="523">
        <f t="shared" si="870"/>
        <v>9843.0492166442382</v>
      </c>
      <c r="DC148" s="691">
        <f t="shared" si="870"/>
        <v>9859.3522956009238</v>
      </c>
      <c r="DD148" s="23"/>
      <c r="DE148" s="525"/>
      <c r="DF148" s="523"/>
      <c r="DG148" s="523"/>
      <c r="DH148" s="523"/>
      <c r="DI148" s="523"/>
      <c r="DJ148" s="523"/>
      <c r="DK148" s="523"/>
      <c r="DL148" s="523"/>
      <c r="DM148" s="523"/>
      <c r="DN148" s="523"/>
      <c r="DO148" s="523"/>
      <c r="DP148" s="523"/>
      <c r="DQ148" s="523"/>
      <c r="DR148" s="523"/>
      <c r="DS148" s="523"/>
      <c r="DT148" s="523"/>
      <c r="DU148" s="523"/>
      <c r="DV148" s="523">
        <f t="shared" ref="DV148:EB148" si="871">+SUM(DV146:DV147)</f>
        <v>3262</v>
      </c>
      <c r="DW148" s="523">
        <f t="shared" si="871"/>
        <v>4452</v>
      </c>
      <c r="DX148" s="523">
        <f t="shared" si="871"/>
        <v>4955</v>
      </c>
      <c r="DY148" s="523">
        <f>+SUM(DY146:DY147)</f>
        <v>6252</v>
      </c>
      <c r="DZ148" s="523">
        <f>+SUM(DZ146:DZ147)</f>
        <v>9627.5266085166768</v>
      </c>
      <c r="EA148" s="523">
        <f t="shared" si="871"/>
        <v>9680.01348862349</v>
      </c>
      <c r="EB148" s="523">
        <f t="shared" si="871"/>
        <v>9735.9888252445908</v>
      </c>
      <c r="EC148" s="523">
        <f t="shared" si="740"/>
        <v>9795.6855681081324</v>
      </c>
      <c r="ED148" s="691">
        <f t="shared" si="741"/>
        <v>9859.3522956009238</v>
      </c>
      <c r="EE148" s="525"/>
      <c r="EF148" s="690"/>
      <c r="EG148" s="690"/>
      <c r="EH148" s="690"/>
      <c r="EI148" s="690"/>
      <c r="EJ148" s="690"/>
      <c r="EK148" s="690"/>
      <c r="EL148" s="690"/>
      <c r="EM148" s="690"/>
      <c r="EN148" s="690"/>
      <c r="EO148" s="690"/>
      <c r="EP148" s="690"/>
      <c r="EQ148" s="690"/>
      <c r="ER148" s="690"/>
      <c r="ES148" s="690"/>
      <c r="ET148" s="690"/>
      <c r="EU148" s="690"/>
      <c r="EV148" s="690"/>
      <c r="EW148" s="690"/>
      <c r="EX148" s="690"/>
      <c r="EY148" s="690"/>
      <c r="EZ148" s="690"/>
      <c r="FA148" s="690"/>
      <c r="FB148" s="690"/>
      <c r="FC148" s="690"/>
      <c r="FD148" s="690"/>
      <c r="FE148" s="523"/>
      <c r="FF148" s="523"/>
      <c r="FG148" s="523"/>
      <c r="FH148" s="523"/>
      <c r="FI148"/>
      <c r="FJ148"/>
      <c r="FK148"/>
      <c r="FL148"/>
      <c r="FM148"/>
      <c r="FN148"/>
      <c r="FO148" s="690"/>
    </row>
    <row r="149" spans="1:171" s="462" customFormat="1" ht="14.25" hidden="1" customHeight="1" outlineLevel="1">
      <c r="A149" s="460"/>
      <c r="B149" s="513"/>
      <c r="C149" s="461"/>
      <c r="D149" s="461"/>
      <c r="E149" s="461"/>
      <c r="F149" s="461"/>
      <c r="G149" s="461"/>
      <c r="H149" s="461"/>
      <c r="I149" s="461"/>
      <c r="J149" s="461"/>
      <c r="K149" s="461"/>
      <c r="L149" s="461"/>
      <c r="M149" s="461"/>
      <c r="N149" s="461"/>
      <c r="O149" s="461"/>
      <c r="P149" s="461"/>
      <c r="Q149" s="461"/>
      <c r="R149" s="461"/>
      <c r="S149" s="461"/>
      <c r="T149" s="461"/>
      <c r="U149" s="461"/>
      <c r="V149" s="461"/>
      <c r="W149" s="461"/>
      <c r="X149" s="461"/>
      <c r="Y149" s="461"/>
      <c r="Z149" s="461"/>
      <c r="AA149" s="461"/>
      <c r="AB149" s="461"/>
      <c r="AC149" s="461"/>
      <c r="AD149" s="461"/>
      <c r="AE149" s="461"/>
      <c r="AF149" s="461"/>
      <c r="AG149" s="461"/>
      <c r="AH149" s="461"/>
      <c r="AI149" s="461"/>
      <c r="AJ149" s="461"/>
      <c r="AK149" s="461"/>
      <c r="AL149" s="461"/>
      <c r="AM149" s="461"/>
      <c r="AN149" s="461"/>
      <c r="AO149" s="461"/>
      <c r="AP149" s="461"/>
      <c r="AQ149" s="461"/>
      <c r="AR149" s="461"/>
      <c r="AS149" s="461"/>
      <c r="AT149" s="461"/>
      <c r="AU149" s="461"/>
      <c r="AV149" s="461"/>
      <c r="AW149" s="461"/>
      <c r="AX149" s="461"/>
      <c r="AY149" s="461"/>
      <c r="AZ149" s="461"/>
      <c r="BA149" s="461"/>
      <c r="BB149" s="461"/>
      <c r="BC149" s="461"/>
      <c r="BD149" s="461"/>
      <c r="BE149" s="461"/>
      <c r="BF149" s="461"/>
      <c r="BG149" s="461"/>
      <c r="BH149" s="475"/>
      <c r="BI149" s="461"/>
      <c r="BJ149" s="461"/>
      <c r="BK149" s="476"/>
      <c r="BL149" s="461"/>
      <c r="BM149" s="461"/>
      <c r="BN149" s="461"/>
      <c r="BO149" s="461"/>
      <c r="BP149" s="475"/>
      <c r="BQ149" s="461"/>
      <c r="BR149" s="461"/>
      <c r="BS149" s="476"/>
      <c r="BT149" s="475"/>
      <c r="BU149" s="461"/>
      <c r="BV149" s="461"/>
      <c r="BW149" s="476"/>
      <c r="BX149" s="475"/>
      <c r="BY149" s="461"/>
      <c r="BZ149" s="461"/>
      <c r="CA149" s="476"/>
      <c r="CB149" s="475"/>
      <c r="CC149" s="461"/>
      <c r="CD149" s="461"/>
      <c r="CE149" s="476"/>
      <c r="CF149" s="475"/>
      <c r="CG149" s="523"/>
      <c r="CH149" s="523"/>
      <c r="CI149" s="574"/>
      <c r="CJ149" s="525"/>
      <c r="CK149" s="523"/>
      <c r="CL149" s="523"/>
      <c r="CM149" s="574"/>
      <c r="CN149" s="461"/>
      <c r="CO149" s="1267"/>
      <c r="CP149" s="461"/>
      <c r="CQ149" s="476"/>
      <c r="CR149" s="461"/>
      <c r="CS149" s="461"/>
      <c r="CT149" s="461"/>
      <c r="CU149" s="476"/>
      <c r="CV149" s="461"/>
      <c r="CW149" s="461"/>
      <c r="CX149" s="461"/>
      <c r="CY149" s="476"/>
      <c r="CZ149" s="461"/>
      <c r="DA149" s="461"/>
      <c r="DB149" s="461"/>
      <c r="DC149" s="476"/>
      <c r="DD149" s="23"/>
      <c r="DE149" s="475"/>
      <c r="DF149" s="461"/>
      <c r="DG149" s="461"/>
      <c r="DH149" s="461"/>
      <c r="DI149" s="461"/>
      <c r="DJ149" s="461"/>
      <c r="DK149" s="461"/>
      <c r="DL149" s="461"/>
      <c r="DM149" s="461"/>
      <c r="DN149" s="461"/>
      <c r="DO149" s="461"/>
      <c r="DP149" s="461"/>
      <c r="DQ149" s="461"/>
      <c r="DR149" s="461"/>
      <c r="DS149" s="461"/>
      <c r="DT149" s="422"/>
      <c r="DU149" s="461"/>
      <c r="DV149" s="461"/>
      <c r="DW149" s="461"/>
      <c r="DX149" s="461"/>
      <c r="DY149" s="461"/>
      <c r="DZ149" s="461"/>
      <c r="EA149" s="422"/>
      <c r="EB149" s="422"/>
      <c r="EC149" s="422"/>
      <c r="ED149" s="490"/>
      <c r="EE149" s="475"/>
      <c r="EF149" s="460"/>
      <c r="EG149" s="460"/>
      <c r="EH149" s="460"/>
      <c r="EI149" s="460"/>
      <c r="EJ149" s="460"/>
      <c r="EK149" s="460"/>
      <c r="EL149" s="460"/>
      <c r="EM149" s="460"/>
      <c r="EN149" s="460"/>
      <c r="EO149" s="460"/>
      <c r="EP149" s="460"/>
      <c r="EQ149" s="460"/>
      <c r="ER149" s="460"/>
      <c r="ES149" s="460"/>
      <c r="ET149" s="460"/>
      <c r="EU149" s="460"/>
      <c r="EV149" s="460"/>
      <c r="EW149" s="460"/>
      <c r="EX149" s="460"/>
      <c r="EY149" s="460"/>
      <c r="EZ149" s="460"/>
      <c r="FA149" s="460"/>
      <c r="FB149" s="460"/>
      <c r="FC149" s="460"/>
      <c r="FD149" s="460"/>
      <c r="FE149" s="461"/>
      <c r="FF149" s="461"/>
      <c r="FG149" s="461"/>
      <c r="FH149" s="461"/>
      <c r="FI149"/>
      <c r="FJ149"/>
      <c r="FK149"/>
      <c r="FL149"/>
      <c r="FM149"/>
      <c r="FN149"/>
      <c r="FO149" s="460"/>
    </row>
    <row r="150" spans="1:171" s="693" customFormat="1" ht="14.25" hidden="1" customHeight="1" outlineLevel="1">
      <c r="A150" s="690"/>
      <c r="B150" s="689" t="s">
        <v>231</v>
      </c>
      <c r="C150" s="523"/>
      <c r="D150" s="523"/>
      <c r="E150" s="523"/>
      <c r="F150" s="523"/>
      <c r="G150" s="523"/>
      <c r="H150" s="523"/>
      <c r="I150" s="523"/>
      <c r="J150" s="523"/>
      <c r="K150" s="523"/>
      <c r="L150" s="523"/>
      <c r="M150" s="523"/>
      <c r="N150" s="523"/>
      <c r="O150" s="523"/>
      <c r="P150" s="523"/>
      <c r="Q150" s="523"/>
      <c r="R150" s="523"/>
      <c r="S150" s="523"/>
      <c r="T150" s="523"/>
      <c r="U150" s="523"/>
      <c r="V150" s="523"/>
      <c r="W150" s="523"/>
      <c r="X150" s="523"/>
      <c r="Y150" s="523"/>
      <c r="Z150" s="523"/>
      <c r="AA150" s="523"/>
      <c r="AB150" s="523"/>
      <c r="AC150" s="523"/>
      <c r="AD150" s="523"/>
      <c r="AE150" s="523"/>
      <c r="AF150" s="523"/>
      <c r="AG150" s="523"/>
      <c r="AH150" s="523"/>
      <c r="AI150" s="523"/>
      <c r="AJ150" s="523"/>
      <c r="AK150" s="523"/>
      <c r="AL150" s="523"/>
      <c r="AM150" s="523"/>
      <c r="AN150" s="523"/>
      <c r="AO150" s="523"/>
      <c r="AP150" s="523"/>
      <c r="AQ150" s="523"/>
      <c r="AR150" s="523"/>
      <c r="AS150" s="523"/>
      <c r="AT150" s="523"/>
      <c r="AU150" s="523"/>
      <c r="AV150" s="523"/>
      <c r="AW150" s="523"/>
      <c r="AX150" s="523"/>
      <c r="AY150" s="523"/>
      <c r="AZ150" s="523"/>
      <c r="BA150" s="523"/>
      <c r="BB150" s="523"/>
      <c r="BC150" s="523"/>
      <c r="BD150" s="523"/>
      <c r="BE150" s="523"/>
      <c r="BF150" s="523"/>
      <c r="BG150" s="523"/>
      <c r="BH150" s="525"/>
      <c r="BI150" s="523"/>
      <c r="BJ150" s="523"/>
      <c r="BK150" s="691"/>
      <c r="BL150" s="523"/>
      <c r="BM150" s="523"/>
      <c r="BN150" s="523"/>
      <c r="BO150" s="523"/>
      <c r="BP150" s="525"/>
      <c r="BQ150" s="523"/>
      <c r="BR150" s="523"/>
      <c r="BS150" s="691"/>
      <c r="BT150" s="525"/>
      <c r="BU150" s="523"/>
      <c r="BV150" s="523"/>
      <c r="BW150" s="574">
        <v>609</v>
      </c>
      <c r="BX150" s="525"/>
      <c r="BY150" s="523"/>
      <c r="BZ150" s="523"/>
      <c r="CA150" s="574"/>
      <c r="CB150" s="525"/>
      <c r="CC150" s="523"/>
      <c r="CD150" s="523"/>
      <c r="CE150" s="574"/>
      <c r="CF150" s="525"/>
      <c r="CG150" s="523"/>
      <c r="CH150" s="523"/>
      <c r="CI150" s="574"/>
      <c r="CJ150" s="525"/>
      <c r="CK150" s="523"/>
      <c r="CL150" s="523"/>
      <c r="CM150" s="574"/>
      <c r="CN150" s="523"/>
      <c r="CO150" s="1259"/>
      <c r="CP150" s="523"/>
      <c r="CQ150" s="691"/>
      <c r="CR150" s="523"/>
      <c r="CS150" s="523"/>
      <c r="CT150" s="523"/>
      <c r="CU150" s="691"/>
      <c r="CV150" s="523"/>
      <c r="CW150" s="523"/>
      <c r="CX150" s="523"/>
      <c r="CY150" s="691"/>
      <c r="CZ150" s="523"/>
      <c r="DA150" s="523"/>
      <c r="DB150" s="523"/>
      <c r="DC150" s="691"/>
      <c r="DD150" s="472"/>
      <c r="DE150" s="525"/>
      <c r="DF150" s="523"/>
      <c r="DG150" s="523"/>
      <c r="DH150" s="523"/>
      <c r="DI150" s="523"/>
      <c r="DJ150" s="523"/>
      <c r="DK150" s="523"/>
      <c r="DL150" s="523"/>
      <c r="DM150" s="523"/>
      <c r="DN150" s="523"/>
      <c r="DO150" s="523"/>
      <c r="DP150" s="523"/>
      <c r="DQ150" s="523"/>
      <c r="DR150" s="523"/>
      <c r="DS150" s="523"/>
      <c r="DT150" s="527"/>
      <c r="DU150" s="523"/>
      <c r="DV150" s="523"/>
      <c r="DW150" s="523"/>
      <c r="DX150" s="523"/>
      <c r="DY150" s="523"/>
      <c r="DZ150" s="523"/>
      <c r="EA150" s="527"/>
      <c r="EB150" s="527"/>
      <c r="EC150" s="527"/>
      <c r="ED150" s="692"/>
      <c r="EE150" s="525"/>
      <c r="EF150" s="690"/>
      <c r="EG150" s="690"/>
      <c r="EH150" s="690"/>
      <c r="EI150" s="690"/>
      <c r="EJ150" s="690"/>
      <c r="EK150" s="690"/>
      <c r="EL150" s="690"/>
      <c r="EM150" s="690"/>
      <c r="EN150" s="690"/>
      <c r="EO150" s="690"/>
      <c r="EP150" s="690"/>
      <c r="EQ150" s="690"/>
      <c r="ER150" s="690"/>
      <c r="ES150" s="690"/>
      <c r="ET150" s="690"/>
      <c r="EU150" s="690"/>
      <c r="EV150" s="690"/>
      <c r="EW150" s="690"/>
      <c r="EX150" s="690"/>
      <c r="EY150" s="690"/>
      <c r="EZ150" s="690"/>
      <c r="FA150" s="690"/>
      <c r="FB150" s="690"/>
      <c r="FC150" s="690"/>
      <c r="FD150" s="690"/>
      <c r="FE150" s="523"/>
      <c r="FF150" s="523"/>
      <c r="FG150" s="523"/>
      <c r="FH150" s="523"/>
      <c r="FI150"/>
      <c r="FJ150"/>
      <c r="FK150"/>
      <c r="FL150"/>
      <c r="FM150"/>
      <c r="FN150"/>
      <c r="FO150" s="690"/>
    </row>
    <row r="151" spans="1:171" s="693" customFormat="1" ht="14.25" hidden="1" customHeight="1" outlineLevel="1">
      <c r="A151" s="690"/>
      <c r="B151" s="689" t="s">
        <v>232</v>
      </c>
      <c r="C151" s="523"/>
      <c r="D151" s="523"/>
      <c r="E151" s="523"/>
      <c r="F151" s="523"/>
      <c r="G151" s="523"/>
      <c r="H151" s="523"/>
      <c r="I151" s="523"/>
      <c r="J151" s="523"/>
      <c r="K151" s="523"/>
      <c r="L151" s="523"/>
      <c r="M151" s="523"/>
      <c r="N151" s="523"/>
      <c r="O151" s="523"/>
      <c r="P151" s="523"/>
      <c r="Q151" s="523"/>
      <c r="R151" s="523"/>
      <c r="S151" s="523"/>
      <c r="T151" s="523"/>
      <c r="U151" s="523"/>
      <c r="V151" s="523"/>
      <c r="W151" s="523"/>
      <c r="X151" s="523"/>
      <c r="Y151" s="523"/>
      <c r="Z151" s="523"/>
      <c r="AA151" s="523"/>
      <c r="AB151" s="523"/>
      <c r="AC151" s="523"/>
      <c r="AD151" s="523"/>
      <c r="AE151" s="523"/>
      <c r="AF151" s="523"/>
      <c r="AG151" s="523"/>
      <c r="AH151" s="523"/>
      <c r="AI151" s="523"/>
      <c r="AJ151" s="523"/>
      <c r="AK151" s="523"/>
      <c r="AL151" s="523"/>
      <c r="AM151" s="523"/>
      <c r="AN151" s="523"/>
      <c r="AO151" s="523"/>
      <c r="AP151" s="523"/>
      <c r="AQ151" s="523"/>
      <c r="AR151" s="523"/>
      <c r="AS151" s="523"/>
      <c r="AT151" s="523"/>
      <c r="AU151" s="523"/>
      <c r="AV151" s="523"/>
      <c r="AW151" s="523"/>
      <c r="AX151" s="523"/>
      <c r="AY151" s="523"/>
      <c r="AZ151" s="523"/>
      <c r="BA151" s="523"/>
      <c r="BB151" s="523"/>
      <c r="BC151" s="523"/>
      <c r="BD151" s="523"/>
      <c r="BE151" s="523"/>
      <c r="BF151" s="523"/>
      <c r="BG151" s="523"/>
      <c r="BH151" s="525"/>
      <c r="BI151" s="523"/>
      <c r="BJ151" s="523"/>
      <c r="BK151" s="691"/>
      <c r="BL151" s="523"/>
      <c r="BM151" s="523"/>
      <c r="BN151" s="523"/>
      <c r="BO151" s="523"/>
      <c r="BP151" s="525"/>
      <c r="BQ151" s="523"/>
      <c r="BR151" s="523"/>
      <c r="BS151" s="691"/>
      <c r="BT151" s="525"/>
      <c r="BU151" s="523"/>
      <c r="BV151" s="523"/>
      <c r="BW151" s="574">
        <v>246</v>
      </c>
      <c r="BX151" s="525"/>
      <c r="BY151" s="523"/>
      <c r="BZ151" s="523"/>
      <c r="CA151" s="574"/>
      <c r="CB151" s="525"/>
      <c r="CC151" s="523"/>
      <c r="CD151" s="523"/>
      <c r="CE151" s="574"/>
      <c r="CF151" s="525"/>
      <c r="CG151" s="523"/>
      <c r="CH151" s="523"/>
      <c r="CI151" s="574"/>
      <c r="CJ151" s="525"/>
      <c r="CK151" s="523"/>
      <c r="CL151" s="523"/>
      <c r="CM151" s="574"/>
      <c r="CN151" s="523"/>
      <c r="CO151" s="1259"/>
      <c r="CP151" s="523"/>
      <c r="CQ151" s="691"/>
      <c r="CR151" s="523"/>
      <c r="CS151" s="523"/>
      <c r="CT151" s="523"/>
      <c r="CU151" s="691"/>
      <c r="CV151" s="523"/>
      <c r="CW151" s="523"/>
      <c r="CX151" s="523"/>
      <c r="CY151" s="691"/>
      <c r="CZ151" s="523"/>
      <c r="DA151" s="523"/>
      <c r="DB151" s="523"/>
      <c r="DC151" s="691"/>
      <c r="DD151" s="691"/>
      <c r="DE151" s="525"/>
      <c r="DF151" s="523"/>
      <c r="DG151" s="523"/>
      <c r="DH151" s="523"/>
      <c r="DI151" s="523"/>
      <c r="DJ151" s="523"/>
      <c r="DK151" s="523"/>
      <c r="DL151" s="523"/>
      <c r="DM151" s="523"/>
      <c r="DN151" s="523"/>
      <c r="DO151" s="523"/>
      <c r="DP151" s="523"/>
      <c r="DQ151" s="523"/>
      <c r="DR151" s="523"/>
      <c r="DS151" s="523"/>
      <c r="DT151" s="527"/>
      <c r="DU151" s="523"/>
      <c r="DV151" s="523"/>
      <c r="DW151" s="523"/>
      <c r="DX151" s="523"/>
      <c r="DY151" s="523"/>
      <c r="DZ151" s="523"/>
      <c r="EA151" s="527"/>
      <c r="EB151" s="527"/>
      <c r="EC151" s="527"/>
      <c r="ED151" s="692"/>
      <c r="EE151" s="525"/>
      <c r="EF151" s="690"/>
      <c r="EG151" s="690"/>
      <c r="EH151" s="690"/>
      <c r="EI151" s="690"/>
      <c r="EJ151" s="690"/>
      <c r="EK151" s="690"/>
      <c r="EL151" s="690"/>
      <c r="EM151" s="690"/>
      <c r="EN151" s="690"/>
      <c r="EO151" s="690"/>
      <c r="EP151" s="690"/>
      <c r="EQ151" s="690"/>
      <c r="ER151" s="690"/>
      <c r="ES151" s="690"/>
      <c r="ET151" s="690"/>
      <c r="EU151" s="690"/>
      <c r="EV151" s="690"/>
      <c r="EW151" s="690"/>
      <c r="EX151" s="690"/>
      <c r="EY151" s="690"/>
      <c r="EZ151" s="690"/>
      <c r="FA151" s="690"/>
      <c r="FB151" s="690"/>
      <c r="FC151" s="690"/>
      <c r="FD151" s="690"/>
      <c r="FE151" s="523"/>
      <c r="FF151" s="523"/>
      <c r="FG151" s="523"/>
      <c r="FH151" s="523"/>
      <c r="FI151"/>
      <c r="FJ151"/>
      <c r="FK151"/>
      <c r="FL151"/>
      <c r="FM151"/>
      <c r="FN151"/>
      <c r="FO151" s="690"/>
    </row>
    <row r="152" spans="1:171" s="693" customFormat="1" ht="14.25" hidden="1" customHeight="1" outlineLevel="1">
      <c r="A152" s="690"/>
      <c r="B152" s="689"/>
      <c r="C152" s="523"/>
      <c r="D152" s="523"/>
      <c r="E152" s="523"/>
      <c r="F152" s="523"/>
      <c r="G152" s="523"/>
      <c r="H152" s="523"/>
      <c r="I152" s="523"/>
      <c r="J152" s="523"/>
      <c r="K152" s="523"/>
      <c r="L152" s="523"/>
      <c r="M152" s="523"/>
      <c r="N152" s="523"/>
      <c r="O152" s="523"/>
      <c r="P152" s="523"/>
      <c r="Q152" s="523"/>
      <c r="R152" s="523"/>
      <c r="S152" s="523"/>
      <c r="T152" s="523"/>
      <c r="U152" s="523"/>
      <c r="V152" s="523"/>
      <c r="W152" s="523"/>
      <c r="X152" s="523"/>
      <c r="Y152" s="523"/>
      <c r="Z152" s="523"/>
      <c r="AA152" s="523"/>
      <c r="AB152" s="523"/>
      <c r="AC152" s="523"/>
      <c r="AD152" s="523"/>
      <c r="AE152" s="523"/>
      <c r="AF152" s="523"/>
      <c r="AG152" s="523"/>
      <c r="AH152" s="523"/>
      <c r="AI152" s="523"/>
      <c r="AJ152" s="523"/>
      <c r="AK152" s="523"/>
      <c r="AL152" s="523"/>
      <c r="AM152" s="523"/>
      <c r="AN152" s="523"/>
      <c r="AO152" s="523"/>
      <c r="AP152" s="523"/>
      <c r="AQ152" s="523"/>
      <c r="AR152" s="523"/>
      <c r="AS152" s="523"/>
      <c r="AT152" s="523"/>
      <c r="AU152" s="523"/>
      <c r="AV152" s="523"/>
      <c r="AW152" s="523"/>
      <c r="AX152" s="523"/>
      <c r="AY152" s="523"/>
      <c r="AZ152" s="523"/>
      <c r="BA152" s="523"/>
      <c r="BB152" s="523"/>
      <c r="BC152" s="523"/>
      <c r="BD152" s="523"/>
      <c r="BE152" s="523"/>
      <c r="BF152" s="523"/>
      <c r="BG152" s="523"/>
      <c r="BH152" s="525"/>
      <c r="BI152" s="523"/>
      <c r="BJ152" s="523"/>
      <c r="BK152" s="691"/>
      <c r="BL152" s="523"/>
      <c r="BM152" s="523"/>
      <c r="BN152" s="523"/>
      <c r="BO152" s="523"/>
      <c r="BP152" s="525"/>
      <c r="BQ152" s="523"/>
      <c r="BR152" s="523"/>
      <c r="BS152" s="691"/>
      <c r="BT152" s="525"/>
      <c r="BU152" s="523"/>
      <c r="BV152" s="523"/>
      <c r="BW152" s="574"/>
      <c r="BX152" s="525"/>
      <c r="BY152" s="523"/>
      <c r="BZ152" s="523"/>
      <c r="CA152" s="574"/>
      <c r="CB152" s="525"/>
      <c r="CC152" s="523"/>
      <c r="CD152" s="523"/>
      <c r="CE152" s="574"/>
      <c r="CF152" s="525"/>
      <c r="CG152" s="523"/>
      <c r="CH152" s="523"/>
      <c r="CI152" s="574"/>
      <c r="CJ152" s="525"/>
      <c r="CK152" s="523"/>
      <c r="CL152" s="523"/>
      <c r="CM152" s="574"/>
      <c r="CN152" s="523"/>
      <c r="CO152" s="1259"/>
      <c r="CP152" s="523"/>
      <c r="CQ152" s="691"/>
      <c r="CR152" s="523"/>
      <c r="CS152" s="523"/>
      <c r="CT152" s="523"/>
      <c r="CU152" s="691"/>
      <c r="CV152" s="523"/>
      <c r="CW152" s="523"/>
      <c r="CX152" s="523"/>
      <c r="CY152" s="691"/>
      <c r="CZ152" s="523"/>
      <c r="DA152" s="523"/>
      <c r="DB152" s="523"/>
      <c r="DC152" s="691"/>
      <c r="DD152" s="691"/>
      <c r="DE152" s="525"/>
      <c r="DF152" s="523"/>
      <c r="DG152" s="523"/>
      <c r="DH152" s="523"/>
      <c r="DI152" s="523"/>
      <c r="DJ152" s="523"/>
      <c r="DK152" s="523"/>
      <c r="DL152" s="523"/>
      <c r="DM152" s="523"/>
      <c r="DN152" s="523"/>
      <c r="DO152" s="523"/>
      <c r="DP152" s="523"/>
      <c r="DQ152" s="523"/>
      <c r="DR152" s="523"/>
      <c r="DS152" s="523"/>
      <c r="DT152" s="527"/>
      <c r="DU152" s="523"/>
      <c r="DV152" s="523"/>
      <c r="DW152" s="523"/>
      <c r="DX152" s="523"/>
      <c r="DY152" s="523"/>
      <c r="DZ152" s="523"/>
      <c r="EA152" s="527"/>
      <c r="EB152" s="527"/>
      <c r="EC152" s="527"/>
      <c r="ED152" s="692"/>
      <c r="EE152" s="525"/>
      <c r="EF152" s="690"/>
      <c r="EG152" s="690"/>
      <c r="EH152" s="690"/>
      <c r="EI152" s="690"/>
      <c r="EJ152" s="690"/>
      <c r="EK152" s="690"/>
      <c r="EL152" s="690"/>
      <c r="EM152" s="690"/>
      <c r="EN152" s="690"/>
      <c r="EO152" s="690"/>
      <c r="EP152" s="690"/>
      <c r="EQ152" s="690"/>
      <c r="ER152" s="690"/>
      <c r="ES152" s="690"/>
      <c r="ET152" s="690"/>
      <c r="EU152" s="690"/>
      <c r="EV152" s="690"/>
      <c r="EW152" s="690"/>
      <c r="EX152" s="690"/>
      <c r="EY152" s="690"/>
      <c r="EZ152" s="690"/>
      <c r="FA152" s="690"/>
      <c r="FB152" s="690"/>
      <c r="FC152" s="690"/>
      <c r="FD152" s="690"/>
      <c r="FE152" s="523"/>
      <c r="FF152" s="523"/>
      <c r="FG152" s="523"/>
      <c r="FH152" s="523"/>
      <c r="FI152"/>
      <c r="FJ152"/>
      <c r="FK152"/>
      <c r="FL152"/>
      <c r="FM152"/>
      <c r="FN152"/>
      <c r="FO152" s="690"/>
    </row>
    <row r="153" spans="1:171" ht="14.25" hidden="1" customHeight="1" outlineLevel="1">
      <c r="A153" s="7"/>
      <c r="B153" s="51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21"/>
      <c r="BI153" s="13"/>
      <c r="BJ153" s="13"/>
      <c r="BK153" s="231"/>
      <c r="BL153" s="13"/>
      <c r="BM153" s="13"/>
      <c r="BN153" s="13"/>
      <c r="BO153" s="13"/>
      <c r="BP153" s="21"/>
      <c r="BQ153" s="13"/>
      <c r="BR153" s="13"/>
      <c r="BS153" s="231"/>
      <c r="BT153" s="21"/>
      <c r="BU153" s="13"/>
      <c r="BV153" s="13"/>
      <c r="BW153" s="231"/>
      <c r="BX153" s="21"/>
      <c r="BY153" s="13"/>
      <c r="BZ153" s="13"/>
      <c r="CA153" s="231"/>
      <c r="CB153" s="21"/>
      <c r="CC153" s="13"/>
      <c r="CD153" s="13"/>
      <c r="CE153" s="231"/>
      <c r="CF153" s="21"/>
      <c r="CG153" s="13"/>
      <c r="CH153" s="13"/>
      <c r="CI153" s="231"/>
      <c r="CJ153" s="21"/>
      <c r="CK153" s="13"/>
      <c r="CL153" s="13"/>
      <c r="CM153" s="231"/>
      <c r="CN153" s="13"/>
      <c r="CO153" s="1225"/>
      <c r="CP153" s="13"/>
      <c r="CQ153" s="231"/>
      <c r="CR153" s="13"/>
      <c r="CS153" s="13"/>
      <c r="CT153" s="13"/>
      <c r="CU153" s="231"/>
      <c r="CV153" s="13"/>
      <c r="CW153" s="13"/>
      <c r="CX153" s="13"/>
      <c r="CY153" s="231"/>
      <c r="CZ153" s="13"/>
      <c r="DA153" s="13"/>
      <c r="DB153" s="13"/>
      <c r="DC153" s="231"/>
      <c r="DD153" s="231"/>
      <c r="DE153" s="21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231"/>
      <c r="EE153" s="21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13"/>
      <c r="FF153" s="13"/>
      <c r="FG153" s="13"/>
      <c r="FH153" s="13"/>
      <c r="FO153" s="7"/>
    </row>
    <row r="154" spans="1:171" ht="14.25" hidden="1" customHeight="1" outlineLevel="1">
      <c r="A154" s="7"/>
      <c r="B154" s="516" t="s">
        <v>237</v>
      </c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21"/>
      <c r="BI154" s="13"/>
      <c r="BJ154" s="13"/>
      <c r="BK154" s="231"/>
      <c r="BL154" s="13"/>
      <c r="BM154" s="13"/>
      <c r="BN154" s="13"/>
      <c r="BO154" s="13"/>
      <c r="BP154" s="21"/>
      <c r="BQ154" s="13"/>
      <c r="BR154" s="13"/>
      <c r="BS154" s="231"/>
      <c r="BT154" s="21"/>
      <c r="BU154" s="13"/>
      <c r="BV154" s="13"/>
      <c r="BW154" s="231"/>
      <c r="BX154" s="21"/>
      <c r="BY154" s="13"/>
      <c r="BZ154" s="13"/>
      <c r="CA154" s="231"/>
      <c r="CB154" s="21"/>
      <c r="CC154" s="13"/>
      <c r="CD154" s="13"/>
      <c r="CE154" s="231"/>
      <c r="CF154" s="21"/>
      <c r="CG154" s="13"/>
      <c r="CH154" s="13"/>
      <c r="CI154" s="231"/>
      <c r="CJ154" s="21"/>
      <c r="CK154" s="13"/>
      <c r="CL154" s="13"/>
      <c r="CM154" s="231"/>
      <c r="CN154" s="13"/>
      <c r="CO154" s="1225"/>
      <c r="CP154" s="13"/>
      <c r="CQ154" s="231"/>
      <c r="CR154" s="13"/>
      <c r="CS154" s="13"/>
      <c r="CT154" s="13"/>
      <c r="CU154" s="231"/>
      <c r="CV154" s="13"/>
      <c r="CW154" s="13"/>
      <c r="CX154" s="13"/>
      <c r="CY154" s="231"/>
      <c r="CZ154" s="13"/>
      <c r="DA154" s="13"/>
      <c r="DB154" s="13"/>
      <c r="DC154" s="231"/>
      <c r="DD154" s="231"/>
      <c r="DE154" s="21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231"/>
      <c r="EE154" s="21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13"/>
      <c r="FF154" s="13"/>
      <c r="FG154" s="13"/>
      <c r="FH154" s="13"/>
      <c r="FO154" s="7"/>
    </row>
    <row r="155" spans="1:171" ht="14.25" hidden="1" customHeight="1" outlineLevel="1">
      <c r="A155" s="7"/>
      <c r="B155" s="511" t="s">
        <v>115</v>
      </c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21"/>
      <c r="BI155" s="13"/>
      <c r="BJ155" s="13"/>
      <c r="BK155" s="231"/>
      <c r="BL155" s="13"/>
      <c r="BM155" s="13"/>
      <c r="BN155" s="13"/>
      <c r="BO155" s="13"/>
      <c r="BP155" s="21"/>
      <c r="BQ155" s="13"/>
      <c r="BR155" s="13"/>
      <c r="BS155" s="231"/>
      <c r="BT155" s="500">
        <v>2.375E-2</v>
      </c>
      <c r="BU155" s="481">
        <f>+BT155</f>
        <v>2.375E-2</v>
      </c>
      <c r="BV155" s="481">
        <f>+BU155</f>
        <v>2.375E-2</v>
      </c>
      <c r="BW155" s="482">
        <f>+BV155</f>
        <v>2.375E-2</v>
      </c>
      <c r="BX155" s="480">
        <f t="shared" ref="BX155:CI155" si="872">+BW155</f>
        <v>2.375E-2</v>
      </c>
      <c r="BY155" s="481">
        <f t="shared" si="872"/>
        <v>2.375E-2</v>
      </c>
      <c r="BZ155" s="481">
        <f t="shared" si="872"/>
        <v>2.375E-2</v>
      </c>
      <c r="CA155" s="482">
        <f t="shared" si="872"/>
        <v>2.375E-2</v>
      </c>
      <c r="CB155" s="480">
        <f t="shared" si="872"/>
        <v>2.375E-2</v>
      </c>
      <c r="CC155" s="481">
        <f t="shared" si="872"/>
        <v>2.375E-2</v>
      </c>
      <c r="CD155" s="481">
        <f t="shared" ref="CD155:CD168" si="873">+CC155</f>
        <v>2.375E-2</v>
      </c>
      <c r="CE155" s="482">
        <f t="shared" ref="CE155:CE168" si="874">+CD155</f>
        <v>2.375E-2</v>
      </c>
      <c r="CF155" s="480">
        <f t="shared" si="872"/>
        <v>2.375E-2</v>
      </c>
      <c r="CG155" s="481">
        <f t="shared" si="872"/>
        <v>2.375E-2</v>
      </c>
      <c r="CH155" s="481">
        <f t="shared" si="872"/>
        <v>2.375E-2</v>
      </c>
      <c r="CI155" s="482">
        <f t="shared" si="872"/>
        <v>2.375E-2</v>
      </c>
      <c r="CJ155" s="480">
        <f t="shared" ref="CJ155:CJ168" si="875">+CI155</f>
        <v>2.375E-2</v>
      </c>
      <c r="CK155" s="481">
        <f t="shared" ref="CK155:CK168" si="876">+CJ155</f>
        <v>2.375E-2</v>
      </c>
      <c r="CL155" s="481">
        <f t="shared" ref="CL155:CM168" si="877">+CK155</f>
        <v>2.375E-2</v>
      </c>
      <c r="CM155" s="482">
        <f t="shared" si="877"/>
        <v>2.375E-2</v>
      </c>
      <c r="CN155" s="481">
        <f t="shared" ref="CN155:CO161" si="878">+CM155</f>
        <v>2.375E-2</v>
      </c>
      <c r="CO155" s="1270">
        <f t="shared" si="878"/>
        <v>2.375E-2</v>
      </c>
      <c r="CP155" s="481">
        <f t="shared" ref="CP155:CP161" si="879">+CO155</f>
        <v>2.375E-2</v>
      </c>
      <c r="CQ155" s="482">
        <f t="shared" ref="CQ155:CQ161" si="880">+CP155</f>
        <v>2.375E-2</v>
      </c>
      <c r="CR155" s="481">
        <f t="shared" ref="CR155:CR161" si="881">+CQ155</f>
        <v>2.375E-2</v>
      </c>
      <c r="CS155" s="481">
        <f t="shared" ref="CS155:CS161" si="882">+CR155</f>
        <v>2.375E-2</v>
      </c>
      <c r="CT155" s="481">
        <f t="shared" ref="CT155:CT161" si="883">+CS155</f>
        <v>2.375E-2</v>
      </c>
      <c r="CU155" s="482">
        <f t="shared" ref="CU155:CU161" si="884">+CT155</f>
        <v>2.375E-2</v>
      </c>
      <c r="CV155" s="481">
        <f t="shared" ref="CV155:CV161" si="885">+CU155</f>
        <v>2.375E-2</v>
      </c>
      <c r="CW155" s="481">
        <f t="shared" ref="CW155:CW161" si="886">+CV155</f>
        <v>2.375E-2</v>
      </c>
      <c r="CX155" s="481">
        <f t="shared" ref="CX155:CX161" si="887">+CW155</f>
        <v>2.375E-2</v>
      </c>
      <c r="CY155" s="482">
        <f t="shared" ref="CY155:CY161" si="888">+CX155</f>
        <v>2.375E-2</v>
      </c>
      <c r="CZ155" s="481">
        <f t="shared" ref="CZ155:CZ161" si="889">+CY155</f>
        <v>2.375E-2</v>
      </c>
      <c r="DA155" s="481">
        <f t="shared" ref="DA155:DA161" si="890">+CZ155</f>
        <v>2.375E-2</v>
      </c>
      <c r="DB155" s="481">
        <f t="shared" ref="DB155:DB161" si="891">+DA155</f>
        <v>2.375E-2</v>
      </c>
      <c r="DC155" s="482">
        <f t="shared" ref="DC155:DC161" si="892">+DB155</f>
        <v>2.375E-2</v>
      </c>
      <c r="DD155" s="231"/>
      <c r="DE155" s="21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568"/>
      <c r="DU155" s="13"/>
      <c r="DV155" s="13">
        <f t="shared" ref="DV155:DV169" si="893">+BW155</f>
        <v>2.375E-2</v>
      </c>
      <c r="DW155" s="13">
        <f t="shared" ref="DW155:DW169" si="894">+CA155</f>
        <v>2.375E-2</v>
      </c>
      <c r="DX155" s="13">
        <f t="shared" ref="DX155:DX169" si="895">+CE155</f>
        <v>2.375E-2</v>
      </c>
      <c r="DY155" s="13">
        <f t="shared" ref="DY155:DY169" si="896">+CI155</f>
        <v>2.375E-2</v>
      </c>
      <c r="DZ155" s="13">
        <f t="shared" ref="DZ155:DZ169" si="897">+CM155</f>
        <v>2.375E-2</v>
      </c>
      <c r="EA155" s="568">
        <f t="shared" ref="EA155:EA161" si="898">CQ155</f>
        <v>2.375E-2</v>
      </c>
      <c r="EB155" s="568">
        <f t="shared" ref="EB155:EB161" si="899">CU155</f>
        <v>2.375E-2</v>
      </c>
      <c r="EC155" s="568">
        <f t="shared" ref="EC155:EC169" si="900">CY155</f>
        <v>2.375E-2</v>
      </c>
      <c r="ED155" s="1419">
        <f t="shared" ref="ED155:ED169" si="901">DC155</f>
        <v>2.375E-2</v>
      </c>
      <c r="EE155" s="21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13"/>
      <c r="FF155" s="13"/>
      <c r="FG155" s="13"/>
      <c r="FH155" s="13"/>
      <c r="FO155" s="7"/>
    </row>
    <row r="156" spans="1:171" ht="14.25" hidden="1" customHeight="1" outlineLevel="1">
      <c r="A156" s="7"/>
      <c r="B156" s="511" t="s">
        <v>116</v>
      </c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21"/>
      <c r="BI156" s="13"/>
      <c r="BJ156" s="13"/>
      <c r="BK156" s="231"/>
      <c r="BL156" s="13"/>
      <c r="BM156" s="13"/>
      <c r="BN156" s="13"/>
      <c r="BO156" s="13"/>
      <c r="BP156" s="21"/>
      <c r="BQ156" s="13"/>
      <c r="BR156" s="13"/>
      <c r="BS156" s="231"/>
      <c r="BT156" s="500">
        <v>3.125E-2</v>
      </c>
      <c r="BU156" s="481">
        <f t="shared" ref="BU156:BV160" si="902">+BT156</f>
        <v>3.125E-2</v>
      </c>
      <c r="BV156" s="481">
        <f t="shared" si="902"/>
        <v>3.125E-2</v>
      </c>
      <c r="BW156" s="482">
        <f t="shared" ref="BW156:CI160" si="903">+BV156</f>
        <v>3.125E-2</v>
      </c>
      <c r="BX156" s="480">
        <f t="shared" si="903"/>
        <v>3.125E-2</v>
      </c>
      <c r="BY156" s="481">
        <f t="shared" si="903"/>
        <v>3.125E-2</v>
      </c>
      <c r="BZ156" s="481">
        <f t="shared" si="903"/>
        <v>3.125E-2</v>
      </c>
      <c r="CA156" s="482">
        <f t="shared" si="903"/>
        <v>3.125E-2</v>
      </c>
      <c r="CB156" s="480">
        <f t="shared" si="903"/>
        <v>3.125E-2</v>
      </c>
      <c r="CC156" s="481">
        <f t="shared" si="903"/>
        <v>3.125E-2</v>
      </c>
      <c r="CD156" s="481">
        <f t="shared" si="873"/>
        <v>3.125E-2</v>
      </c>
      <c r="CE156" s="482">
        <f t="shared" si="874"/>
        <v>3.125E-2</v>
      </c>
      <c r="CF156" s="480">
        <f t="shared" si="903"/>
        <v>3.125E-2</v>
      </c>
      <c r="CG156" s="481">
        <f t="shared" si="903"/>
        <v>3.125E-2</v>
      </c>
      <c r="CH156" s="481">
        <f t="shared" si="903"/>
        <v>3.125E-2</v>
      </c>
      <c r="CI156" s="482">
        <f t="shared" si="903"/>
        <v>3.125E-2</v>
      </c>
      <c r="CJ156" s="480">
        <f t="shared" si="875"/>
        <v>3.125E-2</v>
      </c>
      <c r="CK156" s="481">
        <f t="shared" si="876"/>
        <v>3.125E-2</v>
      </c>
      <c r="CL156" s="481">
        <f t="shared" si="877"/>
        <v>3.125E-2</v>
      </c>
      <c r="CM156" s="482">
        <f t="shared" si="877"/>
        <v>3.125E-2</v>
      </c>
      <c r="CN156" s="481">
        <f t="shared" si="878"/>
        <v>3.125E-2</v>
      </c>
      <c r="CO156" s="1270">
        <f t="shared" si="878"/>
        <v>3.125E-2</v>
      </c>
      <c r="CP156" s="481">
        <f t="shared" si="879"/>
        <v>3.125E-2</v>
      </c>
      <c r="CQ156" s="482">
        <f t="shared" si="880"/>
        <v>3.125E-2</v>
      </c>
      <c r="CR156" s="481">
        <f t="shared" si="881"/>
        <v>3.125E-2</v>
      </c>
      <c r="CS156" s="481">
        <f t="shared" si="882"/>
        <v>3.125E-2</v>
      </c>
      <c r="CT156" s="481">
        <f t="shared" si="883"/>
        <v>3.125E-2</v>
      </c>
      <c r="CU156" s="482">
        <f t="shared" si="884"/>
        <v>3.125E-2</v>
      </c>
      <c r="CV156" s="481">
        <f t="shared" si="885"/>
        <v>3.125E-2</v>
      </c>
      <c r="CW156" s="481">
        <f t="shared" si="886"/>
        <v>3.125E-2</v>
      </c>
      <c r="CX156" s="481">
        <f t="shared" si="887"/>
        <v>3.125E-2</v>
      </c>
      <c r="CY156" s="482">
        <f t="shared" si="888"/>
        <v>3.125E-2</v>
      </c>
      <c r="CZ156" s="481">
        <f t="shared" si="889"/>
        <v>3.125E-2</v>
      </c>
      <c r="DA156" s="481">
        <f t="shared" si="890"/>
        <v>3.125E-2</v>
      </c>
      <c r="DB156" s="481">
        <f t="shared" si="891"/>
        <v>3.125E-2</v>
      </c>
      <c r="DC156" s="482">
        <f t="shared" si="892"/>
        <v>3.125E-2</v>
      </c>
      <c r="DD156" s="231"/>
      <c r="DE156" s="21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568"/>
      <c r="DU156" s="13"/>
      <c r="DV156" s="13">
        <f t="shared" si="893"/>
        <v>3.125E-2</v>
      </c>
      <c r="DW156" s="13">
        <f t="shared" si="894"/>
        <v>3.125E-2</v>
      </c>
      <c r="DX156" s="13">
        <f t="shared" si="895"/>
        <v>3.125E-2</v>
      </c>
      <c r="DY156" s="13">
        <f t="shared" si="896"/>
        <v>3.125E-2</v>
      </c>
      <c r="DZ156" s="13">
        <f t="shared" si="897"/>
        <v>3.125E-2</v>
      </c>
      <c r="EA156" s="568">
        <f t="shared" si="898"/>
        <v>3.125E-2</v>
      </c>
      <c r="EB156" s="568">
        <f t="shared" si="899"/>
        <v>3.125E-2</v>
      </c>
      <c r="EC156" s="568">
        <f t="shared" si="900"/>
        <v>3.125E-2</v>
      </c>
      <c r="ED156" s="1419">
        <f t="shared" si="901"/>
        <v>3.125E-2</v>
      </c>
      <c r="EE156" s="21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13"/>
      <c r="FF156" s="13"/>
      <c r="FG156" s="13"/>
      <c r="FH156" s="13"/>
      <c r="FO156" s="7"/>
    </row>
    <row r="157" spans="1:171" ht="14.25" hidden="1" customHeight="1" outlineLevel="1">
      <c r="A157" s="7"/>
      <c r="B157" s="511" t="s">
        <v>117</v>
      </c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21"/>
      <c r="BI157" s="13"/>
      <c r="BJ157" s="13"/>
      <c r="BK157" s="231"/>
      <c r="BL157" s="13"/>
      <c r="BM157" s="13"/>
      <c r="BN157" s="13"/>
      <c r="BO157" s="13"/>
      <c r="BP157" s="21"/>
      <c r="BQ157" s="13"/>
      <c r="BR157" s="13"/>
      <c r="BS157" s="231"/>
      <c r="BT157" s="500">
        <v>1.4999999999999999E-2</v>
      </c>
      <c r="BU157" s="481">
        <f t="shared" si="902"/>
        <v>1.4999999999999999E-2</v>
      </c>
      <c r="BV157" s="481">
        <f t="shared" si="902"/>
        <v>1.4999999999999999E-2</v>
      </c>
      <c r="BW157" s="482">
        <f t="shared" si="903"/>
        <v>1.4999999999999999E-2</v>
      </c>
      <c r="BX157" s="480">
        <f t="shared" si="903"/>
        <v>1.4999999999999999E-2</v>
      </c>
      <c r="BY157" s="481">
        <f t="shared" si="903"/>
        <v>1.4999999999999999E-2</v>
      </c>
      <c r="BZ157" s="481">
        <f t="shared" si="903"/>
        <v>1.4999999999999999E-2</v>
      </c>
      <c r="CA157" s="482">
        <f t="shared" si="903"/>
        <v>1.4999999999999999E-2</v>
      </c>
      <c r="CB157" s="480">
        <f t="shared" si="903"/>
        <v>1.4999999999999999E-2</v>
      </c>
      <c r="CC157" s="481">
        <f t="shared" si="903"/>
        <v>1.4999999999999999E-2</v>
      </c>
      <c r="CD157" s="481">
        <f t="shared" si="873"/>
        <v>1.4999999999999999E-2</v>
      </c>
      <c r="CE157" s="482">
        <f t="shared" si="874"/>
        <v>1.4999999999999999E-2</v>
      </c>
      <c r="CF157" s="480">
        <f t="shared" si="903"/>
        <v>1.4999999999999999E-2</v>
      </c>
      <c r="CG157" s="481">
        <f t="shared" si="903"/>
        <v>1.4999999999999999E-2</v>
      </c>
      <c r="CH157" s="481">
        <f t="shared" si="903"/>
        <v>1.4999999999999999E-2</v>
      </c>
      <c r="CI157" s="482">
        <f t="shared" si="903"/>
        <v>1.4999999999999999E-2</v>
      </c>
      <c r="CJ157" s="480">
        <f t="shared" si="875"/>
        <v>1.4999999999999999E-2</v>
      </c>
      <c r="CK157" s="481">
        <f t="shared" si="876"/>
        <v>1.4999999999999999E-2</v>
      </c>
      <c r="CL157" s="481">
        <f t="shared" si="877"/>
        <v>1.4999999999999999E-2</v>
      </c>
      <c r="CM157" s="482">
        <f t="shared" si="877"/>
        <v>1.4999999999999999E-2</v>
      </c>
      <c r="CN157" s="481">
        <f t="shared" si="878"/>
        <v>1.4999999999999999E-2</v>
      </c>
      <c r="CO157" s="1270">
        <f t="shared" si="878"/>
        <v>1.4999999999999999E-2</v>
      </c>
      <c r="CP157" s="481">
        <f t="shared" si="879"/>
        <v>1.4999999999999999E-2</v>
      </c>
      <c r="CQ157" s="482">
        <f t="shared" si="880"/>
        <v>1.4999999999999999E-2</v>
      </c>
      <c r="CR157" s="481">
        <f t="shared" si="881"/>
        <v>1.4999999999999999E-2</v>
      </c>
      <c r="CS157" s="481">
        <f t="shared" si="882"/>
        <v>1.4999999999999999E-2</v>
      </c>
      <c r="CT157" s="481">
        <f t="shared" si="883"/>
        <v>1.4999999999999999E-2</v>
      </c>
      <c r="CU157" s="482">
        <f t="shared" si="884"/>
        <v>1.4999999999999999E-2</v>
      </c>
      <c r="CV157" s="481">
        <f t="shared" si="885"/>
        <v>1.4999999999999999E-2</v>
      </c>
      <c r="CW157" s="481">
        <f t="shared" si="886"/>
        <v>1.4999999999999999E-2</v>
      </c>
      <c r="CX157" s="481">
        <f t="shared" si="887"/>
        <v>1.4999999999999999E-2</v>
      </c>
      <c r="CY157" s="482">
        <f t="shared" si="888"/>
        <v>1.4999999999999999E-2</v>
      </c>
      <c r="CZ157" s="481">
        <f t="shared" si="889"/>
        <v>1.4999999999999999E-2</v>
      </c>
      <c r="DA157" s="481">
        <f t="shared" si="890"/>
        <v>1.4999999999999999E-2</v>
      </c>
      <c r="DB157" s="481">
        <f t="shared" si="891"/>
        <v>1.4999999999999999E-2</v>
      </c>
      <c r="DC157" s="482">
        <f t="shared" si="892"/>
        <v>1.4999999999999999E-2</v>
      </c>
      <c r="DD157" s="231"/>
      <c r="DE157" s="21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568"/>
      <c r="DU157" s="13"/>
      <c r="DV157" s="13">
        <f t="shared" si="893"/>
        <v>1.4999999999999999E-2</v>
      </c>
      <c r="DW157" s="13">
        <f t="shared" si="894"/>
        <v>1.4999999999999999E-2</v>
      </c>
      <c r="DX157" s="13">
        <f t="shared" si="895"/>
        <v>1.4999999999999999E-2</v>
      </c>
      <c r="DY157" s="13">
        <f t="shared" si="896"/>
        <v>1.4999999999999999E-2</v>
      </c>
      <c r="DZ157" s="13">
        <f t="shared" si="897"/>
        <v>1.4999999999999999E-2</v>
      </c>
      <c r="EA157" s="568">
        <f t="shared" si="898"/>
        <v>1.4999999999999999E-2</v>
      </c>
      <c r="EB157" s="568">
        <f t="shared" si="899"/>
        <v>1.4999999999999999E-2</v>
      </c>
      <c r="EC157" s="568">
        <f t="shared" si="900"/>
        <v>1.4999999999999999E-2</v>
      </c>
      <c r="ED157" s="1419">
        <f t="shared" si="901"/>
        <v>1.4999999999999999E-2</v>
      </c>
      <c r="EE157" s="21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13"/>
      <c r="FF157" s="13"/>
      <c r="FG157" s="13"/>
      <c r="FH157" s="13"/>
      <c r="FO157" s="7"/>
    </row>
    <row r="158" spans="1:171" ht="14.25" hidden="1" customHeight="1" outlineLevel="1">
      <c r="A158" s="7"/>
      <c r="B158" s="511" t="s">
        <v>118</v>
      </c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21"/>
      <c r="BI158" s="13"/>
      <c r="BJ158" s="13"/>
      <c r="BK158" s="231"/>
      <c r="BL158" s="13"/>
      <c r="BM158" s="13"/>
      <c r="BN158" s="13"/>
      <c r="BO158" s="13"/>
      <c r="BP158" s="21"/>
      <c r="BQ158" s="13"/>
      <c r="BR158" s="13"/>
      <c r="BS158" s="231"/>
      <c r="BT158" s="500">
        <v>1.8749999999999999E-2</v>
      </c>
      <c r="BU158" s="481">
        <f t="shared" si="902"/>
        <v>1.8749999999999999E-2</v>
      </c>
      <c r="BV158" s="481">
        <f t="shared" si="902"/>
        <v>1.8749999999999999E-2</v>
      </c>
      <c r="BW158" s="482">
        <f t="shared" si="903"/>
        <v>1.8749999999999999E-2</v>
      </c>
      <c r="BX158" s="480">
        <f t="shared" si="903"/>
        <v>1.8749999999999999E-2</v>
      </c>
      <c r="BY158" s="481">
        <f t="shared" si="903"/>
        <v>1.8749999999999999E-2</v>
      </c>
      <c r="BZ158" s="481">
        <f t="shared" si="903"/>
        <v>1.8749999999999999E-2</v>
      </c>
      <c r="CA158" s="482">
        <f t="shared" si="903"/>
        <v>1.8749999999999999E-2</v>
      </c>
      <c r="CB158" s="480">
        <f t="shared" si="903"/>
        <v>1.8749999999999999E-2</v>
      </c>
      <c r="CC158" s="481">
        <f t="shared" si="903"/>
        <v>1.8749999999999999E-2</v>
      </c>
      <c r="CD158" s="481">
        <f t="shared" si="873"/>
        <v>1.8749999999999999E-2</v>
      </c>
      <c r="CE158" s="482">
        <f t="shared" si="874"/>
        <v>1.8749999999999999E-2</v>
      </c>
      <c r="CF158" s="480">
        <f t="shared" si="903"/>
        <v>1.8749999999999999E-2</v>
      </c>
      <c r="CG158" s="481">
        <f t="shared" si="903"/>
        <v>1.8749999999999999E-2</v>
      </c>
      <c r="CH158" s="481">
        <f t="shared" si="903"/>
        <v>1.8749999999999999E-2</v>
      </c>
      <c r="CI158" s="482">
        <f t="shared" si="903"/>
        <v>1.8749999999999999E-2</v>
      </c>
      <c r="CJ158" s="480">
        <f t="shared" si="875"/>
        <v>1.8749999999999999E-2</v>
      </c>
      <c r="CK158" s="481">
        <f t="shared" si="876"/>
        <v>1.8749999999999999E-2</v>
      </c>
      <c r="CL158" s="481">
        <f t="shared" si="877"/>
        <v>1.8749999999999999E-2</v>
      </c>
      <c r="CM158" s="482">
        <f t="shared" si="877"/>
        <v>1.8749999999999999E-2</v>
      </c>
      <c r="CN158" s="481">
        <f t="shared" si="878"/>
        <v>1.8749999999999999E-2</v>
      </c>
      <c r="CO158" s="1270">
        <f t="shared" si="878"/>
        <v>1.8749999999999999E-2</v>
      </c>
      <c r="CP158" s="481">
        <f t="shared" si="879"/>
        <v>1.8749999999999999E-2</v>
      </c>
      <c r="CQ158" s="482">
        <f t="shared" si="880"/>
        <v>1.8749999999999999E-2</v>
      </c>
      <c r="CR158" s="481">
        <f t="shared" si="881"/>
        <v>1.8749999999999999E-2</v>
      </c>
      <c r="CS158" s="481">
        <f t="shared" si="882"/>
        <v>1.8749999999999999E-2</v>
      </c>
      <c r="CT158" s="481">
        <f t="shared" si="883"/>
        <v>1.8749999999999999E-2</v>
      </c>
      <c r="CU158" s="482">
        <f t="shared" si="884"/>
        <v>1.8749999999999999E-2</v>
      </c>
      <c r="CV158" s="481">
        <f t="shared" si="885"/>
        <v>1.8749999999999999E-2</v>
      </c>
      <c r="CW158" s="481">
        <f t="shared" si="886"/>
        <v>1.8749999999999999E-2</v>
      </c>
      <c r="CX158" s="481">
        <f t="shared" si="887"/>
        <v>1.8749999999999999E-2</v>
      </c>
      <c r="CY158" s="482">
        <f t="shared" si="888"/>
        <v>1.8749999999999999E-2</v>
      </c>
      <c r="CZ158" s="481">
        <f t="shared" si="889"/>
        <v>1.8749999999999999E-2</v>
      </c>
      <c r="DA158" s="481">
        <f t="shared" si="890"/>
        <v>1.8749999999999999E-2</v>
      </c>
      <c r="DB158" s="481">
        <f t="shared" si="891"/>
        <v>1.8749999999999999E-2</v>
      </c>
      <c r="DC158" s="482">
        <f t="shared" si="892"/>
        <v>1.8749999999999999E-2</v>
      </c>
      <c r="DD158" s="231"/>
      <c r="DE158" s="21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568"/>
      <c r="DU158" s="13"/>
      <c r="DV158" s="13">
        <f t="shared" si="893"/>
        <v>1.8749999999999999E-2</v>
      </c>
      <c r="DW158" s="13">
        <f t="shared" si="894"/>
        <v>1.8749999999999999E-2</v>
      </c>
      <c r="DX158" s="13">
        <f t="shared" si="895"/>
        <v>1.8749999999999999E-2</v>
      </c>
      <c r="DY158" s="13">
        <f t="shared" si="896"/>
        <v>1.8749999999999999E-2</v>
      </c>
      <c r="DZ158" s="13">
        <f t="shared" si="897"/>
        <v>1.8749999999999999E-2</v>
      </c>
      <c r="EA158" s="568">
        <f t="shared" si="898"/>
        <v>1.8749999999999999E-2</v>
      </c>
      <c r="EB158" s="568">
        <f t="shared" si="899"/>
        <v>1.8749999999999999E-2</v>
      </c>
      <c r="EC158" s="568">
        <f t="shared" si="900"/>
        <v>1.8749999999999999E-2</v>
      </c>
      <c r="ED158" s="1419">
        <f t="shared" si="901"/>
        <v>1.8749999999999999E-2</v>
      </c>
      <c r="EE158" s="21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13"/>
      <c r="FF158" s="13"/>
      <c r="FG158" s="13"/>
      <c r="FH158" s="13"/>
      <c r="FO158" s="7"/>
    </row>
    <row r="159" spans="1:171" ht="14.25" hidden="1" customHeight="1" outlineLevel="1">
      <c r="A159" s="7"/>
      <c r="B159" s="511" t="s">
        <v>119</v>
      </c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21"/>
      <c r="BI159" s="13"/>
      <c r="BJ159" s="13"/>
      <c r="BK159" s="231"/>
      <c r="BL159" s="13"/>
      <c r="BM159" s="13"/>
      <c r="BN159" s="13"/>
      <c r="BO159" s="13"/>
      <c r="BP159" s="21"/>
      <c r="BQ159" s="13"/>
      <c r="BR159" s="13"/>
      <c r="BS159" s="231"/>
      <c r="BT159" s="500">
        <v>1.8749999999999999E-2</v>
      </c>
      <c r="BU159" s="481">
        <f t="shared" si="902"/>
        <v>1.8749999999999999E-2</v>
      </c>
      <c r="BV159" s="481">
        <f t="shared" si="902"/>
        <v>1.8749999999999999E-2</v>
      </c>
      <c r="BW159" s="482">
        <f t="shared" si="903"/>
        <v>1.8749999999999999E-2</v>
      </c>
      <c r="BX159" s="480">
        <f t="shared" si="903"/>
        <v>1.8749999999999999E-2</v>
      </c>
      <c r="BY159" s="481">
        <f t="shared" si="903"/>
        <v>1.8749999999999999E-2</v>
      </c>
      <c r="BZ159" s="481">
        <f t="shared" si="903"/>
        <v>1.8749999999999999E-2</v>
      </c>
      <c r="CA159" s="482">
        <f t="shared" si="903"/>
        <v>1.8749999999999999E-2</v>
      </c>
      <c r="CB159" s="480">
        <f t="shared" si="903"/>
        <v>1.8749999999999999E-2</v>
      </c>
      <c r="CC159" s="481">
        <f t="shared" si="903"/>
        <v>1.8749999999999999E-2</v>
      </c>
      <c r="CD159" s="481">
        <f t="shared" si="873"/>
        <v>1.8749999999999999E-2</v>
      </c>
      <c r="CE159" s="482">
        <f t="shared" si="874"/>
        <v>1.8749999999999999E-2</v>
      </c>
      <c r="CF159" s="480">
        <f t="shared" si="903"/>
        <v>1.8749999999999999E-2</v>
      </c>
      <c r="CG159" s="481">
        <f t="shared" si="903"/>
        <v>1.8749999999999999E-2</v>
      </c>
      <c r="CH159" s="481">
        <f t="shared" si="903"/>
        <v>1.8749999999999999E-2</v>
      </c>
      <c r="CI159" s="482">
        <f t="shared" si="903"/>
        <v>1.8749999999999999E-2</v>
      </c>
      <c r="CJ159" s="480">
        <f t="shared" si="875"/>
        <v>1.8749999999999999E-2</v>
      </c>
      <c r="CK159" s="481">
        <f t="shared" si="876"/>
        <v>1.8749999999999999E-2</v>
      </c>
      <c r="CL159" s="481">
        <f t="shared" si="877"/>
        <v>1.8749999999999999E-2</v>
      </c>
      <c r="CM159" s="482">
        <f t="shared" si="877"/>
        <v>1.8749999999999999E-2</v>
      </c>
      <c r="CN159" s="481">
        <f t="shared" si="878"/>
        <v>1.8749999999999999E-2</v>
      </c>
      <c r="CO159" s="1270">
        <f t="shared" si="878"/>
        <v>1.8749999999999999E-2</v>
      </c>
      <c r="CP159" s="481">
        <f t="shared" si="879"/>
        <v>1.8749999999999999E-2</v>
      </c>
      <c r="CQ159" s="482">
        <f t="shared" si="880"/>
        <v>1.8749999999999999E-2</v>
      </c>
      <c r="CR159" s="481">
        <f t="shared" si="881"/>
        <v>1.8749999999999999E-2</v>
      </c>
      <c r="CS159" s="481">
        <f t="shared" si="882"/>
        <v>1.8749999999999999E-2</v>
      </c>
      <c r="CT159" s="481">
        <f t="shared" si="883"/>
        <v>1.8749999999999999E-2</v>
      </c>
      <c r="CU159" s="482">
        <f t="shared" si="884"/>
        <v>1.8749999999999999E-2</v>
      </c>
      <c r="CV159" s="481">
        <f t="shared" si="885"/>
        <v>1.8749999999999999E-2</v>
      </c>
      <c r="CW159" s="481">
        <f t="shared" si="886"/>
        <v>1.8749999999999999E-2</v>
      </c>
      <c r="CX159" s="481">
        <f t="shared" si="887"/>
        <v>1.8749999999999999E-2</v>
      </c>
      <c r="CY159" s="482">
        <f t="shared" si="888"/>
        <v>1.8749999999999999E-2</v>
      </c>
      <c r="CZ159" s="481">
        <f t="shared" si="889"/>
        <v>1.8749999999999999E-2</v>
      </c>
      <c r="DA159" s="481">
        <f t="shared" si="890"/>
        <v>1.8749999999999999E-2</v>
      </c>
      <c r="DB159" s="481">
        <f t="shared" si="891"/>
        <v>1.8749999999999999E-2</v>
      </c>
      <c r="DC159" s="482">
        <f t="shared" si="892"/>
        <v>1.8749999999999999E-2</v>
      </c>
      <c r="DD159" s="231"/>
      <c r="DE159" s="21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568"/>
      <c r="DU159" s="13"/>
      <c r="DV159" s="13">
        <f t="shared" si="893"/>
        <v>1.8749999999999999E-2</v>
      </c>
      <c r="DW159" s="13">
        <f t="shared" si="894"/>
        <v>1.8749999999999999E-2</v>
      </c>
      <c r="DX159" s="13">
        <f t="shared" si="895"/>
        <v>1.8749999999999999E-2</v>
      </c>
      <c r="DY159" s="13">
        <f t="shared" si="896"/>
        <v>1.8749999999999999E-2</v>
      </c>
      <c r="DZ159" s="13">
        <f t="shared" si="897"/>
        <v>1.8749999999999999E-2</v>
      </c>
      <c r="EA159" s="568">
        <f t="shared" si="898"/>
        <v>1.8749999999999999E-2</v>
      </c>
      <c r="EB159" s="568">
        <f t="shared" si="899"/>
        <v>1.8749999999999999E-2</v>
      </c>
      <c r="EC159" s="568">
        <f t="shared" si="900"/>
        <v>1.8749999999999999E-2</v>
      </c>
      <c r="ED159" s="1419">
        <f t="shared" si="901"/>
        <v>1.8749999999999999E-2</v>
      </c>
      <c r="EE159" s="21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13"/>
      <c r="FF159" s="13"/>
      <c r="FG159" s="13"/>
      <c r="FH159" s="13"/>
      <c r="FO159" s="7"/>
    </row>
    <row r="160" spans="1:171" ht="14.25" hidden="1" customHeight="1" outlineLevel="1">
      <c r="A160" s="7"/>
      <c r="B160" s="511" t="s">
        <v>120</v>
      </c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21"/>
      <c r="BI160" s="13"/>
      <c r="BJ160" s="13"/>
      <c r="BK160" s="231"/>
      <c r="BL160" s="13"/>
      <c r="BM160" s="13"/>
      <c r="BN160" s="13"/>
      <c r="BO160" s="13"/>
      <c r="BP160" s="21"/>
      <c r="BQ160" s="13"/>
      <c r="BR160" s="13"/>
      <c r="BS160" s="231"/>
      <c r="BT160" s="500">
        <v>1.8749999999999999E-2</v>
      </c>
      <c r="BU160" s="481">
        <f t="shared" si="902"/>
        <v>1.8749999999999999E-2</v>
      </c>
      <c r="BV160" s="481">
        <f t="shared" si="902"/>
        <v>1.8749999999999999E-2</v>
      </c>
      <c r="BW160" s="482">
        <f t="shared" si="903"/>
        <v>1.8749999999999999E-2</v>
      </c>
      <c r="BX160" s="480">
        <f t="shared" si="903"/>
        <v>1.8749999999999999E-2</v>
      </c>
      <c r="BY160" s="481">
        <f t="shared" si="903"/>
        <v>1.8749999999999999E-2</v>
      </c>
      <c r="BZ160" s="481">
        <f t="shared" si="903"/>
        <v>1.8749999999999999E-2</v>
      </c>
      <c r="CA160" s="482">
        <f t="shared" si="903"/>
        <v>1.8749999999999999E-2</v>
      </c>
      <c r="CB160" s="480">
        <f t="shared" si="903"/>
        <v>1.8749999999999999E-2</v>
      </c>
      <c r="CC160" s="481">
        <f t="shared" si="903"/>
        <v>1.8749999999999999E-2</v>
      </c>
      <c r="CD160" s="481">
        <f t="shared" si="873"/>
        <v>1.8749999999999999E-2</v>
      </c>
      <c r="CE160" s="482">
        <f t="shared" si="874"/>
        <v>1.8749999999999999E-2</v>
      </c>
      <c r="CF160" s="480">
        <f t="shared" si="903"/>
        <v>1.8749999999999999E-2</v>
      </c>
      <c r="CG160" s="481">
        <f t="shared" si="903"/>
        <v>1.8749999999999999E-2</v>
      </c>
      <c r="CH160" s="481">
        <f t="shared" si="903"/>
        <v>1.8749999999999999E-2</v>
      </c>
      <c r="CI160" s="482">
        <f t="shared" si="903"/>
        <v>1.8749999999999999E-2</v>
      </c>
      <c r="CJ160" s="480">
        <f t="shared" si="875"/>
        <v>1.8749999999999999E-2</v>
      </c>
      <c r="CK160" s="481">
        <f t="shared" si="876"/>
        <v>1.8749999999999999E-2</v>
      </c>
      <c r="CL160" s="481">
        <f t="shared" si="877"/>
        <v>1.8749999999999999E-2</v>
      </c>
      <c r="CM160" s="482">
        <f t="shared" si="877"/>
        <v>1.8749999999999999E-2</v>
      </c>
      <c r="CN160" s="481">
        <f t="shared" si="878"/>
        <v>1.8749999999999999E-2</v>
      </c>
      <c r="CO160" s="1270">
        <f t="shared" si="878"/>
        <v>1.8749999999999999E-2</v>
      </c>
      <c r="CP160" s="481">
        <f t="shared" si="879"/>
        <v>1.8749999999999999E-2</v>
      </c>
      <c r="CQ160" s="482">
        <f t="shared" si="880"/>
        <v>1.8749999999999999E-2</v>
      </c>
      <c r="CR160" s="481">
        <f t="shared" si="881"/>
        <v>1.8749999999999999E-2</v>
      </c>
      <c r="CS160" s="481">
        <f t="shared" si="882"/>
        <v>1.8749999999999999E-2</v>
      </c>
      <c r="CT160" s="481">
        <f t="shared" si="883"/>
        <v>1.8749999999999999E-2</v>
      </c>
      <c r="CU160" s="482">
        <f t="shared" si="884"/>
        <v>1.8749999999999999E-2</v>
      </c>
      <c r="CV160" s="481">
        <f t="shared" si="885"/>
        <v>1.8749999999999999E-2</v>
      </c>
      <c r="CW160" s="481">
        <f t="shared" si="886"/>
        <v>1.8749999999999999E-2</v>
      </c>
      <c r="CX160" s="481">
        <f t="shared" si="887"/>
        <v>1.8749999999999999E-2</v>
      </c>
      <c r="CY160" s="482">
        <f t="shared" si="888"/>
        <v>1.8749999999999999E-2</v>
      </c>
      <c r="CZ160" s="481">
        <f t="shared" si="889"/>
        <v>1.8749999999999999E-2</v>
      </c>
      <c r="DA160" s="481">
        <f t="shared" si="890"/>
        <v>1.8749999999999999E-2</v>
      </c>
      <c r="DB160" s="481">
        <f t="shared" si="891"/>
        <v>1.8749999999999999E-2</v>
      </c>
      <c r="DC160" s="482">
        <f t="shared" si="892"/>
        <v>1.8749999999999999E-2</v>
      </c>
      <c r="DD160" s="231"/>
      <c r="DE160" s="21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568"/>
      <c r="DU160" s="13"/>
      <c r="DV160" s="13">
        <f t="shared" si="893"/>
        <v>1.8749999999999999E-2</v>
      </c>
      <c r="DW160" s="13">
        <f t="shared" si="894"/>
        <v>1.8749999999999999E-2</v>
      </c>
      <c r="DX160" s="13">
        <f t="shared" si="895"/>
        <v>1.8749999999999999E-2</v>
      </c>
      <c r="DY160" s="13">
        <f t="shared" si="896"/>
        <v>1.8749999999999999E-2</v>
      </c>
      <c r="DZ160" s="13">
        <f t="shared" si="897"/>
        <v>1.8749999999999999E-2</v>
      </c>
      <c r="EA160" s="568">
        <f t="shared" si="898"/>
        <v>1.8749999999999999E-2</v>
      </c>
      <c r="EB160" s="568">
        <f t="shared" si="899"/>
        <v>1.8749999999999999E-2</v>
      </c>
      <c r="EC160" s="568">
        <f t="shared" si="900"/>
        <v>1.8749999999999999E-2</v>
      </c>
      <c r="ED160" s="1419">
        <f t="shared" si="901"/>
        <v>1.8749999999999999E-2</v>
      </c>
      <c r="EE160" s="21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13"/>
      <c r="FF160" s="13"/>
      <c r="FG160" s="13"/>
      <c r="FH160" s="13"/>
      <c r="FO160" s="7"/>
    </row>
    <row r="161" spans="1:171" s="324" customFormat="1" ht="14.25" hidden="1" customHeight="1" outlineLevel="1">
      <c r="A161" s="7"/>
      <c r="B161" s="511" t="s">
        <v>217</v>
      </c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21"/>
      <c r="BI161" s="13"/>
      <c r="BJ161" s="13"/>
      <c r="BK161" s="231"/>
      <c r="BL161" s="13"/>
      <c r="BM161" s="13"/>
      <c r="BN161" s="13"/>
      <c r="BO161" s="13"/>
      <c r="BP161" s="21"/>
      <c r="BQ161" s="13"/>
      <c r="BR161" s="13"/>
      <c r="BS161" s="231"/>
      <c r="BT161" s="500"/>
      <c r="BU161" s="481"/>
      <c r="BV161" s="481"/>
      <c r="BW161" s="702"/>
      <c r="BX161" s="705">
        <v>0</v>
      </c>
      <c r="BY161" s="481">
        <f t="shared" ref="BY161:CI161" si="904">+BX161</f>
        <v>0</v>
      </c>
      <c r="BZ161" s="481">
        <f t="shared" si="904"/>
        <v>0</v>
      </c>
      <c r="CA161" s="702">
        <f t="shared" si="904"/>
        <v>0</v>
      </c>
      <c r="CB161" s="480">
        <f t="shared" si="904"/>
        <v>0</v>
      </c>
      <c r="CC161" s="481">
        <f t="shared" si="904"/>
        <v>0</v>
      </c>
      <c r="CD161" s="481">
        <f t="shared" si="873"/>
        <v>0</v>
      </c>
      <c r="CE161" s="702">
        <f t="shared" si="874"/>
        <v>0</v>
      </c>
      <c r="CF161" s="480">
        <f t="shared" si="904"/>
        <v>0</v>
      </c>
      <c r="CG161" s="481">
        <f t="shared" si="904"/>
        <v>0</v>
      </c>
      <c r="CH161" s="481">
        <f t="shared" si="904"/>
        <v>0</v>
      </c>
      <c r="CI161" s="702">
        <f t="shared" si="904"/>
        <v>0</v>
      </c>
      <c r="CJ161" s="480">
        <f t="shared" si="875"/>
        <v>0</v>
      </c>
      <c r="CK161" s="481">
        <f t="shared" si="876"/>
        <v>0</v>
      </c>
      <c r="CL161" s="481">
        <f t="shared" si="877"/>
        <v>0</v>
      </c>
      <c r="CM161" s="702">
        <f t="shared" si="877"/>
        <v>0</v>
      </c>
      <c r="CN161" s="481">
        <f t="shared" si="878"/>
        <v>0</v>
      </c>
      <c r="CO161" s="1270">
        <f t="shared" si="878"/>
        <v>0</v>
      </c>
      <c r="CP161" s="481">
        <f t="shared" si="879"/>
        <v>0</v>
      </c>
      <c r="CQ161" s="482">
        <f t="shared" si="880"/>
        <v>0</v>
      </c>
      <c r="CR161" s="481">
        <f t="shared" si="881"/>
        <v>0</v>
      </c>
      <c r="CS161" s="481">
        <f t="shared" si="882"/>
        <v>0</v>
      </c>
      <c r="CT161" s="481">
        <f t="shared" si="883"/>
        <v>0</v>
      </c>
      <c r="CU161" s="482">
        <f t="shared" si="884"/>
        <v>0</v>
      </c>
      <c r="CV161" s="481">
        <f t="shared" si="885"/>
        <v>0</v>
      </c>
      <c r="CW161" s="481">
        <f t="shared" si="886"/>
        <v>0</v>
      </c>
      <c r="CX161" s="481">
        <f t="shared" si="887"/>
        <v>0</v>
      </c>
      <c r="CY161" s="482">
        <f t="shared" si="888"/>
        <v>0</v>
      </c>
      <c r="CZ161" s="481">
        <f t="shared" si="889"/>
        <v>0</v>
      </c>
      <c r="DA161" s="481">
        <f t="shared" si="890"/>
        <v>0</v>
      </c>
      <c r="DB161" s="481">
        <f t="shared" si="891"/>
        <v>0</v>
      </c>
      <c r="DC161" s="482">
        <f t="shared" si="892"/>
        <v>0</v>
      </c>
      <c r="DD161" s="231"/>
      <c r="DE161" s="21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568"/>
      <c r="DU161" s="13"/>
      <c r="DV161" s="13">
        <f t="shared" si="893"/>
        <v>0</v>
      </c>
      <c r="DW161" s="13">
        <f t="shared" si="894"/>
        <v>0</v>
      </c>
      <c r="DX161" s="13">
        <f t="shared" si="895"/>
        <v>0</v>
      </c>
      <c r="DY161" s="13">
        <f t="shared" si="896"/>
        <v>0</v>
      </c>
      <c r="DZ161" s="13">
        <f t="shared" si="897"/>
        <v>0</v>
      </c>
      <c r="EA161" s="568">
        <f t="shared" si="898"/>
        <v>0</v>
      </c>
      <c r="EB161" s="568">
        <f t="shared" si="899"/>
        <v>0</v>
      </c>
      <c r="EC161" s="568">
        <f t="shared" si="900"/>
        <v>0</v>
      </c>
      <c r="ED161" s="1419">
        <f t="shared" si="901"/>
        <v>0</v>
      </c>
      <c r="EE161" s="21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13"/>
      <c r="FF161" s="13"/>
      <c r="FG161" s="13"/>
      <c r="FH161" s="13"/>
      <c r="FI161"/>
      <c r="FJ161"/>
      <c r="FK161"/>
      <c r="FL161"/>
      <c r="FM161"/>
      <c r="FN161"/>
      <c r="FO161" s="7"/>
    </row>
    <row r="162" spans="1:171" s="324" customFormat="1" ht="14.25" hidden="1" customHeight="1" outlineLevel="1">
      <c r="A162" s="7"/>
      <c r="B162" s="511" t="s">
        <v>482</v>
      </c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21"/>
      <c r="BI162" s="13"/>
      <c r="BJ162" s="13"/>
      <c r="BK162" s="231"/>
      <c r="BL162" s="13"/>
      <c r="BM162" s="13"/>
      <c r="BN162" s="13"/>
      <c r="BO162" s="13"/>
      <c r="BP162" s="21"/>
      <c r="BQ162" s="13"/>
      <c r="BR162" s="13"/>
      <c r="BS162" s="231"/>
      <c r="BT162" s="500"/>
      <c r="BU162" s="481"/>
      <c r="BV162" s="481"/>
      <c r="BW162" s="702"/>
      <c r="BX162" s="705"/>
      <c r="BY162" s="481"/>
      <c r="BZ162" s="481"/>
      <c r="CA162" s="702"/>
      <c r="CB162" s="480"/>
      <c r="CC162" s="481"/>
      <c r="CD162" s="481"/>
      <c r="CE162" s="702"/>
      <c r="CF162" s="480">
        <v>5.2499999999999998E-2</v>
      </c>
      <c r="CG162" s="481">
        <v>5.2499999999999998E-2</v>
      </c>
      <c r="CH162" s="481">
        <v>5.2499999999999998E-2</v>
      </c>
      <c r="CI162" s="702">
        <v>5.2499999999999998E-2</v>
      </c>
      <c r="CJ162" s="480">
        <v>5.2499999999999998E-2</v>
      </c>
      <c r="CK162" s="481">
        <v>5.2499999999999998E-2</v>
      </c>
      <c r="CL162" s="481">
        <v>5.2499999999999998E-2</v>
      </c>
      <c r="CM162" s="702">
        <v>5.2499999999999998E-2</v>
      </c>
      <c r="CN162" s="481">
        <v>5.2499999999999998E-2</v>
      </c>
      <c r="CO162" s="1270">
        <v>5.2499999999999998E-2</v>
      </c>
      <c r="CP162" s="481">
        <v>5.2499999999999998E-2</v>
      </c>
      <c r="CQ162" s="482">
        <v>5.2499999999999998E-2</v>
      </c>
      <c r="CR162" s="481">
        <v>5.2499999999999998E-2</v>
      </c>
      <c r="CS162" s="481">
        <v>5.2499999999999998E-2</v>
      </c>
      <c r="CT162" s="481">
        <v>5.2499999999999998E-2</v>
      </c>
      <c r="CU162" s="482">
        <v>5.2499999999999998E-2</v>
      </c>
      <c r="CV162" s="481">
        <v>5.2499999999999998E-2</v>
      </c>
      <c r="CW162" s="481">
        <v>5.2499999999999998E-2</v>
      </c>
      <c r="CX162" s="481">
        <v>5.2499999999999998E-2</v>
      </c>
      <c r="CY162" s="482">
        <v>5.2499999999999998E-2</v>
      </c>
      <c r="CZ162" s="481">
        <v>5.2499999999999998E-2</v>
      </c>
      <c r="DA162" s="481">
        <v>5.2499999999999998E-2</v>
      </c>
      <c r="DB162" s="481">
        <v>5.2499999999999998E-2</v>
      </c>
      <c r="DC162" s="482">
        <v>5.2499999999999998E-2</v>
      </c>
      <c r="DD162" s="231"/>
      <c r="DE162" s="21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568"/>
      <c r="DU162" s="13"/>
      <c r="DV162" s="13"/>
      <c r="DW162" s="13"/>
      <c r="DX162" s="13"/>
      <c r="DY162" s="13">
        <v>5.2499999999999998E-2</v>
      </c>
      <c r="DZ162" s="13">
        <v>5.2499999999999998E-2</v>
      </c>
      <c r="EA162" s="568">
        <v>5.2499999999999998E-2</v>
      </c>
      <c r="EB162" s="568">
        <v>5.2499999999999998E-2</v>
      </c>
      <c r="EC162" s="568">
        <f t="shared" si="900"/>
        <v>5.2499999999999998E-2</v>
      </c>
      <c r="ED162" s="1419">
        <f t="shared" si="901"/>
        <v>5.2499999999999998E-2</v>
      </c>
      <c r="EE162" s="21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13"/>
      <c r="FF162" s="13"/>
      <c r="FG162" s="13"/>
      <c r="FH162" s="13"/>
      <c r="FI162"/>
      <c r="FJ162"/>
      <c r="FK162"/>
      <c r="FL162"/>
      <c r="FM162"/>
      <c r="FN162"/>
      <c r="FO162" s="7"/>
    </row>
    <row r="163" spans="1:171" s="324" customFormat="1" ht="14.25" hidden="1" customHeight="1" outlineLevel="1">
      <c r="A163" s="7"/>
      <c r="B163" s="511" t="s">
        <v>542</v>
      </c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21"/>
      <c r="BI163" s="13"/>
      <c r="BJ163" s="13"/>
      <c r="BK163" s="231"/>
      <c r="BL163" s="13"/>
      <c r="BM163" s="13"/>
      <c r="BN163" s="13"/>
      <c r="BO163" s="13"/>
      <c r="BP163" s="21"/>
      <c r="BQ163" s="13"/>
      <c r="BR163" s="13"/>
      <c r="BS163" s="231"/>
      <c r="BT163" s="500"/>
      <c r="BU163" s="481"/>
      <c r="BV163" s="481"/>
      <c r="BW163" s="702"/>
      <c r="BX163" s="705"/>
      <c r="BY163" s="481"/>
      <c r="BZ163" s="481"/>
      <c r="CA163" s="702"/>
      <c r="CB163" s="480"/>
      <c r="CC163" s="481"/>
      <c r="CD163" s="481"/>
      <c r="CE163" s="702"/>
      <c r="CF163" s="480">
        <v>5.2499999999999998E-2</v>
      </c>
      <c r="CG163" s="481">
        <v>5.2499999999999998E-2</v>
      </c>
      <c r="CH163" s="481">
        <v>5.2499999999999998E-2</v>
      </c>
      <c r="CI163" s="702">
        <v>5.2499999999999998E-2</v>
      </c>
      <c r="CJ163" s="480">
        <v>5.2499999999999998E-2</v>
      </c>
      <c r="CK163" s="481">
        <v>5.2499999999999998E-2</v>
      </c>
      <c r="CL163" s="481">
        <v>5.2499999999999998E-2</v>
      </c>
      <c r="CM163" s="702">
        <v>5.2499999999999998E-2</v>
      </c>
      <c r="CN163" s="481">
        <v>5.2499999999999998E-2</v>
      </c>
      <c r="CO163" s="1270">
        <v>5.2499999999999998E-2</v>
      </c>
      <c r="CP163" s="481">
        <v>5.2499999999999998E-2</v>
      </c>
      <c r="CQ163" s="482">
        <v>5.2499999999999998E-2</v>
      </c>
      <c r="CR163" s="481">
        <v>5.2499999999999998E-2</v>
      </c>
      <c r="CS163" s="481">
        <v>5.2499999999999998E-2</v>
      </c>
      <c r="CT163" s="481">
        <v>5.2499999999999998E-2</v>
      </c>
      <c r="CU163" s="482">
        <v>5.2499999999999998E-2</v>
      </c>
      <c r="CV163" s="481">
        <v>5.2499999999999998E-2</v>
      </c>
      <c r="CW163" s="481">
        <v>5.2499999999999998E-2</v>
      </c>
      <c r="CX163" s="481">
        <v>5.2499999999999998E-2</v>
      </c>
      <c r="CY163" s="482">
        <v>5.2499999999999998E-2</v>
      </c>
      <c r="CZ163" s="481">
        <v>5.2499999999999998E-2</v>
      </c>
      <c r="DA163" s="481">
        <v>5.2499999999999998E-2</v>
      </c>
      <c r="DB163" s="481">
        <v>5.2499999999999998E-2</v>
      </c>
      <c r="DC163" s="482">
        <v>5.2499999999999998E-2</v>
      </c>
      <c r="DD163" s="231"/>
      <c r="DE163" s="21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568"/>
      <c r="DU163" s="13"/>
      <c r="DV163" s="13"/>
      <c r="DW163" s="13"/>
      <c r="DX163" s="13"/>
      <c r="DY163" s="13">
        <v>5.2499999999999998E-2</v>
      </c>
      <c r="DZ163" s="13">
        <v>5.2499999999999998E-2</v>
      </c>
      <c r="EA163" s="568">
        <v>5.2499999999999998E-2</v>
      </c>
      <c r="EB163" s="568">
        <v>5.2499999999999998E-2</v>
      </c>
      <c r="EC163" s="568">
        <f t="shared" si="900"/>
        <v>5.2499999999999998E-2</v>
      </c>
      <c r="ED163" s="1419">
        <f t="shared" si="901"/>
        <v>5.2499999999999998E-2</v>
      </c>
      <c r="EE163" s="21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13"/>
      <c r="FF163" s="13"/>
      <c r="FG163" s="13"/>
      <c r="FH163" s="13"/>
      <c r="FI163"/>
      <c r="FJ163"/>
      <c r="FK163"/>
      <c r="FL163"/>
      <c r="FM163"/>
      <c r="FN163"/>
      <c r="FO163" s="7"/>
    </row>
    <row r="164" spans="1:171" s="324" customFormat="1" ht="14.25" hidden="1" customHeight="1" outlineLevel="1">
      <c r="A164" s="7"/>
      <c r="B164" s="511" t="s">
        <v>543</v>
      </c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21"/>
      <c r="BI164" s="13"/>
      <c r="BJ164" s="13"/>
      <c r="BK164" s="231"/>
      <c r="BL164" s="13"/>
      <c r="BM164" s="13"/>
      <c r="BN164" s="13"/>
      <c r="BO164" s="13"/>
      <c r="BP164" s="21"/>
      <c r="BQ164" s="13"/>
      <c r="BR164" s="13"/>
      <c r="BS164" s="231"/>
      <c r="BT164" s="500"/>
      <c r="BU164" s="481"/>
      <c r="BV164" s="481"/>
      <c r="BW164" s="702"/>
      <c r="BX164" s="705"/>
      <c r="BY164" s="481"/>
      <c r="BZ164" s="481"/>
      <c r="CA164" s="702"/>
      <c r="CB164" s="480"/>
      <c r="CC164" s="481"/>
      <c r="CD164" s="481"/>
      <c r="CE164" s="702"/>
      <c r="CF164" s="480">
        <v>5.6250000000000001E-2</v>
      </c>
      <c r="CG164" s="481">
        <v>5.6250000000000001E-2</v>
      </c>
      <c r="CH164" s="481">
        <v>5.6250000000000001E-2</v>
      </c>
      <c r="CI164" s="702">
        <v>5.6250000000000001E-2</v>
      </c>
      <c r="CJ164" s="480">
        <v>5.6250000000000001E-2</v>
      </c>
      <c r="CK164" s="481">
        <v>5.6250000000000001E-2</v>
      </c>
      <c r="CL164" s="481">
        <v>5.6250000000000001E-2</v>
      </c>
      <c r="CM164" s="702">
        <v>5.6250000000000001E-2</v>
      </c>
      <c r="CN164" s="481">
        <v>5.6250000000000001E-2</v>
      </c>
      <c r="CO164" s="1270">
        <v>5.6250000000000001E-2</v>
      </c>
      <c r="CP164" s="481">
        <v>5.6250000000000001E-2</v>
      </c>
      <c r="CQ164" s="482">
        <v>5.6250000000000001E-2</v>
      </c>
      <c r="CR164" s="481">
        <v>5.6250000000000001E-2</v>
      </c>
      <c r="CS164" s="481">
        <v>5.6250000000000001E-2</v>
      </c>
      <c r="CT164" s="481">
        <v>5.6250000000000001E-2</v>
      </c>
      <c r="CU164" s="482">
        <v>5.6250000000000001E-2</v>
      </c>
      <c r="CV164" s="481">
        <v>5.6250000000000001E-2</v>
      </c>
      <c r="CW164" s="481">
        <v>5.6250000000000001E-2</v>
      </c>
      <c r="CX164" s="481">
        <v>5.6250000000000001E-2</v>
      </c>
      <c r="CY164" s="482">
        <v>5.6250000000000001E-2</v>
      </c>
      <c r="CZ164" s="481">
        <v>5.6250000000000001E-2</v>
      </c>
      <c r="DA164" s="481">
        <v>5.6250000000000001E-2</v>
      </c>
      <c r="DB164" s="481">
        <v>5.6250000000000001E-2</v>
      </c>
      <c r="DC164" s="482">
        <v>5.6250000000000001E-2</v>
      </c>
      <c r="DD164" s="231"/>
      <c r="DE164" s="21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568"/>
      <c r="DU164" s="13"/>
      <c r="DV164" s="13"/>
      <c r="DW164" s="13"/>
      <c r="DX164" s="13"/>
      <c r="DY164" s="13">
        <v>5.6250000000000001E-2</v>
      </c>
      <c r="DZ164" s="13">
        <v>5.6250000000000001E-2</v>
      </c>
      <c r="EA164" s="568">
        <v>5.6250000000000001E-2</v>
      </c>
      <c r="EB164" s="568">
        <v>5.6250000000000001E-2</v>
      </c>
      <c r="EC164" s="568">
        <f t="shared" si="900"/>
        <v>5.6250000000000001E-2</v>
      </c>
      <c r="ED164" s="1419">
        <f t="shared" si="901"/>
        <v>5.6250000000000001E-2</v>
      </c>
      <c r="EE164" s="21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13"/>
      <c r="FF164" s="13"/>
      <c r="FG164" s="13"/>
      <c r="FH164" s="13"/>
      <c r="FI164"/>
      <c r="FJ164"/>
      <c r="FK164"/>
      <c r="FL164"/>
      <c r="FM164"/>
      <c r="FN164"/>
      <c r="FO164" s="7"/>
    </row>
    <row r="165" spans="1:171" s="324" customFormat="1" ht="14.25" hidden="1" customHeight="1" outlineLevel="1">
      <c r="A165" s="7"/>
      <c r="B165" s="634" t="s">
        <v>564</v>
      </c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21"/>
      <c r="BI165" s="13"/>
      <c r="BJ165" s="13"/>
      <c r="BK165" s="231"/>
      <c r="BL165" s="13"/>
      <c r="BM165" s="13"/>
      <c r="BN165" s="13"/>
      <c r="BO165" s="13"/>
      <c r="BP165" s="21"/>
      <c r="BQ165" s="13"/>
      <c r="BR165" s="13"/>
      <c r="BS165" s="231"/>
      <c r="BT165" s="500"/>
      <c r="BU165" s="481"/>
      <c r="BV165" s="481"/>
      <c r="BW165" s="702"/>
      <c r="BX165" s="705"/>
      <c r="BY165" s="481"/>
      <c r="BZ165" s="481"/>
      <c r="CA165" s="702"/>
      <c r="CB165" s="480"/>
      <c r="CC165" s="481"/>
      <c r="CD165" s="481"/>
      <c r="CE165" s="702"/>
      <c r="CF165" s="480"/>
      <c r="CG165" s="481"/>
      <c r="CH165" s="481"/>
      <c r="CI165" s="702"/>
      <c r="CJ165" s="480"/>
      <c r="CK165" s="481"/>
      <c r="CL165" s="481">
        <v>7.4999999999999997E-2</v>
      </c>
      <c r="CM165" s="702"/>
      <c r="CN165" s="481">
        <v>7.4999999999999997E-2</v>
      </c>
      <c r="CO165" s="1270">
        <v>7.4999999999999997E-2</v>
      </c>
      <c r="CP165" s="481">
        <v>7.4999999999999997E-2</v>
      </c>
      <c r="CQ165" s="482">
        <v>7.4999999999999997E-2</v>
      </c>
      <c r="CR165" s="481">
        <v>7.4999999999999997E-2</v>
      </c>
      <c r="CS165" s="481">
        <v>7.4999999999999997E-2</v>
      </c>
      <c r="CT165" s="481">
        <v>7.4999999999999997E-2</v>
      </c>
      <c r="CU165" s="482">
        <v>7.4999999999999997E-2</v>
      </c>
      <c r="CV165" s="481">
        <v>7.4999999999999997E-2</v>
      </c>
      <c r="CW165" s="481">
        <v>7.4999999999999997E-2</v>
      </c>
      <c r="CX165" s="481">
        <v>7.4999999999999997E-2</v>
      </c>
      <c r="CY165" s="482">
        <v>7.4999999999999997E-2</v>
      </c>
      <c r="CZ165" s="481">
        <v>7.4999999999999997E-2</v>
      </c>
      <c r="DA165" s="481">
        <v>7.4999999999999997E-2</v>
      </c>
      <c r="DB165" s="481">
        <v>7.4999999999999997E-2</v>
      </c>
      <c r="DC165" s="482">
        <v>7.4999999999999997E-2</v>
      </c>
      <c r="DD165" s="231"/>
      <c r="DE165" s="21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568"/>
      <c r="DU165" s="13"/>
      <c r="DV165" s="13"/>
      <c r="DW165" s="13"/>
      <c r="DX165" s="13"/>
      <c r="DY165" s="13"/>
      <c r="DZ165" s="13">
        <v>7.4999999999999997E-2</v>
      </c>
      <c r="EA165" s="568">
        <v>7.4999999999999997E-2</v>
      </c>
      <c r="EB165" s="568">
        <v>7.4999999999999997E-2</v>
      </c>
      <c r="EC165" s="568">
        <f t="shared" si="900"/>
        <v>7.4999999999999997E-2</v>
      </c>
      <c r="ED165" s="1419">
        <f t="shared" si="901"/>
        <v>7.4999999999999997E-2</v>
      </c>
      <c r="EE165" s="21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13"/>
      <c r="FF165" s="13"/>
      <c r="FG165" s="13"/>
      <c r="FH165" s="13"/>
      <c r="FI165"/>
      <c r="FJ165"/>
      <c r="FK165"/>
      <c r="FL165"/>
      <c r="FM165"/>
      <c r="FN165"/>
      <c r="FO165" s="7"/>
    </row>
    <row r="166" spans="1:171" s="324" customFormat="1" ht="14.25" hidden="1" customHeight="1" outlineLevel="1">
      <c r="A166" s="7"/>
      <c r="B166" s="634" t="s">
        <v>565</v>
      </c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21"/>
      <c r="BI166" s="13"/>
      <c r="BJ166" s="13"/>
      <c r="BK166" s="231"/>
      <c r="BL166" s="13"/>
      <c r="BM166" s="13"/>
      <c r="BN166" s="13"/>
      <c r="BO166" s="13"/>
      <c r="BP166" s="21"/>
      <c r="BQ166" s="13"/>
      <c r="BR166" s="13"/>
      <c r="BS166" s="231"/>
      <c r="BT166" s="500"/>
      <c r="BU166" s="481"/>
      <c r="BV166" s="481"/>
      <c r="BW166" s="702"/>
      <c r="BX166" s="705"/>
      <c r="BY166" s="481"/>
      <c r="BZ166" s="481"/>
      <c r="CA166" s="702"/>
      <c r="CB166" s="480"/>
      <c r="CC166" s="481"/>
      <c r="CD166" s="481"/>
      <c r="CE166" s="702"/>
      <c r="CF166" s="480"/>
      <c r="CG166" s="481"/>
      <c r="CH166" s="481"/>
      <c r="CI166" s="702"/>
      <c r="CJ166" s="480"/>
      <c r="CK166" s="481"/>
      <c r="CL166" s="481">
        <v>6.7500000000000004E-2</v>
      </c>
      <c r="CM166" s="702"/>
      <c r="CN166" s="481">
        <v>6.7500000000000004E-2</v>
      </c>
      <c r="CO166" s="1270">
        <v>6.7500000000000004E-2</v>
      </c>
      <c r="CP166" s="481">
        <v>6.7500000000000004E-2</v>
      </c>
      <c r="CQ166" s="482">
        <v>6.7500000000000004E-2</v>
      </c>
      <c r="CR166" s="481">
        <v>6.7500000000000004E-2</v>
      </c>
      <c r="CS166" s="481">
        <v>6.7500000000000004E-2</v>
      </c>
      <c r="CT166" s="481">
        <v>6.7500000000000004E-2</v>
      </c>
      <c r="CU166" s="482">
        <v>6.7500000000000004E-2</v>
      </c>
      <c r="CV166" s="481">
        <v>6.7500000000000004E-2</v>
      </c>
      <c r="CW166" s="481">
        <v>6.7500000000000004E-2</v>
      </c>
      <c r="CX166" s="481">
        <v>6.7500000000000004E-2</v>
      </c>
      <c r="CY166" s="482">
        <v>6.7500000000000004E-2</v>
      </c>
      <c r="CZ166" s="481">
        <v>6.7500000000000004E-2</v>
      </c>
      <c r="DA166" s="481">
        <v>6.7500000000000004E-2</v>
      </c>
      <c r="DB166" s="481">
        <v>6.7500000000000004E-2</v>
      </c>
      <c r="DC166" s="482">
        <v>6.7500000000000004E-2</v>
      </c>
      <c r="DD166" s="231"/>
      <c r="DE166" s="21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568"/>
      <c r="DU166" s="13"/>
      <c r="DV166" s="13"/>
      <c r="DW166" s="13"/>
      <c r="DX166" s="13"/>
      <c r="DY166" s="13"/>
      <c r="DZ166" s="13">
        <v>6.7500000000000004E-2</v>
      </c>
      <c r="EA166" s="568">
        <v>6.7500000000000004E-2</v>
      </c>
      <c r="EB166" s="568">
        <v>6.7500000000000004E-2</v>
      </c>
      <c r="EC166" s="568">
        <f t="shared" si="900"/>
        <v>6.7500000000000004E-2</v>
      </c>
      <c r="ED166" s="1419">
        <f t="shared" si="901"/>
        <v>6.7500000000000004E-2</v>
      </c>
      <c r="EE166" s="21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13"/>
      <c r="FF166" s="13"/>
      <c r="FG166" s="13"/>
      <c r="FH166" s="13"/>
      <c r="FI166"/>
      <c r="FJ166"/>
      <c r="FK166"/>
      <c r="FL166"/>
      <c r="FM166"/>
      <c r="FN166"/>
      <c r="FO166" s="7"/>
    </row>
    <row r="167" spans="1:171" s="324" customFormat="1" ht="14.25" hidden="1" customHeight="1" outlineLevel="1">
      <c r="A167" s="7"/>
      <c r="B167" s="511" t="s">
        <v>238</v>
      </c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21"/>
      <c r="BI167" s="13"/>
      <c r="BJ167" s="13"/>
      <c r="BK167" s="231"/>
      <c r="BL167" s="13"/>
      <c r="BM167" s="13"/>
      <c r="BN167" s="13"/>
      <c r="BO167" s="13"/>
      <c r="BP167" s="21"/>
      <c r="BQ167" s="13"/>
      <c r="BR167" s="13"/>
      <c r="BS167" s="231"/>
      <c r="BT167" s="500"/>
      <c r="BU167" s="481"/>
      <c r="BV167" s="481"/>
      <c r="BW167" s="702"/>
      <c r="BX167" s="500">
        <v>0.03</v>
      </c>
      <c r="BY167" s="481">
        <f>+BX167</f>
        <v>0.03</v>
      </c>
      <c r="BZ167" s="481">
        <f t="shared" ref="BZ167:CI168" si="905">+BY167</f>
        <v>0.03</v>
      </c>
      <c r="CA167" s="702">
        <f t="shared" si="905"/>
        <v>0.03</v>
      </c>
      <c r="CB167" s="480">
        <f t="shared" si="905"/>
        <v>0.03</v>
      </c>
      <c r="CC167" s="481">
        <f>+CB167</f>
        <v>0.03</v>
      </c>
      <c r="CD167" s="481">
        <f t="shared" si="873"/>
        <v>0.03</v>
      </c>
      <c r="CE167" s="702">
        <f t="shared" si="874"/>
        <v>0.03</v>
      </c>
      <c r="CF167" s="480">
        <f t="shared" si="905"/>
        <v>0.03</v>
      </c>
      <c r="CG167" s="481">
        <f t="shared" si="905"/>
        <v>0.03</v>
      </c>
      <c r="CH167" s="481">
        <f t="shared" si="905"/>
        <v>0.03</v>
      </c>
      <c r="CI167" s="702">
        <f t="shared" si="905"/>
        <v>0.03</v>
      </c>
      <c r="CJ167" s="480">
        <f t="shared" si="875"/>
        <v>0.03</v>
      </c>
      <c r="CK167" s="481">
        <f t="shared" si="876"/>
        <v>0.03</v>
      </c>
      <c r="CL167" s="481">
        <f t="shared" si="877"/>
        <v>0.03</v>
      </c>
      <c r="CM167" s="702">
        <f t="shared" si="877"/>
        <v>0.03</v>
      </c>
      <c r="CN167" s="481">
        <f t="shared" ref="CN167:CO168" si="906">+CM167</f>
        <v>0.03</v>
      </c>
      <c r="CO167" s="1270">
        <f t="shared" si="906"/>
        <v>0.03</v>
      </c>
      <c r="CP167" s="481">
        <f t="shared" ref="CP167:CP168" si="907">+CO167</f>
        <v>0.03</v>
      </c>
      <c r="CQ167" s="482">
        <f t="shared" ref="CQ167:CQ168" si="908">+CP167</f>
        <v>0.03</v>
      </c>
      <c r="CR167" s="481">
        <f t="shared" ref="CR167:CR168" si="909">+CQ167</f>
        <v>0.03</v>
      </c>
      <c r="CS167" s="481">
        <f t="shared" ref="CS167:CS168" si="910">+CR167</f>
        <v>0.03</v>
      </c>
      <c r="CT167" s="481">
        <f t="shared" ref="CT167:CT168" si="911">+CS167</f>
        <v>0.03</v>
      </c>
      <c r="CU167" s="482">
        <f t="shared" ref="CU167:CU168" si="912">+CT167</f>
        <v>0.03</v>
      </c>
      <c r="CV167" s="481">
        <f t="shared" ref="CV167:CV168" si="913">+CU167</f>
        <v>0.03</v>
      </c>
      <c r="CW167" s="481">
        <f t="shared" ref="CW167:CW168" si="914">+CV167</f>
        <v>0.03</v>
      </c>
      <c r="CX167" s="481">
        <f t="shared" ref="CX167:CX168" si="915">+CW167</f>
        <v>0.03</v>
      </c>
      <c r="CY167" s="482">
        <f t="shared" ref="CY167:CY168" si="916">+CX167</f>
        <v>0.03</v>
      </c>
      <c r="CZ167" s="481">
        <f t="shared" ref="CZ167:CZ168" si="917">+CY167</f>
        <v>0.03</v>
      </c>
      <c r="DA167" s="481">
        <f t="shared" ref="DA167:DA168" si="918">+CZ167</f>
        <v>0.03</v>
      </c>
      <c r="DB167" s="481">
        <f t="shared" ref="DB167:DB168" si="919">+DA167</f>
        <v>0.03</v>
      </c>
      <c r="DC167" s="482">
        <f t="shared" ref="DC167:DC168" si="920">+DB167</f>
        <v>0.03</v>
      </c>
      <c r="DD167" s="231"/>
      <c r="DE167" s="21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568"/>
      <c r="DU167" s="13"/>
      <c r="DV167" s="13">
        <f t="shared" si="893"/>
        <v>0</v>
      </c>
      <c r="DW167" s="13">
        <f t="shared" si="894"/>
        <v>0.03</v>
      </c>
      <c r="DX167" s="13">
        <f t="shared" si="895"/>
        <v>0.03</v>
      </c>
      <c r="DY167" s="13">
        <f t="shared" si="896"/>
        <v>0.03</v>
      </c>
      <c r="DZ167" s="13">
        <f t="shared" si="897"/>
        <v>0.03</v>
      </c>
      <c r="EA167" s="568">
        <f t="shared" ref="EA167:EA169" si="921">CQ167</f>
        <v>0.03</v>
      </c>
      <c r="EB167" s="568">
        <f t="shared" ref="EB167:EB169" si="922">CU167</f>
        <v>0.03</v>
      </c>
      <c r="EC167" s="568">
        <f t="shared" si="900"/>
        <v>0.03</v>
      </c>
      <c r="ED167" s="1419">
        <f t="shared" si="901"/>
        <v>0.03</v>
      </c>
      <c r="EE167" s="21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13"/>
      <c r="FF167" s="13"/>
      <c r="FG167" s="13"/>
      <c r="FH167" s="13"/>
      <c r="FI167"/>
      <c r="FJ167"/>
      <c r="FK167"/>
      <c r="FL167"/>
      <c r="FM167"/>
      <c r="FN167"/>
      <c r="FO167" s="7"/>
    </row>
    <row r="168" spans="1:171" s="324" customFormat="1" ht="14.25" hidden="1" customHeight="1" outlineLevel="1">
      <c r="A168" s="7"/>
      <c r="B168" s="511" t="s">
        <v>239</v>
      </c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21"/>
      <c r="BI168" s="13"/>
      <c r="BJ168" s="13"/>
      <c r="BK168" s="231"/>
      <c r="BL168" s="13"/>
      <c r="BM168" s="13"/>
      <c r="BN168" s="13"/>
      <c r="BO168" s="13"/>
      <c r="BP168" s="21"/>
      <c r="BQ168" s="13"/>
      <c r="BR168" s="13"/>
      <c r="BS168" s="231"/>
      <c r="BT168" s="500"/>
      <c r="BU168" s="481"/>
      <c r="BV168" s="481"/>
      <c r="BW168" s="702"/>
      <c r="BX168" s="500">
        <v>2.3800000000000002E-2</v>
      </c>
      <c r="BY168" s="481">
        <f>+BX168</f>
        <v>2.3800000000000002E-2</v>
      </c>
      <c r="BZ168" s="481">
        <f t="shared" si="905"/>
        <v>2.3800000000000002E-2</v>
      </c>
      <c r="CA168" s="702">
        <f t="shared" si="905"/>
        <v>2.3800000000000002E-2</v>
      </c>
      <c r="CB168" s="480">
        <f t="shared" si="905"/>
        <v>2.3800000000000002E-2</v>
      </c>
      <c r="CC168" s="481">
        <f>+CB168</f>
        <v>2.3800000000000002E-2</v>
      </c>
      <c r="CD168" s="481">
        <f t="shared" si="873"/>
        <v>2.3800000000000002E-2</v>
      </c>
      <c r="CE168" s="702">
        <f t="shared" si="874"/>
        <v>2.3800000000000002E-2</v>
      </c>
      <c r="CF168" s="480">
        <f t="shared" si="905"/>
        <v>2.3800000000000002E-2</v>
      </c>
      <c r="CG168" s="481">
        <f t="shared" si="905"/>
        <v>2.3800000000000002E-2</v>
      </c>
      <c r="CH168" s="481">
        <f t="shared" si="905"/>
        <v>2.3800000000000002E-2</v>
      </c>
      <c r="CI168" s="702">
        <f t="shared" si="905"/>
        <v>2.3800000000000002E-2</v>
      </c>
      <c r="CJ168" s="480">
        <f t="shared" si="875"/>
        <v>2.3800000000000002E-2</v>
      </c>
      <c r="CK168" s="481">
        <f t="shared" si="876"/>
        <v>2.3800000000000002E-2</v>
      </c>
      <c r="CL168" s="481">
        <f t="shared" si="877"/>
        <v>2.3800000000000002E-2</v>
      </c>
      <c r="CM168" s="702">
        <f t="shared" si="877"/>
        <v>2.3800000000000002E-2</v>
      </c>
      <c r="CN168" s="481">
        <f t="shared" si="906"/>
        <v>2.3800000000000002E-2</v>
      </c>
      <c r="CO168" s="1270">
        <f t="shared" si="906"/>
        <v>2.3800000000000002E-2</v>
      </c>
      <c r="CP168" s="481">
        <f t="shared" si="907"/>
        <v>2.3800000000000002E-2</v>
      </c>
      <c r="CQ168" s="482">
        <f t="shared" si="908"/>
        <v>2.3800000000000002E-2</v>
      </c>
      <c r="CR168" s="481">
        <f t="shared" si="909"/>
        <v>2.3800000000000002E-2</v>
      </c>
      <c r="CS168" s="481">
        <f t="shared" si="910"/>
        <v>2.3800000000000002E-2</v>
      </c>
      <c r="CT168" s="481">
        <f t="shared" si="911"/>
        <v>2.3800000000000002E-2</v>
      </c>
      <c r="CU168" s="482">
        <f t="shared" si="912"/>
        <v>2.3800000000000002E-2</v>
      </c>
      <c r="CV168" s="481">
        <f t="shared" si="913"/>
        <v>2.3800000000000002E-2</v>
      </c>
      <c r="CW168" s="481">
        <f t="shared" si="914"/>
        <v>2.3800000000000002E-2</v>
      </c>
      <c r="CX168" s="481">
        <f t="shared" si="915"/>
        <v>2.3800000000000002E-2</v>
      </c>
      <c r="CY168" s="482">
        <f t="shared" si="916"/>
        <v>2.3800000000000002E-2</v>
      </c>
      <c r="CZ168" s="481">
        <f t="shared" si="917"/>
        <v>2.3800000000000002E-2</v>
      </c>
      <c r="DA168" s="481">
        <f t="shared" si="918"/>
        <v>2.3800000000000002E-2</v>
      </c>
      <c r="DB168" s="481">
        <f t="shared" si="919"/>
        <v>2.3800000000000002E-2</v>
      </c>
      <c r="DC168" s="482">
        <f t="shared" si="920"/>
        <v>2.3800000000000002E-2</v>
      </c>
      <c r="DD168" s="231"/>
      <c r="DE168" s="21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568"/>
      <c r="DU168" s="13"/>
      <c r="DV168" s="13">
        <f t="shared" si="893"/>
        <v>0</v>
      </c>
      <c r="DW168" s="13">
        <f t="shared" si="894"/>
        <v>2.3800000000000002E-2</v>
      </c>
      <c r="DX168" s="13">
        <f t="shared" si="895"/>
        <v>2.3800000000000002E-2</v>
      </c>
      <c r="DY168" s="13">
        <f t="shared" si="896"/>
        <v>2.3800000000000002E-2</v>
      </c>
      <c r="DZ168" s="13">
        <f t="shared" si="897"/>
        <v>2.3800000000000002E-2</v>
      </c>
      <c r="EA168" s="568">
        <f t="shared" si="921"/>
        <v>2.3800000000000002E-2</v>
      </c>
      <c r="EB168" s="568">
        <f t="shared" si="922"/>
        <v>2.3800000000000002E-2</v>
      </c>
      <c r="EC168" s="568">
        <f t="shared" si="900"/>
        <v>2.3800000000000002E-2</v>
      </c>
      <c r="ED168" s="1419">
        <f t="shared" si="901"/>
        <v>2.3800000000000002E-2</v>
      </c>
      <c r="EE168" s="21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13"/>
      <c r="FF168" s="13"/>
      <c r="FG168" s="13"/>
      <c r="FH168" s="13"/>
      <c r="FI168"/>
      <c r="FJ168"/>
      <c r="FK168"/>
      <c r="FL168"/>
      <c r="FM168"/>
      <c r="FN168"/>
      <c r="FO168" s="7"/>
    </row>
    <row r="169" spans="1:171" ht="14.25" hidden="1" customHeight="1" outlineLevel="1">
      <c r="A169" s="7"/>
      <c r="B169" s="511" t="s">
        <v>126</v>
      </c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21"/>
      <c r="BI169" s="13"/>
      <c r="BJ169" s="13"/>
      <c r="BK169" s="231"/>
      <c r="BL169" s="13"/>
      <c r="BM169" s="13"/>
      <c r="BN169" s="13"/>
      <c r="BO169" s="13"/>
      <c r="BP169" s="21"/>
      <c r="BQ169" s="13"/>
      <c r="BR169" s="13"/>
      <c r="BS169" s="482">
        <f>+BS189</f>
        <v>6.0999999999999999E-2</v>
      </c>
      <c r="BT169" s="480">
        <f t="shared" ref="BT169:CI169" si="923">+BT189</f>
        <v>5.6000000000000001E-2</v>
      </c>
      <c r="BU169" s="481">
        <f>+BU189</f>
        <v>0.05</v>
      </c>
      <c r="BV169" s="481">
        <f t="shared" si="923"/>
        <v>0.05</v>
      </c>
      <c r="BW169" s="482">
        <f t="shared" si="923"/>
        <v>4.9000000000000002E-2</v>
      </c>
      <c r="BX169" s="480">
        <f>+BX189</f>
        <v>4.9000000000000002E-2</v>
      </c>
      <c r="BY169" s="481">
        <f t="shared" si="923"/>
        <v>4.7E-2</v>
      </c>
      <c r="BZ169" s="481">
        <f t="shared" si="923"/>
        <v>4.7E-2</v>
      </c>
      <c r="CA169" s="482">
        <f t="shared" si="923"/>
        <v>4.5999999999999999E-2</v>
      </c>
      <c r="CB169" s="480">
        <f t="shared" si="923"/>
        <v>4.5999999999999999E-2</v>
      </c>
      <c r="CC169" s="481">
        <f>+CC189</f>
        <v>4.7E-2</v>
      </c>
      <c r="CD169" s="481">
        <f>+CD189</f>
        <v>4.7E-2</v>
      </c>
      <c r="CE169" s="482">
        <f>+CE189</f>
        <v>4.7E-2</v>
      </c>
      <c r="CF169" s="480">
        <f t="shared" si="923"/>
        <v>4.7E-2</v>
      </c>
      <c r="CG169" s="481">
        <f t="shared" si="923"/>
        <v>4.7E-2</v>
      </c>
      <c r="CH169" s="481">
        <f t="shared" si="923"/>
        <v>4.7E-2</v>
      </c>
      <c r="CI169" s="482">
        <f t="shared" si="923"/>
        <v>4.7E-2</v>
      </c>
      <c r="CJ169" s="480">
        <f t="shared" ref="CJ169:CQ169" si="924">+CJ189</f>
        <v>4.7E-2</v>
      </c>
      <c r="CK169" s="481">
        <f t="shared" si="924"/>
        <v>4.7E-2</v>
      </c>
      <c r="CL169" s="481">
        <f t="shared" si="924"/>
        <v>4.7E-2</v>
      </c>
      <c r="CM169" s="482">
        <f t="shared" si="924"/>
        <v>4.7E-2</v>
      </c>
      <c r="CN169" s="481">
        <f t="shared" si="924"/>
        <v>4.7E-2</v>
      </c>
      <c r="CO169" s="1270">
        <f t="shared" si="924"/>
        <v>4.7E-2</v>
      </c>
      <c r="CP169" s="481">
        <f t="shared" si="924"/>
        <v>4.7E-2</v>
      </c>
      <c r="CQ169" s="482">
        <f t="shared" si="924"/>
        <v>4.7E-2</v>
      </c>
      <c r="CR169" s="481">
        <f t="shared" ref="CR169:CU169" si="925">+CR189</f>
        <v>4.7E-2</v>
      </c>
      <c r="CS169" s="481">
        <f t="shared" si="925"/>
        <v>4.7E-2</v>
      </c>
      <c r="CT169" s="481">
        <f t="shared" si="925"/>
        <v>4.7E-2</v>
      </c>
      <c r="CU169" s="482">
        <f t="shared" si="925"/>
        <v>4.7E-2</v>
      </c>
      <c r="CV169" s="481">
        <f t="shared" ref="CV169:CY169" si="926">+CV189</f>
        <v>4.7E-2</v>
      </c>
      <c r="CW169" s="481">
        <f t="shared" si="926"/>
        <v>4.7E-2</v>
      </c>
      <c r="CX169" s="481">
        <f t="shared" si="926"/>
        <v>4.7E-2</v>
      </c>
      <c r="CY169" s="482">
        <f t="shared" si="926"/>
        <v>4.7E-2</v>
      </c>
      <c r="CZ169" s="481">
        <f t="shared" ref="CZ169:DC169" si="927">+CZ189</f>
        <v>4.7E-2</v>
      </c>
      <c r="DA169" s="481">
        <f t="shared" si="927"/>
        <v>4.7E-2</v>
      </c>
      <c r="DB169" s="481">
        <f t="shared" si="927"/>
        <v>4.7E-2</v>
      </c>
      <c r="DC169" s="482">
        <f t="shared" si="927"/>
        <v>4.7E-2</v>
      </c>
      <c r="DD169" s="231"/>
      <c r="DE169" s="21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568"/>
      <c r="DU169" s="13"/>
      <c r="DV169" s="13">
        <f t="shared" si="893"/>
        <v>4.9000000000000002E-2</v>
      </c>
      <c r="DW169" s="13">
        <f t="shared" si="894"/>
        <v>4.5999999999999999E-2</v>
      </c>
      <c r="DX169" s="13">
        <f t="shared" si="895"/>
        <v>4.7E-2</v>
      </c>
      <c r="DY169" s="13">
        <f t="shared" si="896"/>
        <v>4.7E-2</v>
      </c>
      <c r="DZ169" s="13">
        <f t="shared" si="897"/>
        <v>4.7E-2</v>
      </c>
      <c r="EA169" s="568">
        <f t="shared" si="921"/>
        <v>4.7E-2</v>
      </c>
      <c r="EB169" s="568">
        <f t="shared" si="922"/>
        <v>4.7E-2</v>
      </c>
      <c r="EC169" s="568">
        <f t="shared" si="900"/>
        <v>4.7E-2</v>
      </c>
      <c r="ED169" s="1419">
        <f t="shared" si="901"/>
        <v>4.7E-2</v>
      </c>
      <c r="EE169" s="21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13"/>
      <c r="FF169" s="13"/>
      <c r="FG169" s="13"/>
      <c r="FH169" s="13"/>
      <c r="FO169" s="7"/>
    </row>
    <row r="170" spans="1:171" ht="14.25" hidden="1" customHeight="1" outlineLevel="1">
      <c r="A170" s="7"/>
      <c r="B170" s="511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21"/>
      <c r="BI170" s="13"/>
      <c r="BJ170" s="13"/>
      <c r="BK170" s="231"/>
      <c r="BL170" s="13"/>
      <c r="BM170" s="13"/>
      <c r="BN170" s="13"/>
      <c r="BO170" s="13"/>
      <c r="BP170" s="21"/>
      <c r="BQ170" s="13"/>
      <c r="BR170" s="13"/>
      <c r="BS170" s="482"/>
      <c r="BT170" s="480"/>
      <c r="BU170" s="481"/>
      <c r="BV170" s="481"/>
      <c r="BW170" s="482"/>
      <c r="BX170" s="480"/>
      <c r="BY170" s="481"/>
      <c r="BZ170" s="481"/>
      <c r="CA170" s="482"/>
      <c r="CB170" s="480"/>
      <c r="CC170" s="481"/>
      <c r="CD170" s="481"/>
      <c r="CE170" s="482"/>
      <c r="CF170" s="480"/>
      <c r="CG170" s="481"/>
      <c r="CH170" s="481"/>
      <c r="CI170" s="482"/>
      <c r="CJ170" s="480"/>
      <c r="CK170" s="481"/>
      <c r="CL170" s="481"/>
      <c r="CM170" s="482"/>
      <c r="CN170" s="481"/>
      <c r="CO170" s="1270"/>
      <c r="CP170" s="481"/>
      <c r="CQ170" s="482"/>
      <c r="CR170" s="481"/>
      <c r="CS170" s="481"/>
      <c r="CT170" s="481"/>
      <c r="CU170" s="482"/>
      <c r="CV170" s="481"/>
      <c r="CW170" s="481"/>
      <c r="CX170" s="481"/>
      <c r="CY170" s="482"/>
      <c r="CZ170" s="481"/>
      <c r="DA170" s="481"/>
      <c r="DB170" s="481"/>
      <c r="DC170" s="482"/>
      <c r="DD170" s="231"/>
      <c r="DE170" s="21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568"/>
      <c r="DU170" s="13"/>
      <c r="DV170" s="13"/>
      <c r="DW170" s="13"/>
      <c r="DX170" s="13"/>
      <c r="DY170" s="13"/>
      <c r="DZ170" s="13"/>
      <c r="EA170" s="568"/>
      <c r="EB170" s="568"/>
      <c r="EC170" s="568"/>
      <c r="ED170" s="1419"/>
      <c r="EE170" s="21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13"/>
      <c r="FF170" s="13"/>
      <c r="FG170" s="13"/>
      <c r="FH170" s="13"/>
      <c r="FO170" s="7"/>
    </row>
    <row r="171" spans="1:171" ht="14.25" hidden="1" customHeight="1" outlineLevel="1">
      <c r="A171" s="7"/>
      <c r="B171" s="511" t="s">
        <v>231</v>
      </c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21"/>
      <c r="BI171" s="13"/>
      <c r="BJ171" s="13"/>
      <c r="BK171" s="231"/>
      <c r="BL171" s="13"/>
      <c r="BM171" s="13"/>
      <c r="BN171" s="13"/>
      <c r="BO171" s="13"/>
      <c r="BP171" s="21"/>
      <c r="BQ171" s="13"/>
      <c r="BR171" s="13"/>
      <c r="BS171" s="482"/>
      <c r="BT171" s="480"/>
      <c r="BU171" s="481"/>
      <c r="BV171" s="481"/>
      <c r="BW171" s="576">
        <v>4.2000000000000003E-2</v>
      </c>
      <c r="BX171" s="480"/>
      <c r="BY171" s="481"/>
      <c r="BZ171" s="481"/>
      <c r="CA171" s="576"/>
      <c r="CB171" s="480"/>
      <c r="CC171" s="481"/>
      <c r="CD171" s="481"/>
      <c r="CE171" s="576"/>
      <c r="CF171" s="480"/>
      <c r="CG171" s="481"/>
      <c r="CH171" s="481"/>
      <c r="CI171" s="576"/>
      <c r="CJ171" s="480"/>
      <c r="CK171" s="481"/>
      <c r="CL171" s="481"/>
      <c r="CM171" s="576"/>
      <c r="CN171" s="481"/>
      <c r="CO171" s="1270"/>
      <c r="CP171" s="481"/>
      <c r="CQ171" s="482"/>
      <c r="CR171" s="481"/>
      <c r="CS171" s="481"/>
      <c r="CT171" s="481"/>
      <c r="CU171" s="482"/>
      <c r="CV171" s="481"/>
      <c r="CW171" s="481"/>
      <c r="CX171" s="481"/>
      <c r="CY171" s="482"/>
      <c r="CZ171" s="481"/>
      <c r="DA171" s="481"/>
      <c r="DB171" s="481"/>
      <c r="DC171" s="482"/>
      <c r="DD171" s="231"/>
      <c r="DE171" s="21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568"/>
      <c r="DU171" s="13"/>
      <c r="DV171" s="13"/>
      <c r="DW171" s="13"/>
      <c r="DX171" s="13"/>
      <c r="DY171" s="13"/>
      <c r="DZ171" s="13"/>
      <c r="EA171" s="568"/>
      <c r="EB171" s="568"/>
      <c r="EC171" s="568"/>
      <c r="ED171" s="1419"/>
      <c r="EE171" s="21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13"/>
      <c r="FF171" s="13"/>
      <c r="FG171" s="13"/>
      <c r="FH171" s="13"/>
      <c r="FO171" s="7"/>
    </row>
    <row r="172" spans="1:171" ht="14.25" hidden="1" customHeight="1" outlineLevel="1">
      <c r="A172" s="7"/>
      <c r="B172" s="511" t="s">
        <v>232</v>
      </c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21"/>
      <c r="BI172" s="13"/>
      <c r="BJ172" s="13"/>
      <c r="BK172" s="231"/>
      <c r="BL172" s="13"/>
      <c r="BM172" s="13"/>
      <c r="BN172" s="13"/>
      <c r="BO172" s="13"/>
      <c r="BP172" s="21"/>
      <c r="BQ172" s="13"/>
      <c r="BR172" s="13"/>
      <c r="BS172" s="482"/>
      <c r="BT172" s="480"/>
      <c r="BU172" s="481"/>
      <c r="BV172" s="481"/>
      <c r="BW172" s="576">
        <v>5.3999999999999999E-2</v>
      </c>
      <c r="BX172" s="480"/>
      <c r="BY172" s="481"/>
      <c r="BZ172" s="481"/>
      <c r="CA172" s="576"/>
      <c r="CB172" s="480"/>
      <c r="CC172" s="481"/>
      <c r="CD172" s="481"/>
      <c r="CE172" s="576"/>
      <c r="CF172" s="480"/>
      <c r="CG172" s="481"/>
      <c r="CH172" s="481"/>
      <c r="CI172" s="576"/>
      <c r="CJ172" s="480"/>
      <c r="CK172" s="481"/>
      <c r="CL172" s="481"/>
      <c r="CM172" s="576"/>
      <c r="CN172" s="481"/>
      <c r="CO172" s="1270"/>
      <c r="CP172" s="481"/>
      <c r="CQ172" s="482"/>
      <c r="CR172" s="481"/>
      <c r="CS172" s="481"/>
      <c r="CT172" s="481"/>
      <c r="CU172" s="482"/>
      <c r="CV172" s="481"/>
      <c r="CW172" s="481"/>
      <c r="CX172" s="481"/>
      <c r="CY172" s="482"/>
      <c r="CZ172" s="481"/>
      <c r="DA172" s="481"/>
      <c r="DB172" s="481"/>
      <c r="DC172" s="482"/>
      <c r="DD172" s="231"/>
      <c r="DE172" s="21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568"/>
      <c r="DU172" s="13"/>
      <c r="DV172" s="13"/>
      <c r="DW172" s="13"/>
      <c r="DX172" s="13"/>
      <c r="DY172" s="13"/>
      <c r="DZ172" s="13"/>
      <c r="EA172" s="568"/>
      <c r="EB172" s="568"/>
      <c r="EC172" s="568"/>
      <c r="ED172" s="1419"/>
      <c r="EE172" s="21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13"/>
      <c r="FF172" s="13"/>
      <c r="FG172" s="13"/>
      <c r="FH172" s="13"/>
      <c r="FO172" s="7"/>
    </row>
    <row r="173" spans="1:171" ht="14.25" hidden="1" customHeight="1" outlineLevel="1">
      <c r="A173" s="7"/>
      <c r="B173" s="51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21"/>
      <c r="BI173" s="13"/>
      <c r="BJ173" s="13"/>
      <c r="BK173" s="231"/>
      <c r="BL173" s="13"/>
      <c r="BM173" s="13"/>
      <c r="BN173" s="13"/>
      <c r="BO173" s="13"/>
      <c r="BP173" s="21"/>
      <c r="BQ173" s="13"/>
      <c r="BR173" s="13"/>
      <c r="BS173" s="231"/>
      <c r="BT173" s="21"/>
      <c r="BU173" s="13"/>
      <c r="BV173" s="13"/>
      <c r="BW173" s="231"/>
      <c r="BX173" s="21"/>
      <c r="BY173" s="13"/>
      <c r="BZ173" s="13"/>
      <c r="CA173" s="231"/>
      <c r="CB173" s="21"/>
      <c r="CC173" s="13"/>
      <c r="CD173" s="13"/>
      <c r="CE173" s="231"/>
      <c r="CF173" s="21"/>
      <c r="CG173" s="13"/>
      <c r="CH173" s="13"/>
      <c r="CI173" s="231"/>
      <c r="CJ173" s="21"/>
      <c r="CK173" s="13"/>
      <c r="CL173" s="13"/>
      <c r="CM173" s="231"/>
      <c r="CN173" s="13"/>
      <c r="CO173" s="1225"/>
      <c r="CP173" s="13"/>
      <c r="CQ173" s="231"/>
      <c r="CR173" s="13"/>
      <c r="CS173" s="13"/>
      <c r="CT173" s="13"/>
      <c r="CU173" s="231"/>
      <c r="CV173" s="13"/>
      <c r="CW173" s="13"/>
      <c r="CX173" s="13"/>
      <c r="CY173" s="231"/>
      <c r="CZ173" s="13"/>
      <c r="DA173" s="13"/>
      <c r="DB173" s="13"/>
      <c r="DC173" s="231"/>
      <c r="DD173" s="231"/>
      <c r="DE173" s="21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231"/>
      <c r="EE173" s="21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13"/>
      <c r="FF173" s="13"/>
      <c r="FG173" s="13"/>
      <c r="FH173" s="13"/>
      <c r="FO173" s="7"/>
    </row>
    <row r="174" spans="1:171" ht="14.25" hidden="1" customHeight="1" outlineLevel="1">
      <c r="A174" s="7"/>
      <c r="B174" s="723" t="s">
        <v>123</v>
      </c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21"/>
      <c r="BI174" s="13"/>
      <c r="BJ174" s="13"/>
      <c r="BK174" s="231"/>
      <c r="BL174" s="13"/>
      <c r="BM174" s="13"/>
      <c r="BN174" s="13"/>
      <c r="BO174" s="13"/>
      <c r="BP174" s="21"/>
      <c r="BQ174" s="13"/>
      <c r="BR174" s="13"/>
      <c r="BS174" s="231"/>
      <c r="BT174" s="21"/>
      <c r="BU174" s="13"/>
      <c r="BV174" s="13"/>
      <c r="BW174" s="231"/>
      <c r="BX174" s="21"/>
      <c r="BY174" s="13"/>
      <c r="BZ174" s="13"/>
      <c r="CA174" s="231"/>
      <c r="CB174" s="21"/>
      <c r="CC174" s="13"/>
      <c r="CD174" s="13"/>
      <c r="CE174" s="231"/>
      <c r="CF174" s="21"/>
      <c r="CG174" s="13"/>
      <c r="CH174" s="13"/>
      <c r="CI174" s="231"/>
      <c r="CJ174" s="21"/>
      <c r="CK174" s="13"/>
      <c r="CL174" s="13"/>
      <c r="CM174" s="231"/>
      <c r="CN174" s="13"/>
      <c r="CO174" s="1225"/>
      <c r="CP174" s="13"/>
      <c r="CQ174" s="231"/>
      <c r="CR174" s="13"/>
      <c r="CS174" s="13"/>
      <c r="CT174" s="13"/>
      <c r="CU174" s="231"/>
      <c r="CV174" s="13"/>
      <c r="CW174" s="13"/>
      <c r="CX174" s="13"/>
      <c r="CY174" s="231"/>
      <c r="CZ174" s="13"/>
      <c r="DA174" s="13"/>
      <c r="DB174" s="13"/>
      <c r="DC174" s="231"/>
      <c r="DD174" s="231"/>
      <c r="DE174" s="21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231"/>
      <c r="EE174" s="21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13"/>
      <c r="FF174" s="13"/>
      <c r="FG174" s="13"/>
      <c r="FH174" s="13"/>
      <c r="FO174" s="7"/>
    </row>
    <row r="175" spans="1:171" ht="14.25" hidden="1" customHeight="1" outlineLevel="1">
      <c r="A175" s="7"/>
      <c r="B175" s="511" t="s">
        <v>115</v>
      </c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21"/>
      <c r="BI175" s="13"/>
      <c r="BJ175" s="13"/>
      <c r="BK175" s="231"/>
      <c r="BL175" s="13"/>
      <c r="BM175" s="13"/>
      <c r="BN175" s="13"/>
      <c r="BO175" s="13"/>
      <c r="BP175" s="21"/>
      <c r="BQ175" s="13"/>
      <c r="BR175" s="13"/>
      <c r="BS175" s="231"/>
      <c r="BT175" s="21"/>
      <c r="BU175" s="501"/>
      <c r="BV175" s="600">
        <v>0.06</v>
      </c>
      <c r="BW175" s="600">
        <v>0.06</v>
      </c>
      <c r="BX175" s="480">
        <f t="shared" ref="BX175:CI175" si="928">+BW175</f>
        <v>0.06</v>
      </c>
      <c r="BY175" s="481">
        <f t="shared" si="928"/>
        <v>0.06</v>
      </c>
      <c r="BZ175" s="481">
        <f t="shared" si="928"/>
        <v>0.06</v>
      </c>
      <c r="CA175" s="600">
        <f t="shared" si="928"/>
        <v>0.06</v>
      </c>
      <c r="CB175" s="480">
        <f t="shared" si="928"/>
        <v>0.06</v>
      </c>
      <c r="CC175" s="481">
        <f t="shared" si="928"/>
        <v>0.06</v>
      </c>
      <c r="CD175" s="481">
        <f t="shared" si="928"/>
        <v>0.06</v>
      </c>
      <c r="CE175" s="600">
        <f t="shared" si="928"/>
        <v>0.06</v>
      </c>
      <c r="CF175" s="480">
        <f t="shared" si="928"/>
        <v>0.06</v>
      </c>
      <c r="CG175" s="481">
        <f t="shared" si="928"/>
        <v>0.06</v>
      </c>
      <c r="CH175" s="481">
        <f t="shared" si="928"/>
        <v>0.06</v>
      </c>
      <c r="CI175" s="1125">
        <f t="shared" si="928"/>
        <v>0.06</v>
      </c>
      <c r="CJ175" s="480">
        <f t="shared" ref="CJ175:CJ189" si="929">+CI175</f>
        <v>0.06</v>
      </c>
      <c r="CK175" s="481">
        <f t="shared" ref="CK175:CK189" si="930">+CJ175</f>
        <v>0.06</v>
      </c>
      <c r="CL175" s="481">
        <f t="shared" ref="CL175:CM189" si="931">+CK175</f>
        <v>0.06</v>
      </c>
      <c r="CM175" s="1125">
        <f t="shared" si="931"/>
        <v>0.06</v>
      </c>
      <c r="CN175" s="481">
        <f t="shared" ref="CN175:CO181" si="932">+CM175</f>
        <v>0.06</v>
      </c>
      <c r="CO175" s="1270">
        <f t="shared" si="932"/>
        <v>0.06</v>
      </c>
      <c r="CP175" s="481">
        <f t="shared" ref="CP175:CP181" si="933">+CO175</f>
        <v>0.06</v>
      </c>
      <c r="CQ175" s="482">
        <f t="shared" ref="CQ175:CQ181" si="934">+CP175</f>
        <v>0.06</v>
      </c>
      <c r="CR175" s="481">
        <f t="shared" ref="CR175:CR181" si="935">+CQ175</f>
        <v>0.06</v>
      </c>
      <c r="CS175" s="481">
        <f t="shared" ref="CS175:CS181" si="936">+CR175</f>
        <v>0.06</v>
      </c>
      <c r="CT175" s="481">
        <f t="shared" ref="CT175:CT181" si="937">+CS175</f>
        <v>0.06</v>
      </c>
      <c r="CU175" s="482">
        <f t="shared" ref="CU175:CU181" si="938">+CT175</f>
        <v>0.06</v>
      </c>
      <c r="CV175" s="481">
        <f t="shared" ref="CV175:CV181" si="939">+CU175</f>
        <v>0.06</v>
      </c>
      <c r="CW175" s="481">
        <f t="shared" ref="CW175:CW181" si="940">+CV175</f>
        <v>0.06</v>
      </c>
      <c r="CX175" s="481">
        <f t="shared" ref="CX175:CX181" si="941">+CW175</f>
        <v>0.06</v>
      </c>
      <c r="CY175" s="482">
        <f t="shared" ref="CY175:CY181" si="942">+CX175</f>
        <v>0.06</v>
      </c>
      <c r="CZ175" s="481">
        <f t="shared" ref="CZ175:CZ181" si="943">+CY175</f>
        <v>0.06</v>
      </c>
      <c r="DA175" s="481">
        <f t="shared" ref="DA175:DA181" si="944">+CZ175</f>
        <v>0.06</v>
      </c>
      <c r="DB175" s="481">
        <f t="shared" ref="DB175:DB181" si="945">+DA175</f>
        <v>0.06</v>
      </c>
      <c r="DC175" s="482">
        <f t="shared" ref="DC175:DC181" si="946">+DB175</f>
        <v>0.06</v>
      </c>
      <c r="DD175" s="231"/>
      <c r="DE175" s="21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568"/>
      <c r="DU175" s="13"/>
      <c r="DV175" s="13">
        <f t="shared" ref="DV175:DV180" si="947">+BW175</f>
        <v>0.06</v>
      </c>
      <c r="DW175" s="13">
        <f t="shared" ref="DW175:DW189" si="948">+CA175</f>
        <v>0.06</v>
      </c>
      <c r="DX175" s="13">
        <f t="shared" ref="DX175:DX189" si="949">+CE175</f>
        <v>0.06</v>
      </c>
      <c r="DY175" s="13">
        <f t="shared" ref="DY175:DY189" si="950">+CI175</f>
        <v>0.06</v>
      </c>
      <c r="DZ175" s="13">
        <f t="shared" ref="DZ175:DZ189" si="951">+CM175</f>
        <v>0.06</v>
      </c>
      <c r="EA175" s="568">
        <f t="shared" ref="EA175:EA181" si="952">CQ175</f>
        <v>0.06</v>
      </c>
      <c r="EB175" s="568">
        <f t="shared" ref="EB175:EB181" si="953">CU175</f>
        <v>0.06</v>
      </c>
      <c r="EC175" s="568">
        <f t="shared" ref="EC175:EC181" si="954">CY175</f>
        <v>0.06</v>
      </c>
      <c r="ED175" s="1419">
        <f t="shared" ref="ED175:ED181" si="955">DC175</f>
        <v>0.06</v>
      </c>
      <c r="EE175" s="21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13"/>
      <c r="FF175" s="13"/>
      <c r="FG175" s="13"/>
      <c r="FH175" s="13"/>
      <c r="FO175" s="7"/>
    </row>
    <row r="176" spans="1:171" ht="14.25" hidden="1" customHeight="1" outlineLevel="1">
      <c r="A176" s="7"/>
      <c r="B176" s="511" t="s">
        <v>116</v>
      </c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21"/>
      <c r="BI176" s="13"/>
      <c r="BJ176" s="13"/>
      <c r="BK176" s="231"/>
      <c r="BL176" s="13"/>
      <c r="BM176" s="13"/>
      <c r="BN176" s="13"/>
      <c r="BO176" s="13"/>
      <c r="BP176" s="21"/>
      <c r="BQ176" s="13"/>
      <c r="BR176" s="13"/>
      <c r="BS176" s="231"/>
      <c r="BT176" s="21"/>
      <c r="BU176" s="501"/>
      <c r="BV176" s="600">
        <v>6.3E-2</v>
      </c>
      <c r="BW176" s="600">
        <v>6.3E-2</v>
      </c>
      <c r="BX176" s="480">
        <f t="shared" ref="BX176:CI189" si="956">+BW176</f>
        <v>6.3E-2</v>
      </c>
      <c r="BY176" s="481">
        <f t="shared" si="956"/>
        <v>6.3E-2</v>
      </c>
      <c r="BZ176" s="481">
        <f t="shared" si="956"/>
        <v>6.3E-2</v>
      </c>
      <c r="CA176" s="600">
        <f t="shared" si="956"/>
        <v>6.3E-2</v>
      </c>
      <c r="CB176" s="480">
        <f t="shared" si="956"/>
        <v>6.3E-2</v>
      </c>
      <c r="CC176" s="481">
        <f t="shared" si="956"/>
        <v>6.3E-2</v>
      </c>
      <c r="CD176" s="481">
        <f t="shared" si="956"/>
        <v>6.3E-2</v>
      </c>
      <c r="CE176" s="600">
        <f t="shared" si="956"/>
        <v>6.3E-2</v>
      </c>
      <c r="CF176" s="480">
        <f t="shared" si="956"/>
        <v>6.3E-2</v>
      </c>
      <c r="CG176" s="481">
        <f t="shared" si="956"/>
        <v>6.3E-2</v>
      </c>
      <c r="CH176" s="481">
        <f t="shared" si="956"/>
        <v>6.3E-2</v>
      </c>
      <c r="CI176" s="1125">
        <f t="shared" si="956"/>
        <v>6.3E-2</v>
      </c>
      <c r="CJ176" s="480">
        <f t="shared" si="929"/>
        <v>6.3E-2</v>
      </c>
      <c r="CK176" s="481">
        <f t="shared" si="930"/>
        <v>6.3E-2</v>
      </c>
      <c r="CL176" s="481">
        <f t="shared" si="931"/>
        <v>6.3E-2</v>
      </c>
      <c r="CM176" s="1125">
        <f t="shared" si="931"/>
        <v>6.3E-2</v>
      </c>
      <c r="CN176" s="481">
        <f t="shared" si="932"/>
        <v>6.3E-2</v>
      </c>
      <c r="CO176" s="1270">
        <f t="shared" si="932"/>
        <v>6.3E-2</v>
      </c>
      <c r="CP176" s="481">
        <f t="shared" si="933"/>
        <v>6.3E-2</v>
      </c>
      <c r="CQ176" s="482">
        <f t="shared" si="934"/>
        <v>6.3E-2</v>
      </c>
      <c r="CR176" s="481">
        <f t="shared" si="935"/>
        <v>6.3E-2</v>
      </c>
      <c r="CS176" s="481">
        <f t="shared" si="936"/>
        <v>6.3E-2</v>
      </c>
      <c r="CT176" s="481">
        <f t="shared" si="937"/>
        <v>6.3E-2</v>
      </c>
      <c r="CU176" s="482">
        <f t="shared" si="938"/>
        <v>6.3E-2</v>
      </c>
      <c r="CV176" s="481">
        <f t="shared" si="939"/>
        <v>6.3E-2</v>
      </c>
      <c r="CW176" s="481">
        <f t="shared" si="940"/>
        <v>6.3E-2</v>
      </c>
      <c r="CX176" s="481">
        <f t="shared" si="941"/>
        <v>6.3E-2</v>
      </c>
      <c r="CY176" s="482">
        <f t="shared" si="942"/>
        <v>6.3E-2</v>
      </c>
      <c r="CZ176" s="481">
        <f t="shared" si="943"/>
        <v>6.3E-2</v>
      </c>
      <c r="DA176" s="481">
        <f t="shared" si="944"/>
        <v>6.3E-2</v>
      </c>
      <c r="DB176" s="481">
        <f t="shared" si="945"/>
        <v>6.3E-2</v>
      </c>
      <c r="DC176" s="482">
        <f t="shared" si="946"/>
        <v>6.3E-2</v>
      </c>
      <c r="DD176" s="231"/>
      <c r="DE176" s="21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568"/>
      <c r="DU176" s="13"/>
      <c r="DV176" s="13">
        <f t="shared" si="947"/>
        <v>6.3E-2</v>
      </c>
      <c r="DW176" s="13">
        <f t="shared" si="948"/>
        <v>6.3E-2</v>
      </c>
      <c r="DX176" s="13">
        <f t="shared" si="949"/>
        <v>6.3E-2</v>
      </c>
      <c r="DY176" s="13">
        <f t="shared" si="950"/>
        <v>6.3E-2</v>
      </c>
      <c r="DZ176" s="13">
        <f t="shared" si="951"/>
        <v>6.3E-2</v>
      </c>
      <c r="EA176" s="568">
        <f t="shared" si="952"/>
        <v>6.3E-2</v>
      </c>
      <c r="EB176" s="568">
        <f t="shared" si="953"/>
        <v>6.3E-2</v>
      </c>
      <c r="EC176" s="568">
        <f t="shared" si="954"/>
        <v>6.3E-2</v>
      </c>
      <c r="ED176" s="1419">
        <f t="shared" si="955"/>
        <v>6.3E-2</v>
      </c>
      <c r="EE176" s="21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13"/>
      <c r="FF176" s="13"/>
      <c r="FG176" s="13"/>
      <c r="FH176" s="13"/>
      <c r="FO176" s="7"/>
    </row>
    <row r="177" spans="1:171" ht="14.25" hidden="1" customHeight="1" outlineLevel="1">
      <c r="A177" s="7"/>
      <c r="B177" s="511" t="s">
        <v>117</v>
      </c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21"/>
      <c r="BI177" s="13"/>
      <c r="BJ177" s="13"/>
      <c r="BK177" s="231"/>
      <c r="BL177" s="13"/>
      <c r="BM177" s="13"/>
      <c r="BN177" s="13"/>
      <c r="BO177" s="13"/>
      <c r="BP177" s="21"/>
      <c r="BQ177" s="13"/>
      <c r="BR177" s="13"/>
      <c r="BS177" s="576">
        <v>6.5000000000000002E-2</v>
      </c>
      <c r="BT177" s="500">
        <v>6.5000000000000002E-2</v>
      </c>
      <c r="BU177" s="502">
        <v>6.5000000000000002E-2</v>
      </c>
      <c r="BV177" s="502">
        <v>6.5000000000000002E-2</v>
      </c>
      <c r="BW177" s="502">
        <v>6.5000000000000002E-2</v>
      </c>
      <c r="BX177" s="480">
        <f t="shared" si="956"/>
        <v>6.5000000000000002E-2</v>
      </c>
      <c r="BY177" s="481">
        <f t="shared" si="956"/>
        <v>6.5000000000000002E-2</v>
      </c>
      <c r="BZ177" s="481">
        <f t="shared" si="956"/>
        <v>6.5000000000000002E-2</v>
      </c>
      <c r="CA177" s="502">
        <f t="shared" si="956"/>
        <v>6.5000000000000002E-2</v>
      </c>
      <c r="CB177" s="480">
        <f t="shared" si="956"/>
        <v>6.5000000000000002E-2</v>
      </c>
      <c r="CC177" s="481">
        <f t="shared" si="956"/>
        <v>6.5000000000000002E-2</v>
      </c>
      <c r="CD177" s="481">
        <f t="shared" si="956"/>
        <v>6.5000000000000002E-2</v>
      </c>
      <c r="CE177" s="502">
        <f t="shared" si="956"/>
        <v>6.5000000000000002E-2</v>
      </c>
      <c r="CF177" s="480">
        <f t="shared" si="956"/>
        <v>6.5000000000000002E-2</v>
      </c>
      <c r="CG177" s="481">
        <f t="shared" si="956"/>
        <v>6.5000000000000002E-2</v>
      </c>
      <c r="CH177" s="481">
        <f t="shared" si="956"/>
        <v>6.5000000000000002E-2</v>
      </c>
      <c r="CI177" s="576">
        <f t="shared" si="956"/>
        <v>6.5000000000000002E-2</v>
      </c>
      <c r="CJ177" s="480">
        <f t="shared" si="929"/>
        <v>6.5000000000000002E-2</v>
      </c>
      <c r="CK177" s="481">
        <f t="shared" si="930"/>
        <v>6.5000000000000002E-2</v>
      </c>
      <c r="CL177" s="481">
        <f t="shared" si="931"/>
        <v>6.5000000000000002E-2</v>
      </c>
      <c r="CM177" s="576">
        <f t="shared" si="931"/>
        <v>6.5000000000000002E-2</v>
      </c>
      <c r="CN177" s="481">
        <f t="shared" si="932"/>
        <v>6.5000000000000002E-2</v>
      </c>
      <c r="CO177" s="1270">
        <f t="shared" si="932"/>
        <v>6.5000000000000002E-2</v>
      </c>
      <c r="CP177" s="481">
        <f t="shared" si="933"/>
        <v>6.5000000000000002E-2</v>
      </c>
      <c r="CQ177" s="482">
        <f t="shared" si="934"/>
        <v>6.5000000000000002E-2</v>
      </c>
      <c r="CR177" s="481">
        <f t="shared" si="935"/>
        <v>6.5000000000000002E-2</v>
      </c>
      <c r="CS177" s="481">
        <f t="shared" si="936"/>
        <v>6.5000000000000002E-2</v>
      </c>
      <c r="CT177" s="481">
        <f t="shared" si="937"/>
        <v>6.5000000000000002E-2</v>
      </c>
      <c r="CU177" s="482">
        <f t="shared" si="938"/>
        <v>6.5000000000000002E-2</v>
      </c>
      <c r="CV177" s="481">
        <f t="shared" si="939"/>
        <v>6.5000000000000002E-2</v>
      </c>
      <c r="CW177" s="481">
        <f t="shared" si="940"/>
        <v>6.5000000000000002E-2</v>
      </c>
      <c r="CX177" s="481">
        <f t="shared" si="941"/>
        <v>6.5000000000000002E-2</v>
      </c>
      <c r="CY177" s="482">
        <f t="shared" si="942"/>
        <v>6.5000000000000002E-2</v>
      </c>
      <c r="CZ177" s="481">
        <f t="shared" si="943"/>
        <v>6.5000000000000002E-2</v>
      </c>
      <c r="DA177" s="481">
        <f t="shared" si="944"/>
        <v>6.5000000000000002E-2</v>
      </c>
      <c r="DB177" s="481">
        <f t="shared" si="945"/>
        <v>6.5000000000000002E-2</v>
      </c>
      <c r="DC177" s="482">
        <f t="shared" si="946"/>
        <v>6.5000000000000002E-2</v>
      </c>
      <c r="DD177" s="231"/>
      <c r="DE177" s="21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568"/>
      <c r="DU177" s="13"/>
      <c r="DV177" s="13">
        <f t="shared" si="947"/>
        <v>6.5000000000000002E-2</v>
      </c>
      <c r="DW177" s="13">
        <f t="shared" si="948"/>
        <v>6.5000000000000002E-2</v>
      </c>
      <c r="DX177" s="13">
        <f t="shared" si="949"/>
        <v>6.5000000000000002E-2</v>
      </c>
      <c r="DY177" s="13">
        <f t="shared" si="950"/>
        <v>6.5000000000000002E-2</v>
      </c>
      <c r="DZ177" s="13">
        <f t="shared" si="951"/>
        <v>6.5000000000000002E-2</v>
      </c>
      <c r="EA177" s="568">
        <f t="shared" si="952"/>
        <v>6.5000000000000002E-2</v>
      </c>
      <c r="EB177" s="568">
        <f t="shared" si="953"/>
        <v>6.5000000000000002E-2</v>
      </c>
      <c r="EC177" s="568">
        <f t="shared" si="954"/>
        <v>6.5000000000000002E-2</v>
      </c>
      <c r="ED177" s="1419">
        <f t="shared" si="955"/>
        <v>6.5000000000000002E-2</v>
      </c>
      <c r="EE177" s="21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13"/>
      <c r="FF177" s="13"/>
      <c r="FG177" s="13"/>
      <c r="FH177" s="13"/>
      <c r="FO177" s="7"/>
    </row>
    <row r="178" spans="1:171" ht="14.25" hidden="1" customHeight="1" outlineLevel="1">
      <c r="A178" s="7"/>
      <c r="B178" s="511" t="s">
        <v>118</v>
      </c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21"/>
      <c r="BI178" s="13"/>
      <c r="BJ178" s="13"/>
      <c r="BK178" s="231"/>
      <c r="BL178" s="13"/>
      <c r="BM178" s="13"/>
      <c r="BN178" s="13"/>
      <c r="BO178" s="13"/>
      <c r="BP178" s="21"/>
      <c r="BQ178" s="13"/>
      <c r="BR178" s="13"/>
      <c r="BS178" s="576">
        <v>7.0000000000000007E-2</v>
      </c>
      <c r="BT178" s="500">
        <v>7.0000000000000007E-2</v>
      </c>
      <c r="BU178" s="502">
        <v>7.0000000000000007E-2</v>
      </c>
      <c r="BV178" s="502">
        <v>7.0000000000000007E-2</v>
      </c>
      <c r="BW178" s="502">
        <v>7.0000000000000007E-2</v>
      </c>
      <c r="BX178" s="480">
        <f t="shared" si="956"/>
        <v>7.0000000000000007E-2</v>
      </c>
      <c r="BY178" s="481">
        <f t="shared" si="956"/>
        <v>7.0000000000000007E-2</v>
      </c>
      <c r="BZ178" s="481">
        <f t="shared" si="956"/>
        <v>7.0000000000000007E-2</v>
      </c>
      <c r="CA178" s="502">
        <f t="shared" si="956"/>
        <v>7.0000000000000007E-2</v>
      </c>
      <c r="CB178" s="480">
        <f t="shared" si="956"/>
        <v>7.0000000000000007E-2</v>
      </c>
      <c r="CC178" s="481">
        <f t="shared" si="956"/>
        <v>7.0000000000000007E-2</v>
      </c>
      <c r="CD178" s="481">
        <f t="shared" si="956"/>
        <v>7.0000000000000007E-2</v>
      </c>
      <c r="CE178" s="502">
        <f t="shared" si="956"/>
        <v>7.0000000000000007E-2</v>
      </c>
      <c r="CF178" s="480">
        <f t="shared" si="956"/>
        <v>7.0000000000000007E-2</v>
      </c>
      <c r="CG178" s="481">
        <f t="shared" si="956"/>
        <v>7.0000000000000007E-2</v>
      </c>
      <c r="CH178" s="481">
        <f t="shared" si="956"/>
        <v>7.0000000000000007E-2</v>
      </c>
      <c r="CI178" s="576">
        <f t="shared" si="956"/>
        <v>7.0000000000000007E-2</v>
      </c>
      <c r="CJ178" s="480">
        <f t="shared" si="929"/>
        <v>7.0000000000000007E-2</v>
      </c>
      <c r="CK178" s="481">
        <f t="shared" si="930"/>
        <v>7.0000000000000007E-2</v>
      </c>
      <c r="CL178" s="481">
        <f t="shared" si="931"/>
        <v>7.0000000000000007E-2</v>
      </c>
      <c r="CM178" s="576">
        <f t="shared" si="931"/>
        <v>7.0000000000000007E-2</v>
      </c>
      <c r="CN178" s="481">
        <f t="shared" si="932"/>
        <v>7.0000000000000007E-2</v>
      </c>
      <c r="CO178" s="1270">
        <f t="shared" si="932"/>
        <v>7.0000000000000007E-2</v>
      </c>
      <c r="CP178" s="481">
        <f t="shared" si="933"/>
        <v>7.0000000000000007E-2</v>
      </c>
      <c r="CQ178" s="482">
        <f t="shared" si="934"/>
        <v>7.0000000000000007E-2</v>
      </c>
      <c r="CR178" s="481">
        <f t="shared" si="935"/>
        <v>7.0000000000000007E-2</v>
      </c>
      <c r="CS178" s="481">
        <f t="shared" si="936"/>
        <v>7.0000000000000007E-2</v>
      </c>
      <c r="CT178" s="481">
        <f t="shared" si="937"/>
        <v>7.0000000000000007E-2</v>
      </c>
      <c r="CU178" s="482">
        <f t="shared" si="938"/>
        <v>7.0000000000000007E-2</v>
      </c>
      <c r="CV178" s="481">
        <f t="shared" si="939"/>
        <v>7.0000000000000007E-2</v>
      </c>
      <c r="CW178" s="481">
        <f t="shared" si="940"/>
        <v>7.0000000000000007E-2</v>
      </c>
      <c r="CX178" s="481">
        <f t="shared" si="941"/>
        <v>7.0000000000000007E-2</v>
      </c>
      <c r="CY178" s="482">
        <f t="shared" si="942"/>
        <v>7.0000000000000007E-2</v>
      </c>
      <c r="CZ178" s="481">
        <f t="shared" si="943"/>
        <v>7.0000000000000007E-2</v>
      </c>
      <c r="DA178" s="481">
        <f t="shared" si="944"/>
        <v>7.0000000000000007E-2</v>
      </c>
      <c r="DB178" s="481">
        <f t="shared" si="945"/>
        <v>7.0000000000000007E-2</v>
      </c>
      <c r="DC178" s="482">
        <f t="shared" si="946"/>
        <v>7.0000000000000007E-2</v>
      </c>
      <c r="DD178" s="231"/>
      <c r="DE178" s="21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568"/>
      <c r="DU178" s="13"/>
      <c r="DV178" s="13">
        <f t="shared" si="947"/>
        <v>7.0000000000000007E-2</v>
      </c>
      <c r="DW178" s="13">
        <f t="shared" si="948"/>
        <v>7.0000000000000007E-2</v>
      </c>
      <c r="DX178" s="13">
        <f t="shared" si="949"/>
        <v>7.0000000000000007E-2</v>
      </c>
      <c r="DY178" s="13">
        <f t="shared" si="950"/>
        <v>7.0000000000000007E-2</v>
      </c>
      <c r="DZ178" s="13">
        <f t="shared" si="951"/>
        <v>7.0000000000000007E-2</v>
      </c>
      <c r="EA178" s="568">
        <f t="shared" si="952"/>
        <v>7.0000000000000007E-2</v>
      </c>
      <c r="EB178" s="568">
        <f t="shared" si="953"/>
        <v>7.0000000000000007E-2</v>
      </c>
      <c r="EC178" s="568">
        <f t="shared" si="954"/>
        <v>7.0000000000000007E-2</v>
      </c>
      <c r="ED178" s="1419">
        <f t="shared" si="955"/>
        <v>7.0000000000000007E-2</v>
      </c>
      <c r="EE178" s="21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13"/>
      <c r="FF178" s="13"/>
      <c r="FG178" s="13"/>
      <c r="FH178" s="13"/>
      <c r="FO178" s="7"/>
    </row>
    <row r="179" spans="1:171" ht="14.25" hidden="1" customHeight="1" outlineLevel="1">
      <c r="A179" s="7"/>
      <c r="B179" s="511" t="s">
        <v>119</v>
      </c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21"/>
      <c r="BI179" s="13"/>
      <c r="BJ179" s="13"/>
      <c r="BK179" s="231"/>
      <c r="BL179" s="13"/>
      <c r="BM179" s="13"/>
      <c r="BN179" s="13"/>
      <c r="BO179" s="13"/>
      <c r="BP179" s="21"/>
      <c r="BQ179" s="13"/>
      <c r="BR179" s="13"/>
      <c r="BS179" s="576">
        <v>6.9000000000000006E-2</v>
      </c>
      <c r="BT179" s="500">
        <v>6.9000000000000006E-2</v>
      </c>
      <c r="BU179" s="502">
        <v>6.9000000000000006E-2</v>
      </c>
      <c r="BV179" s="502">
        <v>6.9000000000000006E-2</v>
      </c>
      <c r="BW179" s="502">
        <v>6.9000000000000006E-2</v>
      </c>
      <c r="BX179" s="480">
        <f t="shared" si="956"/>
        <v>6.9000000000000006E-2</v>
      </c>
      <c r="BY179" s="481">
        <f t="shared" si="956"/>
        <v>6.9000000000000006E-2</v>
      </c>
      <c r="BZ179" s="481">
        <f t="shared" si="956"/>
        <v>6.9000000000000006E-2</v>
      </c>
      <c r="CA179" s="502">
        <f t="shared" si="956"/>
        <v>6.9000000000000006E-2</v>
      </c>
      <c r="CB179" s="480">
        <f t="shared" si="956"/>
        <v>6.9000000000000006E-2</v>
      </c>
      <c r="CC179" s="481">
        <f t="shared" si="956"/>
        <v>6.9000000000000006E-2</v>
      </c>
      <c r="CD179" s="481">
        <f t="shared" si="956"/>
        <v>6.9000000000000006E-2</v>
      </c>
      <c r="CE179" s="502">
        <f t="shared" si="956"/>
        <v>6.9000000000000006E-2</v>
      </c>
      <c r="CF179" s="480">
        <f t="shared" si="956"/>
        <v>6.9000000000000006E-2</v>
      </c>
      <c r="CG179" s="481">
        <f t="shared" si="956"/>
        <v>6.9000000000000006E-2</v>
      </c>
      <c r="CH179" s="481">
        <f t="shared" si="956"/>
        <v>6.9000000000000006E-2</v>
      </c>
      <c r="CI179" s="576">
        <f t="shared" si="956"/>
        <v>6.9000000000000006E-2</v>
      </c>
      <c r="CJ179" s="480">
        <f t="shared" si="929"/>
        <v>6.9000000000000006E-2</v>
      </c>
      <c r="CK179" s="481">
        <f t="shared" si="930"/>
        <v>6.9000000000000006E-2</v>
      </c>
      <c r="CL179" s="481">
        <f t="shared" si="931"/>
        <v>6.9000000000000006E-2</v>
      </c>
      <c r="CM179" s="576">
        <f t="shared" si="931"/>
        <v>6.9000000000000006E-2</v>
      </c>
      <c r="CN179" s="481">
        <f t="shared" si="932"/>
        <v>6.9000000000000006E-2</v>
      </c>
      <c r="CO179" s="1270">
        <f t="shared" si="932"/>
        <v>6.9000000000000006E-2</v>
      </c>
      <c r="CP179" s="481">
        <f t="shared" si="933"/>
        <v>6.9000000000000006E-2</v>
      </c>
      <c r="CQ179" s="482">
        <f t="shared" si="934"/>
        <v>6.9000000000000006E-2</v>
      </c>
      <c r="CR179" s="481">
        <f t="shared" si="935"/>
        <v>6.9000000000000006E-2</v>
      </c>
      <c r="CS179" s="481">
        <f t="shared" si="936"/>
        <v>6.9000000000000006E-2</v>
      </c>
      <c r="CT179" s="481">
        <f t="shared" si="937"/>
        <v>6.9000000000000006E-2</v>
      </c>
      <c r="CU179" s="482">
        <f t="shared" si="938"/>
        <v>6.9000000000000006E-2</v>
      </c>
      <c r="CV179" s="481">
        <f t="shared" si="939"/>
        <v>6.9000000000000006E-2</v>
      </c>
      <c r="CW179" s="481">
        <f t="shared" si="940"/>
        <v>6.9000000000000006E-2</v>
      </c>
      <c r="CX179" s="481">
        <f t="shared" si="941"/>
        <v>6.9000000000000006E-2</v>
      </c>
      <c r="CY179" s="482">
        <f t="shared" si="942"/>
        <v>6.9000000000000006E-2</v>
      </c>
      <c r="CZ179" s="481">
        <f t="shared" si="943"/>
        <v>6.9000000000000006E-2</v>
      </c>
      <c r="DA179" s="481">
        <f t="shared" si="944"/>
        <v>6.9000000000000006E-2</v>
      </c>
      <c r="DB179" s="481">
        <f t="shared" si="945"/>
        <v>6.9000000000000006E-2</v>
      </c>
      <c r="DC179" s="482">
        <f t="shared" si="946"/>
        <v>6.9000000000000006E-2</v>
      </c>
      <c r="DD179" s="231"/>
      <c r="DE179" s="21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568"/>
      <c r="DU179" s="13"/>
      <c r="DV179" s="13">
        <f t="shared" si="947"/>
        <v>6.9000000000000006E-2</v>
      </c>
      <c r="DW179" s="13">
        <f t="shared" si="948"/>
        <v>6.9000000000000006E-2</v>
      </c>
      <c r="DX179" s="13">
        <f t="shared" si="949"/>
        <v>6.9000000000000006E-2</v>
      </c>
      <c r="DY179" s="13">
        <f t="shared" si="950"/>
        <v>6.9000000000000006E-2</v>
      </c>
      <c r="DZ179" s="13">
        <f t="shared" si="951"/>
        <v>6.9000000000000006E-2</v>
      </c>
      <c r="EA179" s="568">
        <f t="shared" si="952"/>
        <v>6.9000000000000006E-2</v>
      </c>
      <c r="EB179" s="568">
        <f t="shared" si="953"/>
        <v>6.9000000000000006E-2</v>
      </c>
      <c r="EC179" s="568">
        <f t="shared" si="954"/>
        <v>6.9000000000000006E-2</v>
      </c>
      <c r="ED179" s="1419">
        <f t="shared" si="955"/>
        <v>6.9000000000000006E-2</v>
      </c>
      <c r="EE179" s="21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13"/>
      <c r="FF179" s="13"/>
      <c r="FG179" s="13"/>
      <c r="FH179" s="13"/>
      <c r="FO179" s="7"/>
    </row>
    <row r="180" spans="1:171" ht="14.25" hidden="1" customHeight="1" outlineLevel="1">
      <c r="A180" s="7"/>
      <c r="B180" s="511" t="s">
        <v>120</v>
      </c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21"/>
      <c r="BI180" s="13"/>
      <c r="BJ180" s="13"/>
      <c r="BK180" s="231"/>
      <c r="BL180" s="13"/>
      <c r="BM180" s="13"/>
      <c r="BN180" s="13"/>
      <c r="BO180" s="13"/>
      <c r="BP180" s="21"/>
      <c r="BQ180" s="13"/>
      <c r="BR180" s="13"/>
      <c r="BS180" s="576">
        <v>7.9000000000000001E-2</v>
      </c>
      <c r="BT180" s="500">
        <v>7.9000000000000001E-2</v>
      </c>
      <c r="BU180" s="502">
        <v>7.9000000000000001E-2</v>
      </c>
      <c r="BV180" s="502">
        <v>7.9000000000000001E-2</v>
      </c>
      <c r="BW180" s="502">
        <v>7.9000000000000001E-2</v>
      </c>
      <c r="BX180" s="480">
        <f>+BW180</f>
        <v>7.9000000000000001E-2</v>
      </c>
      <c r="BY180" s="481">
        <f t="shared" si="956"/>
        <v>7.9000000000000001E-2</v>
      </c>
      <c r="BZ180" s="481">
        <f t="shared" si="956"/>
        <v>7.9000000000000001E-2</v>
      </c>
      <c r="CA180" s="502">
        <f t="shared" si="956"/>
        <v>7.9000000000000001E-2</v>
      </c>
      <c r="CB180" s="480">
        <f t="shared" si="956"/>
        <v>7.9000000000000001E-2</v>
      </c>
      <c r="CC180" s="481">
        <f t="shared" si="956"/>
        <v>7.9000000000000001E-2</v>
      </c>
      <c r="CD180" s="481">
        <f t="shared" si="956"/>
        <v>7.9000000000000001E-2</v>
      </c>
      <c r="CE180" s="502">
        <f t="shared" si="956"/>
        <v>7.9000000000000001E-2</v>
      </c>
      <c r="CF180" s="480">
        <f t="shared" si="956"/>
        <v>7.9000000000000001E-2</v>
      </c>
      <c r="CG180" s="481">
        <f t="shared" si="956"/>
        <v>7.9000000000000001E-2</v>
      </c>
      <c r="CH180" s="481">
        <f t="shared" si="956"/>
        <v>7.9000000000000001E-2</v>
      </c>
      <c r="CI180" s="576">
        <f t="shared" si="956"/>
        <v>7.9000000000000001E-2</v>
      </c>
      <c r="CJ180" s="480">
        <f t="shared" si="929"/>
        <v>7.9000000000000001E-2</v>
      </c>
      <c r="CK180" s="481">
        <f t="shared" si="930"/>
        <v>7.9000000000000001E-2</v>
      </c>
      <c r="CL180" s="481">
        <f t="shared" si="931"/>
        <v>7.9000000000000001E-2</v>
      </c>
      <c r="CM180" s="576">
        <f t="shared" si="931"/>
        <v>7.9000000000000001E-2</v>
      </c>
      <c r="CN180" s="481">
        <f t="shared" si="932"/>
        <v>7.9000000000000001E-2</v>
      </c>
      <c r="CO180" s="1270">
        <f t="shared" si="932"/>
        <v>7.9000000000000001E-2</v>
      </c>
      <c r="CP180" s="481">
        <f t="shared" si="933"/>
        <v>7.9000000000000001E-2</v>
      </c>
      <c r="CQ180" s="482">
        <f t="shared" si="934"/>
        <v>7.9000000000000001E-2</v>
      </c>
      <c r="CR180" s="481">
        <f t="shared" si="935"/>
        <v>7.9000000000000001E-2</v>
      </c>
      <c r="CS180" s="481">
        <f t="shared" si="936"/>
        <v>7.9000000000000001E-2</v>
      </c>
      <c r="CT180" s="481">
        <f t="shared" si="937"/>
        <v>7.9000000000000001E-2</v>
      </c>
      <c r="CU180" s="482">
        <f t="shared" si="938"/>
        <v>7.9000000000000001E-2</v>
      </c>
      <c r="CV180" s="481">
        <f t="shared" si="939"/>
        <v>7.9000000000000001E-2</v>
      </c>
      <c r="CW180" s="481">
        <f t="shared" si="940"/>
        <v>7.9000000000000001E-2</v>
      </c>
      <c r="CX180" s="481">
        <f t="shared" si="941"/>
        <v>7.9000000000000001E-2</v>
      </c>
      <c r="CY180" s="482">
        <f t="shared" si="942"/>
        <v>7.9000000000000001E-2</v>
      </c>
      <c r="CZ180" s="481">
        <f t="shared" si="943"/>
        <v>7.9000000000000001E-2</v>
      </c>
      <c r="DA180" s="481">
        <f t="shared" si="944"/>
        <v>7.9000000000000001E-2</v>
      </c>
      <c r="DB180" s="481">
        <f t="shared" si="945"/>
        <v>7.9000000000000001E-2</v>
      </c>
      <c r="DC180" s="482">
        <f t="shared" si="946"/>
        <v>7.9000000000000001E-2</v>
      </c>
      <c r="DD180" s="231"/>
      <c r="DE180" s="21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568"/>
      <c r="DU180" s="13"/>
      <c r="DV180" s="13">
        <f t="shared" si="947"/>
        <v>7.9000000000000001E-2</v>
      </c>
      <c r="DW180" s="13">
        <f t="shared" si="948"/>
        <v>7.9000000000000001E-2</v>
      </c>
      <c r="DX180" s="13">
        <f t="shared" si="949"/>
        <v>7.9000000000000001E-2</v>
      </c>
      <c r="DY180" s="13">
        <f t="shared" si="950"/>
        <v>7.9000000000000001E-2</v>
      </c>
      <c r="DZ180" s="13">
        <f t="shared" si="951"/>
        <v>7.9000000000000001E-2</v>
      </c>
      <c r="EA180" s="568">
        <f t="shared" si="952"/>
        <v>7.9000000000000001E-2</v>
      </c>
      <c r="EB180" s="568">
        <f t="shared" si="953"/>
        <v>7.9000000000000001E-2</v>
      </c>
      <c r="EC180" s="568">
        <f t="shared" si="954"/>
        <v>7.9000000000000001E-2</v>
      </c>
      <c r="ED180" s="1419">
        <f t="shared" si="955"/>
        <v>7.9000000000000001E-2</v>
      </c>
      <c r="EE180" s="21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/>
      <c r="EX180" s="7"/>
      <c r="EY180" s="7"/>
      <c r="EZ180" s="7"/>
      <c r="FA180" s="7"/>
      <c r="FB180" s="7"/>
      <c r="FC180" s="7"/>
      <c r="FD180" s="7"/>
      <c r="FE180" s="13"/>
      <c r="FF180" s="13"/>
      <c r="FG180" s="13"/>
      <c r="FH180" s="13"/>
      <c r="FO180" s="7"/>
    </row>
    <row r="181" spans="1:171" ht="14.25" hidden="1" customHeight="1" outlineLevel="1">
      <c r="A181" s="7"/>
      <c r="B181" s="511" t="s">
        <v>217</v>
      </c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21"/>
      <c r="BI181" s="13"/>
      <c r="BJ181" s="13"/>
      <c r="BK181" s="231"/>
      <c r="BL181" s="13"/>
      <c r="BM181" s="13"/>
      <c r="BN181" s="13"/>
      <c r="BO181" s="13"/>
      <c r="BP181" s="21"/>
      <c r="BQ181" s="13"/>
      <c r="BR181" s="13"/>
      <c r="BS181" s="576"/>
      <c r="BT181" s="500"/>
      <c r="BU181" s="502"/>
      <c r="BV181" s="502"/>
      <c r="BW181" s="702"/>
      <c r="BX181" s="480">
        <f>+BX161</f>
        <v>0</v>
      </c>
      <c r="BY181" s="481">
        <f t="shared" si="956"/>
        <v>0</v>
      </c>
      <c r="BZ181" s="481">
        <f t="shared" si="956"/>
        <v>0</v>
      </c>
      <c r="CA181" s="702">
        <f t="shared" si="956"/>
        <v>0</v>
      </c>
      <c r="CB181" s="480">
        <f t="shared" si="956"/>
        <v>0</v>
      </c>
      <c r="CC181" s="481">
        <f t="shared" si="956"/>
        <v>0</v>
      </c>
      <c r="CD181" s="481">
        <f t="shared" si="956"/>
        <v>0</v>
      </c>
      <c r="CE181" s="702">
        <f t="shared" si="956"/>
        <v>0</v>
      </c>
      <c r="CF181" s="480">
        <f t="shared" si="956"/>
        <v>0</v>
      </c>
      <c r="CG181" s="481">
        <f t="shared" si="956"/>
        <v>0</v>
      </c>
      <c r="CH181" s="481">
        <f t="shared" si="956"/>
        <v>0</v>
      </c>
      <c r="CI181" s="702">
        <f t="shared" si="956"/>
        <v>0</v>
      </c>
      <c r="CJ181" s="480">
        <f t="shared" si="929"/>
        <v>0</v>
      </c>
      <c r="CK181" s="481">
        <f t="shared" si="930"/>
        <v>0</v>
      </c>
      <c r="CL181" s="481">
        <f t="shared" si="931"/>
        <v>0</v>
      </c>
      <c r="CM181" s="702">
        <f t="shared" si="931"/>
        <v>0</v>
      </c>
      <c r="CN181" s="481">
        <f t="shared" si="932"/>
        <v>0</v>
      </c>
      <c r="CO181" s="1270">
        <f t="shared" si="932"/>
        <v>0</v>
      </c>
      <c r="CP181" s="481">
        <f t="shared" si="933"/>
        <v>0</v>
      </c>
      <c r="CQ181" s="482">
        <f t="shared" si="934"/>
        <v>0</v>
      </c>
      <c r="CR181" s="481">
        <f t="shared" si="935"/>
        <v>0</v>
      </c>
      <c r="CS181" s="481">
        <f t="shared" si="936"/>
        <v>0</v>
      </c>
      <c r="CT181" s="481">
        <f t="shared" si="937"/>
        <v>0</v>
      </c>
      <c r="CU181" s="482">
        <f t="shared" si="938"/>
        <v>0</v>
      </c>
      <c r="CV181" s="481">
        <f t="shared" si="939"/>
        <v>0</v>
      </c>
      <c r="CW181" s="481">
        <f t="shared" si="940"/>
        <v>0</v>
      </c>
      <c r="CX181" s="481">
        <f t="shared" si="941"/>
        <v>0</v>
      </c>
      <c r="CY181" s="482">
        <f t="shared" si="942"/>
        <v>0</v>
      </c>
      <c r="CZ181" s="481">
        <f t="shared" si="943"/>
        <v>0</v>
      </c>
      <c r="DA181" s="481">
        <f t="shared" si="944"/>
        <v>0</v>
      </c>
      <c r="DB181" s="481">
        <f t="shared" si="945"/>
        <v>0</v>
      </c>
      <c r="DC181" s="482">
        <f t="shared" si="946"/>
        <v>0</v>
      </c>
      <c r="DD181" s="231"/>
      <c r="DE181" s="21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568"/>
      <c r="DU181" s="13"/>
      <c r="DV181" s="13"/>
      <c r="DW181" s="13">
        <f t="shared" si="948"/>
        <v>0</v>
      </c>
      <c r="DX181" s="13">
        <f t="shared" si="949"/>
        <v>0</v>
      </c>
      <c r="DY181" s="13">
        <f t="shared" si="950"/>
        <v>0</v>
      </c>
      <c r="DZ181" s="13">
        <f t="shared" si="951"/>
        <v>0</v>
      </c>
      <c r="EA181" s="568">
        <f t="shared" si="952"/>
        <v>0</v>
      </c>
      <c r="EB181" s="568">
        <f t="shared" si="953"/>
        <v>0</v>
      </c>
      <c r="EC181" s="568">
        <f t="shared" si="954"/>
        <v>0</v>
      </c>
      <c r="ED181" s="1419">
        <f t="shared" si="955"/>
        <v>0</v>
      </c>
      <c r="EE181" s="21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13"/>
      <c r="FF181" s="13"/>
      <c r="FG181" s="13"/>
      <c r="FH181" s="13"/>
      <c r="FO181" s="7"/>
    </row>
    <row r="182" spans="1:171" ht="14.25" hidden="1" customHeight="1" outlineLevel="1">
      <c r="A182" s="7"/>
      <c r="B182" s="511" t="s">
        <v>482</v>
      </c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21"/>
      <c r="BI182" s="13"/>
      <c r="BJ182" s="13"/>
      <c r="BK182" s="231"/>
      <c r="BL182" s="13"/>
      <c r="BM182" s="13"/>
      <c r="BN182" s="13"/>
      <c r="BO182" s="13"/>
      <c r="BP182" s="21"/>
      <c r="BQ182" s="13"/>
      <c r="BR182" s="13"/>
      <c r="BS182" s="576"/>
      <c r="BT182" s="500"/>
      <c r="BU182" s="502"/>
      <c r="BV182" s="502"/>
      <c r="BW182" s="702"/>
      <c r="BX182" s="480"/>
      <c r="BY182" s="481"/>
      <c r="BZ182" s="481"/>
      <c r="CA182" s="702"/>
      <c r="CB182" s="480"/>
      <c r="CC182" s="481"/>
      <c r="CD182" s="481"/>
      <c r="CE182" s="702"/>
      <c r="CF182" s="480">
        <v>5.2499999999999998E-2</v>
      </c>
      <c r="CG182" s="481">
        <v>5.2499999999999998E-2</v>
      </c>
      <c r="CH182" s="481">
        <v>5.2499999999999998E-2</v>
      </c>
      <c r="CI182" s="702">
        <v>5.2499999999999998E-2</v>
      </c>
      <c r="CJ182" s="480">
        <v>5.2499999999999998E-2</v>
      </c>
      <c r="CK182" s="481">
        <v>5.2499999999999998E-2</v>
      </c>
      <c r="CL182" s="481">
        <v>5.2499999999999998E-2</v>
      </c>
      <c r="CM182" s="702">
        <v>5.2499999999999998E-2</v>
      </c>
      <c r="CN182" s="481">
        <v>5.2499999999999998E-2</v>
      </c>
      <c r="CO182" s="1270">
        <v>5.2499999999999998E-2</v>
      </c>
      <c r="CP182" s="481">
        <v>5.2499999999999998E-2</v>
      </c>
      <c r="CQ182" s="482">
        <v>5.2499999999999998E-2</v>
      </c>
      <c r="CR182" s="481">
        <v>5.2499999999999998E-2</v>
      </c>
      <c r="CS182" s="481">
        <v>5.2499999999999998E-2</v>
      </c>
      <c r="CT182" s="481">
        <v>5.2499999999999998E-2</v>
      </c>
      <c r="CU182" s="482">
        <v>5.2499999999999998E-2</v>
      </c>
      <c r="CV182" s="481">
        <v>5.2499999999999998E-2</v>
      </c>
      <c r="CW182" s="481">
        <v>5.2499999999999998E-2</v>
      </c>
      <c r="CX182" s="481">
        <v>5.2499999999999998E-2</v>
      </c>
      <c r="CY182" s="482">
        <v>5.2499999999999998E-2</v>
      </c>
      <c r="CZ182" s="481">
        <v>5.2499999999999998E-2</v>
      </c>
      <c r="DA182" s="481">
        <v>5.2499999999999998E-2</v>
      </c>
      <c r="DB182" s="481">
        <v>5.2499999999999998E-2</v>
      </c>
      <c r="DC182" s="482">
        <v>5.2499999999999998E-2</v>
      </c>
      <c r="DD182" s="231"/>
      <c r="DE182" s="21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568"/>
      <c r="DU182" s="13"/>
      <c r="DV182" s="13"/>
      <c r="DW182" s="13"/>
      <c r="DX182" s="13"/>
      <c r="DY182" s="13">
        <v>5.2499999999999998E-2</v>
      </c>
      <c r="DZ182" s="13">
        <v>5.2499999999999998E-2</v>
      </c>
      <c r="EA182" s="568">
        <f t="shared" ref="EA182:EA184" si="957">CQ182</f>
        <v>5.2499999999999998E-2</v>
      </c>
      <c r="EB182" s="568">
        <f t="shared" ref="EB182:EB184" si="958">CU182</f>
        <v>5.2499999999999998E-2</v>
      </c>
      <c r="EC182" s="568">
        <f t="shared" ref="EC182:EC184" si="959">CY182</f>
        <v>5.2499999999999998E-2</v>
      </c>
      <c r="ED182" s="1419">
        <f t="shared" ref="ED182:ED184" si="960">DC182</f>
        <v>5.2499999999999998E-2</v>
      </c>
      <c r="EE182" s="21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13"/>
      <c r="FF182" s="13"/>
      <c r="FG182" s="13"/>
      <c r="FH182" s="13"/>
      <c r="FO182" s="7"/>
    </row>
    <row r="183" spans="1:171" ht="14.25" hidden="1" customHeight="1" outlineLevel="1">
      <c r="A183" s="7"/>
      <c r="B183" s="511" t="s">
        <v>542</v>
      </c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21"/>
      <c r="BI183" s="13"/>
      <c r="BJ183" s="13"/>
      <c r="BK183" s="231"/>
      <c r="BL183" s="13"/>
      <c r="BM183" s="13"/>
      <c r="BN183" s="13"/>
      <c r="BO183" s="13"/>
      <c r="BP183" s="21"/>
      <c r="BQ183" s="13"/>
      <c r="BR183" s="13"/>
      <c r="BS183" s="576"/>
      <c r="BT183" s="500"/>
      <c r="BU183" s="502"/>
      <c r="BV183" s="502"/>
      <c r="BW183" s="702"/>
      <c r="BX183" s="480"/>
      <c r="BY183" s="481"/>
      <c r="BZ183" s="481"/>
      <c r="CA183" s="702"/>
      <c r="CB183" s="480"/>
      <c r="CC183" s="481"/>
      <c r="CD183" s="481"/>
      <c r="CE183" s="702"/>
      <c r="CF183" s="480">
        <v>5.2499999999999998E-2</v>
      </c>
      <c r="CG183" s="481">
        <v>5.2499999999999998E-2</v>
      </c>
      <c r="CH183" s="481">
        <v>5.2499999999999998E-2</v>
      </c>
      <c r="CI183" s="702">
        <v>5.2499999999999998E-2</v>
      </c>
      <c r="CJ183" s="480">
        <v>5.2499999999999998E-2</v>
      </c>
      <c r="CK183" s="481">
        <v>5.2499999999999998E-2</v>
      </c>
      <c r="CL183" s="481">
        <v>5.2499999999999998E-2</v>
      </c>
      <c r="CM183" s="702">
        <v>5.2499999999999998E-2</v>
      </c>
      <c r="CN183" s="481">
        <v>5.2499999999999998E-2</v>
      </c>
      <c r="CO183" s="1270">
        <v>5.2499999999999998E-2</v>
      </c>
      <c r="CP183" s="481">
        <v>5.2499999999999998E-2</v>
      </c>
      <c r="CQ183" s="482">
        <v>5.2499999999999998E-2</v>
      </c>
      <c r="CR183" s="481">
        <v>5.2499999999999998E-2</v>
      </c>
      <c r="CS183" s="481">
        <v>5.2499999999999998E-2</v>
      </c>
      <c r="CT183" s="481">
        <v>5.2499999999999998E-2</v>
      </c>
      <c r="CU183" s="482">
        <v>5.2499999999999998E-2</v>
      </c>
      <c r="CV183" s="481">
        <v>5.2499999999999998E-2</v>
      </c>
      <c r="CW183" s="481">
        <v>5.2499999999999998E-2</v>
      </c>
      <c r="CX183" s="481">
        <v>5.2499999999999998E-2</v>
      </c>
      <c r="CY183" s="482">
        <v>5.2499999999999998E-2</v>
      </c>
      <c r="CZ183" s="481">
        <v>5.2499999999999998E-2</v>
      </c>
      <c r="DA183" s="481">
        <v>5.2499999999999998E-2</v>
      </c>
      <c r="DB183" s="481">
        <v>5.2499999999999998E-2</v>
      </c>
      <c r="DC183" s="482">
        <v>5.2499999999999998E-2</v>
      </c>
      <c r="DD183" s="231"/>
      <c r="DE183" s="21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568"/>
      <c r="DU183" s="13"/>
      <c r="DV183" s="13"/>
      <c r="DW183" s="13"/>
      <c r="DX183" s="13"/>
      <c r="DY183" s="13">
        <v>5.2499999999999998E-2</v>
      </c>
      <c r="DZ183" s="13">
        <v>5.2499999999999998E-2</v>
      </c>
      <c r="EA183" s="568">
        <f t="shared" si="957"/>
        <v>5.2499999999999998E-2</v>
      </c>
      <c r="EB183" s="568">
        <f t="shared" si="958"/>
        <v>5.2499999999999998E-2</v>
      </c>
      <c r="EC183" s="568">
        <f t="shared" si="959"/>
        <v>5.2499999999999998E-2</v>
      </c>
      <c r="ED183" s="1419">
        <f t="shared" si="960"/>
        <v>5.2499999999999998E-2</v>
      </c>
      <c r="EE183" s="21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13"/>
      <c r="FF183" s="13"/>
      <c r="FG183" s="13"/>
      <c r="FH183" s="13"/>
      <c r="FO183" s="7"/>
    </row>
    <row r="184" spans="1:171" ht="14.25" hidden="1" customHeight="1" outlineLevel="1">
      <c r="A184" s="7"/>
      <c r="B184" s="511" t="s">
        <v>543</v>
      </c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21"/>
      <c r="BI184" s="13"/>
      <c r="BJ184" s="13"/>
      <c r="BK184" s="231"/>
      <c r="BL184" s="13"/>
      <c r="BM184" s="13"/>
      <c r="BN184" s="13"/>
      <c r="BO184" s="13"/>
      <c r="BP184" s="21"/>
      <c r="BQ184" s="13"/>
      <c r="BR184" s="13"/>
      <c r="BS184" s="576"/>
      <c r="BT184" s="500"/>
      <c r="BU184" s="502"/>
      <c r="BV184" s="502"/>
      <c r="BW184" s="702"/>
      <c r="BX184" s="480"/>
      <c r="BY184" s="481"/>
      <c r="BZ184" s="481"/>
      <c r="CA184" s="702"/>
      <c r="CB184" s="480"/>
      <c r="CC184" s="481"/>
      <c r="CD184" s="481"/>
      <c r="CE184" s="702"/>
      <c r="CF184" s="480">
        <v>5.6250000000000001E-2</v>
      </c>
      <c r="CG184" s="481">
        <v>5.6250000000000001E-2</v>
      </c>
      <c r="CH184" s="481">
        <v>5.6250000000000001E-2</v>
      </c>
      <c r="CI184" s="702">
        <v>5.6250000000000001E-2</v>
      </c>
      <c r="CJ184" s="480">
        <v>5.6250000000000001E-2</v>
      </c>
      <c r="CK184" s="481">
        <v>5.6250000000000001E-2</v>
      </c>
      <c r="CL184" s="481">
        <v>5.6250000000000001E-2</v>
      </c>
      <c r="CM184" s="702">
        <v>5.6250000000000001E-2</v>
      </c>
      <c r="CN184" s="481">
        <v>5.6250000000000001E-2</v>
      </c>
      <c r="CO184" s="1270">
        <v>5.6250000000000001E-2</v>
      </c>
      <c r="CP184" s="481">
        <v>5.6250000000000001E-2</v>
      </c>
      <c r="CQ184" s="482">
        <v>5.6250000000000001E-2</v>
      </c>
      <c r="CR184" s="481">
        <v>5.6250000000000001E-2</v>
      </c>
      <c r="CS184" s="481">
        <v>5.6250000000000001E-2</v>
      </c>
      <c r="CT184" s="481">
        <v>5.6250000000000001E-2</v>
      </c>
      <c r="CU184" s="482">
        <v>5.6250000000000001E-2</v>
      </c>
      <c r="CV184" s="481">
        <v>5.6250000000000001E-2</v>
      </c>
      <c r="CW184" s="481">
        <v>5.6250000000000001E-2</v>
      </c>
      <c r="CX184" s="481">
        <v>5.6250000000000001E-2</v>
      </c>
      <c r="CY184" s="482">
        <v>5.6250000000000001E-2</v>
      </c>
      <c r="CZ184" s="481">
        <v>5.6250000000000001E-2</v>
      </c>
      <c r="DA184" s="481">
        <v>5.6250000000000001E-2</v>
      </c>
      <c r="DB184" s="481">
        <v>5.6250000000000001E-2</v>
      </c>
      <c r="DC184" s="482">
        <v>5.6250000000000001E-2</v>
      </c>
      <c r="DD184" s="231"/>
      <c r="DE184" s="21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568"/>
      <c r="DU184" s="13"/>
      <c r="DV184" s="13"/>
      <c r="DW184" s="13"/>
      <c r="DX184" s="13"/>
      <c r="DY184" s="13">
        <v>5.6250000000000001E-2</v>
      </c>
      <c r="DZ184" s="13">
        <v>5.6250000000000001E-2</v>
      </c>
      <c r="EA184" s="568">
        <f t="shared" si="957"/>
        <v>5.6250000000000001E-2</v>
      </c>
      <c r="EB184" s="568">
        <f t="shared" si="958"/>
        <v>5.6250000000000001E-2</v>
      </c>
      <c r="EC184" s="568">
        <f t="shared" si="959"/>
        <v>5.6250000000000001E-2</v>
      </c>
      <c r="ED184" s="1419">
        <f t="shared" si="960"/>
        <v>5.6250000000000001E-2</v>
      </c>
      <c r="EE184" s="21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13"/>
      <c r="FF184" s="13"/>
      <c r="FG184" s="13"/>
      <c r="FH184" s="13"/>
      <c r="FO184" s="7"/>
    </row>
    <row r="185" spans="1:171" s="1150" customFormat="1" ht="14.25" hidden="1" customHeight="1" outlineLevel="1">
      <c r="A185" s="7"/>
      <c r="B185" s="634" t="s">
        <v>564</v>
      </c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21"/>
      <c r="BI185" s="13"/>
      <c r="BJ185" s="13"/>
      <c r="BK185" s="231"/>
      <c r="BL185" s="13"/>
      <c r="BM185" s="13"/>
      <c r="BN185" s="13"/>
      <c r="BO185" s="13"/>
      <c r="BP185" s="21"/>
      <c r="BQ185" s="13"/>
      <c r="BR185" s="13"/>
      <c r="BS185" s="576"/>
      <c r="BT185" s="500"/>
      <c r="BU185" s="502"/>
      <c r="BV185" s="502"/>
      <c r="BW185" s="702"/>
      <c r="BX185" s="480"/>
      <c r="BY185" s="481"/>
      <c r="BZ185" s="481"/>
      <c r="CA185" s="702"/>
      <c r="CB185" s="480"/>
      <c r="CC185" s="481"/>
      <c r="CD185" s="481"/>
      <c r="CE185" s="702"/>
      <c r="CF185" s="480"/>
      <c r="CG185" s="481"/>
      <c r="CH185" s="481"/>
      <c r="CI185" s="702"/>
      <c r="CJ185" s="480"/>
      <c r="CK185" s="481"/>
      <c r="CL185" s="481">
        <v>7.4999999999999997E-2</v>
      </c>
      <c r="CM185" s="702"/>
      <c r="CN185" s="481">
        <v>7.4999999999999997E-2</v>
      </c>
      <c r="CO185" s="1270">
        <v>7.4999999999999997E-2</v>
      </c>
      <c r="CP185" s="481">
        <v>7.4999999999999997E-2</v>
      </c>
      <c r="CQ185" s="482">
        <v>7.4999999999999997E-2</v>
      </c>
      <c r="CR185" s="481">
        <v>7.4999999999999997E-2</v>
      </c>
      <c r="CS185" s="481">
        <v>7.4999999999999997E-2</v>
      </c>
      <c r="CT185" s="481">
        <v>7.4999999999999997E-2</v>
      </c>
      <c r="CU185" s="482">
        <v>7.4999999999999997E-2</v>
      </c>
      <c r="CV185" s="481">
        <v>7.4999999999999997E-2</v>
      </c>
      <c r="CW185" s="481">
        <v>7.4999999999999997E-2</v>
      </c>
      <c r="CX185" s="481">
        <v>7.4999999999999997E-2</v>
      </c>
      <c r="CY185" s="482">
        <v>7.4999999999999997E-2</v>
      </c>
      <c r="CZ185" s="481">
        <v>7.4999999999999997E-2</v>
      </c>
      <c r="DA185" s="481">
        <v>7.4999999999999997E-2</v>
      </c>
      <c r="DB185" s="481">
        <v>7.4999999999999997E-2</v>
      </c>
      <c r="DC185" s="482">
        <v>7.4999999999999997E-2</v>
      </c>
      <c r="DD185" s="231"/>
      <c r="DE185" s="21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568"/>
      <c r="DU185" s="13"/>
      <c r="DV185" s="13"/>
      <c r="DW185" s="13"/>
      <c r="DX185" s="13"/>
      <c r="DY185" s="13"/>
      <c r="DZ185" s="13">
        <v>7.4999999999999997E-2</v>
      </c>
      <c r="EA185" s="568">
        <v>7.4999999999999997E-2</v>
      </c>
      <c r="EB185" s="568">
        <v>7.4999999999999997E-2</v>
      </c>
      <c r="EC185" s="568">
        <f t="shared" ref="EC185:EC189" si="961">CY185</f>
        <v>7.4999999999999997E-2</v>
      </c>
      <c r="ED185" s="1419">
        <f t="shared" ref="ED185:ED189" si="962">DC185</f>
        <v>7.4999999999999997E-2</v>
      </c>
      <c r="EE185" s="21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13"/>
      <c r="FF185" s="13"/>
      <c r="FG185" s="13"/>
      <c r="FH185" s="13"/>
      <c r="FI185"/>
      <c r="FJ185"/>
      <c r="FK185"/>
      <c r="FL185"/>
      <c r="FM185"/>
      <c r="FN185"/>
      <c r="FO185" s="7"/>
    </row>
    <row r="186" spans="1:171" s="1150" customFormat="1" ht="14.25" hidden="1" customHeight="1" outlineLevel="1">
      <c r="A186" s="7"/>
      <c r="B186" s="634" t="s">
        <v>565</v>
      </c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21"/>
      <c r="BI186" s="13"/>
      <c r="BJ186" s="13"/>
      <c r="BK186" s="231"/>
      <c r="BL186" s="13"/>
      <c r="BM186" s="13"/>
      <c r="BN186" s="13"/>
      <c r="BO186" s="13"/>
      <c r="BP186" s="21"/>
      <c r="BQ186" s="13"/>
      <c r="BR186" s="13"/>
      <c r="BS186" s="576"/>
      <c r="BT186" s="500"/>
      <c r="BU186" s="502"/>
      <c r="BV186" s="502"/>
      <c r="BW186" s="702"/>
      <c r="BX186" s="480"/>
      <c r="BY186" s="481"/>
      <c r="BZ186" s="481"/>
      <c r="CA186" s="702"/>
      <c r="CB186" s="480"/>
      <c r="CC186" s="481"/>
      <c r="CD186" s="481"/>
      <c r="CE186" s="702"/>
      <c r="CF186" s="480"/>
      <c r="CG186" s="481"/>
      <c r="CH186" s="481"/>
      <c r="CI186" s="702"/>
      <c r="CJ186" s="480"/>
      <c r="CK186" s="481"/>
      <c r="CL186" s="481">
        <v>6.7500000000000004E-2</v>
      </c>
      <c r="CM186" s="702"/>
      <c r="CN186" s="481">
        <v>6.7500000000000004E-2</v>
      </c>
      <c r="CO186" s="1270">
        <v>6.7500000000000004E-2</v>
      </c>
      <c r="CP186" s="481">
        <v>6.7500000000000004E-2</v>
      </c>
      <c r="CQ186" s="482">
        <v>6.7500000000000004E-2</v>
      </c>
      <c r="CR186" s="481">
        <v>6.7500000000000004E-2</v>
      </c>
      <c r="CS186" s="481">
        <v>6.7500000000000004E-2</v>
      </c>
      <c r="CT186" s="481">
        <v>6.7500000000000004E-2</v>
      </c>
      <c r="CU186" s="482">
        <v>6.7500000000000004E-2</v>
      </c>
      <c r="CV186" s="481">
        <v>6.7500000000000004E-2</v>
      </c>
      <c r="CW186" s="481">
        <v>6.7500000000000004E-2</v>
      </c>
      <c r="CX186" s="481">
        <v>6.7500000000000004E-2</v>
      </c>
      <c r="CY186" s="482">
        <v>6.7500000000000004E-2</v>
      </c>
      <c r="CZ186" s="481">
        <v>6.7500000000000004E-2</v>
      </c>
      <c r="DA186" s="481">
        <v>6.7500000000000004E-2</v>
      </c>
      <c r="DB186" s="481">
        <v>6.7500000000000004E-2</v>
      </c>
      <c r="DC186" s="482">
        <v>6.7500000000000004E-2</v>
      </c>
      <c r="DD186" s="231"/>
      <c r="DE186" s="21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568"/>
      <c r="DU186" s="13"/>
      <c r="DV186" s="13"/>
      <c r="DW186" s="13"/>
      <c r="DX186" s="13"/>
      <c r="DY186" s="13"/>
      <c r="DZ186" s="13">
        <v>6.7500000000000004E-2</v>
      </c>
      <c r="EA186" s="568">
        <v>6.7500000000000004E-2</v>
      </c>
      <c r="EB186" s="568">
        <v>6.7500000000000004E-2</v>
      </c>
      <c r="EC186" s="568">
        <f t="shared" si="961"/>
        <v>6.7500000000000004E-2</v>
      </c>
      <c r="ED186" s="1419">
        <f t="shared" si="962"/>
        <v>6.7500000000000004E-2</v>
      </c>
      <c r="EE186" s="21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13"/>
      <c r="FF186" s="13"/>
      <c r="FG186" s="13"/>
      <c r="FH186" s="13"/>
      <c r="FI186"/>
      <c r="FJ186"/>
      <c r="FK186"/>
      <c r="FL186"/>
      <c r="FM186"/>
      <c r="FN186"/>
      <c r="FO186" s="7"/>
    </row>
    <row r="187" spans="1:171" ht="14.25" hidden="1" customHeight="1" outlineLevel="1">
      <c r="A187" s="7"/>
      <c r="B187" s="511" t="s">
        <v>238</v>
      </c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21"/>
      <c r="BI187" s="13"/>
      <c r="BJ187" s="13"/>
      <c r="BK187" s="231"/>
      <c r="BL187" s="13"/>
      <c r="BM187" s="13"/>
      <c r="BN187" s="13"/>
      <c r="BO187" s="13"/>
      <c r="BP187" s="21"/>
      <c r="BQ187" s="13"/>
      <c r="BR187" s="13"/>
      <c r="BS187" s="576"/>
      <c r="BT187" s="500"/>
      <c r="BU187" s="502"/>
      <c r="BV187" s="502"/>
      <c r="BW187" s="702"/>
      <c r="BX187" s="480">
        <f>+BX167</f>
        <v>0.03</v>
      </c>
      <c r="BY187" s="481">
        <f t="shared" ref="BY187:CI187" si="963">+BX187</f>
        <v>0.03</v>
      </c>
      <c r="BZ187" s="481">
        <f t="shared" si="963"/>
        <v>0.03</v>
      </c>
      <c r="CA187" s="702">
        <f t="shared" si="963"/>
        <v>0.03</v>
      </c>
      <c r="CB187" s="480">
        <f t="shared" si="963"/>
        <v>0.03</v>
      </c>
      <c r="CC187" s="481">
        <f t="shared" si="963"/>
        <v>0.03</v>
      </c>
      <c r="CD187" s="481">
        <f t="shared" si="963"/>
        <v>0.03</v>
      </c>
      <c r="CE187" s="702">
        <f t="shared" si="963"/>
        <v>0.03</v>
      </c>
      <c r="CF187" s="480">
        <f t="shared" si="963"/>
        <v>0.03</v>
      </c>
      <c r="CG187" s="481">
        <f t="shared" si="963"/>
        <v>0.03</v>
      </c>
      <c r="CH187" s="481">
        <f t="shared" si="963"/>
        <v>0.03</v>
      </c>
      <c r="CI187" s="702">
        <f t="shared" si="963"/>
        <v>0.03</v>
      </c>
      <c r="CJ187" s="480">
        <f t="shared" si="929"/>
        <v>0.03</v>
      </c>
      <c r="CK187" s="481">
        <f t="shared" si="930"/>
        <v>0.03</v>
      </c>
      <c r="CL187" s="481">
        <f t="shared" si="931"/>
        <v>0.03</v>
      </c>
      <c r="CM187" s="702">
        <f t="shared" si="931"/>
        <v>0.03</v>
      </c>
      <c r="CN187" s="481">
        <f t="shared" ref="CN187:CO189" si="964">+CM187</f>
        <v>0.03</v>
      </c>
      <c r="CO187" s="1270">
        <f t="shared" si="964"/>
        <v>0.03</v>
      </c>
      <c r="CP187" s="481">
        <f t="shared" ref="CP187:CP189" si="965">+CO187</f>
        <v>0.03</v>
      </c>
      <c r="CQ187" s="482">
        <f t="shared" ref="CQ187:CQ189" si="966">+CP187</f>
        <v>0.03</v>
      </c>
      <c r="CR187" s="481">
        <f t="shared" ref="CR187:CR189" si="967">+CQ187</f>
        <v>0.03</v>
      </c>
      <c r="CS187" s="481">
        <f t="shared" ref="CS187:CS189" si="968">+CR187</f>
        <v>0.03</v>
      </c>
      <c r="CT187" s="481">
        <f t="shared" ref="CT187:CT189" si="969">+CS187</f>
        <v>0.03</v>
      </c>
      <c r="CU187" s="482">
        <f t="shared" ref="CU187:CU189" si="970">+CT187</f>
        <v>0.03</v>
      </c>
      <c r="CV187" s="481">
        <f t="shared" ref="CV187:CV189" si="971">+CU187</f>
        <v>0.03</v>
      </c>
      <c r="CW187" s="481">
        <f t="shared" ref="CW187:CW189" si="972">+CV187</f>
        <v>0.03</v>
      </c>
      <c r="CX187" s="481">
        <f t="shared" ref="CX187:CX189" si="973">+CW187</f>
        <v>0.03</v>
      </c>
      <c r="CY187" s="482">
        <f t="shared" ref="CY187:CY189" si="974">+CX187</f>
        <v>0.03</v>
      </c>
      <c r="CZ187" s="481">
        <f t="shared" ref="CZ187:CZ189" si="975">+CY187</f>
        <v>0.03</v>
      </c>
      <c r="DA187" s="481">
        <f t="shared" ref="DA187:DA189" si="976">+CZ187</f>
        <v>0.03</v>
      </c>
      <c r="DB187" s="481">
        <f t="shared" ref="DB187:DB189" si="977">+DA187</f>
        <v>0.03</v>
      </c>
      <c r="DC187" s="482">
        <f t="shared" ref="DC187:DC189" si="978">+DB187</f>
        <v>0.03</v>
      </c>
      <c r="DD187" s="231"/>
      <c r="DE187" s="21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568"/>
      <c r="DU187" s="13"/>
      <c r="DV187" s="13"/>
      <c r="DW187" s="13">
        <f t="shared" si="948"/>
        <v>0.03</v>
      </c>
      <c r="DX187" s="13">
        <f t="shared" si="949"/>
        <v>0.03</v>
      </c>
      <c r="DY187" s="13">
        <f t="shared" si="950"/>
        <v>0.03</v>
      </c>
      <c r="DZ187" s="13">
        <f t="shared" si="951"/>
        <v>0.03</v>
      </c>
      <c r="EA187" s="568">
        <f t="shared" ref="EA187:EA189" si="979">CQ187</f>
        <v>0.03</v>
      </c>
      <c r="EB187" s="568">
        <f t="shared" ref="EB187:EB189" si="980">CU187</f>
        <v>0.03</v>
      </c>
      <c r="EC187" s="568">
        <f t="shared" si="961"/>
        <v>0.03</v>
      </c>
      <c r="ED187" s="1419">
        <f t="shared" si="962"/>
        <v>0.03</v>
      </c>
      <c r="EE187" s="21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13"/>
      <c r="FF187" s="13"/>
      <c r="FG187" s="13"/>
      <c r="FH187" s="13"/>
      <c r="FO187" s="7"/>
    </row>
    <row r="188" spans="1:171" ht="14.25" hidden="1" customHeight="1" outlineLevel="1">
      <c r="A188" s="7"/>
      <c r="B188" s="511" t="s">
        <v>239</v>
      </c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21"/>
      <c r="BI188" s="13"/>
      <c r="BJ188" s="13"/>
      <c r="BK188" s="231"/>
      <c r="BL188" s="13"/>
      <c r="BM188" s="13"/>
      <c r="BN188" s="13"/>
      <c r="BO188" s="13"/>
      <c r="BP188" s="21"/>
      <c r="BQ188" s="13"/>
      <c r="BR188" s="13"/>
      <c r="BS188" s="576"/>
      <c r="BT188" s="500"/>
      <c r="BU188" s="502"/>
      <c r="BV188" s="502"/>
      <c r="BW188" s="702"/>
      <c r="BX188" s="480">
        <f>+BX168</f>
        <v>2.3800000000000002E-2</v>
      </c>
      <c r="BY188" s="481">
        <f t="shared" ref="BY188:CI188" si="981">+BX188</f>
        <v>2.3800000000000002E-2</v>
      </c>
      <c r="BZ188" s="481">
        <f t="shared" si="981"/>
        <v>2.3800000000000002E-2</v>
      </c>
      <c r="CA188" s="702">
        <f t="shared" si="981"/>
        <v>2.3800000000000002E-2</v>
      </c>
      <c r="CB188" s="480">
        <f t="shared" si="981"/>
        <v>2.3800000000000002E-2</v>
      </c>
      <c r="CC188" s="481">
        <f t="shared" si="981"/>
        <v>2.3800000000000002E-2</v>
      </c>
      <c r="CD188" s="481">
        <f t="shared" si="981"/>
        <v>2.3800000000000002E-2</v>
      </c>
      <c r="CE188" s="702">
        <f t="shared" si="981"/>
        <v>2.3800000000000002E-2</v>
      </c>
      <c r="CF188" s="480">
        <f t="shared" si="981"/>
        <v>2.3800000000000002E-2</v>
      </c>
      <c r="CG188" s="481">
        <f t="shared" si="981"/>
        <v>2.3800000000000002E-2</v>
      </c>
      <c r="CH188" s="481">
        <f t="shared" si="981"/>
        <v>2.3800000000000002E-2</v>
      </c>
      <c r="CI188" s="702">
        <f t="shared" si="981"/>
        <v>2.3800000000000002E-2</v>
      </c>
      <c r="CJ188" s="480">
        <f t="shared" si="929"/>
        <v>2.3800000000000002E-2</v>
      </c>
      <c r="CK188" s="481">
        <f t="shared" si="930"/>
        <v>2.3800000000000002E-2</v>
      </c>
      <c r="CL188" s="481">
        <f t="shared" si="931"/>
        <v>2.3800000000000002E-2</v>
      </c>
      <c r="CM188" s="702">
        <f t="shared" si="931"/>
        <v>2.3800000000000002E-2</v>
      </c>
      <c r="CN188" s="481">
        <f t="shared" si="964"/>
        <v>2.3800000000000002E-2</v>
      </c>
      <c r="CO188" s="1270">
        <f t="shared" si="964"/>
        <v>2.3800000000000002E-2</v>
      </c>
      <c r="CP188" s="481">
        <f t="shared" si="965"/>
        <v>2.3800000000000002E-2</v>
      </c>
      <c r="CQ188" s="482">
        <f t="shared" si="966"/>
        <v>2.3800000000000002E-2</v>
      </c>
      <c r="CR188" s="481">
        <f t="shared" si="967"/>
        <v>2.3800000000000002E-2</v>
      </c>
      <c r="CS188" s="481">
        <f t="shared" si="968"/>
        <v>2.3800000000000002E-2</v>
      </c>
      <c r="CT188" s="481">
        <f t="shared" si="969"/>
        <v>2.3800000000000002E-2</v>
      </c>
      <c r="CU188" s="482">
        <f t="shared" si="970"/>
        <v>2.3800000000000002E-2</v>
      </c>
      <c r="CV188" s="481">
        <f t="shared" si="971"/>
        <v>2.3800000000000002E-2</v>
      </c>
      <c r="CW188" s="481">
        <f t="shared" si="972"/>
        <v>2.3800000000000002E-2</v>
      </c>
      <c r="CX188" s="481">
        <f t="shared" si="973"/>
        <v>2.3800000000000002E-2</v>
      </c>
      <c r="CY188" s="482">
        <f t="shared" si="974"/>
        <v>2.3800000000000002E-2</v>
      </c>
      <c r="CZ188" s="481">
        <f t="shared" si="975"/>
        <v>2.3800000000000002E-2</v>
      </c>
      <c r="DA188" s="481">
        <f t="shared" si="976"/>
        <v>2.3800000000000002E-2</v>
      </c>
      <c r="DB188" s="481">
        <f t="shared" si="977"/>
        <v>2.3800000000000002E-2</v>
      </c>
      <c r="DC188" s="482">
        <f t="shared" si="978"/>
        <v>2.3800000000000002E-2</v>
      </c>
      <c r="DD188" s="231"/>
      <c r="DE188" s="21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568"/>
      <c r="DU188" s="13"/>
      <c r="DV188" s="13"/>
      <c r="DW188" s="13">
        <f t="shared" si="948"/>
        <v>2.3800000000000002E-2</v>
      </c>
      <c r="DX188" s="13">
        <f t="shared" si="949"/>
        <v>2.3800000000000002E-2</v>
      </c>
      <c r="DY188" s="13">
        <f t="shared" si="950"/>
        <v>2.3800000000000002E-2</v>
      </c>
      <c r="DZ188" s="13">
        <f t="shared" si="951"/>
        <v>2.3800000000000002E-2</v>
      </c>
      <c r="EA188" s="568">
        <f t="shared" si="979"/>
        <v>2.3800000000000002E-2</v>
      </c>
      <c r="EB188" s="568">
        <f t="shared" si="980"/>
        <v>2.3800000000000002E-2</v>
      </c>
      <c r="EC188" s="568">
        <f t="shared" si="961"/>
        <v>2.3800000000000002E-2</v>
      </c>
      <c r="ED188" s="1419">
        <f t="shared" si="962"/>
        <v>2.3800000000000002E-2</v>
      </c>
      <c r="EE188" s="21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13"/>
      <c r="FF188" s="13"/>
      <c r="FG188" s="13"/>
      <c r="FH188" s="13"/>
      <c r="FO188" s="7"/>
    </row>
    <row r="189" spans="1:171" ht="14.25" hidden="1" customHeight="1" outlineLevel="1">
      <c r="A189" s="7"/>
      <c r="B189" s="511" t="s">
        <v>126</v>
      </c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21"/>
      <c r="BI189" s="13"/>
      <c r="BJ189" s="13"/>
      <c r="BK189" s="231"/>
      <c r="BL189" s="13"/>
      <c r="BM189" s="13"/>
      <c r="BN189" s="13"/>
      <c r="BO189" s="13"/>
      <c r="BP189" s="21"/>
      <c r="BQ189" s="13"/>
      <c r="BR189" s="13"/>
      <c r="BS189" s="576">
        <v>6.0999999999999999E-2</v>
      </c>
      <c r="BT189" s="500">
        <v>5.6000000000000001E-2</v>
      </c>
      <c r="BU189" s="502">
        <v>0.05</v>
      </c>
      <c r="BV189" s="502">
        <v>0.05</v>
      </c>
      <c r="BW189" s="576">
        <v>4.9000000000000002E-2</v>
      </c>
      <c r="BX189" s="500">
        <v>4.9000000000000002E-2</v>
      </c>
      <c r="BY189" s="502">
        <v>4.7E-2</v>
      </c>
      <c r="BZ189" s="502">
        <v>4.7E-2</v>
      </c>
      <c r="CA189" s="576">
        <v>4.5999999999999999E-2</v>
      </c>
      <c r="CB189" s="480">
        <f t="shared" si="956"/>
        <v>4.5999999999999999E-2</v>
      </c>
      <c r="CC189" s="502">
        <v>4.7E-2</v>
      </c>
      <c r="CD189" s="481">
        <f t="shared" si="956"/>
        <v>4.7E-2</v>
      </c>
      <c r="CE189" s="576">
        <f t="shared" si="956"/>
        <v>4.7E-2</v>
      </c>
      <c r="CF189" s="480">
        <f t="shared" si="956"/>
        <v>4.7E-2</v>
      </c>
      <c r="CG189" s="502">
        <f t="shared" si="956"/>
        <v>4.7E-2</v>
      </c>
      <c r="CH189" s="481">
        <f t="shared" si="956"/>
        <v>4.7E-2</v>
      </c>
      <c r="CI189" s="576">
        <f t="shared" si="956"/>
        <v>4.7E-2</v>
      </c>
      <c r="CJ189" s="480">
        <f t="shared" si="929"/>
        <v>4.7E-2</v>
      </c>
      <c r="CK189" s="502">
        <f t="shared" si="930"/>
        <v>4.7E-2</v>
      </c>
      <c r="CL189" s="481">
        <f t="shared" si="931"/>
        <v>4.7E-2</v>
      </c>
      <c r="CM189" s="576">
        <f t="shared" si="931"/>
        <v>4.7E-2</v>
      </c>
      <c r="CN189" s="481">
        <f t="shared" si="964"/>
        <v>4.7E-2</v>
      </c>
      <c r="CO189" s="1270">
        <f t="shared" si="964"/>
        <v>4.7E-2</v>
      </c>
      <c r="CP189" s="481">
        <f t="shared" si="965"/>
        <v>4.7E-2</v>
      </c>
      <c r="CQ189" s="482">
        <f t="shared" si="966"/>
        <v>4.7E-2</v>
      </c>
      <c r="CR189" s="481">
        <f t="shared" si="967"/>
        <v>4.7E-2</v>
      </c>
      <c r="CS189" s="481">
        <f t="shared" si="968"/>
        <v>4.7E-2</v>
      </c>
      <c r="CT189" s="481">
        <f t="shared" si="969"/>
        <v>4.7E-2</v>
      </c>
      <c r="CU189" s="482">
        <f t="shared" si="970"/>
        <v>4.7E-2</v>
      </c>
      <c r="CV189" s="481">
        <f t="shared" si="971"/>
        <v>4.7E-2</v>
      </c>
      <c r="CW189" s="481">
        <f t="shared" si="972"/>
        <v>4.7E-2</v>
      </c>
      <c r="CX189" s="481">
        <f t="shared" si="973"/>
        <v>4.7E-2</v>
      </c>
      <c r="CY189" s="482">
        <f t="shared" si="974"/>
        <v>4.7E-2</v>
      </c>
      <c r="CZ189" s="481">
        <f t="shared" si="975"/>
        <v>4.7E-2</v>
      </c>
      <c r="DA189" s="481">
        <f t="shared" si="976"/>
        <v>4.7E-2</v>
      </c>
      <c r="DB189" s="481">
        <f t="shared" si="977"/>
        <v>4.7E-2</v>
      </c>
      <c r="DC189" s="482">
        <f t="shared" si="978"/>
        <v>4.7E-2</v>
      </c>
      <c r="DD189" s="231"/>
      <c r="DE189" s="21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568"/>
      <c r="DU189" s="13"/>
      <c r="DV189" s="13">
        <f>+BW189</f>
        <v>4.9000000000000002E-2</v>
      </c>
      <c r="DW189" s="13">
        <f t="shared" si="948"/>
        <v>4.5999999999999999E-2</v>
      </c>
      <c r="DX189" s="13">
        <f t="shared" si="949"/>
        <v>4.7E-2</v>
      </c>
      <c r="DY189" s="13">
        <f t="shared" si="950"/>
        <v>4.7E-2</v>
      </c>
      <c r="DZ189" s="13">
        <f t="shared" si="951"/>
        <v>4.7E-2</v>
      </c>
      <c r="EA189" s="568">
        <f t="shared" si="979"/>
        <v>4.7E-2</v>
      </c>
      <c r="EB189" s="568">
        <f t="shared" si="980"/>
        <v>4.7E-2</v>
      </c>
      <c r="EC189" s="568">
        <f t="shared" si="961"/>
        <v>4.7E-2</v>
      </c>
      <c r="ED189" s="1419">
        <f t="shared" si="962"/>
        <v>4.7E-2</v>
      </c>
      <c r="EE189" s="21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13"/>
      <c r="FF189" s="13"/>
      <c r="FG189" s="13"/>
      <c r="FH189" s="13"/>
      <c r="FO189" s="7"/>
    </row>
    <row r="190" spans="1:171" ht="14.25" hidden="1" customHeight="1" outlineLevel="1">
      <c r="A190" s="7"/>
      <c r="B190" s="51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21"/>
      <c r="BI190" s="13"/>
      <c r="BJ190" s="13"/>
      <c r="BK190" s="231"/>
      <c r="BL190" s="13"/>
      <c r="BM190" s="13"/>
      <c r="BN190" s="13"/>
      <c r="BO190" s="13"/>
      <c r="BP190" s="21"/>
      <c r="BQ190" s="13"/>
      <c r="BR190" s="13"/>
      <c r="BS190" s="231"/>
      <c r="BT190" s="21"/>
      <c r="BU190" s="13"/>
      <c r="BV190" s="13"/>
      <c r="BW190" s="231"/>
      <c r="BX190" s="21"/>
      <c r="BY190" s="13"/>
      <c r="BZ190" s="13"/>
      <c r="CA190" s="231"/>
      <c r="CB190" s="21"/>
      <c r="CC190" s="13"/>
      <c r="CD190" s="13"/>
      <c r="CE190" s="231"/>
      <c r="CF190" s="21"/>
      <c r="CG190" s="13"/>
      <c r="CH190" s="13"/>
      <c r="CI190" s="231"/>
      <c r="CJ190" s="21"/>
      <c r="CK190" s="13"/>
      <c r="CL190" s="13"/>
      <c r="CM190" s="231"/>
      <c r="CN190" s="13"/>
      <c r="CO190" s="1225"/>
      <c r="CP190" s="13"/>
      <c r="CQ190" s="231"/>
      <c r="CR190" s="13"/>
      <c r="CS190" s="13"/>
      <c r="CT190" s="13"/>
      <c r="CU190" s="231"/>
      <c r="CV190" s="13"/>
      <c r="CW190" s="13"/>
      <c r="CX190" s="13"/>
      <c r="CY190" s="231"/>
      <c r="CZ190" s="13"/>
      <c r="DA190" s="13"/>
      <c r="DB190" s="13"/>
      <c r="DC190" s="231"/>
      <c r="DD190" s="231"/>
      <c r="DE190" s="21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231"/>
      <c r="EE190" s="21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13"/>
      <c r="FF190" s="13"/>
      <c r="FG190" s="13"/>
      <c r="FH190" s="13"/>
      <c r="FO190" s="7"/>
    </row>
    <row r="191" spans="1:171" ht="14.25" hidden="1" customHeight="1" outlineLevel="1">
      <c r="A191" s="7"/>
      <c r="B191" s="516" t="s">
        <v>122</v>
      </c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21"/>
      <c r="BI191" s="13"/>
      <c r="BJ191" s="13"/>
      <c r="BK191" s="231"/>
      <c r="BL191" s="13"/>
      <c r="BM191" s="13"/>
      <c r="BN191" s="13"/>
      <c r="BO191" s="13"/>
      <c r="BP191" s="21"/>
      <c r="BQ191" s="13"/>
      <c r="BR191" s="13"/>
      <c r="BS191" s="231"/>
      <c r="BT191" s="21"/>
      <c r="BU191" s="13"/>
      <c r="BV191" s="13"/>
      <c r="BW191" s="231"/>
      <c r="BX191" s="21"/>
      <c r="BY191" s="13"/>
      <c r="BZ191" s="13"/>
      <c r="CA191" s="231"/>
      <c r="CB191" s="21"/>
      <c r="CC191" s="13"/>
      <c r="CD191" s="13"/>
      <c r="CE191" s="231"/>
      <c r="CF191" s="21"/>
      <c r="CG191" s="13"/>
      <c r="CH191" s="13"/>
      <c r="CI191" s="231"/>
      <c r="CJ191" s="21"/>
      <c r="CK191" s="13"/>
      <c r="CL191" s="13"/>
      <c r="CM191" s="231"/>
      <c r="CN191" s="13"/>
      <c r="CO191" s="1225"/>
      <c r="CP191" s="13"/>
      <c r="CQ191" s="231"/>
      <c r="CR191" s="13"/>
      <c r="CS191" s="13"/>
      <c r="CT191" s="13"/>
      <c r="CU191" s="231"/>
      <c r="CV191" s="13"/>
      <c r="CW191" s="13"/>
      <c r="CX191" s="13"/>
      <c r="CY191" s="231"/>
      <c r="CZ191" s="13"/>
      <c r="DA191" s="13"/>
      <c r="DB191" s="13"/>
      <c r="DC191" s="231"/>
      <c r="DD191" s="231"/>
      <c r="DE191" s="21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231"/>
      <c r="EE191" s="21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13"/>
      <c r="FF191" s="13"/>
      <c r="FG191" s="13"/>
      <c r="FH191" s="13"/>
      <c r="FO191" s="7"/>
    </row>
    <row r="192" spans="1:171" ht="14.25" hidden="1" customHeight="1" outlineLevel="1">
      <c r="A192" s="7"/>
      <c r="B192" s="511" t="s">
        <v>115</v>
      </c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21"/>
      <c r="BI192" s="13"/>
      <c r="BJ192" s="13"/>
      <c r="BK192" s="231"/>
      <c r="BL192" s="13"/>
      <c r="BM192" s="13"/>
      <c r="BN192" s="13"/>
      <c r="BO192" s="13"/>
      <c r="BP192" s="21"/>
      <c r="BQ192" s="13"/>
      <c r="BR192" s="13"/>
      <c r="BS192" s="231"/>
      <c r="BT192" s="21"/>
      <c r="BU192" s="228">
        <f t="shared" ref="BU192:CI192" si="982">+BU155*BU106/4</f>
        <v>0</v>
      </c>
      <c r="BV192" s="228">
        <f t="shared" si="982"/>
        <v>3.265625</v>
      </c>
      <c r="BW192" s="229">
        <f t="shared" si="982"/>
        <v>3.265625</v>
      </c>
      <c r="BX192" s="483">
        <f t="shared" si="982"/>
        <v>3.265625</v>
      </c>
      <c r="BY192" s="228">
        <f t="shared" si="982"/>
        <v>3.265625</v>
      </c>
      <c r="BZ192" s="228">
        <f t="shared" si="982"/>
        <v>3.265625</v>
      </c>
      <c r="CA192" s="229">
        <f t="shared" si="982"/>
        <v>3.265625</v>
      </c>
      <c r="CB192" s="483">
        <f t="shared" si="982"/>
        <v>3.265625</v>
      </c>
      <c r="CC192" s="228">
        <f t="shared" ref="CC192:CC197" si="983">+CC155*CC106/4</f>
        <v>3.265625</v>
      </c>
      <c r="CD192" s="228">
        <f t="shared" si="982"/>
        <v>3.265625</v>
      </c>
      <c r="CE192" s="229">
        <f t="shared" si="982"/>
        <v>3.265625</v>
      </c>
      <c r="CF192" s="483">
        <f t="shared" si="982"/>
        <v>3.265625</v>
      </c>
      <c r="CG192" s="228">
        <f t="shared" si="982"/>
        <v>3.265625</v>
      </c>
      <c r="CH192" s="228">
        <f t="shared" si="982"/>
        <v>3.265625</v>
      </c>
      <c r="CI192" s="229">
        <f t="shared" si="982"/>
        <v>3.265625</v>
      </c>
      <c r="CJ192" s="483">
        <f t="shared" ref="CJ192:CM197" si="984">+CJ155*CJ106/4</f>
        <v>3.265625</v>
      </c>
      <c r="CK192" s="228">
        <f t="shared" si="984"/>
        <v>3.265625</v>
      </c>
      <c r="CL192" s="228">
        <f t="shared" si="984"/>
        <v>3.265625</v>
      </c>
      <c r="CM192" s="229">
        <f t="shared" si="984"/>
        <v>3.265625</v>
      </c>
      <c r="CN192" s="228">
        <f t="shared" ref="CN192:CQ197" si="985">+CN155*CN106/4</f>
        <v>3.265625</v>
      </c>
      <c r="CO192" s="1252">
        <f t="shared" si="985"/>
        <v>3.265625</v>
      </c>
      <c r="CP192" s="228">
        <f t="shared" si="985"/>
        <v>3.265625</v>
      </c>
      <c r="CQ192" s="229">
        <f t="shared" si="985"/>
        <v>3.265625</v>
      </c>
      <c r="CR192" s="228">
        <f t="shared" ref="CR192:CU192" si="986">+CR155*CR106/4</f>
        <v>3.265625</v>
      </c>
      <c r="CS192" s="228">
        <f t="shared" si="986"/>
        <v>3.265625</v>
      </c>
      <c r="CT192" s="228">
        <f t="shared" si="986"/>
        <v>3.265625</v>
      </c>
      <c r="CU192" s="229">
        <f t="shared" si="986"/>
        <v>3.265625</v>
      </c>
      <c r="CV192" s="1330">
        <f t="shared" ref="CV192:CY192" si="987">+CV155*CV106/4</f>
        <v>3.265625</v>
      </c>
      <c r="CW192" s="1330">
        <f t="shared" si="987"/>
        <v>3.265625</v>
      </c>
      <c r="CX192" s="1330">
        <f t="shared" si="987"/>
        <v>3.265625</v>
      </c>
      <c r="CY192" s="1331">
        <f t="shared" si="987"/>
        <v>3.265625</v>
      </c>
      <c r="CZ192" s="1330">
        <f t="shared" ref="CZ192:DC192" si="988">+CZ155*CZ106/4</f>
        <v>3.265625</v>
      </c>
      <c r="DA192" s="1330">
        <f t="shared" si="988"/>
        <v>3.265625</v>
      </c>
      <c r="DB192" s="1330">
        <f t="shared" si="988"/>
        <v>3.265625</v>
      </c>
      <c r="DC192" s="1331">
        <f t="shared" si="988"/>
        <v>3.265625</v>
      </c>
      <c r="DD192" s="231"/>
      <c r="DE192" s="21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228"/>
      <c r="DU192" s="13"/>
      <c r="DV192" s="13">
        <f t="shared" ref="DV192:DV197" si="989">+SUM(BT192:BW192)</f>
        <v>6.53125</v>
      </c>
      <c r="DW192" s="13">
        <f t="shared" ref="DW192:DW197" si="990">+SUM(BX192:CA192)</f>
        <v>13.0625</v>
      </c>
      <c r="DX192" s="13">
        <f t="shared" ref="DX192:DX197" si="991">+SUM(CB192:CE192)</f>
        <v>13.0625</v>
      </c>
      <c r="DY192" s="13">
        <f t="shared" ref="DY192:DY197" si="992">+SUM(CF192:CI192)</f>
        <v>13.0625</v>
      </c>
      <c r="DZ192" s="13">
        <f t="shared" ref="DZ192:DZ197" si="993">+SUM(CJ192:CM192)</f>
        <v>13.0625</v>
      </c>
      <c r="EA192" s="228">
        <f>+SUM(CN192:CQ192)</f>
        <v>13.0625</v>
      </c>
      <c r="EB192" s="1330">
        <f>+SUM(CR192:CU192)</f>
        <v>13.0625</v>
      </c>
      <c r="EC192" s="1330">
        <f>+SUM(CV192:CY192)</f>
        <v>13.0625</v>
      </c>
      <c r="ED192" s="227">
        <f>+SUM(CZ192:DC192)</f>
        <v>13.0625</v>
      </c>
      <c r="EE192" s="21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13"/>
      <c r="FF192" s="13"/>
      <c r="FG192" s="13"/>
      <c r="FH192" s="13"/>
      <c r="FO192" s="7"/>
    </row>
    <row r="193" spans="1:171" ht="14.25" hidden="1" customHeight="1" outlineLevel="1">
      <c r="A193" s="7"/>
      <c r="B193" s="511" t="s">
        <v>116</v>
      </c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21"/>
      <c r="BI193" s="13"/>
      <c r="BJ193" s="13"/>
      <c r="BK193" s="231"/>
      <c r="BL193" s="13"/>
      <c r="BM193" s="13"/>
      <c r="BN193" s="13"/>
      <c r="BO193" s="13"/>
      <c r="BP193" s="21"/>
      <c r="BQ193" s="13"/>
      <c r="BR193" s="13"/>
      <c r="BS193" s="231"/>
      <c r="BT193" s="21"/>
      <c r="BU193" s="228">
        <f t="shared" ref="BU193:CI193" si="994">+BU156*BU107/4</f>
        <v>0</v>
      </c>
      <c r="BV193" s="228">
        <f t="shared" si="994"/>
        <v>3.515625</v>
      </c>
      <c r="BW193" s="229">
        <f t="shared" si="994"/>
        <v>3.515625</v>
      </c>
      <c r="BX193" s="483">
        <f t="shared" si="994"/>
        <v>3.515625</v>
      </c>
      <c r="BY193" s="228">
        <f t="shared" si="994"/>
        <v>3.515625</v>
      </c>
      <c r="BZ193" s="228">
        <f t="shared" si="994"/>
        <v>3.515625</v>
      </c>
      <c r="CA193" s="229">
        <f t="shared" si="994"/>
        <v>3.515625</v>
      </c>
      <c r="CB193" s="483">
        <f t="shared" si="994"/>
        <v>3.515625</v>
      </c>
      <c r="CC193" s="228">
        <f t="shared" si="983"/>
        <v>3.515625</v>
      </c>
      <c r="CD193" s="228">
        <f t="shared" si="994"/>
        <v>3.515625</v>
      </c>
      <c r="CE193" s="229">
        <f t="shared" si="994"/>
        <v>3.515625</v>
      </c>
      <c r="CF193" s="483">
        <f t="shared" si="994"/>
        <v>3.515625</v>
      </c>
      <c r="CG193" s="228">
        <f t="shared" si="994"/>
        <v>3.515625</v>
      </c>
      <c r="CH193" s="228">
        <f t="shared" si="994"/>
        <v>3.515625</v>
      </c>
      <c r="CI193" s="229">
        <f t="shared" si="994"/>
        <v>3.515625</v>
      </c>
      <c r="CJ193" s="483">
        <f t="shared" si="984"/>
        <v>3.515625</v>
      </c>
      <c r="CK193" s="228">
        <f t="shared" si="984"/>
        <v>3.515625</v>
      </c>
      <c r="CL193" s="228">
        <f t="shared" si="984"/>
        <v>3.515625</v>
      </c>
      <c r="CM193" s="229">
        <f t="shared" si="984"/>
        <v>3.515625</v>
      </c>
      <c r="CN193" s="228">
        <f t="shared" ref="CN193:CQ193" si="995">+CN156*CN107/4</f>
        <v>3.515625</v>
      </c>
      <c r="CO193" s="1252">
        <f t="shared" si="985"/>
        <v>3.515625</v>
      </c>
      <c r="CP193" s="228">
        <f t="shared" si="995"/>
        <v>3.515625</v>
      </c>
      <c r="CQ193" s="229">
        <f t="shared" si="995"/>
        <v>3.515625</v>
      </c>
      <c r="CR193" s="228">
        <f t="shared" ref="CR193:CU193" si="996">+CR156*CR107/4</f>
        <v>3.515625</v>
      </c>
      <c r="CS193" s="228">
        <f t="shared" si="996"/>
        <v>3.515625</v>
      </c>
      <c r="CT193" s="228">
        <f t="shared" si="996"/>
        <v>3.515625</v>
      </c>
      <c r="CU193" s="229">
        <f t="shared" si="996"/>
        <v>3.515625</v>
      </c>
      <c r="CV193" s="1330">
        <f t="shared" ref="CV193:CY193" si="997">+CV156*CV107/4</f>
        <v>3.515625</v>
      </c>
      <c r="CW193" s="1330">
        <f t="shared" si="997"/>
        <v>3.515625</v>
      </c>
      <c r="CX193" s="1330">
        <f t="shared" si="997"/>
        <v>3.515625</v>
      </c>
      <c r="CY193" s="1331">
        <f t="shared" si="997"/>
        <v>3.515625</v>
      </c>
      <c r="CZ193" s="1330">
        <f t="shared" ref="CZ193:DC193" si="998">+CZ156*CZ107/4</f>
        <v>3.515625</v>
      </c>
      <c r="DA193" s="1330">
        <f t="shared" si="998"/>
        <v>3.515625</v>
      </c>
      <c r="DB193" s="1330">
        <f t="shared" si="998"/>
        <v>3.515625</v>
      </c>
      <c r="DC193" s="1331">
        <f t="shared" si="998"/>
        <v>3.515625</v>
      </c>
      <c r="DD193" s="231"/>
      <c r="DE193" s="21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228"/>
      <c r="DU193" s="13"/>
      <c r="DV193" s="13">
        <f t="shared" si="989"/>
        <v>7.03125</v>
      </c>
      <c r="DW193" s="13">
        <f t="shared" si="990"/>
        <v>14.0625</v>
      </c>
      <c r="DX193" s="13">
        <f t="shared" si="991"/>
        <v>14.0625</v>
      </c>
      <c r="DY193" s="13">
        <f t="shared" si="992"/>
        <v>14.0625</v>
      </c>
      <c r="DZ193" s="13">
        <f t="shared" si="993"/>
        <v>14.0625</v>
      </c>
      <c r="EA193" s="228">
        <f t="shared" ref="EA193:EA207" si="999">+SUM(CN193:CQ193)</f>
        <v>14.0625</v>
      </c>
      <c r="EB193" s="1330">
        <f t="shared" ref="EB193:EB207" si="1000">+SUM(CR193:CU193)</f>
        <v>14.0625</v>
      </c>
      <c r="EC193" s="1330">
        <f t="shared" ref="EC193:EC206" si="1001">+SUM(CV193:CY193)</f>
        <v>14.0625</v>
      </c>
      <c r="ED193" s="1331">
        <f t="shared" ref="ED193:ED206" si="1002">+SUM(CZ193:DC193)</f>
        <v>14.0625</v>
      </c>
      <c r="EE193" s="21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13"/>
      <c r="FF193" s="13"/>
      <c r="FG193" s="13"/>
      <c r="FH193" s="13"/>
      <c r="FO193" s="7"/>
    </row>
    <row r="194" spans="1:171" ht="14.25" hidden="1" customHeight="1" outlineLevel="1">
      <c r="A194" s="7"/>
      <c r="B194" s="511" t="s">
        <v>117</v>
      </c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21"/>
      <c r="BI194" s="13"/>
      <c r="BJ194" s="13"/>
      <c r="BK194" s="231"/>
      <c r="BL194" s="13"/>
      <c r="BM194" s="13"/>
      <c r="BN194" s="13"/>
      <c r="BO194" s="13"/>
      <c r="BP194" s="21"/>
      <c r="BQ194" s="13"/>
      <c r="BR194" s="13"/>
      <c r="BS194" s="231"/>
      <c r="BT194" s="21"/>
      <c r="BU194" s="228">
        <f t="shared" ref="BU194:CI194" si="1003">+BU157*BU108/4</f>
        <v>0</v>
      </c>
      <c r="BV194" s="228">
        <f t="shared" si="1003"/>
        <v>1.29375</v>
      </c>
      <c r="BW194" s="229">
        <f t="shared" si="1003"/>
        <v>1.29375</v>
      </c>
      <c r="BX194" s="483">
        <f t="shared" si="1003"/>
        <v>1.29375</v>
      </c>
      <c r="BY194" s="228">
        <f t="shared" si="1003"/>
        <v>1.29375</v>
      </c>
      <c r="BZ194" s="228">
        <f t="shared" si="1003"/>
        <v>1.29375</v>
      </c>
      <c r="CA194" s="229">
        <f t="shared" si="1003"/>
        <v>1.29375</v>
      </c>
      <c r="CB194" s="483">
        <f t="shared" si="1003"/>
        <v>1.29375</v>
      </c>
      <c r="CC194" s="228">
        <f t="shared" si="983"/>
        <v>1.29375</v>
      </c>
      <c r="CD194" s="228">
        <f t="shared" si="1003"/>
        <v>1.29375</v>
      </c>
      <c r="CE194" s="229">
        <f t="shared" si="1003"/>
        <v>1.29375</v>
      </c>
      <c r="CF194" s="483">
        <f t="shared" si="1003"/>
        <v>0</v>
      </c>
      <c r="CG194" s="228">
        <f t="shared" si="1003"/>
        <v>0</v>
      </c>
      <c r="CH194" s="228">
        <f t="shared" si="1003"/>
        <v>0</v>
      </c>
      <c r="CI194" s="229">
        <f t="shared" si="1003"/>
        <v>0</v>
      </c>
      <c r="CJ194" s="483">
        <f t="shared" si="984"/>
        <v>0</v>
      </c>
      <c r="CK194" s="228">
        <f t="shared" si="984"/>
        <v>0</v>
      </c>
      <c r="CL194" s="228">
        <f t="shared" si="984"/>
        <v>0</v>
      </c>
      <c r="CM194" s="229">
        <f t="shared" si="984"/>
        <v>0</v>
      </c>
      <c r="CN194" s="228">
        <f t="shared" ref="CN194:CQ194" si="1004">+CN157*CN108/4</f>
        <v>0</v>
      </c>
      <c r="CO194" s="1252">
        <f t="shared" si="985"/>
        <v>0</v>
      </c>
      <c r="CP194" s="228">
        <f t="shared" si="1004"/>
        <v>0</v>
      </c>
      <c r="CQ194" s="229">
        <f t="shared" si="1004"/>
        <v>0</v>
      </c>
      <c r="CR194" s="228">
        <f t="shared" ref="CR194:CU194" si="1005">+CR157*CR108/4</f>
        <v>0</v>
      </c>
      <c r="CS194" s="228">
        <f t="shared" si="1005"/>
        <v>0</v>
      </c>
      <c r="CT194" s="228">
        <f t="shared" si="1005"/>
        <v>0</v>
      </c>
      <c r="CU194" s="229">
        <f t="shared" si="1005"/>
        <v>0</v>
      </c>
      <c r="CV194" s="1330">
        <f t="shared" ref="CV194:CY194" si="1006">+CV157*CV108/4</f>
        <v>0</v>
      </c>
      <c r="CW194" s="1330">
        <f t="shared" si="1006"/>
        <v>0</v>
      </c>
      <c r="CX194" s="1330">
        <f t="shared" si="1006"/>
        <v>0</v>
      </c>
      <c r="CY194" s="1331">
        <f t="shared" si="1006"/>
        <v>0</v>
      </c>
      <c r="CZ194" s="1330">
        <f t="shared" ref="CZ194:DC194" si="1007">+CZ157*CZ108/4</f>
        <v>0</v>
      </c>
      <c r="DA194" s="1330">
        <f t="shared" si="1007"/>
        <v>0</v>
      </c>
      <c r="DB194" s="1330">
        <f t="shared" si="1007"/>
        <v>0</v>
      </c>
      <c r="DC194" s="1331">
        <f t="shared" si="1007"/>
        <v>0</v>
      </c>
      <c r="DD194" s="231"/>
      <c r="DE194" s="21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228"/>
      <c r="DU194" s="13"/>
      <c r="DV194" s="13">
        <f t="shared" si="989"/>
        <v>2.5874999999999999</v>
      </c>
      <c r="DW194" s="13">
        <f t="shared" si="990"/>
        <v>5.1749999999999998</v>
      </c>
      <c r="DX194" s="13">
        <f t="shared" si="991"/>
        <v>5.1749999999999998</v>
      </c>
      <c r="DY194" s="13">
        <f t="shared" si="992"/>
        <v>0</v>
      </c>
      <c r="DZ194" s="13">
        <f t="shared" si="993"/>
        <v>0</v>
      </c>
      <c r="EA194" s="228">
        <f t="shared" si="999"/>
        <v>0</v>
      </c>
      <c r="EB194" s="1330">
        <f t="shared" si="1000"/>
        <v>0</v>
      </c>
      <c r="EC194" s="1330">
        <f t="shared" si="1001"/>
        <v>0</v>
      </c>
      <c r="ED194" s="1331">
        <f t="shared" si="1002"/>
        <v>0</v>
      </c>
      <c r="EE194" s="21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13"/>
      <c r="FF194" s="13"/>
      <c r="FG194" s="13"/>
      <c r="FH194" s="13"/>
      <c r="FO194" s="7"/>
    </row>
    <row r="195" spans="1:171" ht="14.25" hidden="1" customHeight="1" outlineLevel="1">
      <c r="A195" s="7"/>
      <c r="B195" s="511" t="s">
        <v>118</v>
      </c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21"/>
      <c r="BI195" s="13"/>
      <c r="BJ195" s="13"/>
      <c r="BK195" s="231"/>
      <c r="BL195" s="13"/>
      <c r="BM195" s="13"/>
      <c r="BN195" s="13"/>
      <c r="BO195" s="13"/>
      <c r="BP195" s="21"/>
      <c r="BQ195" s="13"/>
      <c r="BR195" s="13"/>
      <c r="BS195" s="231"/>
      <c r="BT195" s="21"/>
      <c r="BU195" s="228">
        <f t="shared" ref="BU195:CI195" si="1008">+BU158*BU109/4</f>
        <v>0</v>
      </c>
      <c r="BV195" s="228">
        <f t="shared" si="1008"/>
        <v>1.6171875</v>
      </c>
      <c r="BW195" s="229">
        <f t="shared" si="1008"/>
        <v>1.6171875</v>
      </c>
      <c r="BX195" s="483">
        <f t="shared" si="1008"/>
        <v>1.6171875</v>
      </c>
      <c r="BY195" s="228">
        <f t="shared" si="1008"/>
        <v>1.6171875</v>
      </c>
      <c r="BZ195" s="228">
        <f t="shared" si="1008"/>
        <v>1.6171875</v>
      </c>
      <c r="CA195" s="229">
        <f t="shared" si="1008"/>
        <v>1.6171875</v>
      </c>
      <c r="CB195" s="483">
        <f t="shared" si="1008"/>
        <v>1.6171875</v>
      </c>
      <c r="CC195" s="228">
        <f t="shared" si="983"/>
        <v>1.6171875</v>
      </c>
      <c r="CD195" s="228">
        <f t="shared" si="1008"/>
        <v>1.6171875</v>
      </c>
      <c r="CE195" s="229">
        <f t="shared" si="1008"/>
        <v>1.6171875</v>
      </c>
      <c r="CF195" s="483">
        <f t="shared" si="1008"/>
        <v>1.6171875</v>
      </c>
      <c r="CG195" s="228">
        <f t="shared" si="1008"/>
        <v>1.6171875</v>
      </c>
      <c r="CH195" s="228">
        <f t="shared" si="1008"/>
        <v>1.6171875</v>
      </c>
      <c r="CI195" s="229">
        <f t="shared" si="1008"/>
        <v>1.6171875</v>
      </c>
      <c r="CJ195" s="483">
        <f t="shared" si="984"/>
        <v>1.6171875</v>
      </c>
      <c r="CK195" s="228">
        <f t="shared" si="984"/>
        <v>1.6171875</v>
      </c>
      <c r="CL195" s="228">
        <f t="shared" si="984"/>
        <v>1.6171875</v>
      </c>
      <c r="CM195" s="229">
        <f t="shared" si="984"/>
        <v>1.6171875</v>
      </c>
      <c r="CN195" s="228">
        <f t="shared" ref="CN195:CQ195" si="1009">+CN158*CN109/4</f>
        <v>1.6171875</v>
      </c>
      <c r="CO195" s="1252">
        <f t="shared" si="985"/>
        <v>1.6171875</v>
      </c>
      <c r="CP195" s="228">
        <f t="shared" si="1009"/>
        <v>1.6171875</v>
      </c>
      <c r="CQ195" s="229">
        <f t="shared" si="1009"/>
        <v>1.6171875</v>
      </c>
      <c r="CR195" s="228">
        <f t="shared" ref="CR195:CU195" si="1010">+CR158*CR109/4</f>
        <v>1.6171875</v>
      </c>
      <c r="CS195" s="228">
        <f t="shared" si="1010"/>
        <v>1.6171875</v>
      </c>
      <c r="CT195" s="228">
        <f t="shared" si="1010"/>
        <v>1.6171875</v>
      </c>
      <c r="CU195" s="229">
        <f t="shared" si="1010"/>
        <v>1.6171875</v>
      </c>
      <c r="CV195" s="1330">
        <f t="shared" ref="CV195:CY195" si="1011">+CV158*CV109/4</f>
        <v>1.6171875</v>
      </c>
      <c r="CW195" s="1330">
        <f t="shared" si="1011"/>
        <v>1.6171875</v>
      </c>
      <c r="CX195" s="1330">
        <f t="shared" si="1011"/>
        <v>1.6171875</v>
      </c>
      <c r="CY195" s="1331">
        <f t="shared" si="1011"/>
        <v>1.6171875</v>
      </c>
      <c r="CZ195" s="1330">
        <f t="shared" ref="CZ195:DC195" si="1012">+CZ158*CZ109/4</f>
        <v>1.6171875</v>
      </c>
      <c r="DA195" s="1330">
        <f t="shared" si="1012"/>
        <v>1.6171875</v>
      </c>
      <c r="DB195" s="1330">
        <f t="shared" si="1012"/>
        <v>1.6171875</v>
      </c>
      <c r="DC195" s="1331">
        <f t="shared" si="1012"/>
        <v>1.6171875</v>
      </c>
      <c r="DD195" s="231"/>
      <c r="DE195" s="21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228"/>
      <c r="DU195" s="13"/>
      <c r="DV195" s="13">
        <f t="shared" si="989"/>
        <v>3.234375</v>
      </c>
      <c r="DW195" s="13">
        <f t="shared" si="990"/>
        <v>6.46875</v>
      </c>
      <c r="DX195" s="13">
        <f t="shared" si="991"/>
        <v>6.46875</v>
      </c>
      <c r="DY195" s="13">
        <f t="shared" si="992"/>
        <v>6.46875</v>
      </c>
      <c r="DZ195" s="13">
        <f t="shared" si="993"/>
        <v>6.46875</v>
      </c>
      <c r="EA195" s="228">
        <f t="shared" si="999"/>
        <v>6.46875</v>
      </c>
      <c r="EB195" s="1330">
        <f t="shared" si="1000"/>
        <v>6.46875</v>
      </c>
      <c r="EC195" s="1330">
        <f t="shared" si="1001"/>
        <v>6.46875</v>
      </c>
      <c r="ED195" s="1331">
        <f t="shared" si="1002"/>
        <v>6.46875</v>
      </c>
      <c r="EE195" s="21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13"/>
      <c r="FF195" s="13"/>
      <c r="FG195" s="13"/>
      <c r="FH195" s="13"/>
      <c r="FO195" s="7"/>
    </row>
    <row r="196" spans="1:171" ht="14.25" hidden="1" customHeight="1" outlineLevel="1">
      <c r="A196" s="7"/>
      <c r="B196" s="511" t="s">
        <v>119</v>
      </c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21"/>
      <c r="BI196" s="13"/>
      <c r="BJ196" s="13"/>
      <c r="BK196" s="231"/>
      <c r="BL196" s="13"/>
      <c r="BM196" s="13"/>
      <c r="BN196" s="13"/>
      <c r="BO196" s="13"/>
      <c r="BP196" s="21"/>
      <c r="BQ196" s="13"/>
      <c r="BR196" s="13"/>
      <c r="BS196" s="231"/>
      <c r="BT196" s="21"/>
      <c r="BU196" s="228">
        <f t="shared" ref="BU196:CI196" si="1013">+BU159*BU110/4</f>
        <v>0</v>
      </c>
      <c r="BV196" s="228">
        <f t="shared" si="1013"/>
        <v>0.8203125</v>
      </c>
      <c r="BW196" s="229">
        <f t="shared" si="1013"/>
        <v>0.8203125</v>
      </c>
      <c r="BX196" s="483">
        <f t="shared" si="1013"/>
        <v>0.8203125</v>
      </c>
      <c r="BY196" s="228">
        <f t="shared" si="1013"/>
        <v>0.8203125</v>
      </c>
      <c r="BZ196" s="228">
        <f t="shared" si="1013"/>
        <v>0.8203125</v>
      </c>
      <c r="CA196" s="229">
        <f t="shared" si="1013"/>
        <v>0.8203125</v>
      </c>
      <c r="CB196" s="483">
        <f t="shared" si="1013"/>
        <v>0.8203125</v>
      </c>
      <c r="CC196" s="228">
        <f t="shared" si="983"/>
        <v>0.8203125</v>
      </c>
      <c r="CD196" s="228">
        <f t="shared" si="1013"/>
        <v>0.8203125</v>
      </c>
      <c r="CE196" s="229">
        <f t="shared" si="1013"/>
        <v>0.8203125</v>
      </c>
      <c r="CF196" s="483">
        <f t="shared" si="1013"/>
        <v>0.8203125</v>
      </c>
      <c r="CG196" s="228">
        <f t="shared" si="1013"/>
        <v>0.8203125</v>
      </c>
      <c r="CH196" s="228">
        <f t="shared" si="1013"/>
        <v>0.8203125</v>
      </c>
      <c r="CI196" s="229">
        <f t="shared" si="1013"/>
        <v>0.8203125</v>
      </c>
      <c r="CJ196" s="483">
        <f t="shared" si="984"/>
        <v>0.8203125</v>
      </c>
      <c r="CK196" s="228">
        <f t="shared" si="984"/>
        <v>0.8203125</v>
      </c>
      <c r="CL196" s="228">
        <f t="shared" si="984"/>
        <v>0.8203125</v>
      </c>
      <c r="CM196" s="229">
        <f t="shared" si="984"/>
        <v>0.8203125</v>
      </c>
      <c r="CN196" s="228">
        <f t="shared" ref="CN196:CQ196" si="1014">+CN159*CN110/4</f>
        <v>0.8203125</v>
      </c>
      <c r="CO196" s="1252">
        <f t="shared" si="985"/>
        <v>0.8203125</v>
      </c>
      <c r="CP196" s="228">
        <f t="shared" si="1014"/>
        <v>0.8203125</v>
      </c>
      <c r="CQ196" s="229">
        <f t="shared" si="1014"/>
        <v>0.8203125</v>
      </c>
      <c r="CR196" s="228">
        <f t="shared" ref="CR196:CU196" si="1015">+CR159*CR110/4</f>
        <v>0.8203125</v>
      </c>
      <c r="CS196" s="228">
        <f t="shared" si="1015"/>
        <v>0.8203125</v>
      </c>
      <c r="CT196" s="228">
        <f t="shared" si="1015"/>
        <v>0.8203125</v>
      </c>
      <c r="CU196" s="229">
        <f t="shared" si="1015"/>
        <v>0.8203125</v>
      </c>
      <c r="CV196" s="1330">
        <f t="shared" ref="CV196:CY196" si="1016">+CV159*CV110/4</f>
        <v>0.8203125</v>
      </c>
      <c r="CW196" s="1330">
        <f t="shared" si="1016"/>
        <v>0.8203125</v>
      </c>
      <c r="CX196" s="1330">
        <f t="shared" si="1016"/>
        <v>0.8203125</v>
      </c>
      <c r="CY196" s="1331">
        <f t="shared" si="1016"/>
        <v>0.8203125</v>
      </c>
      <c r="CZ196" s="1330">
        <f t="shared" ref="CZ196:DC196" si="1017">+CZ159*CZ110/4</f>
        <v>0.8203125</v>
      </c>
      <c r="DA196" s="1330">
        <f t="shared" si="1017"/>
        <v>0.8203125</v>
      </c>
      <c r="DB196" s="1330">
        <f t="shared" si="1017"/>
        <v>0.8203125</v>
      </c>
      <c r="DC196" s="1331">
        <f t="shared" si="1017"/>
        <v>0.8203125</v>
      </c>
      <c r="DD196" s="231"/>
      <c r="DE196" s="21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228"/>
      <c r="DU196" s="13"/>
      <c r="DV196" s="13">
        <f t="shared" si="989"/>
        <v>1.640625</v>
      </c>
      <c r="DW196" s="13">
        <f t="shared" si="990"/>
        <v>3.28125</v>
      </c>
      <c r="DX196" s="13">
        <f t="shared" si="991"/>
        <v>3.28125</v>
      </c>
      <c r="DY196" s="13">
        <f t="shared" si="992"/>
        <v>3.28125</v>
      </c>
      <c r="DZ196" s="13">
        <f t="shared" si="993"/>
        <v>3.28125</v>
      </c>
      <c r="EA196" s="228">
        <f t="shared" si="999"/>
        <v>3.28125</v>
      </c>
      <c r="EB196" s="1330">
        <f t="shared" si="1000"/>
        <v>3.28125</v>
      </c>
      <c r="EC196" s="1330">
        <f t="shared" si="1001"/>
        <v>3.28125</v>
      </c>
      <c r="ED196" s="1331">
        <f t="shared" si="1002"/>
        <v>3.28125</v>
      </c>
      <c r="EE196" s="21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13"/>
      <c r="FF196" s="13"/>
      <c r="FG196" s="13"/>
      <c r="FH196" s="13"/>
      <c r="FO196" s="7"/>
    </row>
    <row r="197" spans="1:171" s="324" customFormat="1" ht="14.25" hidden="1" customHeight="1" outlineLevel="1">
      <c r="A197" s="7"/>
      <c r="B197" s="511" t="s">
        <v>120</v>
      </c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21"/>
      <c r="BI197" s="13"/>
      <c r="BJ197" s="13"/>
      <c r="BK197" s="231"/>
      <c r="BL197" s="13"/>
      <c r="BM197" s="13"/>
      <c r="BN197" s="13"/>
      <c r="BO197" s="13"/>
      <c r="BP197" s="21"/>
      <c r="BQ197" s="13"/>
      <c r="BR197" s="13"/>
      <c r="BS197" s="231"/>
      <c r="BT197" s="21"/>
      <c r="BU197" s="228">
        <f t="shared" ref="BU197:CI197" si="1018">+BU160*BU111/4</f>
        <v>0</v>
      </c>
      <c r="BV197" s="228">
        <f t="shared" si="1018"/>
        <v>4.4489062500000003</v>
      </c>
      <c r="BW197" s="229">
        <f t="shared" si="1018"/>
        <v>4.4489062500000003</v>
      </c>
      <c r="BX197" s="483">
        <f t="shared" si="1018"/>
        <v>4.4489062500000003</v>
      </c>
      <c r="BY197" s="228">
        <f t="shared" si="1018"/>
        <v>4.4489062500000003</v>
      </c>
      <c r="BZ197" s="228">
        <f t="shared" si="1018"/>
        <v>4.4489062500000003</v>
      </c>
      <c r="CA197" s="229">
        <f t="shared" si="1018"/>
        <v>4.4489062500000003</v>
      </c>
      <c r="CB197" s="483">
        <f t="shared" si="1018"/>
        <v>4.4489062500000003</v>
      </c>
      <c r="CC197" s="228">
        <f t="shared" si="983"/>
        <v>4.4489062500000003</v>
      </c>
      <c r="CD197" s="228">
        <f t="shared" si="1018"/>
        <v>4.4489062500000003</v>
      </c>
      <c r="CE197" s="229">
        <f>+CE160*CE111/4</f>
        <v>0</v>
      </c>
      <c r="CF197" s="483">
        <f t="shared" si="1018"/>
        <v>0</v>
      </c>
      <c r="CG197" s="228">
        <f t="shared" si="1018"/>
        <v>0</v>
      </c>
      <c r="CH197" s="228">
        <f t="shared" si="1018"/>
        <v>0</v>
      </c>
      <c r="CI197" s="229">
        <f t="shared" si="1018"/>
        <v>0</v>
      </c>
      <c r="CJ197" s="483">
        <f t="shared" si="984"/>
        <v>0</v>
      </c>
      <c r="CK197" s="228">
        <f t="shared" si="984"/>
        <v>0</v>
      </c>
      <c r="CL197" s="228">
        <f t="shared" si="984"/>
        <v>0</v>
      </c>
      <c r="CM197" s="229">
        <f t="shared" si="984"/>
        <v>0</v>
      </c>
      <c r="CN197" s="228">
        <f t="shared" ref="CN197:CQ197" si="1019">+CN160*CN111/4</f>
        <v>0</v>
      </c>
      <c r="CO197" s="1252">
        <f t="shared" si="985"/>
        <v>0</v>
      </c>
      <c r="CP197" s="228">
        <f t="shared" si="1019"/>
        <v>0</v>
      </c>
      <c r="CQ197" s="229">
        <f t="shared" si="1019"/>
        <v>0</v>
      </c>
      <c r="CR197" s="228">
        <f t="shared" ref="CR197:CU197" si="1020">+CR160*CR111/4</f>
        <v>0</v>
      </c>
      <c r="CS197" s="228">
        <f t="shared" si="1020"/>
        <v>0</v>
      </c>
      <c r="CT197" s="228">
        <f t="shared" si="1020"/>
        <v>0</v>
      </c>
      <c r="CU197" s="229">
        <f t="shared" si="1020"/>
        <v>0</v>
      </c>
      <c r="CV197" s="1330">
        <f t="shared" ref="CV197:CY197" si="1021">+CV160*CV111/4</f>
        <v>0</v>
      </c>
      <c r="CW197" s="1330">
        <f t="shared" si="1021"/>
        <v>0</v>
      </c>
      <c r="CX197" s="1330">
        <f t="shared" si="1021"/>
        <v>0</v>
      </c>
      <c r="CY197" s="1331">
        <f t="shared" si="1021"/>
        <v>0</v>
      </c>
      <c r="CZ197" s="1330">
        <f t="shared" ref="CZ197:DC197" si="1022">+CZ160*CZ111/4</f>
        <v>0</v>
      </c>
      <c r="DA197" s="1330">
        <f t="shared" si="1022"/>
        <v>0</v>
      </c>
      <c r="DB197" s="1330">
        <f t="shared" si="1022"/>
        <v>0</v>
      </c>
      <c r="DC197" s="1331">
        <f t="shared" si="1022"/>
        <v>0</v>
      </c>
      <c r="DD197" s="231"/>
      <c r="DE197" s="21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228"/>
      <c r="DU197" s="13"/>
      <c r="DV197" s="13">
        <f t="shared" si="989"/>
        <v>8.8978125000000006</v>
      </c>
      <c r="DW197" s="13">
        <f t="shared" si="990"/>
        <v>17.795625000000001</v>
      </c>
      <c r="DX197" s="13">
        <f t="shared" si="991"/>
        <v>13.346718750000001</v>
      </c>
      <c r="DY197" s="13">
        <f t="shared" si="992"/>
        <v>0</v>
      </c>
      <c r="DZ197" s="13">
        <f t="shared" si="993"/>
        <v>0</v>
      </c>
      <c r="EA197" s="228">
        <f t="shared" si="999"/>
        <v>0</v>
      </c>
      <c r="EB197" s="1330">
        <f t="shared" si="1000"/>
        <v>0</v>
      </c>
      <c r="EC197" s="1330">
        <f t="shared" si="1001"/>
        <v>0</v>
      </c>
      <c r="ED197" s="1331">
        <f t="shared" si="1002"/>
        <v>0</v>
      </c>
      <c r="EE197" s="21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13"/>
      <c r="FF197" s="13"/>
      <c r="FG197" s="13"/>
      <c r="FH197" s="13"/>
      <c r="FI197"/>
      <c r="FJ197"/>
      <c r="FK197"/>
      <c r="FL197"/>
      <c r="FM197"/>
      <c r="FN197"/>
      <c r="FO197" s="7"/>
    </row>
    <row r="198" spans="1:171" s="324" customFormat="1" ht="14.25" hidden="1" customHeight="1" outlineLevel="1">
      <c r="A198" s="7"/>
      <c r="B198" s="624" t="s">
        <v>217</v>
      </c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21"/>
      <c r="BI198" s="13"/>
      <c r="BJ198" s="13"/>
      <c r="BK198" s="231"/>
      <c r="BL198" s="13"/>
      <c r="BM198" s="13"/>
      <c r="BN198" s="13"/>
      <c r="BO198" s="13"/>
      <c r="BP198" s="21"/>
      <c r="BQ198" s="13"/>
      <c r="BR198" s="13"/>
      <c r="BS198" s="231"/>
      <c r="BT198" s="21"/>
      <c r="BU198" s="228"/>
      <c r="BV198" s="228"/>
      <c r="BW198" s="227"/>
      <c r="BX198" s="483">
        <f>+BX112*BX161/4</f>
        <v>0</v>
      </c>
      <c r="BY198" s="228">
        <f t="shared" ref="BY198:CI198" si="1023">+BY112*BY161/4</f>
        <v>0</v>
      </c>
      <c r="BZ198" s="228">
        <f t="shared" si="1023"/>
        <v>0</v>
      </c>
      <c r="CA198" s="227">
        <f t="shared" si="1023"/>
        <v>0</v>
      </c>
      <c r="CB198" s="483">
        <f t="shared" si="1023"/>
        <v>0</v>
      </c>
      <c r="CC198" s="228">
        <f>+CC112*CC161/4</f>
        <v>0</v>
      </c>
      <c r="CD198" s="228">
        <f t="shared" si="1023"/>
        <v>0</v>
      </c>
      <c r="CE198" s="227">
        <f t="shared" si="1023"/>
        <v>0</v>
      </c>
      <c r="CF198" s="483">
        <f t="shared" si="1023"/>
        <v>0</v>
      </c>
      <c r="CG198" s="228">
        <f t="shared" si="1023"/>
        <v>0</v>
      </c>
      <c r="CH198" s="228">
        <f t="shared" si="1023"/>
        <v>0</v>
      </c>
      <c r="CI198" s="227">
        <f t="shared" si="1023"/>
        <v>0</v>
      </c>
      <c r="CJ198" s="483">
        <f t="shared" ref="CJ198:CQ203" si="1024">+CJ112*CJ161/4</f>
        <v>0</v>
      </c>
      <c r="CK198" s="228">
        <f t="shared" si="1024"/>
        <v>0</v>
      </c>
      <c r="CL198" s="228">
        <f t="shared" si="1024"/>
        <v>0</v>
      </c>
      <c r="CM198" s="227">
        <f t="shared" si="1024"/>
        <v>0</v>
      </c>
      <c r="CN198" s="228">
        <f t="shared" si="1024"/>
        <v>0</v>
      </c>
      <c r="CO198" s="1252">
        <f t="shared" si="1024"/>
        <v>0</v>
      </c>
      <c r="CP198" s="228">
        <f t="shared" si="1024"/>
        <v>0</v>
      </c>
      <c r="CQ198" s="229">
        <f t="shared" si="1024"/>
        <v>0</v>
      </c>
      <c r="CR198" s="228">
        <f t="shared" ref="CR198:CU198" si="1025">+CR112*CR161/4</f>
        <v>0</v>
      </c>
      <c r="CS198" s="228">
        <f t="shared" si="1025"/>
        <v>0</v>
      </c>
      <c r="CT198" s="228">
        <f t="shared" si="1025"/>
        <v>0</v>
      </c>
      <c r="CU198" s="229">
        <f t="shared" si="1025"/>
        <v>0</v>
      </c>
      <c r="CV198" s="1330">
        <f t="shared" ref="CV198:CY198" si="1026">+CV112*CV161/4</f>
        <v>0</v>
      </c>
      <c r="CW198" s="1330">
        <f t="shared" si="1026"/>
        <v>0</v>
      </c>
      <c r="CX198" s="1330">
        <f t="shared" si="1026"/>
        <v>0</v>
      </c>
      <c r="CY198" s="1331">
        <f t="shared" si="1026"/>
        <v>0</v>
      </c>
      <c r="CZ198" s="1330">
        <f t="shared" ref="CZ198:DC198" si="1027">+CZ112*CZ161/4</f>
        <v>0</v>
      </c>
      <c r="DA198" s="1330">
        <f t="shared" si="1027"/>
        <v>0</v>
      </c>
      <c r="DB198" s="1330">
        <f t="shared" si="1027"/>
        <v>0</v>
      </c>
      <c r="DC198" s="1331">
        <f t="shared" si="1027"/>
        <v>0</v>
      </c>
      <c r="DD198" s="231"/>
      <c r="DE198" s="21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228"/>
      <c r="DU198" s="13"/>
      <c r="DV198" s="13"/>
      <c r="DW198" s="13">
        <f t="shared" ref="DW198:DW205" si="1028">+SUM(BX198:CA198)</f>
        <v>0</v>
      </c>
      <c r="DX198" s="13">
        <f t="shared" ref="DX198:DX205" si="1029">+SUM(CB198:CE198)</f>
        <v>0</v>
      </c>
      <c r="DY198" s="13">
        <f t="shared" ref="DY198:DY205" si="1030">+SUM(CF198:CI198)</f>
        <v>0</v>
      </c>
      <c r="DZ198" s="13">
        <f t="shared" ref="DZ198:DZ205" si="1031">+SUM(CJ198:CM198)</f>
        <v>0</v>
      </c>
      <c r="EA198" s="228">
        <f t="shared" si="999"/>
        <v>0</v>
      </c>
      <c r="EB198" s="1330">
        <f t="shared" si="1000"/>
        <v>0</v>
      </c>
      <c r="EC198" s="1330">
        <f t="shared" si="1001"/>
        <v>0</v>
      </c>
      <c r="ED198" s="1331">
        <f t="shared" si="1002"/>
        <v>0</v>
      </c>
      <c r="EE198" s="21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13"/>
      <c r="FF198" s="13"/>
      <c r="FG198" s="13"/>
      <c r="FH198" s="13"/>
      <c r="FI198"/>
      <c r="FJ198"/>
      <c r="FK198"/>
      <c r="FL198"/>
      <c r="FM198"/>
      <c r="FN198"/>
      <c r="FO198" s="7"/>
    </row>
    <row r="199" spans="1:171" s="324" customFormat="1" ht="14.25" hidden="1" customHeight="1" outlineLevel="1">
      <c r="A199" s="7"/>
      <c r="B199" s="511" t="s">
        <v>482</v>
      </c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21"/>
      <c r="BI199" s="13"/>
      <c r="BJ199" s="13"/>
      <c r="BK199" s="231"/>
      <c r="BL199" s="13"/>
      <c r="BM199" s="13"/>
      <c r="BN199" s="13"/>
      <c r="BO199" s="13"/>
      <c r="BP199" s="21"/>
      <c r="BQ199" s="13"/>
      <c r="BR199" s="13"/>
      <c r="BS199" s="231"/>
      <c r="BT199" s="21"/>
      <c r="BU199" s="228"/>
      <c r="BV199" s="228"/>
      <c r="BW199" s="227"/>
      <c r="BX199" s="483"/>
      <c r="BY199" s="228"/>
      <c r="BZ199" s="228"/>
      <c r="CA199" s="227"/>
      <c r="CB199" s="483">
        <f t="shared" ref="CB199:CL199" si="1032">+CB113*CB162/4</f>
        <v>0</v>
      </c>
      <c r="CC199" s="228">
        <f t="shared" si="1032"/>
        <v>0</v>
      </c>
      <c r="CD199" s="228">
        <f t="shared" si="1032"/>
        <v>0</v>
      </c>
      <c r="CE199" s="227">
        <f t="shared" si="1032"/>
        <v>0</v>
      </c>
      <c r="CF199" s="483">
        <f t="shared" si="1032"/>
        <v>0</v>
      </c>
      <c r="CG199" s="228">
        <f t="shared" si="1032"/>
        <v>13.125</v>
      </c>
      <c r="CH199" s="228">
        <f t="shared" si="1032"/>
        <v>13.125</v>
      </c>
      <c r="CI199" s="227">
        <f t="shared" si="1032"/>
        <v>13.125</v>
      </c>
      <c r="CJ199" s="483">
        <f t="shared" si="1032"/>
        <v>13.125</v>
      </c>
      <c r="CK199" s="228">
        <f t="shared" si="1032"/>
        <v>13.125</v>
      </c>
      <c r="CL199" s="228">
        <f t="shared" si="1032"/>
        <v>13.125</v>
      </c>
      <c r="CM199" s="227">
        <f t="shared" ref="CM199" si="1033">+CM113*CM162/4</f>
        <v>13.125</v>
      </c>
      <c r="CN199" s="228">
        <f t="shared" ref="CN199:CQ199" si="1034">+CN113*CN162/4</f>
        <v>13.125</v>
      </c>
      <c r="CO199" s="1252">
        <f t="shared" si="1024"/>
        <v>13.125</v>
      </c>
      <c r="CP199" s="228">
        <f t="shared" si="1034"/>
        <v>13.125</v>
      </c>
      <c r="CQ199" s="229">
        <f t="shared" si="1034"/>
        <v>13.125</v>
      </c>
      <c r="CR199" s="228">
        <f t="shared" ref="CR199:CU199" si="1035">+CR113*CR162/4</f>
        <v>13.125</v>
      </c>
      <c r="CS199" s="228">
        <f t="shared" si="1035"/>
        <v>13.125</v>
      </c>
      <c r="CT199" s="228">
        <f t="shared" si="1035"/>
        <v>13.125</v>
      </c>
      <c r="CU199" s="229">
        <f t="shared" si="1035"/>
        <v>13.125</v>
      </c>
      <c r="CV199" s="1330">
        <f t="shared" ref="CV199:CY199" si="1036">+CV113*CV162/4</f>
        <v>13.125</v>
      </c>
      <c r="CW199" s="1330">
        <f t="shared" si="1036"/>
        <v>13.125</v>
      </c>
      <c r="CX199" s="1330">
        <f t="shared" si="1036"/>
        <v>13.125</v>
      </c>
      <c r="CY199" s="1331">
        <f t="shared" si="1036"/>
        <v>13.125</v>
      </c>
      <c r="CZ199" s="1330">
        <f t="shared" ref="CZ199:DC199" si="1037">+CZ113*CZ162/4</f>
        <v>13.125</v>
      </c>
      <c r="DA199" s="1330">
        <f t="shared" si="1037"/>
        <v>13.125</v>
      </c>
      <c r="DB199" s="1330">
        <f t="shared" si="1037"/>
        <v>13.125</v>
      </c>
      <c r="DC199" s="1331">
        <f t="shared" si="1037"/>
        <v>13.125</v>
      </c>
      <c r="DD199" s="231"/>
      <c r="DE199" s="21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228"/>
      <c r="DU199" s="13"/>
      <c r="DV199" s="13"/>
      <c r="DW199" s="13">
        <f t="shared" si="1028"/>
        <v>0</v>
      </c>
      <c r="DX199" s="13">
        <f t="shared" si="1029"/>
        <v>0</v>
      </c>
      <c r="DY199" s="13">
        <f t="shared" si="1030"/>
        <v>39.375</v>
      </c>
      <c r="DZ199" s="13">
        <f t="shared" si="1031"/>
        <v>52.5</v>
      </c>
      <c r="EA199" s="228">
        <f t="shared" si="999"/>
        <v>52.5</v>
      </c>
      <c r="EB199" s="1330">
        <f t="shared" si="1000"/>
        <v>52.5</v>
      </c>
      <c r="EC199" s="1330">
        <f t="shared" si="1001"/>
        <v>52.5</v>
      </c>
      <c r="ED199" s="1331">
        <f t="shared" si="1002"/>
        <v>52.5</v>
      </c>
      <c r="EE199" s="21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13"/>
      <c r="FF199" s="13"/>
      <c r="FG199" s="13"/>
      <c r="FH199" s="13"/>
      <c r="FI199"/>
      <c r="FJ199"/>
      <c r="FK199"/>
      <c r="FL199"/>
      <c r="FM199"/>
      <c r="FN199"/>
      <c r="FO199" s="7"/>
    </row>
    <row r="200" spans="1:171" s="324" customFormat="1" ht="14.25" hidden="1" customHeight="1" outlineLevel="1">
      <c r="A200" s="7"/>
      <c r="B200" s="511" t="s">
        <v>542</v>
      </c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21"/>
      <c r="BI200" s="13"/>
      <c r="BJ200" s="13"/>
      <c r="BK200" s="231"/>
      <c r="BL200" s="13"/>
      <c r="BM200" s="13"/>
      <c r="BN200" s="13"/>
      <c r="BO200" s="13"/>
      <c r="BP200" s="21"/>
      <c r="BQ200" s="13"/>
      <c r="BR200" s="13"/>
      <c r="BS200" s="231"/>
      <c r="BT200" s="21"/>
      <c r="BU200" s="228"/>
      <c r="BV200" s="228"/>
      <c r="BW200" s="227"/>
      <c r="BX200" s="483"/>
      <c r="BY200" s="228"/>
      <c r="BZ200" s="228"/>
      <c r="CA200" s="227"/>
      <c r="CB200" s="483">
        <f t="shared" ref="CB200:CL200" si="1038">+CB114*CB163/4</f>
        <v>0</v>
      </c>
      <c r="CC200" s="228">
        <f t="shared" si="1038"/>
        <v>0</v>
      </c>
      <c r="CD200" s="228">
        <f t="shared" si="1038"/>
        <v>0</v>
      </c>
      <c r="CE200" s="227">
        <f t="shared" si="1038"/>
        <v>0</v>
      </c>
      <c r="CF200" s="483">
        <f t="shared" si="1038"/>
        <v>0</v>
      </c>
      <c r="CG200" s="228">
        <f t="shared" si="1038"/>
        <v>0</v>
      </c>
      <c r="CH200" s="228">
        <f t="shared" si="1038"/>
        <v>7.21875</v>
      </c>
      <c r="CI200" s="227">
        <f t="shared" si="1038"/>
        <v>7.21875</v>
      </c>
      <c r="CJ200" s="483">
        <f t="shared" si="1038"/>
        <v>7.21875</v>
      </c>
      <c r="CK200" s="228">
        <f t="shared" si="1038"/>
        <v>7.21875</v>
      </c>
      <c r="CL200" s="228">
        <f t="shared" si="1038"/>
        <v>7.21875</v>
      </c>
      <c r="CM200" s="227">
        <f t="shared" ref="CM200" si="1039">+CM114*CM163/4</f>
        <v>7.21875</v>
      </c>
      <c r="CN200" s="228">
        <f t="shared" ref="CN200:CQ200" si="1040">+CN114*CN163/4</f>
        <v>7.21875</v>
      </c>
      <c r="CO200" s="1252">
        <f t="shared" si="1024"/>
        <v>7.21875</v>
      </c>
      <c r="CP200" s="228">
        <f t="shared" si="1040"/>
        <v>7.21875</v>
      </c>
      <c r="CQ200" s="229">
        <f t="shared" si="1040"/>
        <v>7.21875</v>
      </c>
      <c r="CR200" s="228">
        <f t="shared" ref="CR200:CU200" si="1041">+CR114*CR163/4</f>
        <v>7.21875</v>
      </c>
      <c r="CS200" s="228">
        <f t="shared" si="1041"/>
        <v>7.21875</v>
      </c>
      <c r="CT200" s="228">
        <f t="shared" si="1041"/>
        <v>7.21875</v>
      </c>
      <c r="CU200" s="229">
        <f t="shared" si="1041"/>
        <v>7.21875</v>
      </c>
      <c r="CV200" s="1330">
        <f t="shared" ref="CV200:CY200" si="1042">+CV114*CV163/4</f>
        <v>7.21875</v>
      </c>
      <c r="CW200" s="1330">
        <f t="shared" si="1042"/>
        <v>7.21875</v>
      </c>
      <c r="CX200" s="1330">
        <f t="shared" si="1042"/>
        <v>7.21875</v>
      </c>
      <c r="CY200" s="1331">
        <f t="shared" si="1042"/>
        <v>7.21875</v>
      </c>
      <c r="CZ200" s="1330">
        <f t="shared" ref="CZ200:DC200" si="1043">+CZ114*CZ163/4</f>
        <v>7.21875</v>
      </c>
      <c r="DA200" s="1330">
        <f t="shared" si="1043"/>
        <v>7.21875</v>
      </c>
      <c r="DB200" s="1330">
        <f t="shared" si="1043"/>
        <v>7.21875</v>
      </c>
      <c r="DC200" s="1331">
        <f t="shared" si="1043"/>
        <v>7.21875</v>
      </c>
      <c r="DD200" s="231"/>
      <c r="DE200" s="21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228"/>
      <c r="DU200" s="13"/>
      <c r="DV200" s="13"/>
      <c r="DW200" s="13">
        <f t="shared" si="1028"/>
        <v>0</v>
      </c>
      <c r="DX200" s="13">
        <f t="shared" si="1029"/>
        <v>0</v>
      </c>
      <c r="DY200" s="13">
        <f t="shared" si="1030"/>
        <v>14.4375</v>
      </c>
      <c r="DZ200" s="13">
        <f t="shared" si="1031"/>
        <v>28.875</v>
      </c>
      <c r="EA200" s="228">
        <f t="shared" si="999"/>
        <v>28.875</v>
      </c>
      <c r="EB200" s="1330">
        <f t="shared" si="1000"/>
        <v>28.875</v>
      </c>
      <c r="EC200" s="1330">
        <f t="shared" si="1001"/>
        <v>28.875</v>
      </c>
      <c r="ED200" s="1331">
        <f t="shared" si="1002"/>
        <v>28.875</v>
      </c>
      <c r="EE200" s="21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13"/>
      <c r="FF200" s="13"/>
      <c r="FG200" s="13"/>
      <c r="FH200" s="13"/>
      <c r="FI200"/>
      <c r="FJ200"/>
      <c r="FK200"/>
      <c r="FL200"/>
      <c r="FM200"/>
      <c r="FN200"/>
      <c r="FO200" s="7"/>
    </row>
    <row r="201" spans="1:171" s="324" customFormat="1" ht="14.25" hidden="1" customHeight="1" outlineLevel="1">
      <c r="A201" s="7"/>
      <c r="B201" s="511" t="s">
        <v>543</v>
      </c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21"/>
      <c r="BI201" s="13"/>
      <c r="BJ201" s="13"/>
      <c r="BK201" s="231"/>
      <c r="BL201" s="13"/>
      <c r="BM201" s="13"/>
      <c r="BN201" s="13"/>
      <c r="BO201" s="13"/>
      <c r="BP201" s="21"/>
      <c r="BQ201" s="13"/>
      <c r="BR201" s="13"/>
      <c r="BS201" s="231"/>
      <c r="BT201" s="21"/>
      <c r="BU201" s="228"/>
      <c r="BV201" s="228"/>
      <c r="BW201" s="227"/>
      <c r="BX201" s="483"/>
      <c r="BY201" s="228"/>
      <c r="BZ201" s="228"/>
      <c r="CA201" s="227"/>
      <c r="CB201" s="483">
        <f t="shared" ref="CB201:CL201" si="1044">+CB115*CB164/4</f>
        <v>0</v>
      </c>
      <c r="CC201" s="228">
        <f t="shared" si="1044"/>
        <v>0</v>
      </c>
      <c r="CD201" s="228">
        <f t="shared" si="1044"/>
        <v>0</v>
      </c>
      <c r="CE201" s="227">
        <f t="shared" si="1044"/>
        <v>0</v>
      </c>
      <c r="CF201" s="483">
        <f t="shared" si="1044"/>
        <v>0</v>
      </c>
      <c r="CG201" s="228">
        <f t="shared" si="1044"/>
        <v>0</v>
      </c>
      <c r="CH201" s="228">
        <f t="shared" si="1044"/>
        <v>6.328125</v>
      </c>
      <c r="CI201" s="227">
        <f t="shared" si="1044"/>
        <v>6.328125</v>
      </c>
      <c r="CJ201" s="483">
        <f t="shared" si="1044"/>
        <v>6.328125</v>
      </c>
      <c r="CK201" s="228">
        <f t="shared" si="1044"/>
        <v>6.328125</v>
      </c>
      <c r="CL201" s="228">
        <f t="shared" si="1044"/>
        <v>6.328125</v>
      </c>
      <c r="CM201" s="227">
        <f t="shared" ref="CM201" si="1045">+CM115*CM164/4</f>
        <v>6.328125</v>
      </c>
      <c r="CN201" s="228">
        <f t="shared" ref="CN201:CQ201" si="1046">+CN115*CN164/4</f>
        <v>6.328125</v>
      </c>
      <c r="CO201" s="1252">
        <f t="shared" si="1024"/>
        <v>6.328125</v>
      </c>
      <c r="CP201" s="228">
        <f t="shared" si="1046"/>
        <v>6.328125</v>
      </c>
      <c r="CQ201" s="229">
        <f t="shared" si="1046"/>
        <v>6.328125</v>
      </c>
      <c r="CR201" s="228">
        <f t="shared" ref="CR201:CU201" si="1047">+CR115*CR164/4</f>
        <v>6.328125</v>
      </c>
      <c r="CS201" s="228">
        <f t="shared" si="1047"/>
        <v>6.328125</v>
      </c>
      <c r="CT201" s="228">
        <f t="shared" si="1047"/>
        <v>6.328125</v>
      </c>
      <c r="CU201" s="229">
        <f t="shared" si="1047"/>
        <v>6.328125</v>
      </c>
      <c r="CV201" s="1330">
        <f t="shared" ref="CV201:CY201" si="1048">+CV115*CV164/4</f>
        <v>6.328125</v>
      </c>
      <c r="CW201" s="1330">
        <f t="shared" si="1048"/>
        <v>6.328125</v>
      </c>
      <c r="CX201" s="1330">
        <f t="shared" si="1048"/>
        <v>6.328125</v>
      </c>
      <c r="CY201" s="1331">
        <f t="shared" si="1048"/>
        <v>6.328125</v>
      </c>
      <c r="CZ201" s="1330">
        <f t="shared" ref="CZ201:DC201" si="1049">+CZ115*CZ164/4</f>
        <v>6.328125</v>
      </c>
      <c r="DA201" s="1330">
        <f t="shared" si="1049"/>
        <v>6.328125</v>
      </c>
      <c r="DB201" s="1330">
        <f t="shared" si="1049"/>
        <v>6.328125</v>
      </c>
      <c r="DC201" s="1331">
        <f t="shared" si="1049"/>
        <v>6.328125</v>
      </c>
      <c r="DD201" s="231"/>
      <c r="DE201" s="21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228"/>
      <c r="DU201" s="13"/>
      <c r="DV201" s="13"/>
      <c r="DW201" s="13">
        <f t="shared" si="1028"/>
        <v>0</v>
      </c>
      <c r="DX201" s="13">
        <f t="shared" si="1029"/>
        <v>0</v>
      </c>
      <c r="DY201" s="13">
        <f t="shared" si="1030"/>
        <v>12.65625</v>
      </c>
      <c r="DZ201" s="13">
        <f t="shared" si="1031"/>
        <v>25.3125</v>
      </c>
      <c r="EA201" s="228">
        <f t="shared" si="999"/>
        <v>25.3125</v>
      </c>
      <c r="EB201" s="1330">
        <f t="shared" si="1000"/>
        <v>25.3125</v>
      </c>
      <c r="EC201" s="1330">
        <f t="shared" si="1001"/>
        <v>25.3125</v>
      </c>
      <c r="ED201" s="1331">
        <f t="shared" si="1002"/>
        <v>25.3125</v>
      </c>
      <c r="EE201" s="21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13"/>
      <c r="FF201" s="13"/>
      <c r="FG201" s="13"/>
      <c r="FH201" s="13"/>
      <c r="FI201"/>
      <c r="FJ201"/>
      <c r="FK201"/>
      <c r="FL201"/>
      <c r="FM201"/>
      <c r="FN201"/>
      <c r="FO201" s="7"/>
    </row>
    <row r="202" spans="1:171" s="324" customFormat="1" ht="14.25" hidden="1" customHeight="1" outlineLevel="1">
      <c r="A202" s="7"/>
      <c r="B202" s="634" t="s">
        <v>564</v>
      </c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21"/>
      <c r="BI202" s="13"/>
      <c r="BJ202" s="13"/>
      <c r="BK202" s="231"/>
      <c r="BL202" s="13"/>
      <c r="BM202" s="13"/>
      <c r="BN202" s="13"/>
      <c r="BO202" s="13"/>
      <c r="BP202" s="21"/>
      <c r="BQ202" s="13"/>
      <c r="BR202" s="13"/>
      <c r="BS202" s="231"/>
      <c r="BT202" s="21"/>
      <c r="BU202" s="228"/>
      <c r="BV202" s="228"/>
      <c r="BW202" s="227"/>
      <c r="BX202" s="483"/>
      <c r="BY202" s="228"/>
      <c r="BZ202" s="228"/>
      <c r="CA202" s="227"/>
      <c r="CB202" s="483"/>
      <c r="CC202" s="228"/>
      <c r="CD202" s="228"/>
      <c r="CE202" s="227"/>
      <c r="CF202" s="483"/>
      <c r="CG202" s="228"/>
      <c r="CH202" s="228"/>
      <c r="CI202" s="227"/>
      <c r="CJ202" s="483"/>
      <c r="CK202" s="228"/>
      <c r="CL202" s="228">
        <f>+CL116*CL165/4/3</f>
        <v>7.8125</v>
      </c>
      <c r="CM202" s="227"/>
      <c r="CN202" s="228">
        <f t="shared" ref="CN202:CQ202" si="1050">+CN116*CN165/4</f>
        <v>0</v>
      </c>
      <c r="CO202" s="1252">
        <f t="shared" si="1024"/>
        <v>0</v>
      </c>
      <c r="CP202" s="228">
        <f t="shared" si="1050"/>
        <v>0</v>
      </c>
      <c r="CQ202" s="229">
        <f t="shared" si="1050"/>
        <v>0</v>
      </c>
      <c r="CR202" s="228">
        <f t="shared" ref="CR202:CU202" si="1051">+CR116*CR165/4</f>
        <v>0</v>
      </c>
      <c r="CS202" s="228">
        <f t="shared" si="1051"/>
        <v>0</v>
      </c>
      <c r="CT202" s="228">
        <f t="shared" si="1051"/>
        <v>0</v>
      </c>
      <c r="CU202" s="229">
        <f t="shared" si="1051"/>
        <v>0</v>
      </c>
      <c r="CV202" s="1330">
        <f t="shared" ref="CV202:CY202" si="1052">+CV116*CV165/4</f>
        <v>0</v>
      </c>
      <c r="CW202" s="1330">
        <f t="shared" si="1052"/>
        <v>0</v>
      </c>
      <c r="CX202" s="1330">
        <f t="shared" si="1052"/>
        <v>0</v>
      </c>
      <c r="CY202" s="1331">
        <f t="shared" si="1052"/>
        <v>0</v>
      </c>
      <c r="CZ202" s="1330">
        <f t="shared" ref="CZ202:DC202" si="1053">+CZ116*CZ165/4</f>
        <v>0</v>
      </c>
      <c r="DA202" s="1330">
        <f t="shared" si="1053"/>
        <v>0</v>
      </c>
      <c r="DB202" s="1330">
        <f t="shared" si="1053"/>
        <v>0</v>
      </c>
      <c r="DC202" s="1331">
        <f t="shared" si="1053"/>
        <v>0</v>
      </c>
      <c r="DD202" s="231"/>
      <c r="DE202" s="21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228"/>
      <c r="DU202" s="13"/>
      <c r="DV202" s="13"/>
      <c r="DW202" s="13">
        <f t="shared" ref="DW202:DW203" si="1054">+SUM(BX202:CA202)</f>
        <v>0</v>
      </c>
      <c r="DX202" s="13">
        <f t="shared" ref="DX202:DX203" si="1055">+SUM(CB202:CE202)</f>
        <v>0</v>
      </c>
      <c r="DY202" s="13">
        <f t="shared" ref="DY202:DY203" si="1056">+SUM(CF202:CI202)</f>
        <v>0</v>
      </c>
      <c r="DZ202" s="13">
        <f t="shared" ref="DZ202:DZ203" si="1057">+SUM(CJ202:CM202)</f>
        <v>7.8125</v>
      </c>
      <c r="EA202" s="228">
        <f t="shared" ref="EA202:EA203" si="1058">+SUM(CN202:CQ202)</f>
        <v>0</v>
      </c>
      <c r="EB202" s="1330">
        <f t="shared" si="1000"/>
        <v>0</v>
      </c>
      <c r="EC202" s="1330">
        <f t="shared" si="1001"/>
        <v>0</v>
      </c>
      <c r="ED202" s="1331">
        <f t="shared" si="1002"/>
        <v>0</v>
      </c>
      <c r="EE202" s="21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13"/>
      <c r="FF202" s="13"/>
      <c r="FG202" s="13"/>
      <c r="FH202" s="13"/>
      <c r="FI202"/>
      <c r="FJ202"/>
      <c r="FK202"/>
      <c r="FL202"/>
      <c r="FM202"/>
      <c r="FN202"/>
      <c r="FO202" s="7"/>
    </row>
    <row r="203" spans="1:171" s="324" customFormat="1" ht="14.25" hidden="1" customHeight="1" outlineLevel="1">
      <c r="A203" s="7"/>
      <c r="B203" s="634" t="s">
        <v>565</v>
      </c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21"/>
      <c r="BI203" s="13"/>
      <c r="BJ203" s="13"/>
      <c r="BK203" s="231"/>
      <c r="BL203" s="13"/>
      <c r="BM203" s="13"/>
      <c r="BN203" s="13"/>
      <c r="BO203" s="13"/>
      <c r="BP203" s="21"/>
      <c r="BQ203" s="13"/>
      <c r="BR203" s="13"/>
      <c r="BS203" s="231"/>
      <c r="BT203" s="21"/>
      <c r="BU203" s="228"/>
      <c r="BV203" s="228"/>
      <c r="BW203" s="227"/>
      <c r="BX203" s="483"/>
      <c r="BY203" s="228"/>
      <c r="BZ203" s="228"/>
      <c r="CA203" s="227"/>
      <c r="CB203" s="483"/>
      <c r="CC203" s="228"/>
      <c r="CD203" s="228"/>
      <c r="CE203" s="227"/>
      <c r="CF203" s="483"/>
      <c r="CG203" s="228"/>
      <c r="CH203" s="228"/>
      <c r="CI203" s="227"/>
      <c r="CJ203" s="483"/>
      <c r="CK203" s="228"/>
      <c r="CL203" s="228">
        <f>+CL117*CL166/4/3</f>
        <v>4.21875</v>
      </c>
      <c r="CM203" s="227"/>
      <c r="CN203" s="228">
        <f t="shared" ref="CN203:CQ203" si="1059">+CN117*CN166/4</f>
        <v>0</v>
      </c>
      <c r="CO203" s="1252">
        <f t="shared" si="1024"/>
        <v>0</v>
      </c>
      <c r="CP203" s="228">
        <f t="shared" si="1059"/>
        <v>0</v>
      </c>
      <c r="CQ203" s="229">
        <f t="shared" si="1059"/>
        <v>0</v>
      </c>
      <c r="CR203" s="228">
        <f t="shared" ref="CR203:CU203" si="1060">+CR117*CR166/4</f>
        <v>0</v>
      </c>
      <c r="CS203" s="228">
        <f t="shared" si="1060"/>
        <v>0</v>
      </c>
      <c r="CT203" s="228">
        <f t="shared" si="1060"/>
        <v>0</v>
      </c>
      <c r="CU203" s="229">
        <f t="shared" si="1060"/>
        <v>0</v>
      </c>
      <c r="CV203" s="1330">
        <f t="shared" ref="CV203:CY203" si="1061">+CV117*CV166/4</f>
        <v>0</v>
      </c>
      <c r="CW203" s="1330">
        <f t="shared" si="1061"/>
        <v>0</v>
      </c>
      <c r="CX203" s="1330">
        <f t="shared" si="1061"/>
        <v>0</v>
      </c>
      <c r="CY203" s="1331">
        <f t="shared" si="1061"/>
        <v>0</v>
      </c>
      <c r="CZ203" s="1330">
        <f t="shared" ref="CZ203:DC203" si="1062">+CZ117*CZ166/4</f>
        <v>0</v>
      </c>
      <c r="DA203" s="1330">
        <f t="shared" si="1062"/>
        <v>0</v>
      </c>
      <c r="DB203" s="1330">
        <f t="shared" si="1062"/>
        <v>0</v>
      </c>
      <c r="DC203" s="1331">
        <f t="shared" si="1062"/>
        <v>0</v>
      </c>
      <c r="DD203" s="231"/>
      <c r="DE203" s="21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228"/>
      <c r="DU203" s="13"/>
      <c r="DV203" s="13"/>
      <c r="DW203" s="13">
        <f t="shared" si="1054"/>
        <v>0</v>
      </c>
      <c r="DX203" s="13">
        <f t="shared" si="1055"/>
        <v>0</v>
      </c>
      <c r="DY203" s="13">
        <f t="shared" si="1056"/>
        <v>0</v>
      </c>
      <c r="DZ203" s="13">
        <f t="shared" si="1057"/>
        <v>4.21875</v>
      </c>
      <c r="EA203" s="228">
        <f t="shared" si="1058"/>
        <v>0</v>
      </c>
      <c r="EB203" s="1330">
        <f t="shared" si="1000"/>
        <v>0</v>
      </c>
      <c r="EC203" s="1330">
        <f t="shared" si="1001"/>
        <v>0</v>
      </c>
      <c r="ED203" s="1331">
        <f t="shared" si="1002"/>
        <v>0</v>
      </c>
      <c r="EE203" s="21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13"/>
      <c r="FF203" s="13"/>
      <c r="FG203" s="13"/>
      <c r="FH203" s="13"/>
      <c r="FI203"/>
      <c r="FJ203"/>
      <c r="FK203"/>
      <c r="FL203"/>
      <c r="FM203"/>
      <c r="FN203"/>
      <c r="FO203" s="7"/>
    </row>
    <row r="204" spans="1:171" s="324" customFormat="1" ht="14.25" hidden="1" customHeight="1" outlineLevel="1">
      <c r="A204" s="7"/>
      <c r="B204" s="511" t="s">
        <v>238</v>
      </c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21"/>
      <c r="BI204" s="13"/>
      <c r="BJ204" s="13"/>
      <c r="BK204" s="231"/>
      <c r="BL204" s="13"/>
      <c r="BM204" s="13"/>
      <c r="BN204" s="13"/>
      <c r="BO204" s="13"/>
      <c r="BP204" s="21"/>
      <c r="BQ204" s="13"/>
      <c r="BR204" s="13"/>
      <c r="BS204" s="231"/>
      <c r="BT204" s="21"/>
      <c r="BU204" s="228"/>
      <c r="BV204" s="228"/>
      <c r="BW204" s="227"/>
      <c r="BX204" s="483">
        <f t="shared" ref="BX204:CL204" si="1063">+BX167*BX121/4</f>
        <v>0</v>
      </c>
      <c r="BY204" s="228">
        <f t="shared" si="1063"/>
        <v>0</v>
      </c>
      <c r="BZ204" s="228">
        <f t="shared" si="1063"/>
        <v>0</v>
      </c>
      <c r="CA204" s="227">
        <f t="shared" si="1063"/>
        <v>0</v>
      </c>
      <c r="CB204" s="483">
        <f t="shared" si="1063"/>
        <v>0</v>
      </c>
      <c r="CC204" s="228">
        <f t="shared" si="1063"/>
        <v>0</v>
      </c>
      <c r="CD204" s="228">
        <f t="shared" si="1063"/>
        <v>0</v>
      </c>
      <c r="CE204" s="227">
        <f t="shared" si="1063"/>
        <v>0</v>
      </c>
      <c r="CF204" s="483">
        <f t="shared" si="1063"/>
        <v>0</v>
      </c>
      <c r="CG204" s="228">
        <f t="shared" si="1063"/>
        <v>0</v>
      </c>
      <c r="CH204" s="228">
        <f t="shared" si="1063"/>
        <v>0</v>
      </c>
      <c r="CI204" s="227">
        <f t="shared" si="1063"/>
        <v>0</v>
      </c>
      <c r="CJ204" s="483">
        <f t="shared" si="1063"/>
        <v>0</v>
      </c>
      <c r="CK204" s="228">
        <f t="shared" si="1063"/>
        <v>0</v>
      </c>
      <c r="CL204" s="228">
        <f t="shared" si="1063"/>
        <v>0</v>
      </c>
      <c r="CM204" s="227">
        <f t="shared" ref="CM204" si="1064">+CM167*CM121/4</f>
        <v>0</v>
      </c>
      <c r="CN204" s="228">
        <f t="shared" ref="CN204:CQ206" si="1065">+CN167*CN121/4</f>
        <v>0</v>
      </c>
      <c r="CO204" s="1252">
        <f t="shared" si="1065"/>
        <v>0</v>
      </c>
      <c r="CP204" s="228">
        <f t="shared" si="1065"/>
        <v>0</v>
      </c>
      <c r="CQ204" s="229">
        <f t="shared" si="1065"/>
        <v>0</v>
      </c>
      <c r="CR204" s="228">
        <f t="shared" ref="CR204:CU204" si="1066">+CR167*CR121/4</f>
        <v>0</v>
      </c>
      <c r="CS204" s="228">
        <f t="shared" si="1066"/>
        <v>0</v>
      </c>
      <c r="CT204" s="228">
        <f t="shared" si="1066"/>
        <v>0</v>
      </c>
      <c r="CU204" s="229">
        <f t="shared" si="1066"/>
        <v>0</v>
      </c>
      <c r="CV204" s="1330">
        <f t="shared" ref="CV204:CY204" si="1067">+CV167*CV121/4</f>
        <v>0</v>
      </c>
      <c r="CW204" s="1330">
        <f t="shared" si="1067"/>
        <v>0</v>
      </c>
      <c r="CX204" s="1330">
        <f t="shared" si="1067"/>
        <v>0</v>
      </c>
      <c r="CY204" s="1331">
        <f t="shared" si="1067"/>
        <v>0</v>
      </c>
      <c r="CZ204" s="1330">
        <f t="shared" ref="CZ204:DC204" si="1068">+CZ167*CZ121/4</f>
        <v>0</v>
      </c>
      <c r="DA204" s="1330">
        <f t="shared" si="1068"/>
        <v>0</v>
      </c>
      <c r="DB204" s="1330">
        <f t="shared" si="1068"/>
        <v>0</v>
      </c>
      <c r="DC204" s="1331">
        <f t="shared" si="1068"/>
        <v>0</v>
      </c>
      <c r="DD204" s="231"/>
      <c r="DE204" s="21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228"/>
      <c r="DU204" s="13"/>
      <c r="DV204" s="13"/>
      <c r="DW204" s="13">
        <f t="shared" si="1028"/>
        <v>0</v>
      </c>
      <c r="DX204" s="13">
        <f t="shared" si="1029"/>
        <v>0</v>
      </c>
      <c r="DY204" s="13">
        <f t="shared" si="1030"/>
        <v>0</v>
      </c>
      <c r="DZ204" s="13">
        <f t="shared" si="1031"/>
        <v>0</v>
      </c>
      <c r="EA204" s="228">
        <f t="shared" si="999"/>
        <v>0</v>
      </c>
      <c r="EB204" s="1330">
        <f t="shared" si="1000"/>
        <v>0</v>
      </c>
      <c r="EC204" s="1330">
        <f t="shared" si="1001"/>
        <v>0</v>
      </c>
      <c r="ED204" s="1331">
        <f t="shared" si="1002"/>
        <v>0</v>
      </c>
      <c r="EE204" s="21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13"/>
      <c r="FF204" s="13"/>
      <c r="FG204" s="13"/>
      <c r="FH204" s="13"/>
      <c r="FI204"/>
      <c r="FJ204"/>
      <c r="FK204"/>
      <c r="FL204"/>
      <c r="FM204"/>
      <c r="FN204"/>
      <c r="FO204" s="7"/>
    </row>
    <row r="205" spans="1:171" s="324" customFormat="1" ht="14.25" hidden="1" customHeight="1" outlineLevel="1">
      <c r="A205" s="7"/>
      <c r="B205" s="511" t="s">
        <v>239</v>
      </c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21"/>
      <c r="BI205" s="13"/>
      <c r="BJ205" s="13"/>
      <c r="BK205" s="231"/>
      <c r="BL205" s="13"/>
      <c r="BM205" s="13"/>
      <c r="BN205" s="13"/>
      <c r="BO205" s="13"/>
      <c r="BP205" s="21"/>
      <c r="BQ205" s="13"/>
      <c r="BR205" s="13"/>
      <c r="BS205" s="231"/>
      <c r="BT205" s="21"/>
      <c r="BU205" s="228"/>
      <c r="BV205" s="228"/>
      <c r="BW205" s="227"/>
      <c r="BX205" s="483">
        <f t="shared" ref="BX205:CL205" si="1069">+BX168*BX122/4</f>
        <v>1.02935</v>
      </c>
      <c r="BY205" s="228">
        <f t="shared" si="1069"/>
        <v>1.02935</v>
      </c>
      <c r="BZ205" s="228">
        <f t="shared" si="1069"/>
        <v>1.02935</v>
      </c>
      <c r="CA205" s="227">
        <f t="shared" si="1069"/>
        <v>1.02935</v>
      </c>
      <c r="CB205" s="483">
        <f t="shared" si="1069"/>
        <v>1.02935</v>
      </c>
      <c r="CC205" s="228">
        <f t="shared" si="1069"/>
        <v>1.02935</v>
      </c>
      <c r="CD205" s="228">
        <f t="shared" si="1069"/>
        <v>1.02935</v>
      </c>
      <c r="CE205" s="227">
        <f t="shared" si="1069"/>
        <v>1.02935</v>
      </c>
      <c r="CF205" s="483">
        <f t="shared" si="1069"/>
        <v>1.02935</v>
      </c>
      <c r="CG205" s="228">
        <f t="shared" si="1069"/>
        <v>1.02935</v>
      </c>
      <c r="CH205" s="228">
        <f t="shared" si="1069"/>
        <v>1.02935</v>
      </c>
      <c r="CI205" s="227">
        <f t="shared" si="1069"/>
        <v>1.02935</v>
      </c>
      <c r="CJ205" s="483">
        <f t="shared" si="1069"/>
        <v>1.02935</v>
      </c>
      <c r="CK205" s="228">
        <f t="shared" si="1069"/>
        <v>1.02935</v>
      </c>
      <c r="CL205" s="228">
        <f t="shared" si="1069"/>
        <v>1.02935</v>
      </c>
      <c r="CM205" s="227">
        <f t="shared" ref="CM205" si="1070">+CM168*CM122/4</f>
        <v>1.02935</v>
      </c>
      <c r="CN205" s="228">
        <f t="shared" ref="CN205:CQ205" si="1071">+CN168*CN122/4</f>
        <v>1.02935</v>
      </c>
      <c r="CO205" s="1252">
        <f t="shared" si="1065"/>
        <v>1.02935</v>
      </c>
      <c r="CP205" s="228">
        <f t="shared" si="1071"/>
        <v>1.02935</v>
      </c>
      <c r="CQ205" s="229">
        <f t="shared" si="1071"/>
        <v>1.02935</v>
      </c>
      <c r="CR205" s="228">
        <f t="shared" ref="CR205:CU205" si="1072">+CR168*CR122/4</f>
        <v>1.02935</v>
      </c>
      <c r="CS205" s="228">
        <f t="shared" si="1072"/>
        <v>1.02935</v>
      </c>
      <c r="CT205" s="228">
        <f t="shared" si="1072"/>
        <v>1.02935</v>
      </c>
      <c r="CU205" s="229">
        <f t="shared" si="1072"/>
        <v>1.02935</v>
      </c>
      <c r="CV205" s="1330">
        <f t="shared" ref="CV205:CY205" si="1073">+CV168*CV122/4</f>
        <v>1.02935</v>
      </c>
      <c r="CW205" s="1330">
        <f t="shared" si="1073"/>
        <v>1.02935</v>
      </c>
      <c r="CX205" s="1330">
        <f t="shared" si="1073"/>
        <v>1.02935</v>
      </c>
      <c r="CY205" s="1331">
        <f t="shared" si="1073"/>
        <v>1.02935</v>
      </c>
      <c r="CZ205" s="1330">
        <f t="shared" ref="CZ205:DC205" si="1074">+CZ168*CZ122/4</f>
        <v>1.02935</v>
      </c>
      <c r="DA205" s="1330">
        <f t="shared" si="1074"/>
        <v>1.02935</v>
      </c>
      <c r="DB205" s="1330">
        <f t="shared" si="1074"/>
        <v>1.02935</v>
      </c>
      <c r="DC205" s="1331">
        <f t="shared" si="1074"/>
        <v>1.02935</v>
      </c>
      <c r="DD205" s="231"/>
      <c r="DE205" s="21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228"/>
      <c r="DU205" s="13"/>
      <c r="DV205" s="13"/>
      <c r="DW205" s="13">
        <f t="shared" si="1028"/>
        <v>4.1173999999999999</v>
      </c>
      <c r="DX205" s="13">
        <f t="shared" si="1029"/>
        <v>4.1173999999999999</v>
      </c>
      <c r="DY205" s="13">
        <f t="shared" si="1030"/>
        <v>4.1173999999999999</v>
      </c>
      <c r="DZ205" s="13">
        <f t="shared" si="1031"/>
        <v>4.1173999999999999</v>
      </c>
      <c r="EA205" s="228">
        <f t="shared" si="999"/>
        <v>4.1173999999999999</v>
      </c>
      <c r="EB205" s="1330">
        <f t="shared" si="1000"/>
        <v>4.1173999999999999</v>
      </c>
      <c r="EC205" s="1330">
        <f t="shared" si="1001"/>
        <v>4.1173999999999999</v>
      </c>
      <c r="ED205" s="1331">
        <f t="shared" si="1002"/>
        <v>4.1173999999999999</v>
      </c>
      <c r="EE205" s="21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/>
      <c r="EX205" s="7"/>
      <c r="EY205" s="7"/>
      <c r="EZ205" s="7"/>
      <c r="FA205" s="7"/>
      <c r="FB205" s="7"/>
      <c r="FC205" s="7"/>
      <c r="FD205" s="7"/>
      <c r="FE205" s="13"/>
      <c r="FF205" s="13"/>
      <c r="FG205" s="13"/>
      <c r="FH205" s="13"/>
      <c r="FI205"/>
      <c r="FJ205"/>
      <c r="FK205"/>
      <c r="FL205"/>
      <c r="FM205"/>
      <c r="FN205"/>
      <c r="FO205" s="7"/>
    </row>
    <row r="206" spans="1:171" s="415" customFormat="1" ht="14.25" hidden="1" customHeight="1" outlineLevel="1">
      <c r="A206" s="413"/>
      <c r="B206" s="512" t="s">
        <v>126</v>
      </c>
      <c r="C206" s="414"/>
      <c r="D206" s="414"/>
      <c r="E206" s="414"/>
      <c r="F206" s="414"/>
      <c r="G206" s="414"/>
      <c r="H206" s="414"/>
      <c r="I206" s="414"/>
      <c r="J206" s="414"/>
      <c r="K206" s="414"/>
      <c r="L206" s="414"/>
      <c r="M206" s="414"/>
      <c r="N206" s="414"/>
      <c r="O206" s="414"/>
      <c r="P206" s="414"/>
      <c r="Q206" s="414"/>
      <c r="R206" s="414"/>
      <c r="S206" s="414"/>
      <c r="T206" s="414"/>
      <c r="U206" s="414"/>
      <c r="V206" s="414"/>
      <c r="W206" s="414"/>
      <c r="X206" s="414"/>
      <c r="Y206" s="414"/>
      <c r="Z206" s="414"/>
      <c r="AA206" s="414"/>
      <c r="AB206" s="414"/>
      <c r="AC206" s="414"/>
      <c r="AD206" s="414"/>
      <c r="AE206" s="414"/>
      <c r="AF206" s="414"/>
      <c r="AG206" s="414"/>
      <c r="AH206" s="414"/>
      <c r="AI206" s="414"/>
      <c r="AJ206" s="414"/>
      <c r="AK206" s="414"/>
      <c r="AL206" s="414"/>
      <c r="AM206" s="414"/>
      <c r="AN206" s="414"/>
      <c r="AO206" s="414"/>
      <c r="AP206" s="414"/>
      <c r="AQ206" s="414"/>
      <c r="AR206" s="414"/>
      <c r="AS206" s="414"/>
      <c r="AT206" s="414"/>
      <c r="AU206" s="414"/>
      <c r="AV206" s="414"/>
      <c r="AW206" s="414"/>
      <c r="AX206" s="414"/>
      <c r="AY206" s="414"/>
      <c r="AZ206" s="414"/>
      <c r="BA206" s="414"/>
      <c r="BB206" s="414"/>
      <c r="BC206" s="414"/>
      <c r="BD206" s="414"/>
      <c r="BE206" s="414"/>
      <c r="BF206" s="414"/>
      <c r="BG206" s="414"/>
      <c r="BH206" s="503"/>
      <c r="BI206" s="414"/>
      <c r="BJ206" s="414"/>
      <c r="BK206" s="569"/>
      <c r="BL206" s="414"/>
      <c r="BM206" s="414"/>
      <c r="BN206" s="414"/>
      <c r="BO206" s="414"/>
      <c r="BP206" s="503"/>
      <c r="BQ206" s="414"/>
      <c r="BR206" s="414"/>
      <c r="BS206" s="569"/>
      <c r="BT206" s="503"/>
      <c r="BU206" s="419">
        <f>+BU169*BU119/4</f>
        <v>0</v>
      </c>
      <c r="BV206" s="419">
        <f>+BV169*BV123/4</f>
        <v>8.9875000000000007</v>
      </c>
      <c r="BW206" s="533">
        <f>+BW169*BW123/4</f>
        <v>10.816750000000001</v>
      </c>
      <c r="BX206" s="484">
        <f t="shared" ref="BX206:CL206" si="1075">+BX169*BX123/4</f>
        <v>10.633000000000001</v>
      </c>
      <c r="BY206" s="419">
        <f t="shared" si="1075"/>
        <v>10.199</v>
      </c>
      <c r="BZ206" s="419">
        <f t="shared" si="1075"/>
        <v>10.199</v>
      </c>
      <c r="CA206" s="533">
        <f t="shared" si="1075"/>
        <v>9.9819999999999993</v>
      </c>
      <c r="CB206" s="484">
        <f t="shared" si="1075"/>
        <v>9.9819999999999993</v>
      </c>
      <c r="CC206" s="419">
        <f t="shared" si="1075"/>
        <v>10.199</v>
      </c>
      <c r="CD206" s="419">
        <f t="shared" si="1075"/>
        <v>10.199</v>
      </c>
      <c r="CE206" s="533">
        <f t="shared" si="1075"/>
        <v>10.199</v>
      </c>
      <c r="CF206" s="484">
        <f t="shared" si="1075"/>
        <v>10.199</v>
      </c>
      <c r="CG206" s="419">
        <f t="shared" si="1075"/>
        <v>13.1835</v>
      </c>
      <c r="CH206" s="419">
        <f t="shared" si="1075"/>
        <v>13.1835</v>
      </c>
      <c r="CI206" s="533">
        <f t="shared" si="1075"/>
        <v>11.270394536803076</v>
      </c>
      <c r="CJ206" s="484">
        <f t="shared" si="1075"/>
        <v>11.270394536803076</v>
      </c>
      <c r="CK206" s="419">
        <f t="shared" si="1075"/>
        <v>11.270394536803076</v>
      </c>
      <c r="CL206" s="419">
        <f t="shared" si="1075"/>
        <v>11.270394536803076</v>
      </c>
      <c r="CM206" s="533">
        <f t="shared" ref="CM206" si="1076">+CM169*CM123/4</f>
        <v>11.270394536803076</v>
      </c>
      <c r="CN206" s="419">
        <f t="shared" ref="CN206:CQ206" si="1077">+CN169*CN123/4</f>
        <v>11.270394536803076</v>
      </c>
      <c r="CO206" s="1265">
        <f t="shared" si="1065"/>
        <v>11.270394536803076</v>
      </c>
      <c r="CP206" s="419">
        <f t="shared" si="1077"/>
        <v>11.270394536803076</v>
      </c>
      <c r="CQ206" s="485">
        <f t="shared" si="1077"/>
        <v>11.270394536803076</v>
      </c>
      <c r="CR206" s="419">
        <f t="shared" ref="CR206:CU206" si="1078">+CR169*CR123/4</f>
        <v>11.270394536803076</v>
      </c>
      <c r="CS206" s="419">
        <f t="shared" si="1078"/>
        <v>11.270394536803076</v>
      </c>
      <c r="CT206" s="419">
        <f t="shared" si="1078"/>
        <v>11.270394536803076</v>
      </c>
      <c r="CU206" s="485">
        <f t="shared" si="1078"/>
        <v>11.270394536803076</v>
      </c>
      <c r="CV206" s="1265">
        <f t="shared" ref="CV206:CY206" si="1079">+CV169*CV123/4</f>
        <v>11.270394536803076</v>
      </c>
      <c r="CW206" s="1265">
        <f t="shared" si="1079"/>
        <v>11.270394536803076</v>
      </c>
      <c r="CX206" s="1265">
        <f t="shared" si="1079"/>
        <v>11.270394536803076</v>
      </c>
      <c r="CY206" s="485">
        <f t="shared" si="1079"/>
        <v>11.270394536803076</v>
      </c>
      <c r="CZ206" s="1265">
        <f t="shared" ref="CZ206:DC206" si="1080">+CZ169*CZ123/4</f>
        <v>11.270394536803076</v>
      </c>
      <c r="DA206" s="1265">
        <f t="shared" si="1080"/>
        <v>11.270394536803076</v>
      </c>
      <c r="DB206" s="1265">
        <f t="shared" si="1080"/>
        <v>11.270394536803076</v>
      </c>
      <c r="DC206" s="485">
        <f t="shared" si="1080"/>
        <v>11.270394536803076</v>
      </c>
      <c r="DD206" s="569"/>
      <c r="DE206" s="503"/>
      <c r="DF206" s="414"/>
      <c r="DG206" s="414"/>
      <c r="DH206" s="414"/>
      <c r="DI206" s="414"/>
      <c r="DJ206" s="414"/>
      <c r="DK206" s="414"/>
      <c r="DL206" s="414"/>
      <c r="DM206" s="414"/>
      <c r="DN206" s="414"/>
      <c r="DO206" s="414"/>
      <c r="DP206" s="414"/>
      <c r="DQ206" s="414"/>
      <c r="DR206" s="414"/>
      <c r="DS206" s="414"/>
      <c r="DT206" s="419"/>
      <c r="DU206" s="414"/>
      <c r="DV206" s="414">
        <f>+SUM(BT206:BW206)</f>
        <v>19.804250000000003</v>
      </c>
      <c r="DW206" s="414">
        <f>+SUM(BX206:CA206)</f>
        <v>41.012999999999998</v>
      </c>
      <c r="DX206" s="414">
        <f>+SUM(CB206:CE206)</f>
        <v>40.578999999999994</v>
      </c>
      <c r="DY206" s="414">
        <f>+SUM(CF206:CI206)</f>
        <v>47.836394536803077</v>
      </c>
      <c r="DZ206" s="414">
        <f>+SUM(CJ206:CM206)</f>
        <v>45.081578147212305</v>
      </c>
      <c r="EA206" s="419">
        <f t="shared" si="999"/>
        <v>45.081578147212305</v>
      </c>
      <c r="EB206" s="1265">
        <f t="shared" si="1000"/>
        <v>45.081578147212305</v>
      </c>
      <c r="EC206" s="1265">
        <f t="shared" si="1001"/>
        <v>45.081578147212305</v>
      </c>
      <c r="ED206" s="485">
        <f t="shared" si="1002"/>
        <v>45.081578147212305</v>
      </c>
      <c r="EE206" s="503"/>
      <c r="EF206" s="413"/>
      <c r="EG206" s="413"/>
      <c r="EH206" s="413"/>
      <c r="EI206" s="413"/>
      <c r="EJ206" s="413"/>
      <c r="EK206" s="413"/>
      <c r="EL206" s="413"/>
      <c r="EM206" s="413"/>
      <c r="EN206" s="413"/>
      <c r="EO206" s="413"/>
      <c r="EP206" s="413"/>
      <c r="EQ206" s="413"/>
      <c r="ER206" s="413"/>
      <c r="ES206" s="413"/>
      <c r="ET206" s="413"/>
      <c r="EU206" s="413"/>
      <c r="EV206" s="413"/>
      <c r="EW206" s="413"/>
      <c r="EX206" s="413"/>
      <c r="EY206" s="413"/>
      <c r="EZ206" s="413"/>
      <c r="FA206" s="413"/>
      <c r="FB206" s="413"/>
      <c r="FC206" s="413"/>
      <c r="FD206" s="413"/>
      <c r="FE206" s="414"/>
      <c r="FF206" s="414"/>
      <c r="FG206" s="414"/>
      <c r="FH206" s="414"/>
      <c r="FI206"/>
      <c r="FJ206"/>
      <c r="FK206"/>
      <c r="FL206"/>
      <c r="FM206"/>
      <c r="FN206"/>
      <c r="FO206" s="413"/>
    </row>
    <row r="207" spans="1:171" s="314" customFormat="1" ht="14.25" hidden="1" customHeight="1" outlineLevel="1">
      <c r="A207" s="412"/>
      <c r="B207" s="516" t="s">
        <v>121</v>
      </c>
      <c r="C207" s="386"/>
      <c r="D207" s="386"/>
      <c r="E207" s="386"/>
      <c r="F207" s="386"/>
      <c r="G207" s="386"/>
      <c r="H207" s="386"/>
      <c r="I207" s="386"/>
      <c r="J207" s="386"/>
      <c r="K207" s="386"/>
      <c r="L207" s="386"/>
      <c r="M207" s="386"/>
      <c r="N207" s="386"/>
      <c r="O207" s="386"/>
      <c r="P207" s="386"/>
      <c r="Q207" s="386"/>
      <c r="R207" s="386"/>
      <c r="S207" s="386"/>
      <c r="T207" s="386"/>
      <c r="U207" s="386"/>
      <c r="V207" s="386"/>
      <c r="W207" s="386"/>
      <c r="X207" s="386"/>
      <c r="Y207" s="386"/>
      <c r="Z207" s="386"/>
      <c r="AA207" s="386"/>
      <c r="AB207" s="386"/>
      <c r="AC207" s="386"/>
      <c r="AD207" s="386"/>
      <c r="AE207" s="386"/>
      <c r="AF207" s="386"/>
      <c r="AG207" s="386"/>
      <c r="AH207" s="386"/>
      <c r="AI207" s="386"/>
      <c r="AJ207" s="386"/>
      <c r="AK207" s="386"/>
      <c r="AL207" s="386"/>
      <c r="AM207" s="386"/>
      <c r="AN207" s="386"/>
      <c r="AO207" s="386"/>
      <c r="AP207" s="386"/>
      <c r="AQ207" s="386"/>
      <c r="AR207" s="386"/>
      <c r="AS207" s="386"/>
      <c r="AT207" s="386"/>
      <c r="AU207" s="386"/>
      <c r="AV207" s="386"/>
      <c r="AW207" s="386"/>
      <c r="AX207" s="386"/>
      <c r="AY207" s="386"/>
      <c r="AZ207" s="386"/>
      <c r="BA207" s="386"/>
      <c r="BB207" s="386"/>
      <c r="BC207" s="386"/>
      <c r="BD207" s="386"/>
      <c r="BE207" s="386"/>
      <c r="BF207" s="386"/>
      <c r="BG207" s="386"/>
      <c r="BH207" s="388"/>
      <c r="BI207" s="386"/>
      <c r="BJ207" s="386"/>
      <c r="BK207" s="570"/>
      <c r="BL207" s="386"/>
      <c r="BM207" s="386"/>
      <c r="BN207" s="386"/>
      <c r="BO207" s="386"/>
      <c r="BP207" s="388"/>
      <c r="BQ207" s="386"/>
      <c r="BR207" s="386"/>
      <c r="BS207" s="570"/>
      <c r="BT207" s="388"/>
      <c r="BU207" s="487">
        <f>+SUM(BU192:BU197)</f>
        <v>0</v>
      </c>
      <c r="BV207" s="487">
        <f t="shared" ref="BV207:CL207" si="1081">+SUM(BV192:BV206)</f>
        <v>23.94890625</v>
      </c>
      <c r="BW207" s="706">
        <f t="shared" si="1081"/>
        <v>25.778156250000002</v>
      </c>
      <c r="BX207" s="486">
        <f t="shared" si="1081"/>
        <v>26.62375625</v>
      </c>
      <c r="BY207" s="487">
        <f t="shared" si="1081"/>
        <v>26.189756250000002</v>
      </c>
      <c r="BZ207" s="487">
        <f t="shared" si="1081"/>
        <v>26.189756250000002</v>
      </c>
      <c r="CA207" s="706">
        <f t="shared" si="1081"/>
        <v>25.97275625</v>
      </c>
      <c r="CB207" s="486">
        <f t="shared" si="1081"/>
        <v>25.97275625</v>
      </c>
      <c r="CC207" s="487">
        <f t="shared" si="1081"/>
        <v>26.189756250000002</v>
      </c>
      <c r="CD207" s="487">
        <f t="shared" si="1081"/>
        <v>26.189756250000002</v>
      </c>
      <c r="CE207" s="706">
        <f t="shared" si="1081"/>
        <v>21.740850000000002</v>
      </c>
      <c r="CF207" s="486">
        <f t="shared" si="1081"/>
        <v>20.447099999999999</v>
      </c>
      <c r="CG207" s="487">
        <f t="shared" si="1081"/>
        <v>36.556600000000003</v>
      </c>
      <c r="CH207" s="487">
        <f t="shared" si="1081"/>
        <v>50.103475000000003</v>
      </c>
      <c r="CI207" s="706">
        <f t="shared" si="1081"/>
        <v>48.190369536803075</v>
      </c>
      <c r="CJ207" s="486">
        <f t="shared" si="1081"/>
        <v>48.190369536803075</v>
      </c>
      <c r="CK207" s="487">
        <f t="shared" si="1081"/>
        <v>48.190369536803075</v>
      </c>
      <c r="CL207" s="487">
        <f t="shared" si="1081"/>
        <v>60.221619536803075</v>
      </c>
      <c r="CM207" s="706">
        <f t="shared" ref="CM207" si="1082">+SUM(CM192:CM206)</f>
        <v>48.190369536803075</v>
      </c>
      <c r="CN207" s="487">
        <f t="shared" ref="CN207:CQ207" si="1083">+SUM(CN192:CN206)</f>
        <v>48.190369536803075</v>
      </c>
      <c r="CO207" s="1271">
        <f t="shared" si="1083"/>
        <v>48.190369536803075</v>
      </c>
      <c r="CP207" s="487">
        <f t="shared" si="1083"/>
        <v>48.190369536803075</v>
      </c>
      <c r="CQ207" s="488">
        <f t="shared" si="1083"/>
        <v>48.190369536803075</v>
      </c>
      <c r="CR207" s="487">
        <f t="shared" ref="CR207:CU207" si="1084">+SUM(CR192:CR206)</f>
        <v>48.190369536803075</v>
      </c>
      <c r="CS207" s="487">
        <f t="shared" si="1084"/>
        <v>48.190369536803075</v>
      </c>
      <c r="CT207" s="487">
        <f t="shared" si="1084"/>
        <v>48.190369536803075</v>
      </c>
      <c r="CU207" s="488">
        <f t="shared" si="1084"/>
        <v>48.190369536803075</v>
      </c>
      <c r="CV207" s="487">
        <f t="shared" ref="CV207:CY207" si="1085">+SUM(CV192:CV206)</f>
        <v>48.190369536803075</v>
      </c>
      <c r="CW207" s="487">
        <f t="shared" si="1085"/>
        <v>48.190369536803075</v>
      </c>
      <c r="CX207" s="487">
        <f t="shared" si="1085"/>
        <v>48.190369536803075</v>
      </c>
      <c r="CY207" s="488">
        <f t="shared" si="1085"/>
        <v>48.190369536803075</v>
      </c>
      <c r="CZ207" s="487">
        <f t="shared" ref="CZ207:DC207" si="1086">+SUM(CZ192:CZ206)</f>
        <v>48.190369536803075</v>
      </c>
      <c r="DA207" s="487">
        <f t="shared" si="1086"/>
        <v>48.190369536803075</v>
      </c>
      <c r="DB207" s="487">
        <f t="shared" si="1086"/>
        <v>48.190369536803075</v>
      </c>
      <c r="DC207" s="488">
        <f t="shared" si="1086"/>
        <v>48.190369536803075</v>
      </c>
      <c r="DD207" s="570"/>
      <c r="DE207" s="388"/>
      <c r="DF207" s="386"/>
      <c r="DG207" s="386"/>
      <c r="DH207" s="386"/>
      <c r="DI207" s="386"/>
      <c r="DJ207" s="386"/>
      <c r="DK207" s="386"/>
      <c r="DL207" s="386"/>
      <c r="DM207" s="386"/>
      <c r="DN207" s="386"/>
      <c r="DO207" s="386"/>
      <c r="DP207" s="386"/>
      <c r="DQ207" s="386"/>
      <c r="DR207" s="386"/>
      <c r="DS207" s="386"/>
      <c r="DT207" s="422"/>
      <c r="DU207" s="386"/>
      <c r="DV207" s="386">
        <f>+SUM(BT207:BW207)</f>
        <v>49.727062500000002</v>
      </c>
      <c r="DW207" s="386">
        <f>+SUM(BX207:CA207)</f>
        <v>104.97602500000001</v>
      </c>
      <c r="DX207" s="386">
        <f>+SUM(CB207:CE207)</f>
        <v>100.09311875</v>
      </c>
      <c r="DY207" s="386">
        <f>+SUM(CF207:CI207)</f>
        <v>155.29754453680309</v>
      </c>
      <c r="DZ207" s="386">
        <f>+SUM(CJ207:CM207)</f>
        <v>204.7927281472123</v>
      </c>
      <c r="EA207" s="422">
        <f t="shared" si="999"/>
        <v>192.7614781472123</v>
      </c>
      <c r="EB207" s="422">
        <f t="shared" si="1000"/>
        <v>192.7614781472123</v>
      </c>
      <c r="EC207" s="422">
        <f>+SUM(CV207:CY207)</f>
        <v>192.7614781472123</v>
      </c>
      <c r="ED207" s="490">
        <f>+SUM(CZ207:DC207)</f>
        <v>192.7614781472123</v>
      </c>
      <c r="EE207" s="388"/>
      <c r="EF207" s="412"/>
      <c r="EG207" s="412"/>
      <c r="EH207" s="412"/>
      <c r="EI207" s="412"/>
      <c r="EJ207" s="412"/>
      <c r="EK207" s="412"/>
      <c r="EL207" s="412"/>
      <c r="EM207" s="412"/>
      <c r="EN207" s="412"/>
      <c r="EO207" s="412"/>
      <c r="EP207" s="412"/>
      <c r="EQ207" s="412"/>
      <c r="ER207" s="412"/>
      <c r="ES207" s="412"/>
      <c r="ET207" s="412"/>
      <c r="EU207" s="412"/>
      <c r="EV207" s="412"/>
      <c r="EW207" s="412"/>
      <c r="EX207" s="412"/>
      <c r="EY207" s="412"/>
      <c r="EZ207" s="412"/>
      <c r="FA207" s="412"/>
      <c r="FB207" s="412"/>
      <c r="FC207" s="412"/>
      <c r="FD207" s="412"/>
      <c r="FE207" s="386"/>
      <c r="FF207" s="386"/>
      <c r="FG207" s="386"/>
      <c r="FH207" s="386"/>
      <c r="FI207"/>
      <c r="FJ207"/>
      <c r="FK207"/>
      <c r="FL207"/>
      <c r="FM207"/>
      <c r="FN207"/>
      <c r="FO207" s="412"/>
    </row>
    <row r="208" spans="1:171" ht="14.25" hidden="1" customHeight="1" outlineLevel="1">
      <c r="A208" s="7"/>
      <c r="B208" s="51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21"/>
      <c r="BI208" s="13"/>
      <c r="BJ208" s="13"/>
      <c r="BK208" s="231"/>
      <c r="BL208" s="13"/>
      <c r="BM208" s="13"/>
      <c r="BN208" s="13"/>
      <c r="BO208" s="13"/>
      <c r="BP208" s="21"/>
      <c r="BQ208" s="13"/>
      <c r="BR208" s="13"/>
      <c r="BS208" s="231"/>
      <c r="BT208" s="21"/>
      <c r="BU208" s="13"/>
      <c r="BV208" s="13"/>
      <c r="BW208" s="23"/>
      <c r="BX208" s="21"/>
      <c r="BY208" s="13"/>
      <c r="BZ208" s="13"/>
      <c r="CA208" s="23"/>
      <c r="CB208" s="21"/>
      <c r="CC208" s="13"/>
      <c r="CD208" s="13"/>
      <c r="CE208" s="23"/>
      <c r="CF208" s="21"/>
      <c r="CG208" s="13"/>
      <c r="CH208" s="13"/>
      <c r="CI208" s="23"/>
      <c r="CJ208" s="21"/>
      <c r="CK208" s="13"/>
      <c r="CL208" s="13"/>
      <c r="CM208" s="23"/>
      <c r="CN208" s="13"/>
      <c r="CO208" s="1225"/>
      <c r="CP208" s="13"/>
      <c r="CQ208" s="231"/>
      <c r="CR208" s="13"/>
      <c r="CS208" s="13"/>
      <c r="CT208" s="13"/>
      <c r="CU208" s="231"/>
      <c r="CV208" s="13"/>
      <c r="CW208" s="13"/>
      <c r="CX208" s="13"/>
      <c r="CY208" s="231"/>
      <c r="CZ208" s="13"/>
      <c r="DA208" s="13"/>
      <c r="DB208" s="13"/>
      <c r="DC208" s="231"/>
      <c r="DD208" s="231"/>
      <c r="DE208" s="21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231"/>
      <c r="EE208" s="21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13"/>
      <c r="FF208" s="13"/>
      <c r="FG208" s="13"/>
      <c r="FH208" s="13"/>
      <c r="FO208" s="7"/>
    </row>
    <row r="209" spans="1:171" ht="14.25" hidden="1" customHeight="1" outlineLevel="1">
      <c r="A209" s="7"/>
      <c r="B209" s="516" t="s">
        <v>124</v>
      </c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21"/>
      <c r="BI209" s="13"/>
      <c r="BJ209" s="13"/>
      <c r="BK209" s="231"/>
      <c r="BL209" s="13"/>
      <c r="BM209" s="13"/>
      <c r="BN209" s="13"/>
      <c r="BO209" s="13"/>
      <c r="BP209" s="21"/>
      <c r="BQ209" s="13"/>
      <c r="BR209" s="13"/>
      <c r="BS209" s="231"/>
      <c r="BT209" s="21"/>
      <c r="BU209" s="13"/>
      <c r="BV209" s="13"/>
      <c r="BW209" s="23"/>
      <c r="BX209" s="21"/>
      <c r="BY209" s="13"/>
      <c r="BZ209" s="13"/>
      <c r="CA209" s="23"/>
      <c r="CB209" s="21"/>
      <c r="CC209" s="13"/>
      <c r="CD209" s="13"/>
      <c r="CE209" s="23"/>
      <c r="CF209" s="21"/>
      <c r="CG209" s="13"/>
      <c r="CH209" s="13"/>
      <c r="CI209" s="23"/>
      <c r="CJ209" s="21"/>
      <c r="CK209" s="13"/>
      <c r="CL209" s="13"/>
      <c r="CM209" s="23"/>
      <c r="CN209" s="13"/>
      <c r="CO209" s="1225"/>
      <c r="CP209" s="13"/>
      <c r="CQ209" s="231"/>
      <c r="CR209" s="13"/>
      <c r="CS209" s="13"/>
      <c r="CT209" s="13"/>
      <c r="CU209" s="231"/>
      <c r="CV209" s="13"/>
      <c r="CW209" s="13"/>
      <c r="CX209" s="13"/>
      <c r="CY209" s="231"/>
      <c r="CZ209" s="13"/>
      <c r="DA209" s="13"/>
      <c r="DB209" s="13"/>
      <c r="DC209" s="231"/>
      <c r="DD209" s="231"/>
      <c r="DE209" s="21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231"/>
      <c r="EE209" s="21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13"/>
      <c r="FF209" s="13"/>
      <c r="FG209" s="13"/>
      <c r="FH209" s="13"/>
      <c r="FO209" s="7"/>
    </row>
    <row r="210" spans="1:171" s="417" customFormat="1" ht="14.25" hidden="1" customHeight="1" outlineLevel="1">
      <c r="A210" s="416"/>
      <c r="B210" s="511" t="s">
        <v>115</v>
      </c>
      <c r="C210" s="228"/>
      <c r="D210" s="228"/>
      <c r="E210" s="228"/>
      <c r="F210" s="228"/>
      <c r="G210" s="228"/>
      <c r="H210" s="228"/>
      <c r="I210" s="228"/>
      <c r="J210" s="228"/>
      <c r="K210" s="228"/>
      <c r="L210" s="228"/>
      <c r="M210" s="228"/>
      <c r="N210" s="228"/>
      <c r="O210" s="228"/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  <c r="AF210" s="228"/>
      <c r="AG210" s="228"/>
      <c r="AH210" s="228"/>
      <c r="AI210" s="228"/>
      <c r="AJ210" s="228"/>
      <c r="AK210" s="228"/>
      <c r="AL210" s="228"/>
      <c r="AM210" s="228"/>
      <c r="AN210" s="228"/>
      <c r="AO210" s="228"/>
      <c r="AP210" s="228"/>
      <c r="AQ210" s="228"/>
      <c r="AR210" s="228"/>
      <c r="AS210" s="228"/>
      <c r="AT210" s="228"/>
      <c r="AU210" s="228"/>
      <c r="AV210" s="228"/>
      <c r="AW210" s="228"/>
      <c r="AX210" s="228"/>
      <c r="AY210" s="228"/>
      <c r="AZ210" s="228"/>
      <c r="BA210" s="228"/>
      <c r="BB210" s="228"/>
      <c r="BC210" s="228"/>
      <c r="BD210" s="228"/>
      <c r="BE210" s="228"/>
      <c r="BF210" s="228"/>
      <c r="BG210" s="228"/>
      <c r="BH210" s="483"/>
      <c r="BI210" s="228"/>
      <c r="BJ210" s="228"/>
      <c r="BK210" s="229"/>
      <c r="BL210" s="228"/>
      <c r="BM210" s="228"/>
      <c r="BN210" s="228"/>
      <c r="BO210" s="228"/>
      <c r="BP210" s="483"/>
      <c r="BQ210" s="228"/>
      <c r="BR210" s="228"/>
      <c r="BS210" s="229"/>
      <c r="BT210" s="483"/>
      <c r="BU210" s="228"/>
      <c r="BV210" s="245"/>
      <c r="BW210" s="227">
        <f t="shared" ref="BW210:CM210" si="1087">+BV127*BV175/4</f>
        <v>6.72</v>
      </c>
      <c r="BX210" s="483">
        <f t="shared" si="1087"/>
        <v>6.7649999999999997</v>
      </c>
      <c r="BY210" s="228">
        <f t="shared" si="1087"/>
        <v>6.81</v>
      </c>
      <c r="BZ210" s="228">
        <f t="shared" si="1087"/>
        <v>6.8631656249999997</v>
      </c>
      <c r="CA210" s="227">
        <f t="shared" si="1087"/>
        <v>6.9171287343749999</v>
      </c>
      <c r="CB210" s="483">
        <f t="shared" si="1087"/>
        <v>6.9719012903906252</v>
      </c>
      <c r="CC210" s="228">
        <f t="shared" si="1087"/>
        <v>7.0274954347464851</v>
      </c>
      <c r="CD210" s="228">
        <f t="shared" si="1087"/>
        <v>7.0839234912676821</v>
      </c>
      <c r="CE210" s="227">
        <f t="shared" si="1087"/>
        <v>7.1411979686366971</v>
      </c>
      <c r="CF210" s="483">
        <f t="shared" si="1087"/>
        <v>7.1993315631662469</v>
      </c>
      <c r="CG210" s="228">
        <f t="shared" si="1087"/>
        <v>7.2583371616137411</v>
      </c>
      <c r="CH210" s="228">
        <f t="shared" si="1087"/>
        <v>7.3182278440379465</v>
      </c>
      <c r="CI210" s="227">
        <f t="shared" si="1087"/>
        <v>7.3790168866985164</v>
      </c>
      <c r="CJ210" s="483">
        <f t="shared" si="1087"/>
        <v>7.4407177649989942</v>
      </c>
      <c r="CK210" s="228">
        <f t="shared" si="1087"/>
        <v>7.5033441564739798</v>
      </c>
      <c r="CL210" s="228">
        <f>+CK127*CK175/4</f>
        <v>7.5669099438210896</v>
      </c>
      <c r="CM210" s="227">
        <f t="shared" si="1087"/>
        <v>7.6314292179784058</v>
      </c>
      <c r="CN210" s="228">
        <f t="shared" ref="CN210:CU215" si="1088">+CM127*CM175/4</f>
        <v>7.6969162812480816</v>
      </c>
      <c r="CO210" s="1252">
        <f t="shared" si="1088"/>
        <v>7.7633856504668017</v>
      </c>
      <c r="CP210" s="228">
        <f t="shared" si="1088"/>
        <v>7.8308520602238048</v>
      </c>
      <c r="CQ210" s="229">
        <f t="shared" si="1088"/>
        <v>7.8993304661271617</v>
      </c>
      <c r="CR210" s="228">
        <f t="shared" si="1088"/>
        <v>7.9688360481190692</v>
      </c>
      <c r="CS210" s="228">
        <f t="shared" si="1088"/>
        <v>8.0393842138408562</v>
      </c>
      <c r="CT210" s="228">
        <f t="shared" si="1088"/>
        <v>8.110990602048469</v>
      </c>
      <c r="CU210" s="229">
        <f t="shared" si="1088"/>
        <v>8.1836710860791957</v>
      </c>
      <c r="CV210" s="1330">
        <f t="shared" ref="CV210:CV215" si="1089">+CU127*CU175/4</f>
        <v>8.257441777370385</v>
      </c>
      <c r="CW210" s="1330">
        <f t="shared" ref="CW210:CW215" si="1090">+CV127*CV175/4</f>
        <v>8.3323190290309395</v>
      </c>
      <c r="CX210" s="1330">
        <f t="shared" ref="CX210:CX215" si="1091">+CW127*CW175/4</f>
        <v>8.4083194394664034</v>
      </c>
      <c r="CY210" s="1331">
        <f t="shared" ref="CY210:CY215" si="1092">+CX127*CX175/4</f>
        <v>8.485459856058398</v>
      </c>
      <c r="CZ210" s="1330">
        <f t="shared" ref="CZ210:CZ215" si="1093">+CY127*CY175/4</f>
        <v>8.5637573788992736</v>
      </c>
      <c r="DA210" s="1330">
        <f t="shared" ref="DA210:DA215" si="1094">+CZ127*CZ175/4</f>
        <v>8.6432293645827638</v>
      </c>
      <c r="DB210" s="1330">
        <f t="shared" ref="DB210:DB215" si="1095">+DA127*DA175/4</f>
        <v>8.7238934300515041</v>
      </c>
      <c r="DC210" s="1331">
        <f t="shared" ref="DC210:DC215" si="1096">+DB127*DB175/4</f>
        <v>8.8057674565022772</v>
      </c>
      <c r="DD210" s="1331"/>
      <c r="DE210" s="483"/>
      <c r="DF210" s="228"/>
      <c r="DG210" s="228"/>
      <c r="DH210" s="228"/>
      <c r="DI210" s="228"/>
      <c r="DJ210" s="228"/>
      <c r="DK210" s="228"/>
      <c r="DL210" s="228"/>
      <c r="DM210" s="228"/>
      <c r="DN210" s="228"/>
      <c r="DO210" s="228"/>
      <c r="DP210" s="228"/>
      <c r="DQ210" s="228"/>
      <c r="DR210" s="228"/>
      <c r="DS210" s="228"/>
      <c r="DT210" s="228"/>
      <c r="DU210" s="1330"/>
      <c r="DV210" s="1330">
        <f t="shared" ref="DV210:DV215" si="1097">+SUM(BT210:BW210)</f>
        <v>6.72</v>
      </c>
      <c r="DW210" s="1330">
        <f t="shared" ref="DW210:DW215" si="1098">+SUM(BX210:CA210)</f>
        <v>27.355294359375002</v>
      </c>
      <c r="DX210" s="1330">
        <f t="shared" ref="DX210:DX215" si="1099">+SUM(CB210:CE210)</f>
        <v>28.224518185041489</v>
      </c>
      <c r="DY210" s="1330">
        <f t="shared" ref="DY210:DY215" si="1100">+SUM(CF210:CI210)</f>
        <v>29.15491345551645</v>
      </c>
      <c r="DZ210" s="1330">
        <f t="shared" ref="DZ210:DZ215" si="1101">+SUM(CJ210:CM210)</f>
        <v>30.142401083272468</v>
      </c>
      <c r="EA210" s="228">
        <f t="shared" ref="EA210:EA225" si="1102">+SUM(CN210:CQ210)</f>
        <v>31.19048445806585</v>
      </c>
      <c r="EB210" s="1330">
        <f t="shared" ref="EB210:EB225" si="1103">+SUM(CR210:CU210)</f>
        <v>32.302881950087588</v>
      </c>
      <c r="EC210" s="1330">
        <f t="shared" ref="EC210:EC224" si="1104">+SUM(CV210:CY210)</f>
        <v>33.483540101926124</v>
      </c>
      <c r="ED210" s="1331">
        <f t="shared" ref="ED210:ED225" si="1105">+SUM(CZ210:DC210)</f>
        <v>34.736647630035819</v>
      </c>
      <c r="EE210" s="483"/>
      <c r="EF210" s="416"/>
      <c r="EG210" s="416"/>
      <c r="EH210" s="416"/>
      <c r="EI210" s="416"/>
      <c r="EJ210" s="416"/>
      <c r="EK210" s="416"/>
      <c r="EL210" s="416"/>
      <c r="EM210" s="416"/>
      <c r="EN210" s="416"/>
      <c r="EO210" s="416"/>
      <c r="EP210" s="416"/>
      <c r="EQ210" s="416"/>
      <c r="ER210" s="416"/>
      <c r="ES210" s="416"/>
      <c r="ET210" s="416"/>
      <c r="EU210" s="416"/>
      <c r="EV210" s="416"/>
      <c r="EW210" s="416"/>
      <c r="EX210" s="416"/>
      <c r="EY210" s="416"/>
      <c r="EZ210" s="416"/>
      <c r="FA210" s="416"/>
      <c r="FB210" s="416"/>
      <c r="FC210" s="416"/>
      <c r="FD210" s="416"/>
      <c r="FE210" s="228"/>
      <c r="FF210" s="1330"/>
      <c r="FG210" s="1330"/>
      <c r="FH210" s="1330"/>
      <c r="FI210"/>
      <c r="FJ210"/>
      <c r="FK210"/>
      <c r="FL210"/>
      <c r="FM210"/>
      <c r="FN210"/>
      <c r="FO210" s="416"/>
    </row>
    <row r="211" spans="1:171" s="417" customFormat="1" ht="14.25" hidden="1" customHeight="1" outlineLevel="1">
      <c r="A211" s="416"/>
      <c r="B211" s="511" t="s">
        <v>116</v>
      </c>
      <c r="C211" s="228"/>
      <c r="D211" s="228"/>
      <c r="E211" s="228"/>
      <c r="F211" s="228"/>
      <c r="G211" s="228"/>
      <c r="H211" s="228"/>
      <c r="I211" s="228"/>
      <c r="J211" s="228"/>
      <c r="K211" s="228"/>
      <c r="L211" s="228"/>
      <c r="M211" s="228"/>
      <c r="N211" s="228"/>
      <c r="O211" s="228"/>
      <c r="P211" s="228"/>
      <c r="Q211" s="228"/>
      <c r="R211" s="228"/>
      <c r="S211" s="228"/>
      <c r="T211" s="228"/>
      <c r="U211" s="228"/>
      <c r="V211" s="228"/>
      <c r="W211" s="228"/>
      <c r="X211" s="228"/>
      <c r="Y211" s="228"/>
      <c r="Z211" s="228"/>
      <c r="AA211" s="228"/>
      <c r="AB211" s="228"/>
      <c r="AC211" s="228"/>
      <c r="AD211" s="228"/>
      <c r="AE211" s="228"/>
      <c r="AF211" s="228"/>
      <c r="AG211" s="228"/>
      <c r="AH211" s="228"/>
      <c r="AI211" s="228"/>
      <c r="AJ211" s="228"/>
      <c r="AK211" s="228"/>
      <c r="AL211" s="228"/>
      <c r="AM211" s="228"/>
      <c r="AN211" s="228"/>
      <c r="AO211" s="228"/>
      <c r="AP211" s="228"/>
      <c r="AQ211" s="228"/>
      <c r="AR211" s="228"/>
      <c r="AS211" s="228"/>
      <c r="AT211" s="228"/>
      <c r="AU211" s="228"/>
      <c r="AV211" s="228"/>
      <c r="AW211" s="228"/>
      <c r="AX211" s="228"/>
      <c r="AY211" s="228"/>
      <c r="AZ211" s="228"/>
      <c r="BA211" s="228"/>
      <c r="BB211" s="228"/>
      <c r="BC211" s="228"/>
      <c r="BD211" s="228"/>
      <c r="BE211" s="228"/>
      <c r="BF211" s="228"/>
      <c r="BG211" s="228"/>
      <c r="BH211" s="483"/>
      <c r="BI211" s="228"/>
      <c r="BJ211" s="228"/>
      <c r="BK211" s="229"/>
      <c r="BL211" s="228"/>
      <c r="BM211" s="228"/>
      <c r="BN211" s="228"/>
      <c r="BO211" s="228"/>
      <c r="BP211" s="483"/>
      <c r="BQ211" s="228"/>
      <c r="BR211" s="228"/>
      <c r="BS211" s="229"/>
      <c r="BT211" s="483"/>
      <c r="BU211" s="228"/>
      <c r="BV211" s="245"/>
      <c r="BW211" s="227">
        <f t="shared" ref="BW211:CM211" si="1106">+BV128*BV176/4</f>
        <v>5.6542500000000002</v>
      </c>
      <c r="BX211" s="483">
        <f t="shared" si="1106"/>
        <v>5.6857499999999996</v>
      </c>
      <c r="BY211" s="228">
        <f t="shared" si="1106"/>
        <v>5.7172499999999999</v>
      </c>
      <c r="BZ211" s="228">
        <f t="shared" si="1106"/>
        <v>5.7519255937499993</v>
      </c>
      <c r="CA211" s="227">
        <f t="shared" si="1106"/>
        <v>5.787147328101562</v>
      </c>
      <c r="CB211" s="483">
        <f t="shared" si="1106"/>
        <v>5.8229238047691618</v>
      </c>
      <c r="CC211" s="228">
        <f t="shared" si="1106"/>
        <v>5.8592637609442768</v>
      </c>
      <c r="CD211" s="228">
        <f t="shared" si="1106"/>
        <v>5.8961760714291485</v>
      </c>
      <c r="CE211" s="227">
        <f t="shared" si="1106"/>
        <v>5.9336697508041576</v>
      </c>
      <c r="CF211" s="483">
        <f t="shared" si="1106"/>
        <v>5.9717539556293229</v>
      </c>
      <c r="CG211" s="228">
        <f t="shared" si="1106"/>
        <v>6.0104379866804845</v>
      </c>
      <c r="CH211" s="228">
        <f t="shared" si="1106"/>
        <v>6.0497312912207022</v>
      </c>
      <c r="CI211" s="227">
        <f t="shared" si="1106"/>
        <v>6.0896434653074278</v>
      </c>
      <c r="CJ211" s="483">
        <f t="shared" si="1106"/>
        <v>6.1301842561360198</v>
      </c>
      <c r="CK211" s="228">
        <f t="shared" si="1106"/>
        <v>6.1713635644201625</v>
      </c>
      <c r="CL211" s="228">
        <f t="shared" si="1106"/>
        <v>6.2131914468097804</v>
      </c>
      <c r="CM211" s="227">
        <f t="shared" si="1106"/>
        <v>6.255678118347034</v>
      </c>
      <c r="CN211" s="228">
        <f t="shared" si="1088"/>
        <v>6.2988339549610002</v>
      </c>
      <c r="CO211" s="1252">
        <f t="shared" si="1088"/>
        <v>6.3426694960016361</v>
      </c>
      <c r="CP211" s="228">
        <f t="shared" si="1088"/>
        <v>6.3871954468136618</v>
      </c>
      <c r="CQ211" s="229">
        <f t="shared" si="1088"/>
        <v>6.4324226813509773</v>
      </c>
      <c r="CR211" s="228">
        <f t="shared" si="1088"/>
        <v>6.4783622448322555</v>
      </c>
      <c r="CS211" s="228">
        <f t="shared" si="1088"/>
        <v>6.5250253564383636</v>
      </c>
      <c r="CT211" s="228">
        <f t="shared" si="1088"/>
        <v>6.5724234120522684</v>
      </c>
      <c r="CU211" s="229">
        <f t="shared" si="1088"/>
        <v>6.6205679870420919</v>
      </c>
      <c r="CV211" s="1330">
        <f t="shared" si="1089"/>
        <v>6.6694708390880049</v>
      </c>
      <c r="CW211" s="1330">
        <f t="shared" si="1090"/>
        <v>6.7191439110536404</v>
      </c>
      <c r="CX211" s="1330">
        <f t="shared" si="1091"/>
        <v>6.7695993339027352</v>
      </c>
      <c r="CY211" s="1331">
        <f t="shared" si="1092"/>
        <v>6.8208494296617035</v>
      </c>
      <c r="CZ211" s="1330">
        <f t="shared" si="1093"/>
        <v>6.8729067144288756</v>
      </c>
      <c r="DA211" s="1330">
        <f t="shared" si="1094"/>
        <v>6.9257839014311307</v>
      </c>
      <c r="DB211" s="1330">
        <f t="shared" si="1095"/>
        <v>6.9794939041286712</v>
      </c>
      <c r="DC211" s="1331">
        <f t="shared" si="1096"/>
        <v>7.0340498393686977</v>
      </c>
      <c r="DD211" s="1331"/>
      <c r="DE211" s="483"/>
      <c r="DF211" s="228"/>
      <c r="DG211" s="228"/>
      <c r="DH211" s="228"/>
      <c r="DI211" s="228"/>
      <c r="DJ211" s="228"/>
      <c r="DK211" s="228"/>
      <c r="DL211" s="228"/>
      <c r="DM211" s="228"/>
      <c r="DN211" s="228"/>
      <c r="DO211" s="228"/>
      <c r="DP211" s="228"/>
      <c r="DQ211" s="228"/>
      <c r="DR211" s="228"/>
      <c r="DS211" s="228"/>
      <c r="DT211" s="228"/>
      <c r="DU211" s="1330"/>
      <c r="DV211" s="1330">
        <f t="shared" si="1097"/>
        <v>5.6542500000000002</v>
      </c>
      <c r="DW211" s="1330">
        <f t="shared" si="1098"/>
        <v>22.942072921851558</v>
      </c>
      <c r="DX211" s="1330">
        <f t="shared" si="1099"/>
        <v>23.512033387946744</v>
      </c>
      <c r="DY211" s="1330">
        <f t="shared" si="1100"/>
        <v>24.121566698837938</v>
      </c>
      <c r="DZ211" s="1330">
        <f t="shared" si="1101"/>
        <v>24.770417385712996</v>
      </c>
      <c r="EA211" s="228">
        <f t="shared" si="1102"/>
        <v>25.461121579127276</v>
      </c>
      <c r="EB211" s="1330">
        <f t="shared" si="1103"/>
        <v>26.196379000364978</v>
      </c>
      <c r="EC211" s="1330">
        <f t="shared" si="1104"/>
        <v>26.979063513706084</v>
      </c>
      <c r="ED211" s="1331">
        <f t="shared" si="1105"/>
        <v>27.812234359357376</v>
      </c>
      <c r="EE211" s="483"/>
      <c r="EF211" s="416"/>
      <c r="EG211" s="416"/>
      <c r="EH211" s="416"/>
      <c r="EI211" s="416"/>
      <c r="EJ211" s="416"/>
      <c r="EK211" s="416"/>
      <c r="EL211" s="416"/>
      <c r="EM211" s="416"/>
      <c r="EN211" s="416"/>
      <c r="EO211" s="416"/>
      <c r="EP211" s="416"/>
      <c r="EQ211" s="416"/>
      <c r="ER211" s="416"/>
      <c r="ES211" s="416"/>
      <c r="ET211" s="416"/>
      <c r="EU211" s="416"/>
      <c r="EV211" s="416"/>
      <c r="EW211" s="416"/>
      <c r="EX211" s="416"/>
      <c r="EY211" s="416"/>
      <c r="EZ211" s="416"/>
      <c r="FA211" s="416"/>
      <c r="FB211" s="416"/>
      <c r="FC211" s="416"/>
      <c r="FD211" s="416"/>
      <c r="FE211" s="228"/>
      <c r="FF211" s="1330"/>
      <c r="FG211" s="1330"/>
      <c r="FH211" s="1330"/>
      <c r="FI211"/>
      <c r="FJ211"/>
      <c r="FK211"/>
      <c r="FL211"/>
      <c r="FM211"/>
      <c r="FN211"/>
      <c r="FO211" s="416"/>
    </row>
    <row r="212" spans="1:171" s="417" customFormat="1" ht="14.25" hidden="1" customHeight="1" outlineLevel="1">
      <c r="A212" s="416"/>
      <c r="B212" s="511" t="s">
        <v>117</v>
      </c>
      <c r="C212" s="228"/>
      <c r="D212" s="228"/>
      <c r="E212" s="228"/>
      <c r="F212" s="228"/>
      <c r="G212" s="228"/>
      <c r="H212" s="228"/>
      <c r="I212" s="228"/>
      <c r="J212" s="228"/>
      <c r="K212" s="228"/>
      <c r="L212" s="228"/>
      <c r="M212" s="228"/>
      <c r="N212" s="228"/>
      <c r="O212" s="228"/>
      <c r="P212" s="228"/>
      <c r="Q212" s="228"/>
      <c r="R212" s="228"/>
      <c r="S212" s="228"/>
      <c r="T212" s="228"/>
      <c r="U212" s="228"/>
      <c r="V212" s="228"/>
      <c r="W212" s="228"/>
      <c r="X212" s="228"/>
      <c r="Y212" s="228"/>
      <c r="Z212" s="228"/>
      <c r="AA212" s="228"/>
      <c r="AB212" s="228"/>
      <c r="AC212" s="228"/>
      <c r="AD212" s="228"/>
      <c r="AE212" s="228"/>
      <c r="AF212" s="228"/>
      <c r="AG212" s="228"/>
      <c r="AH212" s="228"/>
      <c r="AI212" s="228"/>
      <c r="AJ212" s="228"/>
      <c r="AK212" s="228"/>
      <c r="AL212" s="228"/>
      <c r="AM212" s="228"/>
      <c r="AN212" s="228"/>
      <c r="AO212" s="228"/>
      <c r="AP212" s="228"/>
      <c r="AQ212" s="228"/>
      <c r="AR212" s="228"/>
      <c r="AS212" s="228"/>
      <c r="AT212" s="228"/>
      <c r="AU212" s="228"/>
      <c r="AV212" s="228"/>
      <c r="AW212" s="228"/>
      <c r="AX212" s="228"/>
      <c r="AY212" s="228"/>
      <c r="AZ212" s="228"/>
      <c r="BA212" s="228"/>
      <c r="BB212" s="228"/>
      <c r="BC212" s="228"/>
      <c r="BD212" s="228"/>
      <c r="BE212" s="228"/>
      <c r="BF212" s="228"/>
      <c r="BG212" s="228"/>
      <c r="BH212" s="483"/>
      <c r="BI212" s="228"/>
      <c r="BJ212" s="228"/>
      <c r="BK212" s="229"/>
      <c r="BL212" s="228"/>
      <c r="BM212" s="228"/>
      <c r="BN212" s="228"/>
      <c r="BO212" s="228"/>
      <c r="BP212" s="483"/>
      <c r="BQ212" s="228"/>
      <c r="BR212" s="228"/>
      <c r="BS212" s="229"/>
      <c r="BT212" s="483"/>
      <c r="BU212" s="228"/>
      <c r="BV212" s="228">
        <f>+BU129*BU177/4</f>
        <v>4.2250000000000005</v>
      </c>
      <c r="BW212" s="227">
        <f t="shared" ref="BW212:CM212" si="1107">+BV129*BV177/4</f>
        <v>4.2737499999999997</v>
      </c>
      <c r="BX212" s="483">
        <f t="shared" si="1107"/>
        <v>4.3062500000000004</v>
      </c>
      <c r="BY212" s="228">
        <f t="shared" si="1107"/>
        <v>4.3550000000000004</v>
      </c>
      <c r="BZ212" s="228">
        <f t="shared" si="1107"/>
        <v>4.4047453124999993</v>
      </c>
      <c r="CA212" s="227">
        <f t="shared" si="1107"/>
        <v>4.4552989863281249</v>
      </c>
      <c r="CB212" s="818">
        <f t="shared" si="1107"/>
        <v>4.5066741573559561</v>
      </c>
      <c r="CC212" s="228">
        <f t="shared" si="1107"/>
        <v>4.5588841749129907</v>
      </c>
      <c r="CD212" s="228">
        <f t="shared" si="1107"/>
        <v>4.6119426052553267</v>
      </c>
      <c r="CE212" s="227">
        <f t="shared" si="1107"/>
        <v>4.6658632350907254</v>
      </c>
      <c r="CF212" s="818">
        <f t="shared" si="1107"/>
        <v>4.72066007516095</v>
      </c>
      <c r="CG212" s="228">
        <f t="shared" si="1107"/>
        <v>0</v>
      </c>
      <c r="CH212" s="228">
        <f t="shared" si="1107"/>
        <v>0</v>
      </c>
      <c r="CI212" s="227">
        <f t="shared" si="1107"/>
        <v>0</v>
      </c>
      <c r="CJ212" s="818">
        <f t="shared" si="1107"/>
        <v>0</v>
      </c>
      <c r="CK212" s="228">
        <f t="shared" si="1107"/>
        <v>0</v>
      </c>
      <c r="CL212" s="228">
        <f t="shared" si="1107"/>
        <v>0</v>
      </c>
      <c r="CM212" s="227">
        <f t="shared" si="1107"/>
        <v>0</v>
      </c>
      <c r="CN212" s="228">
        <f t="shared" si="1088"/>
        <v>0</v>
      </c>
      <c r="CO212" s="1252">
        <f t="shared" si="1088"/>
        <v>0</v>
      </c>
      <c r="CP212" s="228">
        <f t="shared" si="1088"/>
        <v>0</v>
      </c>
      <c r="CQ212" s="229">
        <f t="shared" si="1088"/>
        <v>0</v>
      </c>
      <c r="CR212" s="228">
        <f t="shared" si="1088"/>
        <v>0</v>
      </c>
      <c r="CS212" s="228">
        <f t="shared" si="1088"/>
        <v>0</v>
      </c>
      <c r="CT212" s="228">
        <f t="shared" si="1088"/>
        <v>0</v>
      </c>
      <c r="CU212" s="229">
        <f t="shared" si="1088"/>
        <v>0</v>
      </c>
      <c r="CV212" s="1330">
        <f t="shared" si="1089"/>
        <v>0</v>
      </c>
      <c r="CW212" s="1330">
        <f t="shared" si="1090"/>
        <v>0</v>
      </c>
      <c r="CX212" s="1330">
        <f t="shared" si="1091"/>
        <v>0</v>
      </c>
      <c r="CY212" s="1331">
        <f t="shared" si="1092"/>
        <v>0</v>
      </c>
      <c r="CZ212" s="1330">
        <f t="shared" si="1093"/>
        <v>0</v>
      </c>
      <c r="DA212" s="1330">
        <f t="shared" si="1094"/>
        <v>0</v>
      </c>
      <c r="DB212" s="1330">
        <f t="shared" si="1095"/>
        <v>0</v>
      </c>
      <c r="DC212" s="1331">
        <f t="shared" si="1096"/>
        <v>0</v>
      </c>
      <c r="DD212" s="1331"/>
      <c r="DE212" s="483"/>
      <c r="DF212" s="228"/>
      <c r="DG212" s="228"/>
      <c r="DH212" s="228"/>
      <c r="DI212" s="228"/>
      <c r="DJ212" s="228"/>
      <c r="DK212" s="228"/>
      <c r="DL212" s="228"/>
      <c r="DM212" s="228"/>
      <c r="DN212" s="228"/>
      <c r="DO212" s="228"/>
      <c r="DP212" s="228"/>
      <c r="DQ212" s="228"/>
      <c r="DR212" s="228"/>
      <c r="DS212" s="228"/>
      <c r="DT212" s="228"/>
      <c r="DU212" s="1330"/>
      <c r="DV212" s="1330">
        <f t="shared" si="1097"/>
        <v>8.4987500000000011</v>
      </c>
      <c r="DW212" s="1330">
        <f t="shared" si="1098"/>
        <v>17.521294298828124</v>
      </c>
      <c r="DX212" s="1330">
        <f t="shared" si="1099"/>
        <v>18.343364172614997</v>
      </c>
      <c r="DY212" s="1330">
        <f t="shared" si="1100"/>
        <v>4.72066007516095</v>
      </c>
      <c r="DZ212" s="1330">
        <f t="shared" si="1101"/>
        <v>0</v>
      </c>
      <c r="EA212" s="228">
        <f t="shared" si="1102"/>
        <v>0</v>
      </c>
      <c r="EB212" s="1330">
        <f t="shared" si="1103"/>
        <v>0</v>
      </c>
      <c r="EC212" s="1330">
        <f t="shared" si="1104"/>
        <v>0</v>
      </c>
      <c r="ED212" s="1331">
        <f t="shared" si="1105"/>
        <v>0</v>
      </c>
      <c r="EE212" s="483"/>
      <c r="EF212" s="416"/>
      <c r="EG212" s="416"/>
      <c r="EH212" s="416"/>
      <c r="EI212" s="416"/>
      <c r="EJ212" s="416"/>
      <c r="EK212" s="416"/>
      <c r="EL212" s="416"/>
      <c r="EM212" s="416"/>
      <c r="EN212" s="416"/>
      <c r="EO212" s="416"/>
      <c r="EP212" s="416"/>
      <c r="EQ212" s="416"/>
      <c r="ER212" s="416"/>
      <c r="ES212" s="416"/>
      <c r="ET212" s="416"/>
      <c r="EU212" s="416"/>
      <c r="EV212" s="416"/>
      <c r="EW212" s="416"/>
      <c r="EX212" s="416"/>
      <c r="EY212" s="416"/>
      <c r="EZ212" s="416"/>
      <c r="FA212" s="416"/>
      <c r="FB212" s="416"/>
      <c r="FC212" s="416"/>
      <c r="FD212" s="416"/>
      <c r="FE212" s="228"/>
      <c r="FF212" s="1330"/>
      <c r="FG212" s="1330"/>
      <c r="FH212" s="1330"/>
      <c r="FI212"/>
      <c r="FJ212"/>
      <c r="FK212"/>
      <c r="FL212"/>
      <c r="FM212"/>
      <c r="FN212"/>
      <c r="FO212" s="416"/>
    </row>
    <row r="213" spans="1:171" s="417" customFormat="1" ht="14.25" hidden="1" customHeight="1" outlineLevel="1">
      <c r="A213" s="416"/>
      <c r="B213" s="511" t="s">
        <v>118</v>
      </c>
      <c r="C213" s="228"/>
      <c r="D213" s="228"/>
      <c r="E213" s="228"/>
      <c r="F213" s="228"/>
      <c r="G213" s="228"/>
      <c r="H213" s="228"/>
      <c r="I213" s="228"/>
      <c r="J213" s="228"/>
      <c r="K213" s="228"/>
      <c r="L213" s="228"/>
      <c r="M213" s="228"/>
      <c r="N213" s="228"/>
      <c r="O213" s="228"/>
      <c r="P213" s="228"/>
      <c r="Q213" s="228"/>
      <c r="R213" s="228"/>
      <c r="S213" s="228"/>
      <c r="T213" s="228"/>
      <c r="U213" s="228"/>
      <c r="V213" s="228"/>
      <c r="W213" s="228"/>
      <c r="X213" s="228"/>
      <c r="Y213" s="228"/>
      <c r="Z213" s="228"/>
      <c r="AA213" s="228"/>
      <c r="AB213" s="228"/>
      <c r="AC213" s="228"/>
      <c r="AD213" s="228"/>
      <c r="AE213" s="228"/>
      <c r="AF213" s="228"/>
      <c r="AG213" s="228"/>
      <c r="AH213" s="228"/>
      <c r="AI213" s="228"/>
      <c r="AJ213" s="228"/>
      <c r="AK213" s="228"/>
      <c r="AL213" s="228"/>
      <c r="AM213" s="228"/>
      <c r="AN213" s="228"/>
      <c r="AO213" s="228"/>
      <c r="AP213" s="228"/>
      <c r="AQ213" s="228"/>
      <c r="AR213" s="228"/>
      <c r="AS213" s="228"/>
      <c r="AT213" s="228"/>
      <c r="AU213" s="228"/>
      <c r="AV213" s="228"/>
      <c r="AW213" s="228"/>
      <c r="AX213" s="228"/>
      <c r="AY213" s="228"/>
      <c r="AZ213" s="228"/>
      <c r="BA213" s="228"/>
      <c r="BB213" s="228"/>
      <c r="BC213" s="228"/>
      <c r="BD213" s="228"/>
      <c r="BE213" s="228"/>
      <c r="BF213" s="228"/>
      <c r="BG213" s="228"/>
      <c r="BH213" s="483"/>
      <c r="BI213" s="228"/>
      <c r="BJ213" s="228"/>
      <c r="BK213" s="229"/>
      <c r="BL213" s="228"/>
      <c r="BM213" s="228"/>
      <c r="BN213" s="228"/>
      <c r="BO213" s="228"/>
      <c r="BP213" s="483"/>
      <c r="BQ213" s="228"/>
      <c r="BR213" s="228"/>
      <c r="BS213" s="229"/>
      <c r="BT213" s="483"/>
      <c r="BU213" s="228"/>
      <c r="BV213" s="228">
        <f>+BU130*BU178/4</f>
        <v>4.1825000000000001</v>
      </c>
      <c r="BW213" s="227">
        <f t="shared" ref="BW213:CM213" si="1108">+BV130*BV178/4</f>
        <v>4.2175000000000002</v>
      </c>
      <c r="BX213" s="483">
        <f t="shared" si="1108"/>
        <v>4.2525000000000004</v>
      </c>
      <c r="BY213" s="228">
        <f t="shared" si="1108"/>
        <v>4.3050000000000006</v>
      </c>
      <c r="BZ213" s="228">
        <f t="shared" si="1108"/>
        <v>4.3520367187500009</v>
      </c>
      <c r="CA213" s="227">
        <f t="shared" si="1108"/>
        <v>4.399896580078126</v>
      </c>
      <c r="CB213" s="483">
        <f t="shared" si="1108"/>
        <v>4.4485939889794928</v>
      </c>
      <c r="CC213" s="228">
        <f t="shared" si="1108"/>
        <v>4.4981436025366337</v>
      </c>
      <c r="CD213" s="228">
        <f t="shared" si="1108"/>
        <v>4.5485603343310252</v>
      </c>
      <c r="CE213" s="227">
        <f t="shared" si="1108"/>
        <v>4.599859358931818</v>
      </c>
      <c r="CF213" s="483">
        <f t="shared" si="1108"/>
        <v>4.6520561164631244</v>
      </c>
      <c r="CG213" s="228">
        <f t="shared" si="1108"/>
        <v>4.7051663172512299</v>
      </c>
      <c r="CH213" s="228">
        <f t="shared" si="1108"/>
        <v>4.7592059465531262</v>
      </c>
      <c r="CI213" s="227">
        <f t="shared" si="1108"/>
        <v>4.8141912693678064</v>
      </c>
      <c r="CJ213" s="483">
        <f t="shared" si="1108"/>
        <v>4.8701388353317432</v>
      </c>
      <c r="CK213" s="228">
        <f t="shared" si="1108"/>
        <v>4.9270654837000478</v>
      </c>
      <c r="CL213" s="228">
        <f t="shared" si="1108"/>
        <v>4.9849883484147997</v>
      </c>
      <c r="CM213" s="227">
        <f t="shared" si="1108"/>
        <v>5.0439248632620579</v>
      </c>
      <c r="CN213" s="228">
        <f t="shared" si="1088"/>
        <v>5.1038927671191443</v>
      </c>
      <c r="CO213" s="1252">
        <f t="shared" si="1088"/>
        <v>5.1649101092937295</v>
      </c>
      <c r="CP213" s="228">
        <f t="shared" si="1088"/>
        <v>5.2269952549563694</v>
      </c>
      <c r="CQ213" s="229">
        <f t="shared" si="1088"/>
        <v>5.2901668906681056</v>
      </c>
      <c r="CR213" s="228">
        <f t="shared" si="1088"/>
        <v>5.3544440300047977</v>
      </c>
      <c r="CS213" s="228">
        <f t="shared" si="1088"/>
        <v>5.4198460192798814</v>
      </c>
      <c r="CT213" s="228">
        <f t="shared" si="1088"/>
        <v>5.4863925433672796</v>
      </c>
      <c r="CU213" s="229">
        <f t="shared" si="1088"/>
        <v>5.5541036316262069</v>
      </c>
      <c r="CV213" s="1330">
        <f t="shared" si="1089"/>
        <v>5.622999663929666</v>
      </c>
      <c r="CW213" s="1330">
        <f t="shared" si="1090"/>
        <v>5.6931013767984346</v>
      </c>
      <c r="CX213" s="1330">
        <f t="shared" si="1091"/>
        <v>5.7644298696424068</v>
      </c>
      <c r="CY213" s="1331">
        <f t="shared" si="1092"/>
        <v>5.8370066111111498</v>
      </c>
      <c r="CZ213" s="1330">
        <f t="shared" si="1093"/>
        <v>5.9108534455555937</v>
      </c>
      <c r="DA213" s="1330">
        <f t="shared" si="1094"/>
        <v>5.9859925996028167</v>
      </c>
      <c r="DB213" s="1330">
        <f t="shared" si="1095"/>
        <v>6.0624466888458661</v>
      </c>
      <c r="DC213" s="1331">
        <f t="shared" si="1096"/>
        <v>6.1402387246506684</v>
      </c>
      <c r="DD213" s="1331"/>
      <c r="DE213" s="483"/>
      <c r="DF213" s="228"/>
      <c r="DG213" s="228"/>
      <c r="DH213" s="228"/>
      <c r="DI213" s="228"/>
      <c r="DJ213" s="228"/>
      <c r="DK213" s="228"/>
      <c r="DL213" s="228"/>
      <c r="DM213" s="228"/>
      <c r="DN213" s="228"/>
      <c r="DO213" s="228"/>
      <c r="DP213" s="228"/>
      <c r="DQ213" s="228"/>
      <c r="DR213" s="228"/>
      <c r="DS213" s="228"/>
      <c r="DT213" s="228"/>
      <c r="DU213" s="1330"/>
      <c r="DV213" s="1330">
        <f t="shared" si="1097"/>
        <v>8.4</v>
      </c>
      <c r="DW213" s="1330">
        <f t="shared" si="1098"/>
        <v>17.309433298828125</v>
      </c>
      <c r="DX213" s="1330">
        <f t="shared" si="1099"/>
        <v>18.095157284778971</v>
      </c>
      <c r="DY213" s="1330">
        <f t="shared" si="1100"/>
        <v>18.93061964963529</v>
      </c>
      <c r="DZ213" s="1330">
        <f t="shared" si="1101"/>
        <v>19.82611753070865</v>
      </c>
      <c r="EA213" s="228">
        <f t="shared" si="1102"/>
        <v>20.785965022037349</v>
      </c>
      <c r="EB213" s="1330">
        <f t="shared" si="1103"/>
        <v>21.814786224278166</v>
      </c>
      <c r="EC213" s="1330">
        <f t="shared" si="1104"/>
        <v>22.917537521481655</v>
      </c>
      <c r="ED213" s="1331">
        <f t="shared" si="1105"/>
        <v>24.099531458654944</v>
      </c>
      <c r="EE213" s="483"/>
      <c r="EF213" s="416"/>
      <c r="EG213" s="416"/>
      <c r="EH213" s="416"/>
      <c r="EI213" s="416"/>
      <c r="EJ213" s="416"/>
      <c r="EK213" s="416"/>
      <c r="EL213" s="416"/>
      <c r="EM213" s="416"/>
      <c r="EN213" s="416"/>
      <c r="EO213" s="416"/>
      <c r="EP213" s="416"/>
      <c r="EQ213" s="416"/>
      <c r="ER213" s="416"/>
      <c r="ES213" s="416"/>
      <c r="ET213" s="416"/>
      <c r="EU213" s="416"/>
      <c r="EV213" s="416"/>
      <c r="EW213" s="416"/>
      <c r="EX213" s="416"/>
      <c r="EY213" s="416"/>
      <c r="EZ213" s="416"/>
      <c r="FA213" s="416"/>
      <c r="FB213" s="416"/>
      <c r="FC213" s="416"/>
      <c r="FD213" s="416"/>
      <c r="FE213" s="228"/>
      <c r="FF213" s="1330"/>
      <c r="FG213" s="1330"/>
      <c r="FH213" s="1330"/>
      <c r="FI213"/>
      <c r="FJ213"/>
      <c r="FK213"/>
      <c r="FL213"/>
      <c r="FM213"/>
      <c r="FN213"/>
      <c r="FO213" s="416"/>
    </row>
    <row r="214" spans="1:171" s="417" customFormat="1" ht="14.25" hidden="1" customHeight="1" outlineLevel="1">
      <c r="A214" s="416"/>
      <c r="B214" s="511" t="s">
        <v>119</v>
      </c>
      <c r="C214" s="228"/>
      <c r="D214" s="228"/>
      <c r="E214" s="228"/>
      <c r="F214" s="228"/>
      <c r="G214" s="228"/>
      <c r="H214" s="228"/>
      <c r="I214" s="228"/>
      <c r="J214" s="228"/>
      <c r="K214" s="228"/>
      <c r="L214" s="228"/>
      <c r="M214" s="228"/>
      <c r="N214" s="228"/>
      <c r="O214" s="228"/>
      <c r="P214" s="228"/>
      <c r="Q214" s="228"/>
      <c r="R214" s="228"/>
      <c r="S214" s="228"/>
      <c r="T214" s="228"/>
      <c r="U214" s="228"/>
      <c r="V214" s="228"/>
      <c r="W214" s="228"/>
      <c r="X214" s="228"/>
      <c r="Y214" s="228"/>
      <c r="Z214" s="228"/>
      <c r="AA214" s="228"/>
      <c r="AB214" s="228"/>
      <c r="AC214" s="228"/>
      <c r="AD214" s="228"/>
      <c r="AE214" s="228"/>
      <c r="AF214" s="228"/>
      <c r="AG214" s="228"/>
      <c r="AH214" s="228"/>
      <c r="AI214" s="228"/>
      <c r="AJ214" s="228"/>
      <c r="AK214" s="228"/>
      <c r="AL214" s="228"/>
      <c r="AM214" s="228"/>
      <c r="AN214" s="228"/>
      <c r="AO214" s="228"/>
      <c r="AP214" s="228"/>
      <c r="AQ214" s="228"/>
      <c r="AR214" s="228"/>
      <c r="AS214" s="228"/>
      <c r="AT214" s="228"/>
      <c r="AU214" s="228"/>
      <c r="AV214" s="228"/>
      <c r="AW214" s="228"/>
      <c r="AX214" s="228"/>
      <c r="AY214" s="228"/>
      <c r="AZ214" s="228"/>
      <c r="BA214" s="228"/>
      <c r="BB214" s="228"/>
      <c r="BC214" s="228"/>
      <c r="BD214" s="228"/>
      <c r="BE214" s="228"/>
      <c r="BF214" s="228"/>
      <c r="BG214" s="228"/>
      <c r="BH214" s="483"/>
      <c r="BI214" s="228"/>
      <c r="BJ214" s="228"/>
      <c r="BK214" s="229"/>
      <c r="BL214" s="228"/>
      <c r="BM214" s="228"/>
      <c r="BN214" s="228"/>
      <c r="BO214" s="228"/>
      <c r="BP214" s="483"/>
      <c r="BQ214" s="228"/>
      <c r="BR214" s="228"/>
      <c r="BS214" s="229"/>
      <c r="BT214" s="483"/>
      <c r="BU214" s="228"/>
      <c r="BV214" s="228">
        <f>+BU131*BU179/4</f>
        <v>2.3805000000000001</v>
      </c>
      <c r="BW214" s="227">
        <f t="shared" ref="BW214:CM214" si="1109">+BV131*BV179/4</f>
        <v>2.3977500000000003</v>
      </c>
      <c r="BX214" s="483">
        <f t="shared" si="1109"/>
        <v>2.4322500000000002</v>
      </c>
      <c r="BY214" s="228">
        <f t="shared" si="1109"/>
        <v>2.4495</v>
      </c>
      <c r="BZ214" s="228">
        <f t="shared" si="1109"/>
        <v>2.4776034843750003</v>
      </c>
      <c r="CA214" s="227">
        <f t="shared" si="1109"/>
        <v>2.506191753855469</v>
      </c>
      <c r="CB214" s="483">
        <f t="shared" si="1109"/>
        <v>2.535273170984476</v>
      </c>
      <c r="CC214" s="228">
        <f t="shared" si="1109"/>
        <v>2.5648562425589581</v>
      </c>
      <c r="CD214" s="228">
        <f t="shared" si="1109"/>
        <v>2.5949496221181003</v>
      </c>
      <c r="CE214" s="227">
        <f t="shared" si="1109"/>
        <v>2.6255621124746376</v>
      </c>
      <c r="CF214" s="483">
        <f t="shared" si="1109"/>
        <v>2.6567026682898245</v>
      </c>
      <c r="CG214" s="228">
        <f t="shared" si="1109"/>
        <v>2.6883803986928241</v>
      </c>
      <c r="CH214" s="228">
        <f t="shared" si="1109"/>
        <v>2.7206045699452752</v>
      </c>
      <c r="CI214" s="227">
        <f t="shared" si="1109"/>
        <v>2.7533846081518312</v>
      </c>
      <c r="CJ214" s="483">
        <f t="shared" si="1109"/>
        <v>2.7867301020174504</v>
      </c>
      <c r="CK214" s="228">
        <f t="shared" si="1109"/>
        <v>2.8206508056522517</v>
      </c>
      <c r="CL214" s="228">
        <f t="shared" si="1109"/>
        <v>2.8551566414247529</v>
      </c>
      <c r="CM214" s="227">
        <f t="shared" si="1109"/>
        <v>2.8902577028643299</v>
      </c>
      <c r="CN214" s="228">
        <f t="shared" si="1088"/>
        <v>2.9259642576137392</v>
      </c>
      <c r="CO214" s="1252">
        <f t="shared" si="1088"/>
        <v>2.9622867504325763</v>
      </c>
      <c r="CP214" s="228">
        <f t="shared" si="1088"/>
        <v>2.9992358062525386</v>
      </c>
      <c r="CQ214" s="229">
        <f t="shared" si="1088"/>
        <v>3.0368222332853945</v>
      </c>
      <c r="CR214" s="228">
        <f t="shared" si="1088"/>
        <v>3.0750570261845676</v>
      </c>
      <c r="CS214" s="228">
        <f t="shared" si="1088"/>
        <v>3.1139513692612515</v>
      </c>
      <c r="CT214" s="228">
        <f t="shared" si="1088"/>
        <v>3.1535166397560079</v>
      </c>
      <c r="CU214" s="229">
        <f t="shared" si="1088"/>
        <v>3.1937644111667995</v>
      </c>
      <c r="CV214" s="1330">
        <f t="shared" si="1089"/>
        <v>3.2347064566344268</v>
      </c>
      <c r="CW214" s="1330">
        <f t="shared" si="1090"/>
        <v>3.2763547523863705</v>
      </c>
      <c r="CX214" s="1330">
        <f t="shared" si="1091"/>
        <v>3.3187214812400354</v>
      </c>
      <c r="CY214" s="1331">
        <f t="shared" si="1092"/>
        <v>3.361819036166426</v>
      </c>
      <c r="CZ214" s="1330">
        <f t="shared" si="1093"/>
        <v>3.405660023915297</v>
      </c>
      <c r="DA214" s="1330">
        <f t="shared" si="1094"/>
        <v>3.4502572687028357</v>
      </c>
      <c r="DB214" s="1330">
        <f t="shared" si="1095"/>
        <v>3.4956238159629596</v>
      </c>
      <c r="DC214" s="1331">
        <f t="shared" si="1096"/>
        <v>3.541772936163321</v>
      </c>
      <c r="DD214" s="1331"/>
      <c r="DE214" s="483"/>
      <c r="DF214" s="228"/>
      <c r="DG214" s="228"/>
      <c r="DH214" s="228"/>
      <c r="DI214" s="228"/>
      <c r="DJ214" s="228"/>
      <c r="DK214" s="228"/>
      <c r="DL214" s="228"/>
      <c r="DM214" s="228"/>
      <c r="DN214" s="228"/>
      <c r="DO214" s="228"/>
      <c r="DP214" s="228"/>
      <c r="DQ214" s="228"/>
      <c r="DR214" s="228"/>
      <c r="DS214" s="228"/>
      <c r="DT214" s="228"/>
      <c r="DU214" s="1330"/>
      <c r="DV214" s="1330">
        <f t="shared" si="1097"/>
        <v>4.7782499999999999</v>
      </c>
      <c r="DW214" s="1330">
        <f t="shared" si="1098"/>
        <v>9.8655452382304709</v>
      </c>
      <c r="DX214" s="1330">
        <f t="shared" si="1099"/>
        <v>10.320641148136172</v>
      </c>
      <c r="DY214" s="1330">
        <f t="shared" si="1100"/>
        <v>10.819072245079756</v>
      </c>
      <c r="DZ214" s="1330">
        <f t="shared" si="1101"/>
        <v>11.352795251958785</v>
      </c>
      <c r="EA214" s="228">
        <f t="shared" si="1102"/>
        <v>11.924309047584249</v>
      </c>
      <c r="EB214" s="1330">
        <f t="shared" si="1103"/>
        <v>12.536289446368627</v>
      </c>
      <c r="EC214" s="1330">
        <f t="shared" si="1104"/>
        <v>13.191601726427258</v>
      </c>
      <c r="ED214" s="1331">
        <f t="shared" si="1105"/>
        <v>13.893314044744413</v>
      </c>
      <c r="EE214" s="483"/>
      <c r="EF214" s="416"/>
      <c r="EG214" s="416"/>
      <c r="EH214" s="416"/>
      <c r="EI214" s="416"/>
      <c r="EJ214" s="416"/>
      <c r="EK214" s="416"/>
      <c r="EL214" s="416"/>
      <c r="EM214" s="416"/>
      <c r="EN214" s="416"/>
      <c r="EO214" s="416"/>
      <c r="EP214" s="416"/>
      <c r="EQ214" s="416"/>
      <c r="ER214" s="416"/>
      <c r="ES214" s="416"/>
      <c r="ET214" s="416"/>
      <c r="EU214" s="416"/>
      <c r="EV214" s="416"/>
      <c r="EW214" s="416"/>
      <c r="EX214" s="416"/>
      <c r="EY214" s="416"/>
      <c r="EZ214" s="416"/>
      <c r="FA214" s="416"/>
      <c r="FB214" s="416"/>
      <c r="FC214" s="416"/>
      <c r="FD214" s="416"/>
      <c r="FE214" s="228"/>
      <c r="FF214" s="1330"/>
      <c r="FG214" s="1330"/>
      <c r="FH214" s="1330"/>
      <c r="FI214"/>
      <c r="FJ214"/>
      <c r="FK214"/>
      <c r="FL214"/>
      <c r="FM214"/>
      <c r="FN214"/>
      <c r="FO214" s="416"/>
    </row>
    <row r="215" spans="1:171" s="465" customFormat="1" ht="14.25" hidden="1" customHeight="1" outlineLevel="1">
      <c r="A215" s="416"/>
      <c r="B215" s="511" t="s">
        <v>120</v>
      </c>
      <c r="C215" s="228"/>
      <c r="D215" s="228"/>
      <c r="E215" s="228"/>
      <c r="F215" s="228"/>
      <c r="G215" s="228"/>
      <c r="H215" s="228"/>
      <c r="I215" s="228"/>
      <c r="J215" s="228"/>
      <c r="K215" s="228"/>
      <c r="L215" s="228"/>
      <c r="M215" s="228"/>
      <c r="N215" s="228"/>
      <c r="O215" s="228"/>
      <c r="P215" s="228"/>
      <c r="Q215" s="228"/>
      <c r="R215" s="228"/>
      <c r="S215" s="228"/>
      <c r="T215" s="228"/>
      <c r="U215" s="228"/>
      <c r="V215" s="228"/>
      <c r="W215" s="228"/>
      <c r="X215" s="228"/>
      <c r="Y215" s="228"/>
      <c r="Z215" s="228"/>
      <c r="AA215" s="228"/>
      <c r="AB215" s="228"/>
      <c r="AC215" s="228"/>
      <c r="AD215" s="228"/>
      <c r="AE215" s="228"/>
      <c r="AF215" s="228"/>
      <c r="AG215" s="228"/>
      <c r="AH215" s="228"/>
      <c r="AI215" s="228"/>
      <c r="AJ215" s="228"/>
      <c r="AK215" s="228"/>
      <c r="AL215" s="228"/>
      <c r="AM215" s="228"/>
      <c r="AN215" s="228"/>
      <c r="AO215" s="228"/>
      <c r="AP215" s="228"/>
      <c r="AQ215" s="228"/>
      <c r="AR215" s="228"/>
      <c r="AS215" s="228"/>
      <c r="AT215" s="228"/>
      <c r="AU215" s="228"/>
      <c r="AV215" s="228"/>
      <c r="AW215" s="228"/>
      <c r="AX215" s="228"/>
      <c r="AY215" s="228"/>
      <c r="AZ215" s="228"/>
      <c r="BA215" s="228"/>
      <c r="BB215" s="228"/>
      <c r="BC215" s="228"/>
      <c r="BD215" s="228"/>
      <c r="BE215" s="228"/>
      <c r="BF215" s="228"/>
      <c r="BG215" s="228"/>
      <c r="BH215" s="483"/>
      <c r="BI215" s="228"/>
      <c r="BJ215" s="228"/>
      <c r="BK215" s="229"/>
      <c r="BL215" s="228"/>
      <c r="BM215" s="228"/>
      <c r="BN215" s="228"/>
      <c r="BO215" s="228"/>
      <c r="BP215" s="483"/>
      <c r="BQ215" s="228"/>
      <c r="BR215" s="228"/>
      <c r="BS215" s="229"/>
      <c r="BT215" s="483"/>
      <c r="BU215" s="228"/>
      <c r="BV215" s="228">
        <f>+BU132*BU180/4</f>
        <v>16.530750000000001</v>
      </c>
      <c r="BW215" s="227">
        <f t="shared" ref="BW215:CM215" si="1110">+BV132*BV180/4</f>
        <v>16.748000000000001</v>
      </c>
      <c r="BX215" s="483">
        <f t="shared" si="1110"/>
        <v>16.984999999999999</v>
      </c>
      <c r="BY215" s="228">
        <f t="shared" si="1110"/>
        <v>17.222000000000001</v>
      </c>
      <c r="BZ215" s="228">
        <f t="shared" si="1110"/>
        <v>17.4742686015625</v>
      </c>
      <c r="CA215" s="227">
        <f t="shared" si="1110"/>
        <v>17.73151950800586</v>
      </c>
      <c r="CB215" s="483">
        <f t="shared" si="1110"/>
        <v>17.993851119851477</v>
      </c>
      <c r="CC215" s="228">
        <f t="shared" si="1110"/>
        <v>18.261363781031044</v>
      </c>
      <c r="CD215" s="228">
        <f t="shared" si="1110"/>
        <v>18.534159817268907</v>
      </c>
      <c r="CE215" s="227">
        <f t="shared" si="1110"/>
        <v>18.744724999999999</v>
      </c>
      <c r="CF215" s="483">
        <f t="shared" si="1110"/>
        <v>0</v>
      </c>
      <c r="CG215" s="228">
        <f t="shared" si="1110"/>
        <v>0</v>
      </c>
      <c r="CH215" s="228">
        <f t="shared" si="1110"/>
        <v>0</v>
      </c>
      <c r="CI215" s="227">
        <f t="shared" si="1110"/>
        <v>0</v>
      </c>
      <c r="CJ215" s="483">
        <f t="shared" si="1110"/>
        <v>0</v>
      </c>
      <c r="CK215" s="228">
        <f t="shared" si="1110"/>
        <v>0</v>
      </c>
      <c r="CL215" s="228">
        <f t="shared" si="1110"/>
        <v>0</v>
      </c>
      <c r="CM215" s="227">
        <f t="shared" si="1110"/>
        <v>0</v>
      </c>
      <c r="CN215" s="228">
        <f t="shared" si="1088"/>
        <v>0</v>
      </c>
      <c r="CO215" s="1252">
        <f t="shared" si="1088"/>
        <v>0</v>
      </c>
      <c r="CP215" s="228">
        <f t="shared" si="1088"/>
        <v>0</v>
      </c>
      <c r="CQ215" s="229">
        <f t="shared" si="1088"/>
        <v>0</v>
      </c>
      <c r="CR215" s="228">
        <f t="shared" si="1088"/>
        <v>0</v>
      </c>
      <c r="CS215" s="228">
        <f t="shared" si="1088"/>
        <v>0</v>
      </c>
      <c r="CT215" s="228">
        <f t="shared" si="1088"/>
        <v>0</v>
      </c>
      <c r="CU215" s="229">
        <f t="shared" si="1088"/>
        <v>0</v>
      </c>
      <c r="CV215" s="1330">
        <f t="shared" si="1089"/>
        <v>0</v>
      </c>
      <c r="CW215" s="1330">
        <f t="shared" si="1090"/>
        <v>0</v>
      </c>
      <c r="CX215" s="1330">
        <f t="shared" si="1091"/>
        <v>0</v>
      </c>
      <c r="CY215" s="1331">
        <f t="shared" si="1092"/>
        <v>0</v>
      </c>
      <c r="CZ215" s="1330">
        <f t="shared" si="1093"/>
        <v>0</v>
      </c>
      <c r="DA215" s="1330">
        <f t="shared" si="1094"/>
        <v>0</v>
      </c>
      <c r="DB215" s="1330">
        <f t="shared" si="1095"/>
        <v>0</v>
      </c>
      <c r="DC215" s="1331">
        <f t="shared" si="1096"/>
        <v>0</v>
      </c>
      <c r="DD215" s="1331"/>
      <c r="DE215" s="483"/>
      <c r="DF215" s="228"/>
      <c r="DG215" s="228"/>
      <c r="DH215" s="228"/>
      <c r="DI215" s="228"/>
      <c r="DJ215" s="228"/>
      <c r="DK215" s="228"/>
      <c r="DL215" s="228"/>
      <c r="DM215" s="228"/>
      <c r="DN215" s="228"/>
      <c r="DO215" s="228"/>
      <c r="DP215" s="228"/>
      <c r="DQ215" s="228"/>
      <c r="DR215" s="228"/>
      <c r="DS215" s="228"/>
      <c r="DT215" s="228"/>
      <c r="DU215" s="1330"/>
      <c r="DV215" s="1330">
        <f t="shared" si="1097"/>
        <v>33.278750000000002</v>
      </c>
      <c r="DW215" s="1330">
        <f t="shared" si="1098"/>
        <v>69.412788109568368</v>
      </c>
      <c r="DX215" s="1330">
        <f t="shared" si="1099"/>
        <v>73.534099718151424</v>
      </c>
      <c r="DY215" s="1330">
        <f t="shared" si="1100"/>
        <v>0</v>
      </c>
      <c r="DZ215" s="1330">
        <f t="shared" si="1101"/>
        <v>0</v>
      </c>
      <c r="EA215" s="228">
        <f t="shared" si="1102"/>
        <v>0</v>
      </c>
      <c r="EB215" s="1330">
        <f t="shared" si="1103"/>
        <v>0</v>
      </c>
      <c r="EC215" s="1330">
        <f t="shared" si="1104"/>
        <v>0</v>
      </c>
      <c r="ED215" s="1331">
        <f t="shared" si="1105"/>
        <v>0</v>
      </c>
      <c r="EE215" s="483"/>
      <c r="EF215" s="416"/>
      <c r="EG215" s="416"/>
      <c r="EH215" s="416"/>
      <c r="EI215" s="416"/>
      <c r="EJ215" s="416"/>
      <c r="EK215" s="416"/>
      <c r="EL215" s="416"/>
      <c r="EM215" s="416"/>
      <c r="EN215" s="416"/>
      <c r="EO215" s="416"/>
      <c r="EP215" s="416"/>
      <c r="EQ215" s="416"/>
      <c r="ER215" s="416"/>
      <c r="ES215" s="416"/>
      <c r="ET215" s="416"/>
      <c r="EU215" s="416"/>
      <c r="EV215" s="416"/>
      <c r="EW215" s="416"/>
      <c r="EX215" s="416"/>
      <c r="EY215" s="416"/>
      <c r="EZ215" s="416"/>
      <c r="FA215" s="416"/>
      <c r="FB215" s="416"/>
      <c r="FC215" s="416"/>
      <c r="FD215" s="416"/>
      <c r="FE215" s="228"/>
      <c r="FF215" s="1330"/>
      <c r="FG215" s="1330"/>
      <c r="FH215" s="1330"/>
      <c r="FI215"/>
      <c r="FJ215"/>
      <c r="FK215"/>
      <c r="FL215"/>
      <c r="FM215"/>
      <c r="FN215"/>
      <c r="FO215" s="416"/>
    </row>
    <row r="216" spans="1:171" s="465" customFormat="1" ht="14.25" hidden="1" customHeight="1" outlineLevel="1">
      <c r="A216" s="416"/>
      <c r="B216" s="624" t="s">
        <v>217</v>
      </c>
      <c r="C216" s="228"/>
      <c r="D216" s="228"/>
      <c r="E216" s="228"/>
      <c r="F216" s="228"/>
      <c r="G216" s="228"/>
      <c r="H216" s="228"/>
      <c r="I216" s="228"/>
      <c r="J216" s="228"/>
      <c r="K216" s="228"/>
      <c r="L216" s="228"/>
      <c r="M216" s="228"/>
      <c r="N216" s="228"/>
      <c r="O216" s="228"/>
      <c r="P216" s="228"/>
      <c r="Q216" s="228"/>
      <c r="R216" s="228"/>
      <c r="S216" s="228"/>
      <c r="T216" s="228"/>
      <c r="U216" s="228"/>
      <c r="V216" s="228"/>
      <c r="W216" s="228"/>
      <c r="X216" s="228"/>
      <c r="Y216" s="228"/>
      <c r="Z216" s="228"/>
      <c r="AA216" s="228"/>
      <c r="AB216" s="228"/>
      <c r="AC216" s="228"/>
      <c r="AD216" s="228"/>
      <c r="AE216" s="228"/>
      <c r="AF216" s="228"/>
      <c r="AG216" s="228"/>
      <c r="AH216" s="228"/>
      <c r="AI216" s="228"/>
      <c r="AJ216" s="228"/>
      <c r="AK216" s="228"/>
      <c r="AL216" s="228"/>
      <c r="AM216" s="228"/>
      <c r="AN216" s="228"/>
      <c r="AO216" s="228"/>
      <c r="AP216" s="228"/>
      <c r="AQ216" s="228"/>
      <c r="AR216" s="228"/>
      <c r="AS216" s="228"/>
      <c r="AT216" s="228"/>
      <c r="AU216" s="228"/>
      <c r="AV216" s="228"/>
      <c r="AW216" s="228"/>
      <c r="AX216" s="228"/>
      <c r="AY216" s="228"/>
      <c r="AZ216" s="228"/>
      <c r="BA216" s="228"/>
      <c r="BB216" s="228"/>
      <c r="BC216" s="228"/>
      <c r="BD216" s="228"/>
      <c r="BE216" s="228"/>
      <c r="BF216" s="228"/>
      <c r="BG216" s="228"/>
      <c r="BH216" s="483"/>
      <c r="BI216" s="228"/>
      <c r="BJ216" s="228"/>
      <c r="BK216" s="229"/>
      <c r="BL216" s="228"/>
      <c r="BM216" s="228"/>
      <c r="BN216" s="228"/>
      <c r="BO216" s="228"/>
      <c r="BP216" s="483"/>
      <c r="BQ216" s="228"/>
      <c r="BR216" s="228"/>
      <c r="BS216" s="229"/>
      <c r="BT216" s="483"/>
      <c r="BU216" s="228"/>
      <c r="BV216" s="228"/>
      <c r="BW216" s="227"/>
      <c r="BX216" s="483">
        <f>+BX198</f>
        <v>0</v>
      </c>
      <c r="BY216" s="228">
        <f>+BY198</f>
        <v>0</v>
      </c>
      <c r="BZ216" s="228">
        <f>+BZ198</f>
        <v>0</v>
      </c>
      <c r="CA216" s="227">
        <f>+CA198</f>
        <v>0</v>
      </c>
      <c r="CB216" s="483">
        <f t="shared" ref="CB216:CE217" si="1111">+CA133*CA181/4</f>
        <v>0</v>
      </c>
      <c r="CC216" s="228">
        <f t="shared" si="1111"/>
        <v>0</v>
      </c>
      <c r="CD216" s="228">
        <f t="shared" si="1111"/>
        <v>0</v>
      </c>
      <c r="CE216" s="227">
        <f t="shared" si="1111"/>
        <v>0</v>
      </c>
      <c r="CF216" s="483">
        <f t="shared" ref="CF216:CL216" si="1112">+CF198</f>
        <v>0</v>
      </c>
      <c r="CG216" s="228">
        <f t="shared" si="1112"/>
        <v>0</v>
      </c>
      <c r="CH216" s="228">
        <f t="shared" si="1112"/>
        <v>0</v>
      </c>
      <c r="CI216" s="227">
        <f t="shared" si="1112"/>
        <v>0</v>
      </c>
      <c r="CJ216" s="483">
        <f t="shared" si="1112"/>
        <v>0</v>
      </c>
      <c r="CK216" s="228">
        <f t="shared" si="1112"/>
        <v>0</v>
      </c>
      <c r="CL216" s="228">
        <f t="shared" si="1112"/>
        <v>0</v>
      </c>
      <c r="CM216" s="227">
        <f t="shared" ref="CM216" si="1113">+CM198</f>
        <v>0</v>
      </c>
      <c r="CN216" s="228">
        <f t="shared" ref="CN216:CQ223" si="1114">+CN198</f>
        <v>0</v>
      </c>
      <c r="CO216" s="1252">
        <f t="shared" si="1114"/>
        <v>0</v>
      </c>
      <c r="CP216" s="228">
        <f t="shared" si="1114"/>
        <v>0</v>
      </c>
      <c r="CQ216" s="229">
        <f t="shared" si="1114"/>
        <v>0</v>
      </c>
      <c r="CR216" s="228">
        <f t="shared" ref="CR216:CU216" si="1115">+CR198</f>
        <v>0</v>
      </c>
      <c r="CS216" s="228">
        <f t="shared" si="1115"/>
        <v>0</v>
      </c>
      <c r="CT216" s="228">
        <f t="shared" si="1115"/>
        <v>0</v>
      </c>
      <c r="CU216" s="229">
        <f t="shared" si="1115"/>
        <v>0</v>
      </c>
      <c r="CV216" s="1330">
        <f t="shared" ref="CV216:CY216" si="1116">+CV198</f>
        <v>0</v>
      </c>
      <c r="CW216" s="1330">
        <f t="shared" si="1116"/>
        <v>0</v>
      </c>
      <c r="CX216" s="1330">
        <f t="shared" si="1116"/>
        <v>0</v>
      </c>
      <c r="CY216" s="1331">
        <f t="shared" si="1116"/>
        <v>0</v>
      </c>
      <c r="CZ216" s="1330">
        <f t="shared" ref="CZ216:DC216" si="1117">+CZ198</f>
        <v>0</v>
      </c>
      <c r="DA216" s="1330">
        <f t="shared" si="1117"/>
        <v>0</v>
      </c>
      <c r="DB216" s="1330">
        <f t="shared" si="1117"/>
        <v>0</v>
      </c>
      <c r="DC216" s="1331">
        <f t="shared" si="1117"/>
        <v>0</v>
      </c>
      <c r="DD216" s="1331"/>
      <c r="DE216" s="483"/>
      <c r="DF216" s="228"/>
      <c r="DG216" s="228"/>
      <c r="DH216" s="228"/>
      <c r="DI216" s="228"/>
      <c r="DJ216" s="228"/>
      <c r="DK216" s="228"/>
      <c r="DL216" s="228"/>
      <c r="DM216" s="228"/>
      <c r="DN216" s="228"/>
      <c r="DO216" s="228"/>
      <c r="DP216" s="228"/>
      <c r="DQ216" s="228"/>
      <c r="DR216" s="228"/>
      <c r="DS216" s="228"/>
      <c r="DT216" s="228"/>
      <c r="DU216" s="1330"/>
      <c r="DV216" s="1330"/>
      <c r="DW216" s="1330">
        <f t="shared" ref="DW216:DW223" si="1118">+SUM(BX216:CA216)</f>
        <v>0</v>
      </c>
      <c r="DX216" s="1330">
        <f t="shared" ref="DX216:DX223" si="1119">+SUM(CB216:CE216)</f>
        <v>0</v>
      </c>
      <c r="DY216" s="1330">
        <f t="shared" ref="DY216:DY223" si="1120">+SUM(CF216:CI216)</f>
        <v>0</v>
      </c>
      <c r="DZ216" s="1330">
        <f t="shared" ref="DZ216:DZ223" si="1121">+SUM(CJ216:CM216)</f>
        <v>0</v>
      </c>
      <c r="EA216" s="228">
        <f t="shared" si="1102"/>
        <v>0</v>
      </c>
      <c r="EB216" s="1330">
        <f t="shared" si="1103"/>
        <v>0</v>
      </c>
      <c r="EC216" s="1330">
        <f t="shared" si="1104"/>
        <v>0</v>
      </c>
      <c r="ED216" s="1331">
        <f t="shared" si="1105"/>
        <v>0</v>
      </c>
      <c r="EE216" s="483"/>
      <c r="EF216" s="416"/>
      <c r="EG216" s="416"/>
      <c r="EH216" s="416"/>
      <c r="EI216" s="416"/>
      <c r="EJ216" s="416"/>
      <c r="EK216" s="416"/>
      <c r="EL216" s="416"/>
      <c r="EM216" s="416"/>
      <c r="EN216" s="416"/>
      <c r="EO216" s="416"/>
      <c r="EP216" s="416"/>
      <c r="EQ216" s="416"/>
      <c r="ER216" s="416"/>
      <c r="ES216" s="416"/>
      <c r="ET216" s="416"/>
      <c r="EU216" s="416"/>
      <c r="EV216" s="416"/>
      <c r="EW216" s="416"/>
      <c r="EX216" s="416"/>
      <c r="EY216" s="416"/>
      <c r="EZ216" s="416"/>
      <c r="FA216" s="416"/>
      <c r="FB216" s="416"/>
      <c r="FC216" s="416"/>
      <c r="FD216" s="416"/>
      <c r="FE216" s="228"/>
      <c r="FF216" s="1330"/>
      <c r="FG216" s="1330"/>
      <c r="FH216" s="1330"/>
      <c r="FI216"/>
      <c r="FJ216"/>
      <c r="FK216"/>
      <c r="FL216"/>
      <c r="FM216"/>
      <c r="FN216"/>
      <c r="FO216" s="416"/>
    </row>
    <row r="217" spans="1:171" s="465" customFormat="1" ht="14.25" hidden="1" customHeight="1" outlineLevel="1">
      <c r="A217" s="416"/>
      <c r="B217" s="511" t="s">
        <v>482</v>
      </c>
      <c r="C217" s="228"/>
      <c r="D217" s="228"/>
      <c r="E217" s="228"/>
      <c r="F217" s="228"/>
      <c r="G217" s="228"/>
      <c r="H217" s="228"/>
      <c r="I217" s="228"/>
      <c r="J217" s="228"/>
      <c r="K217" s="228"/>
      <c r="L217" s="228"/>
      <c r="M217" s="228"/>
      <c r="N217" s="228"/>
      <c r="O217" s="228"/>
      <c r="P217" s="228"/>
      <c r="Q217" s="228"/>
      <c r="R217" s="228"/>
      <c r="S217" s="228"/>
      <c r="T217" s="228"/>
      <c r="U217" s="228"/>
      <c r="V217" s="228"/>
      <c r="W217" s="228"/>
      <c r="X217" s="228"/>
      <c r="Y217" s="228"/>
      <c r="Z217" s="228"/>
      <c r="AA217" s="228"/>
      <c r="AB217" s="228"/>
      <c r="AC217" s="228"/>
      <c r="AD217" s="228"/>
      <c r="AE217" s="228"/>
      <c r="AF217" s="228"/>
      <c r="AG217" s="228"/>
      <c r="AH217" s="228"/>
      <c r="AI217" s="228"/>
      <c r="AJ217" s="228"/>
      <c r="AK217" s="228"/>
      <c r="AL217" s="228"/>
      <c r="AM217" s="228"/>
      <c r="AN217" s="228"/>
      <c r="AO217" s="228"/>
      <c r="AP217" s="228"/>
      <c r="AQ217" s="228"/>
      <c r="AR217" s="228"/>
      <c r="AS217" s="228"/>
      <c r="AT217" s="228"/>
      <c r="AU217" s="228"/>
      <c r="AV217" s="228"/>
      <c r="AW217" s="228"/>
      <c r="AX217" s="228"/>
      <c r="AY217" s="228"/>
      <c r="AZ217" s="228"/>
      <c r="BA217" s="228"/>
      <c r="BB217" s="228"/>
      <c r="BC217" s="228"/>
      <c r="BD217" s="228"/>
      <c r="BE217" s="228"/>
      <c r="BF217" s="228"/>
      <c r="BG217" s="228"/>
      <c r="BH217" s="483"/>
      <c r="BI217" s="228"/>
      <c r="BJ217" s="228"/>
      <c r="BK217" s="229"/>
      <c r="BL217" s="228"/>
      <c r="BM217" s="228"/>
      <c r="BN217" s="228"/>
      <c r="BO217" s="228"/>
      <c r="BP217" s="483"/>
      <c r="BQ217" s="228"/>
      <c r="BR217" s="228"/>
      <c r="BS217" s="229"/>
      <c r="BT217" s="483"/>
      <c r="BU217" s="228"/>
      <c r="BV217" s="228"/>
      <c r="BW217" s="227"/>
      <c r="BX217" s="483"/>
      <c r="BY217" s="228"/>
      <c r="BZ217" s="228"/>
      <c r="CA217" s="227"/>
      <c r="CB217" s="483">
        <f t="shared" si="1111"/>
        <v>0</v>
      </c>
      <c r="CC217" s="228">
        <f t="shared" si="1111"/>
        <v>0</v>
      </c>
      <c r="CD217" s="228">
        <f t="shared" si="1111"/>
        <v>0</v>
      </c>
      <c r="CE217" s="227">
        <f t="shared" si="1111"/>
        <v>0</v>
      </c>
      <c r="CF217" s="483">
        <f t="shared" ref="CF217:CL217" si="1122">+CF199</f>
        <v>0</v>
      </c>
      <c r="CG217" s="228">
        <f t="shared" si="1122"/>
        <v>13.125</v>
      </c>
      <c r="CH217" s="228">
        <f t="shared" si="1122"/>
        <v>13.125</v>
      </c>
      <c r="CI217" s="227">
        <f t="shared" si="1122"/>
        <v>13.125</v>
      </c>
      <c r="CJ217" s="483">
        <f t="shared" si="1122"/>
        <v>13.125</v>
      </c>
      <c r="CK217" s="228">
        <f t="shared" si="1122"/>
        <v>13.125</v>
      </c>
      <c r="CL217" s="228">
        <f t="shared" si="1122"/>
        <v>13.125</v>
      </c>
      <c r="CM217" s="227">
        <f t="shared" ref="CM217" si="1123">+CM199</f>
        <v>13.125</v>
      </c>
      <c r="CN217" s="228">
        <f t="shared" ref="CN217:CQ217" si="1124">+CN199</f>
        <v>13.125</v>
      </c>
      <c r="CO217" s="1252">
        <f t="shared" si="1114"/>
        <v>13.125</v>
      </c>
      <c r="CP217" s="228">
        <f t="shared" si="1124"/>
        <v>13.125</v>
      </c>
      <c r="CQ217" s="229">
        <f t="shared" si="1124"/>
        <v>13.125</v>
      </c>
      <c r="CR217" s="228">
        <f t="shared" ref="CR217:CU217" si="1125">+CR199</f>
        <v>13.125</v>
      </c>
      <c r="CS217" s="228">
        <f t="shared" si="1125"/>
        <v>13.125</v>
      </c>
      <c r="CT217" s="228">
        <f t="shared" si="1125"/>
        <v>13.125</v>
      </c>
      <c r="CU217" s="229">
        <f t="shared" si="1125"/>
        <v>13.125</v>
      </c>
      <c r="CV217" s="1330">
        <f t="shared" ref="CV217:CY217" si="1126">+CV199</f>
        <v>13.125</v>
      </c>
      <c r="CW217" s="1330">
        <f t="shared" si="1126"/>
        <v>13.125</v>
      </c>
      <c r="CX217" s="1330">
        <f t="shared" si="1126"/>
        <v>13.125</v>
      </c>
      <c r="CY217" s="1331">
        <f t="shared" si="1126"/>
        <v>13.125</v>
      </c>
      <c r="CZ217" s="1330">
        <f t="shared" ref="CZ217:DC217" si="1127">+CZ199</f>
        <v>13.125</v>
      </c>
      <c r="DA217" s="1330">
        <f t="shared" si="1127"/>
        <v>13.125</v>
      </c>
      <c r="DB217" s="1330">
        <f t="shared" si="1127"/>
        <v>13.125</v>
      </c>
      <c r="DC217" s="1331">
        <f t="shared" si="1127"/>
        <v>13.125</v>
      </c>
      <c r="DD217" s="1331"/>
      <c r="DE217" s="483"/>
      <c r="DF217" s="228"/>
      <c r="DG217" s="228"/>
      <c r="DH217" s="228"/>
      <c r="DI217" s="228"/>
      <c r="DJ217" s="228"/>
      <c r="DK217" s="228"/>
      <c r="DL217" s="228"/>
      <c r="DM217" s="228"/>
      <c r="DN217" s="228"/>
      <c r="DO217" s="228"/>
      <c r="DP217" s="228"/>
      <c r="DQ217" s="228"/>
      <c r="DR217" s="228"/>
      <c r="DS217" s="228"/>
      <c r="DT217" s="228"/>
      <c r="DU217" s="1330"/>
      <c r="DV217" s="1330"/>
      <c r="DW217" s="1330">
        <f t="shared" si="1118"/>
        <v>0</v>
      </c>
      <c r="DX217" s="1330">
        <f t="shared" si="1119"/>
        <v>0</v>
      </c>
      <c r="DY217" s="1330">
        <f t="shared" si="1120"/>
        <v>39.375</v>
      </c>
      <c r="DZ217" s="1330">
        <f t="shared" si="1121"/>
        <v>52.5</v>
      </c>
      <c r="EA217" s="228">
        <f t="shared" si="1102"/>
        <v>52.5</v>
      </c>
      <c r="EB217" s="1330">
        <f t="shared" si="1103"/>
        <v>52.5</v>
      </c>
      <c r="EC217" s="1330">
        <f t="shared" si="1104"/>
        <v>52.5</v>
      </c>
      <c r="ED217" s="1331">
        <f t="shared" si="1105"/>
        <v>52.5</v>
      </c>
      <c r="EE217" s="483"/>
      <c r="EF217" s="416"/>
      <c r="EG217" s="416"/>
      <c r="EH217" s="416"/>
      <c r="EI217" s="416"/>
      <c r="EJ217" s="416"/>
      <c r="EK217" s="416"/>
      <c r="EL217" s="416"/>
      <c r="EM217" s="416"/>
      <c r="EN217" s="416"/>
      <c r="EO217" s="416"/>
      <c r="EP217" s="416"/>
      <c r="EQ217" s="416"/>
      <c r="ER217" s="416"/>
      <c r="ES217" s="416"/>
      <c r="ET217" s="416"/>
      <c r="EU217" s="416"/>
      <c r="EV217" s="416"/>
      <c r="EW217" s="416"/>
      <c r="EX217" s="416"/>
      <c r="EY217" s="416"/>
      <c r="EZ217" s="416"/>
      <c r="FA217" s="416"/>
      <c r="FB217" s="416"/>
      <c r="FC217" s="416"/>
      <c r="FD217" s="416"/>
      <c r="FE217" s="228"/>
      <c r="FF217" s="1330"/>
      <c r="FG217" s="1330"/>
      <c r="FH217" s="1330"/>
      <c r="FI217"/>
      <c r="FJ217"/>
      <c r="FK217"/>
      <c r="FL217"/>
      <c r="FM217"/>
      <c r="FN217"/>
      <c r="FO217" s="416"/>
    </row>
    <row r="218" spans="1:171" s="465" customFormat="1" ht="14.25" hidden="1" customHeight="1" outlineLevel="1">
      <c r="A218" s="416"/>
      <c r="B218" s="511" t="s">
        <v>542</v>
      </c>
      <c r="C218" s="228"/>
      <c r="D218" s="228"/>
      <c r="E218" s="228"/>
      <c r="F218" s="228"/>
      <c r="G218" s="228"/>
      <c r="H218" s="228"/>
      <c r="I218" s="228"/>
      <c r="J218" s="228"/>
      <c r="K218" s="228"/>
      <c r="L218" s="228"/>
      <c r="M218" s="228"/>
      <c r="N218" s="228"/>
      <c r="O218" s="228"/>
      <c r="P218" s="228"/>
      <c r="Q218" s="228"/>
      <c r="R218" s="228"/>
      <c r="S218" s="228"/>
      <c r="T218" s="228"/>
      <c r="U218" s="228"/>
      <c r="V218" s="228"/>
      <c r="W218" s="228"/>
      <c r="X218" s="228"/>
      <c r="Y218" s="228"/>
      <c r="Z218" s="228"/>
      <c r="AA218" s="228"/>
      <c r="AB218" s="228"/>
      <c r="AC218" s="228"/>
      <c r="AD218" s="228"/>
      <c r="AE218" s="228"/>
      <c r="AF218" s="228"/>
      <c r="AG218" s="228"/>
      <c r="AH218" s="228"/>
      <c r="AI218" s="228"/>
      <c r="AJ218" s="228"/>
      <c r="AK218" s="228"/>
      <c r="AL218" s="228"/>
      <c r="AM218" s="228"/>
      <c r="AN218" s="228"/>
      <c r="AO218" s="228"/>
      <c r="AP218" s="228"/>
      <c r="AQ218" s="228"/>
      <c r="AR218" s="228"/>
      <c r="AS218" s="228"/>
      <c r="AT218" s="228"/>
      <c r="AU218" s="228"/>
      <c r="AV218" s="228"/>
      <c r="AW218" s="228"/>
      <c r="AX218" s="228"/>
      <c r="AY218" s="228"/>
      <c r="AZ218" s="228"/>
      <c r="BA218" s="228"/>
      <c r="BB218" s="228"/>
      <c r="BC218" s="228"/>
      <c r="BD218" s="228"/>
      <c r="BE218" s="228"/>
      <c r="BF218" s="228"/>
      <c r="BG218" s="228"/>
      <c r="BH218" s="483"/>
      <c r="BI218" s="228"/>
      <c r="BJ218" s="228"/>
      <c r="BK218" s="229"/>
      <c r="BL218" s="228"/>
      <c r="BM218" s="228"/>
      <c r="BN218" s="228"/>
      <c r="BO218" s="228"/>
      <c r="BP218" s="483"/>
      <c r="BQ218" s="228"/>
      <c r="BR218" s="228"/>
      <c r="BS218" s="229"/>
      <c r="BT218" s="483"/>
      <c r="BU218" s="228"/>
      <c r="BV218" s="228"/>
      <c r="BW218" s="227"/>
      <c r="BX218" s="483"/>
      <c r="BY218" s="228"/>
      <c r="BZ218" s="228"/>
      <c r="CA218" s="227"/>
      <c r="CB218" s="483">
        <f t="shared" ref="CB218:CL218" si="1128">+CB200</f>
        <v>0</v>
      </c>
      <c r="CC218" s="228">
        <f t="shared" si="1128"/>
        <v>0</v>
      </c>
      <c r="CD218" s="228">
        <f t="shared" si="1128"/>
        <v>0</v>
      </c>
      <c r="CE218" s="227">
        <f t="shared" si="1128"/>
        <v>0</v>
      </c>
      <c r="CF218" s="483">
        <f t="shared" si="1128"/>
        <v>0</v>
      </c>
      <c r="CG218" s="228">
        <f t="shared" si="1128"/>
        <v>0</v>
      </c>
      <c r="CH218" s="228">
        <f t="shared" si="1128"/>
        <v>7.21875</v>
      </c>
      <c r="CI218" s="227">
        <f t="shared" si="1128"/>
        <v>7.21875</v>
      </c>
      <c r="CJ218" s="483">
        <f t="shared" si="1128"/>
        <v>7.21875</v>
      </c>
      <c r="CK218" s="228">
        <f t="shared" si="1128"/>
        <v>7.21875</v>
      </c>
      <c r="CL218" s="228">
        <f t="shared" si="1128"/>
        <v>7.21875</v>
      </c>
      <c r="CM218" s="227">
        <f t="shared" ref="CM218" si="1129">+CM200</f>
        <v>7.21875</v>
      </c>
      <c r="CN218" s="228">
        <f t="shared" ref="CN218:CQ218" si="1130">+CN200</f>
        <v>7.21875</v>
      </c>
      <c r="CO218" s="1252">
        <f t="shared" si="1114"/>
        <v>7.21875</v>
      </c>
      <c r="CP218" s="228">
        <f t="shared" si="1130"/>
        <v>7.21875</v>
      </c>
      <c r="CQ218" s="229">
        <f t="shared" si="1130"/>
        <v>7.21875</v>
      </c>
      <c r="CR218" s="228">
        <f t="shared" ref="CR218:CU218" si="1131">+CR200</f>
        <v>7.21875</v>
      </c>
      <c r="CS218" s="228">
        <f t="shared" si="1131"/>
        <v>7.21875</v>
      </c>
      <c r="CT218" s="228">
        <f t="shared" si="1131"/>
        <v>7.21875</v>
      </c>
      <c r="CU218" s="229">
        <f t="shared" si="1131"/>
        <v>7.21875</v>
      </c>
      <c r="CV218" s="1330">
        <f t="shared" ref="CV218:CY218" si="1132">+CV200</f>
        <v>7.21875</v>
      </c>
      <c r="CW218" s="1330">
        <f t="shared" si="1132"/>
        <v>7.21875</v>
      </c>
      <c r="CX218" s="1330">
        <f t="shared" si="1132"/>
        <v>7.21875</v>
      </c>
      <c r="CY218" s="1331">
        <f t="shared" si="1132"/>
        <v>7.21875</v>
      </c>
      <c r="CZ218" s="1330">
        <f t="shared" ref="CZ218:DC218" si="1133">+CZ200</f>
        <v>7.21875</v>
      </c>
      <c r="DA218" s="1330">
        <f t="shared" si="1133"/>
        <v>7.21875</v>
      </c>
      <c r="DB218" s="1330">
        <f t="shared" si="1133"/>
        <v>7.21875</v>
      </c>
      <c r="DC218" s="1331">
        <f t="shared" si="1133"/>
        <v>7.21875</v>
      </c>
      <c r="DD218" s="1331"/>
      <c r="DE218" s="483"/>
      <c r="DF218" s="228"/>
      <c r="DG218" s="228"/>
      <c r="DH218" s="228"/>
      <c r="DI218" s="228"/>
      <c r="DJ218" s="228"/>
      <c r="DK218" s="228"/>
      <c r="DL218" s="228"/>
      <c r="DM218" s="228"/>
      <c r="DN218" s="228"/>
      <c r="DO218" s="228"/>
      <c r="DP218" s="228"/>
      <c r="DQ218" s="228"/>
      <c r="DR218" s="228"/>
      <c r="DS218" s="228"/>
      <c r="DT218" s="228"/>
      <c r="DU218" s="1330"/>
      <c r="DV218" s="1330"/>
      <c r="DW218" s="1330">
        <f t="shared" si="1118"/>
        <v>0</v>
      </c>
      <c r="DX218" s="1330">
        <f t="shared" si="1119"/>
        <v>0</v>
      </c>
      <c r="DY218" s="1330">
        <f t="shared" si="1120"/>
        <v>14.4375</v>
      </c>
      <c r="DZ218" s="1330">
        <f t="shared" si="1121"/>
        <v>28.875</v>
      </c>
      <c r="EA218" s="228">
        <f t="shared" si="1102"/>
        <v>28.875</v>
      </c>
      <c r="EB218" s="1330">
        <f t="shared" si="1103"/>
        <v>28.875</v>
      </c>
      <c r="EC218" s="1330">
        <f t="shared" si="1104"/>
        <v>28.875</v>
      </c>
      <c r="ED218" s="1331">
        <f t="shared" si="1105"/>
        <v>28.875</v>
      </c>
      <c r="EE218" s="483"/>
      <c r="EF218" s="416"/>
      <c r="EG218" s="416"/>
      <c r="EH218" s="416"/>
      <c r="EI218" s="416"/>
      <c r="EJ218" s="416"/>
      <c r="EK218" s="416"/>
      <c r="EL218" s="416"/>
      <c r="EM218" s="416"/>
      <c r="EN218" s="416"/>
      <c r="EO218" s="416"/>
      <c r="EP218" s="416"/>
      <c r="EQ218" s="416"/>
      <c r="ER218" s="416"/>
      <c r="ES218" s="416"/>
      <c r="ET218" s="416"/>
      <c r="EU218" s="416"/>
      <c r="EV218" s="416"/>
      <c r="EW218" s="416"/>
      <c r="EX218" s="416"/>
      <c r="EY218" s="416"/>
      <c r="EZ218" s="416"/>
      <c r="FA218" s="416"/>
      <c r="FB218" s="416"/>
      <c r="FC218" s="416"/>
      <c r="FD218" s="416"/>
      <c r="FE218" s="228"/>
      <c r="FF218" s="1330"/>
      <c r="FG218" s="1330"/>
      <c r="FH218" s="1330"/>
      <c r="FI218"/>
      <c r="FJ218"/>
      <c r="FK218"/>
      <c r="FL218"/>
      <c r="FM218"/>
      <c r="FN218"/>
      <c r="FO218" s="416"/>
    </row>
    <row r="219" spans="1:171" s="465" customFormat="1" ht="14.25" hidden="1" customHeight="1" outlineLevel="1">
      <c r="A219" s="416"/>
      <c r="B219" s="511" t="s">
        <v>543</v>
      </c>
      <c r="C219" s="228"/>
      <c r="D219" s="228"/>
      <c r="E219" s="228"/>
      <c r="F219" s="228"/>
      <c r="G219" s="228"/>
      <c r="H219" s="228"/>
      <c r="I219" s="228"/>
      <c r="J219" s="228"/>
      <c r="K219" s="228"/>
      <c r="L219" s="228"/>
      <c r="M219" s="228"/>
      <c r="N219" s="228"/>
      <c r="O219" s="228"/>
      <c r="P219" s="228"/>
      <c r="Q219" s="228"/>
      <c r="R219" s="228"/>
      <c r="S219" s="228"/>
      <c r="T219" s="228"/>
      <c r="U219" s="228"/>
      <c r="V219" s="228"/>
      <c r="W219" s="228"/>
      <c r="X219" s="228"/>
      <c r="Y219" s="228"/>
      <c r="Z219" s="228"/>
      <c r="AA219" s="228"/>
      <c r="AB219" s="228"/>
      <c r="AC219" s="228"/>
      <c r="AD219" s="228"/>
      <c r="AE219" s="228"/>
      <c r="AF219" s="228"/>
      <c r="AG219" s="228"/>
      <c r="AH219" s="228"/>
      <c r="AI219" s="228"/>
      <c r="AJ219" s="228"/>
      <c r="AK219" s="228"/>
      <c r="AL219" s="228"/>
      <c r="AM219" s="228"/>
      <c r="AN219" s="228"/>
      <c r="AO219" s="228"/>
      <c r="AP219" s="228"/>
      <c r="AQ219" s="228"/>
      <c r="AR219" s="228"/>
      <c r="AS219" s="228"/>
      <c r="AT219" s="228"/>
      <c r="AU219" s="228"/>
      <c r="AV219" s="228"/>
      <c r="AW219" s="228"/>
      <c r="AX219" s="228"/>
      <c r="AY219" s="228"/>
      <c r="AZ219" s="228"/>
      <c r="BA219" s="228"/>
      <c r="BB219" s="228"/>
      <c r="BC219" s="228"/>
      <c r="BD219" s="228"/>
      <c r="BE219" s="228"/>
      <c r="BF219" s="228"/>
      <c r="BG219" s="228"/>
      <c r="BH219" s="483"/>
      <c r="BI219" s="228"/>
      <c r="BJ219" s="228"/>
      <c r="BK219" s="229"/>
      <c r="BL219" s="228"/>
      <c r="BM219" s="228"/>
      <c r="BN219" s="228"/>
      <c r="BO219" s="228"/>
      <c r="BP219" s="483"/>
      <c r="BQ219" s="228"/>
      <c r="BR219" s="228"/>
      <c r="BS219" s="229"/>
      <c r="BT219" s="483"/>
      <c r="BU219" s="228"/>
      <c r="BV219" s="228"/>
      <c r="BW219" s="227"/>
      <c r="BX219" s="483"/>
      <c r="BY219" s="228"/>
      <c r="BZ219" s="228"/>
      <c r="CA219" s="227"/>
      <c r="CB219" s="483">
        <f t="shared" ref="CB219:CL219" si="1134">+CB201</f>
        <v>0</v>
      </c>
      <c r="CC219" s="228">
        <f t="shared" si="1134"/>
        <v>0</v>
      </c>
      <c r="CD219" s="228">
        <f t="shared" si="1134"/>
        <v>0</v>
      </c>
      <c r="CE219" s="227">
        <f t="shared" si="1134"/>
        <v>0</v>
      </c>
      <c r="CF219" s="483">
        <f t="shared" si="1134"/>
        <v>0</v>
      </c>
      <c r="CG219" s="228">
        <f t="shared" si="1134"/>
        <v>0</v>
      </c>
      <c r="CH219" s="228">
        <f t="shared" si="1134"/>
        <v>6.328125</v>
      </c>
      <c r="CI219" s="227">
        <f t="shared" si="1134"/>
        <v>6.328125</v>
      </c>
      <c r="CJ219" s="483">
        <f t="shared" si="1134"/>
        <v>6.328125</v>
      </c>
      <c r="CK219" s="228">
        <f t="shared" si="1134"/>
        <v>6.328125</v>
      </c>
      <c r="CL219" s="228">
        <f t="shared" si="1134"/>
        <v>6.328125</v>
      </c>
      <c r="CM219" s="227">
        <f t="shared" ref="CM219" si="1135">+CM201</f>
        <v>6.328125</v>
      </c>
      <c r="CN219" s="228">
        <f t="shared" ref="CN219:CQ219" si="1136">+CN201</f>
        <v>6.328125</v>
      </c>
      <c r="CO219" s="1252">
        <f t="shared" si="1114"/>
        <v>6.328125</v>
      </c>
      <c r="CP219" s="228">
        <f t="shared" si="1136"/>
        <v>6.328125</v>
      </c>
      <c r="CQ219" s="229">
        <f t="shared" si="1136"/>
        <v>6.328125</v>
      </c>
      <c r="CR219" s="228">
        <f t="shared" ref="CR219:CU219" si="1137">+CR201</f>
        <v>6.328125</v>
      </c>
      <c r="CS219" s="228">
        <f t="shared" si="1137"/>
        <v>6.328125</v>
      </c>
      <c r="CT219" s="228">
        <f t="shared" si="1137"/>
        <v>6.328125</v>
      </c>
      <c r="CU219" s="229">
        <f t="shared" si="1137"/>
        <v>6.328125</v>
      </c>
      <c r="CV219" s="1330">
        <f t="shared" ref="CV219:CY219" si="1138">+CV201</f>
        <v>6.328125</v>
      </c>
      <c r="CW219" s="1330">
        <f t="shared" si="1138"/>
        <v>6.328125</v>
      </c>
      <c r="CX219" s="1330">
        <f t="shared" si="1138"/>
        <v>6.328125</v>
      </c>
      <c r="CY219" s="1331">
        <f t="shared" si="1138"/>
        <v>6.328125</v>
      </c>
      <c r="CZ219" s="1330">
        <f t="shared" ref="CZ219:DC219" si="1139">+CZ201</f>
        <v>6.328125</v>
      </c>
      <c r="DA219" s="1330">
        <f t="shared" si="1139"/>
        <v>6.328125</v>
      </c>
      <c r="DB219" s="1330">
        <f t="shared" si="1139"/>
        <v>6.328125</v>
      </c>
      <c r="DC219" s="1331">
        <f t="shared" si="1139"/>
        <v>6.328125</v>
      </c>
      <c r="DD219" s="1331"/>
      <c r="DE219" s="483"/>
      <c r="DF219" s="228"/>
      <c r="DG219" s="228"/>
      <c r="DH219" s="228"/>
      <c r="DI219" s="228"/>
      <c r="DJ219" s="228"/>
      <c r="DK219" s="228"/>
      <c r="DL219" s="228"/>
      <c r="DM219" s="228"/>
      <c r="DN219" s="228"/>
      <c r="DO219" s="228"/>
      <c r="DP219" s="228"/>
      <c r="DQ219" s="228"/>
      <c r="DR219" s="228"/>
      <c r="DS219" s="228"/>
      <c r="DT219" s="228"/>
      <c r="DU219" s="1330"/>
      <c r="DV219" s="1330"/>
      <c r="DW219" s="1330">
        <f t="shared" si="1118"/>
        <v>0</v>
      </c>
      <c r="DX219" s="1330">
        <f t="shared" si="1119"/>
        <v>0</v>
      </c>
      <c r="DY219" s="1330">
        <f t="shared" si="1120"/>
        <v>12.65625</v>
      </c>
      <c r="DZ219" s="1330">
        <f t="shared" si="1121"/>
        <v>25.3125</v>
      </c>
      <c r="EA219" s="228">
        <f t="shared" si="1102"/>
        <v>25.3125</v>
      </c>
      <c r="EB219" s="1330">
        <f t="shared" si="1103"/>
        <v>25.3125</v>
      </c>
      <c r="EC219" s="1330">
        <f t="shared" si="1104"/>
        <v>25.3125</v>
      </c>
      <c r="ED219" s="1331">
        <f t="shared" si="1105"/>
        <v>25.3125</v>
      </c>
      <c r="EE219" s="483"/>
      <c r="EF219" s="416"/>
      <c r="EG219" s="416"/>
      <c r="EH219" s="416"/>
      <c r="EI219" s="416"/>
      <c r="EJ219" s="416"/>
      <c r="EK219" s="416"/>
      <c r="EL219" s="416"/>
      <c r="EM219" s="416"/>
      <c r="EN219" s="416"/>
      <c r="EO219" s="416"/>
      <c r="EP219" s="416"/>
      <c r="EQ219" s="416"/>
      <c r="ER219" s="416"/>
      <c r="ES219" s="416"/>
      <c r="ET219" s="416"/>
      <c r="EU219" s="416"/>
      <c r="EV219" s="416"/>
      <c r="EW219" s="416"/>
      <c r="EX219" s="416"/>
      <c r="EY219" s="416"/>
      <c r="EZ219" s="416"/>
      <c r="FA219" s="416"/>
      <c r="FB219" s="416"/>
      <c r="FC219" s="416"/>
      <c r="FD219" s="416"/>
      <c r="FE219" s="228"/>
      <c r="FF219" s="1330"/>
      <c r="FG219" s="1330"/>
      <c r="FH219" s="1330"/>
      <c r="FI219"/>
      <c r="FJ219"/>
      <c r="FK219"/>
      <c r="FL219"/>
      <c r="FM219"/>
      <c r="FN219"/>
      <c r="FO219" s="416"/>
    </row>
    <row r="220" spans="1:171" s="465" customFormat="1" ht="14.25" hidden="1" customHeight="1" outlineLevel="1">
      <c r="A220" s="416"/>
      <c r="B220" s="634" t="s">
        <v>564</v>
      </c>
      <c r="C220" s="228"/>
      <c r="D220" s="228"/>
      <c r="E220" s="228"/>
      <c r="F220" s="228"/>
      <c r="G220" s="228"/>
      <c r="H220" s="228"/>
      <c r="I220" s="228"/>
      <c r="J220" s="228"/>
      <c r="K220" s="228"/>
      <c r="L220" s="228"/>
      <c r="M220" s="228"/>
      <c r="N220" s="228"/>
      <c r="O220" s="228"/>
      <c r="P220" s="228"/>
      <c r="Q220" s="228"/>
      <c r="R220" s="228"/>
      <c r="S220" s="228"/>
      <c r="T220" s="228"/>
      <c r="U220" s="228"/>
      <c r="V220" s="228"/>
      <c r="W220" s="228"/>
      <c r="X220" s="228"/>
      <c r="Y220" s="228"/>
      <c r="Z220" s="228"/>
      <c r="AA220" s="228"/>
      <c r="AB220" s="228"/>
      <c r="AC220" s="228"/>
      <c r="AD220" s="228"/>
      <c r="AE220" s="228"/>
      <c r="AF220" s="228"/>
      <c r="AG220" s="228"/>
      <c r="AH220" s="228"/>
      <c r="AI220" s="228"/>
      <c r="AJ220" s="228"/>
      <c r="AK220" s="228"/>
      <c r="AL220" s="228"/>
      <c r="AM220" s="228"/>
      <c r="AN220" s="228"/>
      <c r="AO220" s="228"/>
      <c r="AP220" s="228"/>
      <c r="AQ220" s="228"/>
      <c r="AR220" s="228"/>
      <c r="AS220" s="228"/>
      <c r="AT220" s="228"/>
      <c r="AU220" s="228"/>
      <c r="AV220" s="228"/>
      <c r="AW220" s="228"/>
      <c r="AX220" s="228"/>
      <c r="AY220" s="228"/>
      <c r="AZ220" s="228"/>
      <c r="BA220" s="228"/>
      <c r="BB220" s="228"/>
      <c r="BC220" s="228"/>
      <c r="BD220" s="228"/>
      <c r="BE220" s="228"/>
      <c r="BF220" s="228"/>
      <c r="BG220" s="228"/>
      <c r="BH220" s="483"/>
      <c r="BI220" s="228"/>
      <c r="BJ220" s="228"/>
      <c r="BK220" s="229"/>
      <c r="BL220" s="228"/>
      <c r="BM220" s="228"/>
      <c r="BN220" s="228"/>
      <c r="BO220" s="228"/>
      <c r="BP220" s="483"/>
      <c r="BQ220" s="228"/>
      <c r="BR220" s="228"/>
      <c r="BS220" s="229"/>
      <c r="BT220" s="483"/>
      <c r="BU220" s="228"/>
      <c r="BV220" s="228"/>
      <c r="BW220" s="227"/>
      <c r="BX220" s="483"/>
      <c r="BY220" s="228"/>
      <c r="BZ220" s="228"/>
      <c r="CA220" s="227"/>
      <c r="CB220" s="483"/>
      <c r="CC220" s="228"/>
      <c r="CD220" s="228"/>
      <c r="CE220" s="227"/>
      <c r="CF220" s="483"/>
      <c r="CG220" s="228"/>
      <c r="CH220" s="228"/>
      <c r="CI220" s="227"/>
      <c r="CJ220" s="483"/>
      <c r="CK220" s="228"/>
      <c r="CL220" s="228">
        <f t="shared" ref="CL220:CQ220" si="1140">+CL202</f>
        <v>7.8125</v>
      </c>
      <c r="CM220" s="227"/>
      <c r="CN220" s="228">
        <f t="shared" si="1140"/>
        <v>0</v>
      </c>
      <c r="CO220" s="1252">
        <f t="shared" si="1114"/>
        <v>0</v>
      </c>
      <c r="CP220" s="228">
        <f t="shared" si="1140"/>
        <v>0</v>
      </c>
      <c r="CQ220" s="229">
        <f t="shared" si="1140"/>
        <v>0</v>
      </c>
      <c r="CR220" s="228">
        <f t="shared" ref="CR220:CU220" si="1141">+CR202</f>
        <v>0</v>
      </c>
      <c r="CS220" s="228">
        <f t="shared" si="1141"/>
        <v>0</v>
      </c>
      <c r="CT220" s="228">
        <f t="shared" si="1141"/>
        <v>0</v>
      </c>
      <c r="CU220" s="229">
        <f t="shared" si="1141"/>
        <v>0</v>
      </c>
      <c r="CV220" s="1330">
        <f t="shared" ref="CV220:CY220" si="1142">+CV202</f>
        <v>0</v>
      </c>
      <c r="CW220" s="1330">
        <f t="shared" si="1142"/>
        <v>0</v>
      </c>
      <c r="CX220" s="1330">
        <f t="shared" si="1142"/>
        <v>0</v>
      </c>
      <c r="CY220" s="1331">
        <f t="shared" si="1142"/>
        <v>0</v>
      </c>
      <c r="CZ220" s="1330">
        <f t="shared" ref="CZ220:DC220" si="1143">+CZ202</f>
        <v>0</v>
      </c>
      <c r="DA220" s="1330">
        <f t="shared" si="1143"/>
        <v>0</v>
      </c>
      <c r="DB220" s="1330">
        <f t="shared" si="1143"/>
        <v>0</v>
      </c>
      <c r="DC220" s="1331">
        <f t="shared" si="1143"/>
        <v>0</v>
      </c>
      <c r="DD220" s="1331"/>
      <c r="DE220" s="483"/>
      <c r="DF220" s="228"/>
      <c r="DG220" s="228"/>
      <c r="DH220" s="228"/>
      <c r="DI220" s="228"/>
      <c r="DJ220" s="228"/>
      <c r="DK220" s="228"/>
      <c r="DL220" s="228"/>
      <c r="DM220" s="228"/>
      <c r="DN220" s="228"/>
      <c r="DO220" s="228"/>
      <c r="DP220" s="228"/>
      <c r="DQ220" s="228"/>
      <c r="DR220" s="228"/>
      <c r="DS220" s="228"/>
      <c r="DT220" s="228"/>
      <c r="DU220" s="1330"/>
      <c r="DV220" s="1330"/>
      <c r="DW220" s="1330">
        <f t="shared" ref="DW220:DW222" si="1144">+SUM(BX220:CA220)</f>
        <v>0</v>
      </c>
      <c r="DX220" s="1330">
        <f t="shared" ref="DX220:DX222" si="1145">+SUM(CB220:CE220)</f>
        <v>0</v>
      </c>
      <c r="DY220" s="1330">
        <f t="shared" ref="DY220:DY222" si="1146">+SUM(CF220:CI220)</f>
        <v>0</v>
      </c>
      <c r="DZ220" s="1330">
        <f t="shared" ref="DZ220:DZ222" si="1147">+SUM(CJ220:CM220)</f>
        <v>7.8125</v>
      </c>
      <c r="EA220" s="228">
        <f t="shared" ref="EA220:EA222" si="1148">+SUM(CN220:CQ220)</f>
        <v>0</v>
      </c>
      <c r="EB220" s="1330">
        <f t="shared" si="1103"/>
        <v>0</v>
      </c>
      <c r="EC220" s="1330">
        <f t="shared" si="1104"/>
        <v>0</v>
      </c>
      <c r="ED220" s="1331">
        <f t="shared" si="1105"/>
        <v>0</v>
      </c>
      <c r="EE220" s="483"/>
      <c r="EF220" s="416"/>
      <c r="EG220" s="416"/>
      <c r="EH220" s="416"/>
      <c r="EI220" s="416"/>
      <c r="EJ220" s="416"/>
      <c r="EK220" s="416"/>
      <c r="EL220" s="416"/>
      <c r="EM220" s="416"/>
      <c r="EN220" s="416"/>
      <c r="EO220" s="416"/>
      <c r="EP220" s="416"/>
      <c r="EQ220" s="416"/>
      <c r="ER220" s="416"/>
      <c r="ES220" s="416"/>
      <c r="ET220" s="416"/>
      <c r="EU220" s="416"/>
      <c r="EV220" s="416"/>
      <c r="EW220" s="416"/>
      <c r="EX220" s="416"/>
      <c r="EY220" s="416"/>
      <c r="EZ220" s="416"/>
      <c r="FA220" s="416"/>
      <c r="FB220" s="416"/>
      <c r="FC220" s="416"/>
      <c r="FD220" s="416"/>
      <c r="FE220" s="228"/>
      <c r="FF220" s="1330"/>
      <c r="FG220" s="1330"/>
      <c r="FH220" s="1330"/>
      <c r="FI220"/>
      <c r="FJ220"/>
      <c r="FK220"/>
      <c r="FL220"/>
      <c r="FM220"/>
      <c r="FN220"/>
      <c r="FO220" s="416"/>
    </row>
    <row r="221" spans="1:171" s="465" customFormat="1" ht="14.25" hidden="1" customHeight="1" outlineLevel="1">
      <c r="A221" s="416"/>
      <c r="B221" s="634" t="s">
        <v>565</v>
      </c>
      <c r="C221" s="228"/>
      <c r="D221" s="228"/>
      <c r="E221" s="228"/>
      <c r="F221" s="228"/>
      <c r="G221" s="228"/>
      <c r="H221" s="228"/>
      <c r="I221" s="228"/>
      <c r="J221" s="228"/>
      <c r="K221" s="228"/>
      <c r="L221" s="228"/>
      <c r="M221" s="228"/>
      <c r="N221" s="228"/>
      <c r="O221" s="228"/>
      <c r="P221" s="228"/>
      <c r="Q221" s="228"/>
      <c r="R221" s="228"/>
      <c r="S221" s="228"/>
      <c r="T221" s="228"/>
      <c r="U221" s="228"/>
      <c r="V221" s="228"/>
      <c r="W221" s="228"/>
      <c r="X221" s="228"/>
      <c r="Y221" s="228"/>
      <c r="Z221" s="228"/>
      <c r="AA221" s="228"/>
      <c r="AB221" s="228"/>
      <c r="AC221" s="228"/>
      <c r="AD221" s="228"/>
      <c r="AE221" s="228"/>
      <c r="AF221" s="228"/>
      <c r="AG221" s="228"/>
      <c r="AH221" s="228"/>
      <c r="AI221" s="228"/>
      <c r="AJ221" s="228"/>
      <c r="AK221" s="228"/>
      <c r="AL221" s="228"/>
      <c r="AM221" s="228"/>
      <c r="AN221" s="228"/>
      <c r="AO221" s="228"/>
      <c r="AP221" s="228"/>
      <c r="AQ221" s="228"/>
      <c r="AR221" s="228"/>
      <c r="AS221" s="228"/>
      <c r="AT221" s="228"/>
      <c r="AU221" s="228"/>
      <c r="AV221" s="228"/>
      <c r="AW221" s="228"/>
      <c r="AX221" s="228"/>
      <c r="AY221" s="228"/>
      <c r="AZ221" s="228"/>
      <c r="BA221" s="228"/>
      <c r="BB221" s="228"/>
      <c r="BC221" s="228"/>
      <c r="BD221" s="228"/>
      <c r="BE221" s="228"/>
      <c r="BF221" s="228"/>
      <c r="BG221" s="228"/>
      <c r="BH221" s="483"/>
      <c r="BI221" s="228"/>
      <c r="BJ221" s="228"/>
      <c r="BK221" s="229"/>
      <c r="BL221" s="228"/>
      <c r="BM221" s="228"/>
      <c r="BN221" s="228"/>
      <c r="BO221" s="228"/>
      <c r="BP221" s="483"/>
      <c r="BQ221" s="228"/>
      <c r="BR221" s="228"/>
      <c r="BS221" s="229"/>
      <c r="BT221" s="483"/>
      <c r="BU221" s="228"/>
      <c r="BV221" s="228"/>
      <c r="BW221" s="227"/>
      <c r="BX221" s="483"/>
      <c r="BY221" s="228"/>
      <c r="BZ221" s="228"/>
      <c r="CA221" s="227"/>
      <c r="CB221" s="483"/>
      <c r="CC221" s="228"/>
      <c r="CD221" s="228"/>
      <c r="CE221" s="227"/>
      <c r="CF221" s="483"/>
      <c r="CG221" s="228"/>
      <c r="CH221" s="228"/>
      <c r="CI221" s="227"/>
      <c r="CJ221" s="483"/>
      <c r="CK221" s="228"/>
      <c r="CL221" s="228">
        <f t="shared" ref="CL221:CQ221" si="1149">+CL203</f>
        <v>4.21875</v>
      </c>
      <c r="CM221" s="227"/>
      <c r="CN221" s="228">
        <f t="shared" si="1149"/>
        <v>0</v>
      </c>
      <c r="CO221" s="1252">
        <f t="shared" si="1114"/>
        <v>0</v>
      </c>
      <c r="CP221" s="228">
        <f t="shared" si="1149"/>
        <v>0</v>
      </c>
      <c r="CQ221" s="229">
        <f t="shared" si="1149"/>
        <v>0</v>
      </c>
      <c r="CR221" s="228">
        <f t="shared" ref="CR221:CU221" si="1150">+CR203</f>
        <v>0</v>
      </c>
      <c r="CS221" s="228">
        <f t="shared" si="1150"/>
        <v>0</v>
      </c>
      <c r="CT221" s="228">
        <f t="shared" si="1150"/>
        <v>0</v>
      </c>
      <c r="CU221" s="229">
        <f t="shared" si="1150"/>
        <v>0</v>
      </c>
      <c r="CV221" s="1330">
        <f t="shared" ref="CV221:CY221" si="1151">+CV203</f>
        <v>0</v>
      </c>
      <c r="CW221" s="1330">
        <f t="shared" si="1151"/>
        <v>0</v>
      </c>
      <c r="CX221" s="1330">
        <f t="shared" si="1151"/>
        <v>0</v>
      </c>
      <c r="CY221" s="1331">
        <f t="shared" si="1151"/>
        <v>0</v>
      </c>
      <c r="CZ221" s="1330">
        <f t="shared" ref="CZ221:DC221" si="1152">+CZ203</f>
        <v>0</v>
      </c>
      <c r="DA221" s="1330">
        <f t="shared" si="1152"/>
        <v>0</v>
      </c>
      <c r="DB221" s="1330">
        <f t="shared" si="1152"/>
        <v>0</v>
      </c>
      <c r="DC221" s="1331">
        <f t="shared" si="1152"/>
        <v>0</v>
      </c>
      <c r="DD221" s="1331"/>
      <c r="DE221" s="483"/>
      <c r="DF221" s="228"/>
      <c r="DG221" s="228"/>
      <c r="DH221" s="228"/>
      <c r="DI221" s="228"/>
      <c r="DJ221" s="228"/>
      <c r="DK221" s="228"/>
      <c r="DL221" s="228"/>
      <c r="DM221" s="228"/>
      <c r="DN221" s="228"/>
      <c r="DO221" s="228"/>
      <c r="DP221" s="228"/>
      <c r="DQ221" s="228"/>
      <c r="DR221" s="228"/>
      <c r="DS221" s="228"/>
      <c r="DT221" s="228"/>
      <c r="DU221" s="1330"/>
      <c r="DV221" s="1330"/>
      <c r="DW221" s="1330">
        <f t="shared" si="1144"/>
        <v>0</v>
      </c>
      <c r="DX221" s="1330">
        <f t="shared" si="1145"/>
        <v>0</v>
      </c>
      <c r="DY221" s="1330">
        <f t="shared" si="1146"/>
        <v>0</v>
      </c>
      <c r="DZ221" s="1330">
        <f t="shared" si="1147"/>
        <v>4.21875</v>
      </c>
      <c r="EA221" s="228">
        <f t="shared" si="1148"/>
        <v>0</v>
      </c>
      <c r="EB221" s="1330">
        <f t="shared" si="1103"/>
        <v>0</v>
      </c>
      <c r="EC221" s="1330">
        <f t="shared" si="1104"/>
        <v>0</v>
      </c>
      <c r="ED221" s="1331">
        <f t="shared" si="1105"/>
        <v>0</v>
      </c>
      <c r="EE221" s="483"/>
      <c r="EF221" s="416"/>
      <c r="EG221" s="416"/>
      <c r="EH221" s="416"/>
      <c r="EI221" s="416"/>
      <c r="EJ221" s="416"/>
      <c r="EK221" s="416"/>
      <c r="EL221" s="416"/>
      <c r="EM221" s="416"/>
      <c r="EN221" s="416"/>
      <c r="EO221" s="416"/>
      <c r="EP221" s="416"/>
      <c r="EQ221" s="416"/>
      <c r="ER221" s="416"/>
      <c r="ES221" s="416"/>
      <c r="ET221" s="416"/>
      <c r="EU221" s="416"/>
      <c r="EV221" s="416"/>
      <c r="EW221" s="416"/>
      <c r="EX221" s="416"/>
      <c r="EY221" s="416"/>
      <c r="EZ221" s="416"/>
      <c r="FA221" s="416"/>
      <c r="FB221" s="416"/>
      <c r="FC221" s="416"/>
      <c r="FD221" s="416"/>
      <c r="FE221" s="228"/>
      <c r="FF221" s="1330"/>
      <c r="FG221" s="1330"/>
      <c r="FH221" s="1330"/>
      <c r="FI221"/>
      <c r="FJ221"/>
      <c r="FK221"/>
      <c r="FL221"/>
      <c r="FM221"/>
      <c r="FN221"/>
      <c r="FO221" s="416"/>
    </row>
    <row r="222" spans="1:171" s="465" customFormat="1" ht="14.25" hidden="1" customHeight="1" outlineLevel="1">
      <c r="A222" s="416"/>
      <c r="B222" s="511" t="s">
        <v>238</v>
      </c>
      <c r="C222" s="228"/>
      <c r="D222" s="228"/>
      <c r="E222" s="228"/>
      <c r="F222" s="228"/>
      <c r="G222" s="228"/>
      <c r="H222" s="228"/>
      <c r="I222" s="228"/>
      <c r="J222" s="228"/>
      <c r="K222" s="228"/>
      <c r="L222" s="228"/>
      <c r="M222" s="228"/>
      <c r="N222" s="228"/>
      <c r="O222" s="228"/>
      <c r="P222" s="228"/>
      <c r="Q222" s="228"/>
      <c r="R222" s="228"/>
      <c r="S222" s="228"/>
      <c r="T222" s="228"/>
      <c r="U222" s="228"/>
      <c r="V222" s="228"/>
      <c r="W222" s="228"/>
      <c r="X222" s="228"/>
      <c r="Y222" s="228"/>
      <c r="Z222" s="228"/>
      <c r="AA222" s="228"/>
      <c r="AB222" s="228"/>
      <c r="AC222" s="228"/>
      <c r="AD222" s="228"/>
      <c r="AE222" s="228"/>
      <c r="AF222" s="228"/>
      <c r="AG222" s="228"/>
      <c r="AH222" s="228"/>
      <c r="AI222" s="228"/>
      <c r="AJ222" s="228"/>
      <c r="AK222" s="228"/>
      <c r="AL222" s="228"/>
      <c r="AM222" s="228"/>
      <c r="AN222" s="228"/>
      <c r="AO222" s="228"/>
      <c r="AP222" s="228"/>
      <c r="AQ222" s="228"/>
      <c r="AR222" s="228"/>
      <c r="AS222" s="228"/>
      <c r="AT222" s="228"/>
      <c r="AU222" s="228"/>
      <c r="AV222" s="228"/>
      <c r="AW222" s="228"/>
      <c r="AX222" s="228"/>
      <c r="AY222" s="228"/>
      <c r="AZ222" s="228"/>
      <c r="BA222" s="228"/>
      <c r="BB222" s="228"/>
      <c r="BC222" s="228"/>
      <c r="BD222" s="228"/>
      <c r="BE222" s="228"/>
      <c r="BF222" s="228"/>
      <c r="BG222" s="228"/>
      <c r="BH222" s="483"/>
      <c r="BI222" s="228"/>
      <c r="BJ222" s="228"/>
      <c r="BK222" s="229"/>
      <c r="BL222" s="228"/>
      <c r="BM222" s="228"/>
      <c r="BN222" s="228"/>
      <c r="BO222" s="228"/>
      <c r="BP222" s="483"/>
      <c r="BQ222" s="228"/>
      <c r="BR222" s="228"/>
      <c r="BS222" s="229"/>
      <c r="BT222" s="483"/>
      <c r="BU222" s="228"/>
      <c r="BV222" s="228"/>
      <c r="BW222" s="227"/>
      <c r="BX222" s="483">
        <f t="shared" ref="BX222:CQ222" si="1153">+BX204</f>
        <v>0</v>
      </c>
      <c r="BY222" s="228">
        <f t="shared" si="1153"/>
        <v>0</v>
      </c>
      <c r="BZ222" s="228">
        <f t="shared" si="1153"/>
        <v>0</v>
      </c>
      <c r="CA222" s="227">
        <f t="shared" si="1153"/>
        <v>0</v>
      </c>
      <c r="CB222" s="483">
        <f t="shared" si="1153"/>
        <v>0</v>
      </c>
      <c r="CC222" s="228">
        <f t="shared" si="1153"/>
        <v>0</v>
      </c>
      <c r="CD222" s="228">
        <f t="shared" si="1153"/>
        <v>0</v>
      </c>
      <c r="CE222" s="227">
        <f t="shared" si="1153"/>
        <v>0</v>
      </c>
      <c r="CF222" s="483">
        <f t="shared" si="1153"/>
        <v>0</v>
      </c>
      <c r="CG222" s="228">
        <f t="shared" si="1153"/>
        <v>0</v>
      </c>
      <c r="CH222" s="228">
        <f t="shared" si="1153"/>
        <v>0</v>
      </c>
      <c r="CI222" s="227">
        <f t="shared" si="1153"/>
        <v>0</v>
      </c>
      <c r="CJ222" s="483">
        <f t="shared" si="1153"/>
        <v>0</v>
      </c>
      <c r="CK222" s="228">
        <f t="shared" si="1153"/>
        <v>0</v>
      </c>
      <c r="CL222" s="228">
        <f t="shared" si="1153"/>
        <v>0</v>
      </c>
      <c r="CM222" s="227">
        <f t="shared" ref="CM222" si="1154">+CM204</f>
        <v>0</v>
      </c>
      <c r="CN222" s="228">
        <f t="shared" si="1153"/>
        <v>0</v>
      </c>
      <c r="CO222" s="1252">
        <f t="shared" si="1114"/>
        <v>0</v>
      </c>
      <c r="CP222" s="228">
        <f t="shared" si="1153"/>
        <v>0</v>
      </c>
      <c r="CQ222" s="229">
        <f t="shared" si="1153"/>
        <v>0</v>
      </c>
      <c r="CR222" s="228">
        <f t="shared" ref="CR222:CU222" si="1155">+CR204</f>
        <v>0</v>
      </c>
      <c r="CS222" s="228">
        <f t="shared" si="1155"/>
        <v>0</v>
      </c>
      <c r="CT222" s="228">
        <f t="shared" si="1155"/>
        <v>0</v>
      </c>
      <c r="CU222" s="229">
        <f t="shared" si="1155"/>
        <v>0</v>
      </c>
      <c r="CV222" s="1330">
        <f t="shared" ref="CV222:CY222" si="1156">+CV204</f>
        <v>0</v>
      </c>
      <c r="CW222" s="1330">
        <f t="shared" si="1156"/>
        <v>0</v>
      </c>
      <c r="CX222" s="1330">
        <f t="shared" si="1156"/>
        <v>0</v>
      </c>
      <c r="CY222" s="1331">
        <f t="shared" si="1156"/>
        <v>0</v>
      </c>
      <c r="CZ222" s="1330">
        <f t="shared" ref="CZ222:DC222" si="1157">+CZ204</f>
        <v>0</v>
      </c>
      <c r="DA222" s="1330">
        <f t="shared" si="1157"/>
        <v>0</v>
      </c>
      <c r="DB222" s="1330">
        <f t="shared" si="1157"/>
        <v>0</v>
      </c>
      <c r="DC222" s="1331">
        <f t="shared" si="1157"/>
        <v>0</v>
      </c>
      <c r="DD222" s="1331"/>
      <c r="DE222" s="483"/>
      <c r="DF222" s="228"/>
      <c r="DG222" s="228"/>
      <c r="DH222" s="228"/>
      <c r="DI222" s="228"/>
      <c r="DJ222" s="228"/>
      <c r="DK222" s="228"/>
      <c r="DL222" s="228"/>
      <c r="DM222" s="228"/>
      <c r="DN222" s="228"/>
      <c r="DO222" s="228"/>
      <c r="DP222" s="228"/>
      <c r="DQ222" s="228"/>
      <c r="DR222" s="228"/>
      <c r="DS222" s="228"/>
      <c r="DT222" s="228"/>
      <c r="DU222" s="1330"/>
      <c r="DV222" s="1330"/>
      <c r="DW222" s="1330">
        <f t="shared" si="1144"/>
        <v>0</v>
      </c>
      <c r="DX222" s="1330">
        <f t="shared" si="1145"/>
        <v>0</v>
      </c>
      <c r="DY222" s="1330">
        <f t="shared" si="1146"/>
        <v>0</v>
      </c>
      <c r="DZ222" s="1330">
        <f t="shared" si="1147"/>
        <v>0</v>
      </c>
      <c r="EA222" s="228">
        <f t="shared" si="1148"/>
        <v>0</v>
      </c>
      <c r="EB222" s="1330">
        <f t="shared" si="1103"/>
        <v>0</v>
      </c>
      <c r="EC222" s="1330">
        <f t="shared" si="1104"/>
        <v>0</v>
      </c>
      <c r="ED222" s="1331">
        <f t="shared" si="1105"/>
        <v>0</v>
      </c>
      <c r="EE222" s="483"/>
      <c r="EF222" s="416"/>
      <c r="EG222" s="416"/>
      <c r="EH222" s="416"/>
      <c r="EI222" s="416"/>
      <c r="EJ222" s="416"/>
      <c r="EK222" s="416"/>
      <c r="EL222" s="416"/>
      <c r="EM222" s="416"/>
      <c r="EN222" s="416"/>
      <c r="EO222" s="416"/>
      <c r="EP222" s="416"/>
      <c r="EQ222" s="416"/>
      <c r="ER222" s="416"/>
      <c r="ES222" s="416"/>
      <c r="ET222" s="416"/>
      <c r="EU222" s="416"/>
      <c r="EV222" s="416"/>
      <c r="EW222" s="416"/>
      <c r="EX222" s="416"/>
      <c r="EY222" s="416"/>
      <c r="EZ222" s="416"/>
      <c r="FA222" s="416"/>
      <c r="FB222" s="416"/>
      <c r="FC222" s="416"/>
      <c r="FD222" s="416"/>
      <c r="FE222" s="228"/>
      <c r="FF222" s="1330"/>
      <c r="FG222" s="1330"/>
      <c r="FH222" s="1330"/>
      <c r="FI222"/>
      <c r="FJ222"/>
      <c r="FK222"/>
      <c r="FL222"/>
      <c r="FM222"/>
      <c r="FN222"/>
      <c r="FO222" s="416"/>
    </row>
    <row r="223" spans="1:171" s="465" customFormat="1" ht="14.25" hidden="1" customHeight="1" outlineLevel="1">
      <c r="A223" s="416"/>
      <c r="B223" s="511" t="s">
        <v>239</v>
      </c>
      <c r="C223" s="228"/>
      <c r="D223" s="228"/>
      <c r="E223" s="228"/>
      <c r="F223" s="228"/>
      <c r="G223" s="228"/>
      <c r="H223" s="228"/>
      <c r="I223" s="228"/>
      <c r="J223" s="228"/>
      <c r="K223" s="228"/>
      <c r="L223" s="228"/>
      <c r="M223" s="228"/>
      <c r="N223" s="228"/>
      <c r="O223" s="228"/>
      <c r="P223" s="228"/>
      <c r="Q223" s="228"/>
      <c r="R223" s="228"/>
      <c r="S223" s="228"/>
      <c r="T223" s="228"/>
      <c r="U223" s="228"/>
      <c r="V223" s="228"/>
      <c r="W223" s="228"/>
      <c r="X223" s="228"/>
      <c r="Y223" s="228"/>
      <c r="Z223" s="228"/>
      <c r="AA223" s="228"/>
      <c r="AB223" s="228"/>
      <c r="AC223" s="228"/>
      <c r="AD223" s="228"/>
      <c r="AE223" s="228"/>
      <c r="AF223" s="228"/>
      <c r="AG223" s="228"/>
      <c r="AH223" s="228"/>
      <c r="AI223" s="228"/>
      <c r="AJ223" s="228"/>
      <c r="AK223" s="228"/>
      <c r="AL223" s="228"/>
      <c r="AM223" s="228"/>
      <c r="AN223" s="228"/>
      <c r="AO223" s="228"/>
      <c r="AP223" s="228"/>
      <c r="AQ223" s="228"/>
      <c r="AR223" s="228"/>
      <c r="AS223" s="228"/>
      <c r="AT223" s="228"/>
      <c r="AU223" s="228"/>
      <c r="AV223" s="228"/>
      <c r="AW223" s="228"/>
      <c r="AX223" s="228"/>
      <c r="AY223" s="228"/>
      <c r="AZ223" s="228"/>
      <c r="BA223" s="228"/>
      <c r="BB223" s="228"/>
      <c r="BC223" s="228"/>
      <c r="BD223" s="228"/>
      <c r="BE223" s="228"/>
      <c r="BF223" s="228"/>
      <c r="BG223" s="228"/>
      <c r="BH223" s="483"/>
      <c r="BI223" s="228"/>
      <c r="BJ223" s="228"/>
      <c r="BK223" s="229"/>
      <c r="BL223" s="228"/>
      <c r="BM223" s="228"/>
      <c r="BN223" s="228"/>
      <c r="BO223" s="228"/>
      <c r="BP223" s="483"/>
      <c r="BQ223" s="228"/>
      <c r="BR223" s="228"/>
      <c r="BS223" s="229"/>
      <c r="BT223" s="483"/>
      <c r="BU223" s="228"/>
      <c r="BV223" s="228"/>
      <c r="BW223" s="227"/>
      <c r="BX223" s="483">
        <f t="shared" ref="BX223:CL223" si="1158">+BX205</f>
        <v>1.02935</v>
      </c>
      <c r="BY223" s="228">
        <f t="shared" si="1158"/>
        <v>1.02935</v>
      </c>
      <c r="BZ223" s="228">
        <f t="shared" si="1158"/>
        <v>1.02935</v>
      </c>
      <c r="CA223" s="227">
        <f t="shared" si="1158"/>
        <v>1.02935</v>
      </c>
      <c r="CB223" s="483">
        <f t="shared" si="1158"/>
        <v>1.02935</v>
      </c>
      <c r="CC223" s="228">
        <f t="shared" si="1158"/>
        <v>1.02935</v>
      </c>
      <c r="CD223" s="228">
        <f t="shared" si="1158"/>
        <v>1.02935</v>
      </c>
      <c r="CE223" s="227">
        <f t="shared" si="1158"/>
        <v>1.02935</v>
      </c>
      <c r="CF223" s="483">
        <f t="shared" si="1158"/>
        <v>1.02935</v>
      </c>
      <c r="CG223" s="228">
        <f t="shared" si="1158"/>
        <v>1.02935</v>
      </c>
      <c r="CH223" s="228">
        <f t="shared" si="1158"/>
        <v>1.02935</v>
      </c>
      <c r="CI223" s="227">
        <f t="shared" si="1158"/>
        <v>1.02935</v>
      </c>
      <c r="CJ223" s="483">
        <f t="shared" si="1158"/>
        <v>1.02935</v>
      </c>
      <c r="CK223" s="228">
        <f t="shared" si="1158"/>
        <v>1.02935</v>
      </c>
      <c r="CL223" s="228">
        <f t="shared" si="1158"/>
        <v>1.02935</v>
      </c>
      <c r="CM223" s="227">
        <f t="shared" ref="CM223" si="1159">+CM205</f>
        <v>1.02935</v>
      </c>
      <c r="CN223" s="228">
        <f t="shared" ref="CN223:CQ223" si="1160">+CN205</f>
        <v>1.02935</v>
      </c>
      <c r="CO223" s="1252">
        <f t="shared" si="1114"/>
        <v>1.02935</v>
      </c>
      <c r="CP223" s="228">
        <f t="shared" si="1160"/>
        <v>1.02935</v>
      </c>
      <c r="CQ223" s="229">
        <f t="shared" si="1160"/>
        <v>1.02935</v>
      </c>
      <c r="CR223" s="228">
        <f t="shared" ref="CR223:CU223" si="1161">+CR205</f>
        <v>1.02935</v>
      </c>
      <c r="CS223" s="228">
        <f t="shared" si="1161"/>
        <v>1.02935</v>
      </c>
      <c r="CT223" s="228">
        <f t="shared" si="1161"/>
        <v>1.02935</v>
      </c>
      <c r="CU223" s="229">
        <f t="shared" si="1161"/>
        <v>1.02935</v>
      </c>
      <c r="CV223" s="1330">
        <f t="shared" ref="CV223:CY223" si="1162">+CV205</f>
        <v>1.02935</v>
      </c>
      <c r="CW223" s="1330">
        <f t="shared" si="1162"/>
        <v>1.02935</v>
      </c>
      <c r="CX223" s="1330">
        <f t="shared" si="1162"/>
        <v>1.02935</v>
      </c>
      <c r="CY223" s="1331">
        <f t="shared" si="1162"/>
        <v>1.02935</v>
      </c>
      <c r="CZ223" s="1330">
        <f t="shared" ref="CZ223:DC223" si="1163">+CZ205</f>
        <v>1.02935</v>
      </c>
      <c r="DA223" s="1330">
        <f t="shared" si="1163"/>
        <v>1.02935</v>
      </c>
      <c r="DB223" s="1330">
        <f t="shared" si="1163"/>
        <v>1.02935</v>
      </c>
      <c r="DC223" s="1331">
        <f t="shared" si="1163"/>
        <v>1.02935</v>
      </c>
      <c r="DD223" s="1331"/>
      <c r="DE223" s="483"/>
      <c r="DF223" s="228"/>
      <c r="DG223" s="228"/>
      <c r="DH223" s="228"/>
      <c r="DI223" s="228"/>
      <c r="DJ223" s="228"/>
      <c r="DK223" s="228"/>
      <c r="DL223" s="228"/>
      <c r="DM223" s="228"/>
      <c r="DN223" s="228"/>
      <c r="DO223" s="228"/>
      <c r="DP223" s="228"/>
      <c r="DQ223" s="228"/>
      <c r="DR223" s="228"/>
      <c r="DS223" s="228"/>
      <c r="DT223" s="228"/>
      <c r="DU223" s="1330"/>
      <c r="DV223" s="1330"/>
      <c r="DW223" s="1330">
        <f t="shared" si="1118"/>
        <v>4.1173999999999999</v>
      </c>
      <c r="DX223" s="1330">
        <f t="shared" si="1119"/>
        <v>4.1173999999999999</v>
      </c>
      <c r="DY223" s="1330">
        <f t="shared" si="1120"/>
        <v>4.1173999999999999</v>
      </c>
      <c r="DZ223" s="1330">
        <f t="shared" si="1121"/>
        <v>4.1173999999999999</v>
      </c>
      <c r="EA223" s="228">
        <f t="shared" si="1102"/>
        <v>4.1173999999999999</v>
      </c>
      <c r="EB223" s="1330">
        <f t="shared" si="1103"/>
        <v>4.1173999999999999</v>
      </c>
      <c r="EC223" s="1330">
        <f t="shared" si="1104"/>
        <v>4.1173999999999999</v>
      </c>
      <c r="ED223" s="1331">
        <f t="shared" si="1105"/>
        <v>4.1173999999999999</v>
      </c>
      <c r="EE223" s="483"/>
      <c r="EF223" s="416"/>
      <c r="EG223" s="416"/>
      <c r="EH223" s="416"/>
      <c r="EI223" s="416"/>
      <c r="EJ223" s="416"/>
      <c r="EK223" s="416"/>
      <c r="EL223" s="416"/>
      <c r="EM223" s="416"/>
      <c r="EN223" s="416"/>
      <c r="EO223" s="416"/>
      <c r="EP223" s="416"/>
      <c r="EQ223" s="416"/>
      <c r="ER223" s="416"/>
      <c r="ES223" s="416"/>
      <c r="ET223" s="416"/>
      <c r="EU223" s="416"/>
      <c r="EV223" s="416"/>
      <c r="EW223" s="416"/>
      <c r="EX223" s="416"/>
      <c r="EY223" s="416"/>
      <c r="EZ223" s="416"/>
      <c r="FA223" s="416"/>
      <c r="FB223" s="416"/>
      <c r="FC223" s="416"/>
      <c r="FD223" s="416"/>
      <c r="FE223" s="228"/>
      <c r="FF223" s="1330"/>
      <c r="FG223" s="1330"/>
      <c r="FH223" s="1330"/>
      <c r="FI223"/>
      <c r="FJ223"/>
      <c r="FK223"/>
      <c r="FL223"/>
      <c r="FM223"/>
      <c r="FN223"/>
      <c r="FO223" s="416"/>
    </row>
    <row r="224" spans="1:171" s="420" customFormat="1" ht="14.25" hidden="1" customHeight="1" outlineLevel="1">
      <c r="A224" s="418"/>
      <c r="B224" s="512" t="s">
        <v>126</v>
      </c>
      <c r="C224" s="419"/>
      <c r="D224" s="419"/>
      <c r="E224" s="419"/>
      <c r="F224" s="419"/>
      <c r="G224" s="419"/>
      <c r="H224" s="419"/>
      <c r="I224" s="419"/>
      <c r="J224" s="419"/>
      <c r="K224" s="419"/>
      <c r="L224" s="419"/>
      <c r="M224" s="419"/>
      <c r="N224" s="419"/>
      <c r="O224" s="419"/>
      <c r="P224" s="419"/>
      <c r="Q224" s="419"/>
      <c r="R224" s="419"/>
      <c r="S224" s="419"/>
      <c r="T224" s="419"/>
      <c r="U224" s="419"/>
      <c r="V224" s="419"/>
      <c r="W224" s="419"/>
      <c r="X224" s="419"/>
      <c r="Y224" s="419"/>
      <c r="Z224" s="419"/>
      <c r="AA224" s="419"/>
      <c r="AB224" s="419"/>
      <c r="AC224" s="419"/>
      <c r="AD224" s="419"/>
      <c r="AE224" s="419"/>
      <c r="AF224" s="419"/>
      <c r="AG224" s="419"/>
      <c r="AH224" s="419"/>
      <c r="AI224" s="419"/>
      <c r="AJ224" s="419"/>
      <c r="AK224" s="419"/>
      <c r="AL224" s="419"/>
      <c r="AM224" s="419"/>
      <c r="AN224" s="419"/>
      <c r="AO224" s="419"/>
      <c r="AP224" s="419"/>
      <c r="AQ224" s="419"/>
      <c r="AR224" s="419"/>
      <c r="AS224" s="419"/>
      <c r="AT224" s="419"/>
      <c r="AU224" s="419"/>
      <c r="AV224" s="419"/>
      <c r="AW224" s="419"/>
      <c r="AX224" s="419"/>
      <c r="AY224" s="419"/>
      <c r="AZ224" s="419"/>
      <c r="BA224" s="419"/>
      <c r="BB224" s="419"/>
      <c r="BC224" s="419"/>
      <c r="BD224" s="419"/>
      <c r="BE224" s="419"/>
      <c r="BF224" s="419"/>
      <c r="BG224" s="419"/>
      <c r="BH224" s="484"/>
      <c r="BI224" s="419"/>
      <c r="BJ224" s="419"/>
      <c r="BK224" s="485"/>
      <c r="BL224" s="419"/>
      <c r="BM224" s="419"/>
      <c r="BN224" s="419"/>
      <c r="BO224" s="419"/>
      <c r="BP224" s="484"/>
      <c r="BQ224" s="419"/>
      <c r="BR224" s="419"/>
      <c r="BS224" s="485"/>
      <c r="BT224" s="484"/>
      <c r="BU224" s="419"/>
      <c r="BV224" s="419">
        <f t="shared" ref="BV224:CM224" si="1164">+BU189*BU145/4</f>
        <v>8.7750000000000004</v>
      </c>
      <c r="BW224" s="533">
        <f t="shared" si="1164"/>
        <v>8.9875000000000007</v>
      </c>
      <c r="BX224" s="484">
        <f t="shared" si="1164"/>
        <v>10.816750000000001</v>
      </c>
      <c r="BY224" s="419">
        <f t="shared" si="1164"/>
        <v>10.633000000000001</v>
      </c>
      <c r="BZ224" s="419">
        <f t="shared" si="1164"/>
        <v>10.199</v>
      </c>
      <c r="CA224" s="533">
        <f t="shared" si="1164"/>
        <v>10.199</v>
      </c>
      <c r="CB224" s="484">
        <f t="shared" si="1164"/>
        <v>9.9819999999999993</v>
      </c>
      <c r="CC224" s="419">
        <f t="shared" si="1164"/>
        <v>9.9819999999999993</v>
      </c>
      <c r="CD224" s="419">
        <f t="shared" si="1164"/>
        <v>10.199</v>
      </c>
      <c r="CE224" s="533">
        <f t="shared" si="1164"/>
        <v>10.199</v>
      </c>
      <c r="CF224" s="484">
        <f t="shared" si="1164"/>
        <v>10.199</v>
      </c>
      <c r="CG224" s="419">
        <f t="shared" si="1164"/>
        <v>10.199</v>
      </c>
      <c r="CH224" s="419">
        <f t="shared" si="1164"/>
        <v>13.1835</v>
      </c>
      <c r="CI224" s="533">
        <f t="shared" si="1164"/>
        <v>13.1835</v>
      </c>
      <c r="CJ224" s="484">
        <f t="shared" si="1164"/>
        <v>11.270394536803076</v>
      </c>
      <c r="CK224" s="419">
        <f t="shared" si="1164"/>
        <v>11.270394536803076</v>
      </c>
      <c r="CL224" s="419">
        <f t="shared" si="1164"/>
        <v>11.270394536803076</v>
      </c>
      <c r="CM224" s="533">
        <f t="shared" si="1164"/>
        <v>11.270394536803076</v>
      </c>
      <c r="CN224" s="419">
        <f t="shared" ref="CN224:CO224" si="1165">+CM189*CM145/4</f>
        <v>11.270394536803076</v>
      </c>
      <c r="CO224" s="1265">
        <f t="shared" si="1165"/>
        <v>11.270394536803076</v>
      </c>
      <c r="CP224" s="419">
        <f t="shared" ref="CP224" si="1166">+CO189*CO145/4</f>
        <v>11.270394536803076</v>
      </c>
      <c r="CQ224" s="485">
        <f t="shared" ref="CQ224" si="1167">+CP189*CP145/4</f>
        <v>11.270394536803076</v>
      </c>
      <c r="CR224" s="419">
        <f t="shared" ref="CR224" si="1168">+CQ189*CQ145/4</f>
        <v>11.270394536803076</v>
      </c>
      <c r="CS224" s="419">
        <f t="shared" ref="CS224" si="1169">+CR189*CR145/4</f>
        <v>11.270394536803076</v>
      </c>
      <c r="CT224" s="419">
        <f t="shared" ref="CT224" si="1170">+CS189*CS145/4</f>
        <v>11.270394536803076</v>
      </c>
      <c r="CU224" s="485">
        <f t="shared" ref="CU224" si="1171">+CT189*CT145/4</f>
        <v>11.270394536803076</v>
      </c>
      <c r="CV224" s="1265">
        <f t="shared" ref="CV224" si="1172">+CU189*CU145/4</f>
        <v>11.270394536803076</v>
      </c>
      <c r="CW224" s="1265">
        <f t="shared" ref="CW224" si="1173">+CV189*CV145/4</f>
        <v>11.270394536803076</v>
      </c>
      <c r="CX224" s="1265">
        <f t="shared" ref="CX224" si="1174">+CW189*CW145/4</f>
        <v>11.270394536803076</v>
      </c>
      <c r="CY224" s="485">
        <f t="shared" ref="CY224" si="1175">+CX189*CX145/4</f>
        <v>11.270394536803076</v>
      </c>
      <c r="CZ224" s="1265">
        <f t="shared" ref="CZ224" si="1176">+CY189*CY145/4</f>
        <v>11.270394536803076</v>
      </c>
      <c r="DA224" s="1265">
        <f t="shared" ref="DA224" si="1177">+CZ189*CZ145/4</f>
        <v>11.270394536803076</v>
      </c>
      <c r="DB224" s="1265">
        <f t="shared" ref="DB224" si="1178">+DA189*DA145/4</f>
        <v>11.270394536803076</v>
      </c>
      <c r="DC224" s="485">
        <f t="shared" ref="DC224" si="1179">+DB189*DB145/4</f>
        <v>11.270394536803076</v>
      </c>
      <c r="DD224" s="485"/>
      <c r="DE224" s="484"/>
      <c r="DF224" s="419"/>
      <c r="DG224" s="419"/>
      <c r="DH224" s="419"/>
      <c r="DI224" s="419"/>
      <c r="DJ224" s="419"/>
      <c r="DK224" s="419"/>
      <c r="DL224" s="419"/>
      <c r="DM224" s="419"/>
      <c r="DN224" s="419"/>
      <c r="DO224" s="419"/>
      <c r="DP224" s="419"/>
      <c r="DQ224" s="419"/>
      <c r="DR224" s="419"/>
      <c r="DS224" s="419"/>
      <c r="DT224" s="419"/>
      <c r="DU224" s="1265"/>
      <c r="DV224" s="1265">
        <f>+SUM(BT224:BW224)</f>
        <v>17.762500000000003</v>
      </c>
      <c r="DW224" s="1265">
        <f>+SUM(BX224:CA224)</f>
        <v>41.847749999999998</v>
      </c>
      <c r="DX224" s="1265">
        <f>+SUM(CB224:CE224)</f>
        <v>40.361999999999995</v>
      </c>
      <c r="DY224" s="1265">
        <f>+SUM(CF224:CI224)</f>
        <v>46.765000000000001</v>
      </c>
      <c r="DZ224" s="1265">
        <f>+SUM(CJ224:CM224)</f>
        <v>45.081578147212305</v>
      </c>
      <c r="EA224" s="419">
        <f t="shared" si="1102"/>
        <v>45.081578147212305</v>
      </c>
      <c r="EB224" s="1265">
        <f t="shared" si="1103"/>
        <v>45.081578147212305</v>
      </c>
      <c r="EC224" s="1265">
        <f t="shared" si="1104"/>
        <v>45.081578147212305</v>
      </c>
      <c r="ED224" s="485">
        <f t="shared" si="1105"/>
        <v>45.081578147212305</v>
      </c>
      <c r="EE224" s="484"/>
      <c r="EF224" s="418"/>
      <c r="EG224" s="418"/>
      <c r="EH224" s="418"/>
      <c r="EI224" s="418"/>
      <c r="EJ224" s="418"/>
      <c r="EK224" s="418"/>
      <c r="EL224" s="418"/>
      <c r="EM224" s="418"/>
      <c r="EN224" s="418"/>
      <c r="EO224" s="418"/>
      <c r="EP224" s="418"/>
      <c r="EQ224" s="418"/>
      <c r="ER224" s="418"/>
      <c r="ES224" s="418"/>
      <c r="ET224" s="418"/>
      <c r="EU224" s="418"/>
      <c r="EV224" s="418"/>
      <c r="EW224" s="418"/>
      <c r="EX224" s="418"/>
      <c r="EY224" s="418"/>
      <c r="EZ224" s="418"/>
      <c r="FA224" s="418"/>
      <c r="FB224" s="418"/>
      <c r="FC224" s="418"/>
      <c r="FD224" s="418"/>
      <c r="FE224" s="419"/>
      <c r="FF224" s="1265"/>
      <c r="FG224" s="1265"/>
      <c r="FH224" s="1265"/>
      <c r="FI224"/>
      <c r="FJ224"/>
      <c r="FK224"/>
      <c r="FL224"/>
      <c r="FM224"/>
      <c r="FN224"/>
      <c r="FO224" s="418"/>
    </row>
    <row r="225" spans="1:171" s="423" customFormat="1" ht="14.25" hidden="1" customHeight="1" outlineLevel="1">
      <c r="A225" s="421"/>
      <c r="B225" s="513" t="s">
        <v>121</v>
      </c>
      <c r="C225" s="422"/>
      <c r="D225" s="422"/>
      <c r="E225" s="422"/>
      <c r="F225" s="422"/>
      <c r="G225" s="422"/>
      <c r="H225" s="422"/>
      <c r="I225" s="422"/>
      <c r="J225" s="422"/>
      <c r="K225" s="422"/>
      <c r="L225" s="422"/>
      <c r="M225" s="422"/>
      <c r="N225" s="422"/>
      <c r="O225" s="422"/>
      <c r="P225" s="422"/>
      <c r="Q225" s="422"/>
      <c r="R225" s="422"/>
      <c r="S225" s="422"/>
      <c r="T225" s="422"/>
      <c r="U225" s="422"/>
      <c r="V225" s="422"/>
      <c r="W225" s="422"/>
      <c r="X225" s="422"/>
      <c r="Y225" s="422"/>
      <c r="Z225" s="422"/>
      <c r="AA225" s="422"/>
      <c r="AB225" s="422"/>
      <c r="AC225" s="422"/>
      <c r="AD225" s="422"/>
      <c r="AE225" s="422"/>
      <c r="AF225" s="422"/>
      <c r="AG225" s="422"/>
      <c r="AH225" s="422"/>
      <c r="AI225" s="422"/>
      <c r="AJ225" s="422"/>
      <c r="AK225" s="422"/>
      <c r="AL225" s="422"/>
      <c r="AM225" s="422"/>
      <c r="AN225" s="422"/>
      <c r="AO225" s="422"/>
      <c r="AP225" s="422"/>
      <c r="AQ225" s="422"/>
      <c r="AR225" s="422"/>
      <c r="AS225" s="422"/>
      <c r="AT225" s="422"/>
      <c r="AU225" s="422"/>
      <c r="AV225" s="422"/>
      <c r="AW225" s="422"/>
      <c r="AX225" s="422"/>
      <c r="AY225" s="422"/>
      <c r="AZ225" s="422"/>
      <c r="BA225" s="422"/>
      <c r="BB225" s="422"/>
      <c r="BC225" s="422"/>
      <c r="BD225" s="422"/>
      <c r="BE225" s="422"/>
      <c r="BF225" s="422"/>
      <c r="BG225" s="422"/>
      <c r="BH225" s="489"/>
      <c r="BI225" s="422"/>
      <c r="BJ225" s="422"/>
      <c r="BK225" s="490"/>
      <c r="BL225" s="422"/>
      <c r="BM225" s="422"/>
      <c r="BN225" s="422"/>
      <c r="BO225" s="422"/>
      <c r="BP225" s="489"/>
      <c r="BQ225" s="422"/>
      <c r="BR225" s="422"/>
      <c r="BS225" s="490"/>
      <c r="BT225" s="489"/>
      <c r="BU225" s="422"/>
      <c r="BV225" s="422">
        <f>+SUM(BV210:BV224)</f>
        <v>36.09375</v>
      </c>
      <c r="BW225" s="490">
        <f t="shared" ref="BW225:CI225" si="1180">+SUM(BW210:BW224)</f>
        <v>48.998750000000001</v>
      </c>
      <c r="BX225" s="489">
        <f t="shared" si="1180"/>
        <v>52.272849999999998</v>
      </c>
      <c r="BY225" s="422">
        <f t="shared" si="1180"/>
        <v>52.521100000000004</v>
      </c>
      <c r="BZ225" s="422">
        <f t="shared" si="1180"/>
        <v>52.552095335937501</v>
      </c>
      <c r="CA225" s="490">
        <f t="shared" si="1180"/>
        <v>53.025532890744138</v>
      </c>
      <c r="CB225" s="489">
        <f t="shared" si="1180"/>
        <v>53.290567532331188</v>
      </c>
      <c r="CC225" s="422">
        <f>+SUM(CC210:CC224)</f>
        <v>53.781356996730388</v>
      </c>
      <c r="CD225" s="422">
        <f t="shared" si="1180"/>
        <v>54.498061941670194</v>
      </c>
      <c r="CE225" s="490">
        <f t="shared" si="1180"/>
        <v>54.939227425938029</v>
      </c>
      <c r="CF225" s="489">
        <f t="shared" si="1180"/>
        <v>36.428854378709474</v>
      </c>
      <c r="CG225" s="422">
        <f t="shared" si="1180"/>
        <v>45.015671864238278</v>
      </c>
      <c r="CH225" s="422">
        <f t="shared" si="1180"/>
        <v>61.732494651757051</v>
      </c>
      <c r="CI225" s="490">
        <f t="shared" si="1180"/>
        <v>61.920961229525588</v>
      </c>
      <c r="CJ225" s="489">
        <f t="shared" ref="CJ225:CQ225" si="1181">+SUM(CJ210:CJ224)</f>
        <v>60.199390495287282</v>
      </c>
      <c r="CK225" s="422">
        <f t="shared" si="1181"/>
        <v>60.39404354704952</v>
      </c>
      <c r="CL225" s="422">
        <f t="shared" si="1181"/>
        <v>72.623115917273495</v>
      </c>
      <c r="CM225" s="490">
        <f t="shared" si="1181"/>
        <v>60.792909439254899</v>
      </c>
      <c r="CN225" s="422">
        <f t="shared" si="1181"/>
        <v>60.997226797745043</v>
      </c>
      <c r="CO225" s="1266">
        <f t="shared" si="1181"/>
        <v>61.204871542997822</v>
      </c>
      <c r="CP225" s="422">
        <f t="shared" si="1181"/>
        <v>61.41589810504945</v>
      </c>
      <c r="CQ225" s="490">
        <f t="shared" si="1181"/>
        <v>61.63036180823471</v>
      </c>
      <c r="CR225" s="422">
        <f t="shared" ref="CR225:CU225" si="1182">+SUM(CR210:CR224)</f>
        <v>61.848318885943762</v>
      </c>
      <c r="CS225" s="422">
        <f t="shared" si="1182"/>
        <v>62.069826495623431</v>
      </c>
      <c r="CT225" s="422">
        <f t="shared" si="1182"/>
        <v>62.294942734027103</v>
      </c>
      <c r="CU225" s="490">
        <f t="shared" si="1182"/>
        <v>62.523726652717372</v>
      </c>
      <c r="CV225" s="422">
        <f t="shared" ref="CV225:CY225" si="1183">+SUM(CV210:CV224)</f>
        <v>62.756238273825559</v>
      </c>
      <c r="CW225" s="422">
        <f t="shared" si="1183"/>
        <v>62.992538606072458</v>
      </c>
      <c r="CX225" s="422">
        <f t="shared" si="1183"/>
        <v>63.232689661054657</v>
      </c>
      <c r="CY225" s="490">
        <f t="shared" si="1183"/>
        <v>63.476754469800753</v>
      </c>
      <c r="CZ225" s="422">
        <f t="shared" ref="CZ225:DC225" si="1184">+SUM(CZ210:CZ224)</f>
        <v>63.724797099602114</v>
      </c>
      <c r="DA225" s="422">
        <f t="shared" si="1184"/>
        <v>63.976882671122624</v>
      </c>
      <c r="DB225" s="422">
        <f t="shared" si="1184"/>
        <v>64.233077375792078</v>
      </c>
      <c r="DC225" s="490">
        <f t="shared" si="1184"/>
        <v>64.493448493488046</v>
      </c>
      <c r="DD225" s="490"/>
      <c r="DE225" s="489"/>
      <c r="DF225" s="422"/>
      <c r="DG225" s="422"/>
      <c r="DH225" s="422"/>
      <c r="DI225" s="422"/>
      <c r="DJ225" s="422"/>
      <c r="DK225" s="422"/>
      <c r="DL225" s="422"/>
      <c r="DM225" s="422"/>
      <c r="DN225" s="422"/>
      <c r="DO225" s="422"/>
      <c r="DP225" s="422"/>
      <c r="DQ225" s="422"/>
      <c r="DR225" s="422"/>
      <c r="DS225" s="422"/>
      <c r="DT225" s="422"/>
      <c r="DU225" s="422"/>
      <c r="DV225" s="422">
        <f>+SUM(BT225:BW225)</f>
        <v>85.092500000000001</v>
      </c>
      <c r="DW225" s="422">
        <f>+SUM(BX225:CA225)</f>
        <v>210.37157822668163</v>
      </c>
      <c r="DX225" s="422">
        <f>+SUM(CB225:CE225)</f>
        <v>216.50921389666979</v>
      </c>
      <c r="DY225" s="422">
        <f>+SUM(CF225:CI225)</f>
        <v>205.09798212423038</v>
      </c>
      <c r="DZ225" s="422">
        <f>+SUM(CJ225:CM225)</f>
        <v>254.0094593988652</v>
      </c>
      <c r="EA225" s="422">
        <f t="shared" si="1102"/>
        <v>245.24835825402701</v>
      </c>
      <c r="EB225" s="422">
        <f t="shared" si="1103"/>
        <v>248.73681476831166</v>
      </c>
      <c r="EC225" s="422">
        <f>+SUM(CV225:CY225)</f>
        <v>252.45822101075345</v>
      </c>
      <c r="ED225" s="490">
        <f t="shared" si="1105"/>
        <v>256.42820564000488</v>
      </c>
      <c r="EE225" s="489"/>
      <c r="EF225" s="421"/>
      <c r="EG225" s="421"/>
      <c r="EH225" s="421"/>
      <c r="EI225" s="421"/>
      <c r="EJ225" s="421"/>
      <c r="EK225" s="421"/>
      <c r="EL225" s="421"/>
      <c r="EM225" s="421"/>
      <c r="EN225" s="421"/>
      <c r="EO225" s="421"/>
      <c r="EP225" s="421"/>
      <c r="EQ225" s="421"/>
      <c r="ER225" s="421"/>
      <c r="ES225" s="421"/>
      <c r="ET225" s="421"/>
      <c r="EU225" s="421"/>
      <c r="EV225" s="421"/>
      <c r="EW225" s="421"/>
      <c r="EX225" s="421"/>
      <c r="EY225" s="421"/>
      <c r="EZ225" s="421"/>
      <c r="FA225" s="421"/>
      <c r="FB225" s="421"/>
      <c r="FC225" s="421"/>
      <c r="FD225" s="421"/>
      <c r="FE225" s="422"/>
      <c r="FF225" s="422"/>
      <c r="FG225" s="422"/>
      <c r="FH225" s="422"/>
      <c r="FI225"/>
      <c r="FJ225"/>
      <c r="FK225"/>
      <c r="FL225"/>
      <c r="FM225"/>
      <c r="FN225"/>
      <c r="FO225" s="421"/>
    </row>
    <row r="226" spans="1:171" ht="14.25" hidden="1" customHeight="1" outlineLevel="1">
      <c r="A226" s="7"/>
      <c r="B226" s="51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21"/>
      <c r="BI226" s="13"/>
      <c r="BJ226" s="13"/>
      <c r="BK226" s="231"/>
      <c r="BL226" s="13"/>
      <c r="BM226" s="13"/>
      <c r="BN226" s="13"/>
      <c r="BO226" s="13"/>
      <c r="BP226" s="21"/>
      <c r="BQ226" s="13"/>
      <c r="BR226" s="13"/>
      <c r="BS226" s="231"/>
      <c r="BT226" s="21"/>
      <c r="BU226" s="13"/>
      <c r="BV226" s="13"/>
      <c r="BW226" s="231"/>
      <c r="BX226" s="21"/>
      <c r="BY226" s="13"/>
      <c r="BZ226" s="13"/>
      <c r="CA226" s="231"/>
      <c r="CB226" s="21"/>
      <c r="CC226" s="13"/>
      <c r="CD226" s="13"/>
      <c r="CE226" s="231"/>
      <c r="CF226" s="21"/>
      <c r="CG226" s="13"/>
      <c r="CH226" s="13"/>
      <c r="CI226" s="231"/>
      <c r="CJ226" s="21"/>
      <c r="CK226" s="13"/>
      <c r="CL226" s="13"/>
      <c r="CM226" s="231"/>
      <c r="CN226" s="13"/>
      <c r="CO226" s="1225"/>
      <c r="CP226" s="13"/>
      <c r="CQ226" s="231"/>
      <c r="CR226" s="13"/>
      <c r="CS226" s="13"/>
      <c r="CT226" s="13"/>
      <c r="CU226" s="231"/>
      <c r="CV226" s="13"/>
      <c r="CW226" s="13"/>
      <c r="CX226" s="13"/>
      <c r="CY226" s="231"/>
      <c r="CZ226" s="13"/>
      <c r="DA226" s="13"/>
      <c r="DB226" s="13"/>
      <c r="DC226" s="231"/>
      <c r="DD226" s="231"/>
      <c r="DE226" s="21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231"/>
      <c r="EE226" s="21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13"/>
      <c r="FF226" s="13"/>
      <c r="FG226" s="13"/>
      <c r="FH226" s="13"/>
      <c r="FO226" s="7"/>
    </row>
    <row r="227" spans="1:171" ht="14.25" hidden="1" customHeight="1" outlineLevel="1">
      <c r="A227" s="7"/>
      <c r="B227" s="516" t="s">
        <v>125</v>
      </c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21"/>
      <c r="BI227" s="13"/>
      <c r="BJ227" s="13"/>
      <c r="BK227" s="231"/>
      <c r="BL227" s="13"/>
      <c r="BM227" s="13"/>
      <c r="BN227" s="13"/>
      <c r="BO227" s="13"/>
      <c r="BP227" s="21"/>
      <c r="BQ227" s="13"/>
      <c r="BR227" s="13"/>
      <c r="BS227" s="231"/>
      <c r="BT227" s="21"/>
      <c r="BU227" s="13"/>
      <c r="BV227" s="13"/>
      <c r="BW227" s="231"/>
      <c r="BX227" s="21"/>
      <c r="BY227" s="13"/>
      <c r="BZ227" s="13"/>
      <c r="CA227" s="231"/>
      <c r="CB227" s="21"/>
      <c r="CC227" s="13"/>
      <c r="CD227" s="13"/>
      <c r="CE227" s="231"/>
      <c r="CF227" s="21"/>
      <c r="CG227" s="13"/>
      <c r="CH227" s="13"/>
      <c r="CI227" s="231"/>
      <c r="CJ227" s="21"/>
      <c r="CK227" s="13"/>
      <c r="CL227" s="13"/>
      <c r="CM227" s="231"/>
      <c r="CN227" s="13"/>
      <c r="CO227" s="1225"/>
      <c r="CP227" s="13"/>
      <c r="CQ227" s="231"/>
      <c r="CR227" s="13"/>
      <c r="CS227" s="13"/>
      <c r="CT227" s="13"/>
      <c r="CU227" s="231"/>
      <c r="CV227" s="13"/>
      <c r="CW227" s="13"/>
      <c r="CX227" s="13"/>
      <c r="CY227" s="231"/>
      <c r="CZ227" s="13"/>
      <c r="DA227" s="13"/>
      <c r="DB227" s="13"/>
      <c r="DC227" s="231"/>
      <c r="DD227" s="231"/>
      <c r="DE227" s="21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231"/>
      <c r="EE227" s="21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13"/>
      <c r="FF227" s="13"/>
      <c r="FG227" s="13"/>
      <c r="FH227" s="13"/>
      <c r="FO227" s="7"/>
    </row>
    <row r="228" spans="1:171" s="417" customFormat="1" ht="14.25" hidden="1" customHeight="1" outlineLevel="1">
      <c r="A228" s="416"/>
      <c r="B228" s="511" t="s">
        <v>115</v>
      </c>
      <c r="C228" s="228"/>
      <c r="D228" s="228"/>
      <c r="E228" s="228"/>
      <c r="F228" s="228"/>
      <c r="G228" s="228"/>
      <c r="H228" s="228"/>
      <c r="I228" s="228"/>
      <c r="J228" s="228"/>
      <c r="K228" s="228"/>
      <c r="L228" s="228"/>
      <c r="M228" s="228"/>
      <c r="N228" s="228"/>
      <c r="O228" s="228"/>
      <c r="P228" s="228"/>
      <c r="Q228" s="228"/>
      <c r="R228" s="228"/>
      <c r="S228" s="228"/>
      <c r="T228" s="228"/>
      <c r="U228" s="228"/>
      <c r="V228" s="228"/>
      <c r="W228" s="228"/>
      <c r="X228" s="228"/>
      <c r="Y228" s="228"/>
      <c r="Z228" s="228"/>
      <c r="AA228" s="228"/>
      <c r="AB228" s="228"/>
      <c r="AC228" s="228"/>
      <c r="AD228" s="228"/>
      <c r="AE228" s="228"/>
      <c r="AF228" s="228"/>
      <c r="AG228" s="228"/>
      <c r="AH228" s="228"/>
      <c r="AI228" s="228"/>
      <c r="AJ228" s="228"/>
      <c r="AK228" s="228"/>
      <c r="AL228" s="228"/>
      <c r="AM228" s="228"/>
      <c r="AN228" s="228"/>
      <c r="AO228" s="228"/>
      <c r="AP228" s="228"/>
      <c r="AQ228" s="228"/>
      <c r="AR228" s="228"/>
      <c r="AS228" s="228"/>
      <c r="AT228" s="228"/>
      <c r="AU228" s="228"/>
      <c r="AV228" s="228"/>
      <c r="AW228" s="228"/>
      <c r="AX228" s="228"/>
      <c r="AY228" s="228"/>
      <c r="AZ228" s="228"/>
      <c r="BA228" s="228"/>
      <c r="BB228" s="228"/>
      <c r="BC228" s="228"/>
      <c r="BD228" s="228"/>
      <c r="BE228" s="228"/>
      <c r="BF228" s="228"/>
      <c r="BG228" s="228"/>
      <c r="BH228" s="483"/>
      <c r="BI228" s="228"/>
      <c r="BJ228" s="228"/>
      <c r="BK228" s="229"/>
      <c r="BL228" s="228"/>
      <c r="BM228" s="228"/>
      <c r="BN228" s="228"/>
      <c r="BO228" s="228"/>
      <c r="BP228" s="483"/>
      <c r="BQ228" s="228"/>
      <c r="BR228" s="228"/>
      <c r="BS228" s="229"/>
      <c r="BT228" s="483"/>
      <c r="BU228" s="228"/>
      <c r="BV228" s="245"/>
      <c r="BW228" s="229">
        <f t="shared" ref="BW228:CL228" si="1185">+BW210-BW192</f>
        <v>3.4543749999999998</v>
      </c>
      <c r="BX228" s="483">
        <f t="shared" si="1185"/>
        <v>3.4993749999999997</v>
      </c>
      <c r="BY228" s="228">
        <f t="shared" si="1185"/>
        <v>3.5443749999999996</v>
      </c>
      <c r="BZ228" s="228">
        <f t="shared" si="1185"/>
        <v>3.5975406249999997</v>
      </c>
      <c r="CA228" s="229">
        <f t="shared" si="1185"/>
        <v>3.6515037343749999</v>
      </c>
      <c r="CB228" s="483">
        <f t="shared" si="1185"/>
        <v>3.7062762903906252</v>
      </c>
      <c r="CC228" s="228">
        <f t="shared" si="1185"/>
        <v>3.7618704347464851</v>
      </c>
      <c r="CD228" s="228">
        <f t="shared" si="1185"/>
        <v>3.8182984912676821</v>
      </c>
      <c r="CE228" s="229">
        <f t="shared" si="1185"/>
        <v>3.8755729686366971</v>
      </c>
      <c r="CF228" s="483">
        <f t="shared" si="1185"/>
        <v>3.9337065631662469</v>
      </c>
      <c r="CG228" s="228">
        <f>+CG210-CG192</f>
        <v>3.9927121616137411</v>
      </c>
      <c r="CH228" s="228">
        <f t="shared" si="1185"/>
        <v>4.0526028440379465</v>
      </c>
      <c r="CI228" s="229">
        <f t="shared" si="1185"/>
        <v>4.1133918866985164</v>
      </c>
      <c r="CJ228" s="483">
        <f t="shared" si="1185"/>
        <v>4.1750927649989942</v>
      </c>
      <c r="CK228" s="228">
        <f t="shared" si="1185"/>
        <v>4.2377191564739798</v>
      </c>
      <c r="CL228" s="228">
        <f t="shared" si="1185"/>
        <v>4.3012849438210896</v>
      </c>
      <c r="CM228" s="229">
        <f t="shared" ref="CM228" si="1186">+CM210-CM192</f>
        <v>4.3658042179784058</v>
      </c>
      <c r="CN228" s="228">
        <f t="shared" ref="CN228:CQ237" si="1187">+CN210-CN192</f>
        <v>4.4312912812480816</v>
      </c>
      <c r="CO228" s="1252">
        <f t="shared" si="1187"/>
        <v>4.4977606504668017</v>
      </c>
      <c r="CP228" s="228">
        <f t="shared" si="1187"/>
        <v>4.5652270602238048</v>
      </c>
      <c r="CQ228" s="229">
        <f t="shared" si="1187"/>
        <v>4.6337054661271617</v>
      </c>
      <c r="CR228" s="228">
        <f t="shared" ref="CR228:CU228" si="1188">+CR210-CR192</f>
        <v>4.7032110481190692</v>
      </c>
      <c r="CS228" s="228">
        <f t="shared" si="1188"/>
        <v>4.7737592138408562</v>
      </c>
      <c r="CT228" s="228">
        <f t="shared" si="1188"/>
        <v>4.845365602048469</v>
      </c>
      <c r="CU228" s="229">
        <f t="shared" si="1188"/>
        <v>4.9180460860791957</v>
      </c>
      <c r="CV228" s="1330">
        <f t="shared" ref="CV228:CY228" si="1189">+CV210-CV192</f>
        <v>4.991816777370385</v>
      </c>
      <c r="CW228" s="1330">
        <f t="shared" si="1189"/>
        <v>5.0666940290309395</v>
      </c>
      <c r="CX228" s="1330">
        <f t="shared" si="1189"/>
        <v>5.1426944394664034</v>
      </c>
      <c r="CY228" s="1331">
        <f t="shared" si="1189"/>
        <v>5.219834856058398</v>
      </c>
      <c r="CZ228" s="1330">
        <f t="shared" ref="CZ228:DC228" si="1190">+CZ210-CZ192</f>
        <v>5.2981323788992736</v>
      </c>
      <c r="DA228" s="1330">
        <f t="shared" si="1190"/>
        <v>5.3776043645827638</v>
      </c>
      <c r="DB228" s="1330">
        <f t="shared" si="1190"/>
        <v>5.4582684300515041</v>
      </c>
      <c r="DC228" s="1331">
        <f t="shared" si="1190"/>
        <v>5.5401424565022772</v>
      </c>
      <c r="DD228" s="1331"/>
      <c r="DE228" s="483"/>
      <c r="DF228" s="228"/>
      <c r="DG228" s="228"/>
      <c r="DH228" s="228"/>
      <c r="DI228" s="228"/>
      <c r="DJ228" s="228"/>
      <c r="DK228" s="228"/>
      <c r="DL228" s="228"/>
      <c r="DM228" s="228"/>
      <c r="DN228" s="228"/>
      <c r="DO228" s="228"/>
      <c r="DP228" s="228"/>
      <c r="DQ228" s="228"/>
      <c r="DR228" s="228"/>
      <c r="DS228" s="228"/>
      <c r="DT228" s="228"/>
      <c r="DU228" s="1330"/>
      <c r="DV228" s="1330">
        <f t="shared" ref="DV228:DV233" si="1191">+SUM(BT228:BW228)</f>
        <v>3.4543749999999998</v>
      </c>
      <c r="DW228" s="1330">
        <f t="shared" ref="DW228:DW233" si="1192">+SUM(BX228:CA228)</f>
        <v>14.292794359375</v>
      </c>
      <c r="DX228" s="1330">
        <f t="shared" ref="DX228:DX233" si="1193">+SUM(CB228:CE228)</f>
        <v>15.162018185041489</v>
      </c>
      <c r="DY228" s="1330">
        <f t="shared" ref="DY228:DY233" si="1194">+SUM(CF228:CI228)</f>
        <v>16.09241345551645</v>
      </c>
      <c r="DZ228" s="1330">
        <f t="shared" ref="DZ228:DZ243" si="1195">+SUM(CJ228:CM228)</f>
        <v>17.079901083272468</v>
      </c>
      <c r="EA228" s="228">
        <f t="shared" ref="EA228:EA243" si="1196">+SUM(CN228:CQ228)</f>
        <v>18.12798445806585</v>
      </c>
      <c r="EB228" s="1330">
        <f t="shared" ref="EB228:EB237" si="1197">+SUM(CR228:CU228)</f>
        <v>19.240381950087588</v>
      </c>
      <c r="EC228" s="1330">
        <f t="shared" ref="EC228:EC243" si="1198">+SUM(CV228:CY228)</f>
        <v>20.421040101926124</v>
      </c>
      <c r="ED228" s="1331">
        <f t="shared" ref="ED228:ED243" si="1199">+SUM(CZ228:DC228)</f>
        <v>21.674147630035819</v>
      </c>
      <c r="EE228" s="483"/>
      <c r="EF228" s="416"/>
      <c r="EG228" s="416"/>
      <c r="EH228" s="416"/>
      <c r="EI228" s="416"/>
      <c r="EJ228" s="416"/>
      <c r="EK228" s="416"/>
      <c r="EL228" s="416"/>
      <c r="EM228" s="416"/>
      <c r="EN228" s="416"/>
      <c r="EO228" s="416"/>
      <c r="EP228" s="416"/>
      <c r="EQ228" s="416"/>
      <c r="ER228" s="416"/>
      <c r="ES228" s="416"/>
      <c r="ET228" s="416"/>
      <c r="EU228" s="416"/>
      <c r="EV228" s="416"/>
      <c r="EW228" s="416"/>
      <c r="EX228" s="416"/>
      <c r="EY228" s="416"/>
      <c r="EZ228" s="416"/>
      <c r="FA228" s="416"/>
      <c r="FB228" s="416"/>
      <c r="FC228" s="416"/>
      <c r="FD228" s="416"/>
      <c r="FE228" s="228"/>
      <c r="FF228" s="1330"/>
      <c r="FG228" s="1330"/>
      <c r="FH228" s="1330"/>
      <c r="FI228"/>
      <c r="FJ228"/>
      <c r="FK228"/>
      <c r="FL228"/>
      <c r="FM228"/>
      <c r="FN228"/>
      <c r="FO228" s="416"/>
    </row>
    <row r="229" spans="1:171" s="417" customFormat="1" ht="14.25" hidden="1" customHeight="1" outlineLevel="1">
      <c r="A229" s="416"/>
      <c r="B229" s="511" t="s">
        <v>116</v>
      </c>
      <c r="C229" s="228"/>
      <c r="D229" s="228"/>
      <c r="E229" s="228"/>
      <c r="F229" s="228"/>
      <c r="G229" s="228"/>
      <c r="H229" s="228"/>
      <c r="I229" s="228"/>
      <c r="J229" s="228"/>
      <c r="K229" s="228"/>
      <c r="L229" s="228"/>
      <c r="M229" s="228"/>
      <c r="N229" s="228"/>
      <c r="O229" s="228"/>
      <c r="P229" s="228"/>
      <c r="Q229" s="228"/>
      <c r="R229" s="228"/>
      <c r="S229" s="228"/>
      <c r="T229" s="228"/>
      <c r="U229" s="228"/>
      <c r="V229" s="228"/>
      <c r="W229" s="228"/>
      <c r="X229" s="228"/>
      <c r="Y229" s="228"/>
      <c r="Z229" s="228"/>
      <c r="AA229" s="228"/>
      <c r="AB229" s="228"/>
      <c r="AC229" s="228"/>
      <c r="AD229" s="228"/>
      <c r="AE229" s="228"/>
      <c r="AF229" s="228"/>
      <c r="AG229" s="228"/>
      <c r="AH229" s="228"/>
      <c r="AI229" s="228"/>
      <c r="AJ229" s="228"/>
      <c r="AK229" s="228"/>
      <c r="AL229" s="228"/>
      <c r="AM229" s="228"/>
      <c r="AN229" s="228"/>
      <c r="AO229" s="228"/>
      <c r="AP229" s="228"/>
      <c r="AQ229" s="228"/>
      <c r="AR229" s="228"/>
      <c r="AS229" s="228"/>
      <c r="AT229" s="228"/>
      <c r="AU229" s="228"/>
      <c r="AV229" s="228"/>
      <c r="AW229" s="228"/>
      <c r="AX229" s="228"/>
      <c r="AY229" s="228"/>
      <c r="AZ229" s="228"/>
      <c r="BA229" s="228"/>
      <c r="BB229" s="228"/>
      <c r="BC229" s="228"/>
      <c r="BD229" s="228"/>
      <c r="BE229" s="228"/>
      <c r="BF229" s="228"/>
      <c r="BG229" s="228"/>
      <c r="BH229" s="483"/>
      <c r="BI229" s="228"/>
      <c r="BJ229" s="228"/>
      <c r="BK229" s="229"/>
      <c r="BL229" s="228"/>
      <c r="BM229" s="228"/>
      <c r="BN229" s="228"/>
      <c r="BO229" s="228"/>
      <c r="BP229" s="483"/>
      <c r="BQ229" s="228"/>
      <c r="BR229" s="228"/>
      <c r="BS229" s="229"/>
      <c r="BT229" s="483"/>
      <c r="BU229" s="228"/>
      <c r="BV229" s="245"/>
      <c r="BW229" s="229">
        <f t="shared" ref="BW229:CL229" si="1200">+BW211-BW193</f>
        <v>2.1386250000000002</v>
      </c>
      <c r="BX229" s="483">
        <f t="shared" si="1200"/>
        <v>2.1701249999999996</v>
      </c>
      <c r="BY229" s="228">
        <f t="shared" si="1200"/>
        <v>2.2016249999999999</v>
      </c>
      <c r="BZ229" s="228">
        <f t="shared" si="1200"/>
        <v>2.2363005937499993</v>
      </c>
      <c r="CA229" s="229">
        <f t="shared" si="1200"/>
        <v>2.271522328101562</v>
      </c>
      <c r="CB229" s="483">
        <f t="shared" si="1200"/>
        <v>2.3072988047691618</v>
      </c>
      <c r="CC229" s="228">
        <f t="shared" si="1200"/>
        <v>2.3436387609442768</v>
      </c>
      <c r="CD229" s="228">
        <f t="shared" si="1200"/>
        <v>2.3805510714291485</v>
      </c>
      <c r="CE229" s="229">
        <f t="shared" si="1200"/>
        <v>2.4180447508041576</v>
      </c>
      <c r="CF229" s="483">
        <f t="shared" si="1200"/>
        <v>2.4561289556293229</v>
      </c>
      <c r="CG229" s="228">
        <f t="shared" si="1200"/>
        <v>2.4948129866804845</v>
      </c>
      <c r="CH229" s="228">
        <f t="shared" si="1200"/>
        <v>2.5341062912207022</v>
      </c>
      <c r="CI229" s="229">
        <f t="shared" si="1200"/>
        <v>2.5740184653074278</v>
      </c>
      <c r="CJ229" s="483">
        <f t="shared" si="1200"/>
        <v>2.6145592561360198</v>
      </c>
      <c r="CK229" s="228">
        <f t="shared" si="1200"/>
        <v>2.6557385644201625</v>
      </c>
      <c r="CL229" s="228">
        <f t="shared" si="1200"/>
        <v>2.6975664468097804</v>
      </c>
      <c r="CM229" s="229">
        <f t="shared" ref="CM229" si="1201">+CM211-CM193</f>
        <v>2.740053118347034</v>
      </c>
      <c r="CN229" s="228">
        <f t="shared" ref="CN229:CQ229" si="1202">+CN211-CN193</f>
        <v>2.7832089549610002</v>
      </c>
      <c r="CO229" s="1252">
        <f t="shared" si="1187"/>
        <v>2.8270444960016361</v>
      </c>
      <c r="CP229" s="228">
        <f t="shared" si="1202"/>
        <v>2.8715704468136618</v>
      </c>
      <c r="CQ229" s="229">
        <f t="shared" si="1202"/>
        <v>2.9167976813509773</v>
      </c>
      <c r="CR229" s="228">
        <f t="shared" ref="CR229:CU229" si="1203">+CR211-CR193</f>
        <v>2.9627372448322555</v>
      </c>
      <c r="CS229" s="228">
        <f t="shared" si="1203"/>
        <v>3.0094003564383636</v>
      </c>
      <c r="CT229" s="228">
        <f t="shared" si="1203"/>
        <v>3.0567984120522684</v>
      </c>
      <c r="CU229" s="229">
        <f t="shared" si="1203"/>
        <v>3.1049429870420919</v>
      </c>
      <c r="CV229" s="1330">
        <f t="shared" ref="CV229:CY229" si="1204">+CV211-CV193</f>
        <v>3.1538458390880049</v>
      </c>
      <c r="CW229" s="1330">
        <f t="shared" si="1204"/>
        <v>3.2035189110536404</v>
      </c>
      <c r="CX229" s="1330">
        <f t="shared" si="1204"/>
        <v>3.2539743339027352</v>
      </c>
      <c r="CY229" s="1331">
        <f t="shared" si="1204"/>
        <v>3.3052244296617035</v>
      </c>
      <c r="CZ229" s="1330">
        <f t="shared" ref="CZ229:DC229" si="1205">+CZ211-CZ193</f>
        <v>3.3572817144288756</v>
      </c>
      <c r="DA229" s="1330">
        <f t="shared" si="1205"/>
        <v>3.4101589014311307</v>
      </c>
      <c r="DB229" s="1330">
        <f t="shared" si="1205"/>
        <v>3.4638689041286712</v>
      </c>
      <c r="DC229" s="1331">
        <f t="shared" si="1205"/>
        <v>3.5184248393686977</v>
      </c>
      <c r="DD229" s="1331"/>
      <c r="DE229" s="483"/>
      <c r="DF229" s="228"/>
      <c r="DG229" s="228"/>
      <c r="DH229" s="228"/>
      <c r="DI229" s="228"/>
      <c r="DJ229" s="228"/>
      <c r="DK229" s="228"/>
      <c r="DL229" s="228"/>
      <c r="DM229" s="228"/>
      <c r="DN229" s="228"/>
      <c r="DO229" s="228"/>
      <c r="DP229" s="228"/>
      <c r="DQ229" s="228"/>
      <c r="DR229" s="228"/>
      <c r="DS229" s="228"/>
      <c r="DT229" s="228"/>
      <c r="DU229" s="1330"/>
      <c r="DV229" s="1330">
        <f t="shared" si="1191"/>
        <v>2.1386250000000002</v>
      </c>
      <c r="DW229" s="1330">
        <f t="shared" si="1192"/>
        <v>8.8795729218515618</v>
      </c>
      <c r="DX229" s="1330">
        <f t="shared" si="1193"/>
        <v>9.4495333879467438</v>
      </c>
      <c r="DY229" s="1330">
        <f t="shared" si="1194"/>
        <v>10.059066698837938</v>
      </c>
      <c r="DZ229" s="1330">
        <f t="shared" si="1195"/>
        <v>10.707917385712996</v>
      </c>
      <c r="EA229" s="228">
        <f t="shared" si="1196"/>
        <v>11.398621579127276</v>
      </c>
      <c r="EB229" s="1330">
        <f t="shared" si="1197"/>
        <v>12.133879000364979</v>
      </c>
      <c r="EC229" s="1330">
        <f t="shared" si="1198"/>
        <v>12.916563513706084</v>
      </c>
      <c r="ED229" s="1331">
        <f t="shared" si="1199"/>
        <v>13.749734359357376</v>
      </c>
      <c r="EE229" s="483"/>
      <c r="EF229" s="416"/>
      <c r="EG229" s="416"/>
      <c r="EH229" s="416"/>
      <c r="EI229" s="416"/>
      <c r="EJ229" s="416"/>
      <c r="EK229" s="416"/>
      <c r="EL229" s="416"/>
      <c r="EM229" s="416"/>
      <c r="EN229" s="416"/>
      <c r="EO229" s="416"/>
      <c r="EP229" s="416"/>
      <c r="EQ229" s="416"/>
      <c r="ER229" s="416"/>
      <c r="ES229" s="416"/>
      <c r="ET229" s="416"/>
      <c r="EU229" s="416"/>
      <c r="EV229" s="416"/>
      <c r="EW229" s="416"/>
      <c r="EX229" s="416"/>
      <c r="EY229" s="416"/>
      <c r="EZ229" s="416"/>
      <c r="FA229" s="416"/>
      <c r="FB229" s="416"/>
      <c r="FC229" s="416"/>
      <c r="FD229" s="416"/>
      <c r="FE229" s="228"/>
      <c r="FF229" s="1330"/>
      <c r="FG229" s="1330"/>
      <c r="FH229" s="1330"/>
      <c r="FI229"/>
      <c r="FJ229"/>
      <c r="FK229"/>
      <c r="FL229"/>
      <c r="FM229"/>
      <c r="FN229"/>
      <c r="FO229" s="416"/>
    </row>
    <row r="230" spans="1:171" s="417" customFormat="1" ht="14.25" hidden="1" customHeight="1" outlineLevel="1">
      <c r="A230" s="416"/>
      <c r="B230" s="511" t="s">
        <v>117</v>
      </c>
      <c r="C230" s="228"/>
      <c r="D230" s="228"/>
      <c r="E230" s="228"/>
      <c r="F230" s="228"/>
      <c r="G230" s="228"/>
      <c r="H230" s="228"/>
      <c r="I230" s="228"/>
      <c r="J230" s="228"/>
      <c r="K230" s="228"/>
      <c r="L230" s="228"/>
      <c r="M230" s="228"/>
      <c r="N230" s="228"/>
      <c r="O230" s="228"/>
      <c r="P230" s="228"/>
      <c r="Q230" s="228"/>
      <c r="R230" s="228"/>
      <c r="S230" s="228"/>
      <c r="T230" s="228"/>
      <c r="U230" s="228"/>
      <c r="V230" s="228"/>
      <c r="W230" s="228"/>
      <c r="X230" s="228"/>
      <c r="Y230" s="228"/>
      <c r="Z230" s="228"/>
      <c r="AA230" s="228"/>
      <c r="AB230" s="228"/>
      <c r="AC230" s="228"/>
      <c r="AD230" s="228"/>
      <c r="AE230" s="228"/>
      <c r="AF230" s="228"/>
      <c r="AG230" s="228"/>
      <c r="AH230" s="228"/>
      <c r="AI230" s="228"/>
      <c r="AJ230" s="228"/>
      <c r="AK230" s="228"/>
      <c r="AL230" s="228"/>
      <c r="AM230" s="228"/>
      <c r="AN230" s="228"/>
      <c r="AO230" s="228"/>
      <c r="AP230" s="228"/>
      <c r="AQ230" s="228"/>
      <c r="AR230" s="228"/>
      <c r="AS230" s="228"/>
      <c r="AT230" s="228"/>
      <c r="AU230" s="228"/>
      <c r="AV230" s="228"/>
      <c r="AW230" s="228"/>
      <c r="AX230" s="228"/>
      <c r="AY230" s="228"/>
      <c r="AZ230" s="228"/>
      <c r="BA230" s="228"/>
      <c r="BB230" s="228"/>
      <c r="BC230" s="228"/>
      <c r="BD230" s="228"/>
      <c r="BE230" s="228"/>
      <c r="BF230" s="228"/>
      <c r="BG230" s="228"/>
      <c r="BH230" s="483"/>
      <c r="BI230" s="228"/>
      <c r="BJ230" s="228"/>
      <c r="BK230" s="229"/>
      <c r="BL230" s="228"/>
      <c r="BM230" s="228"/>
      <c r="BN230" s="228"/>
      <c r="BO230" s="228"/>
      <c r="BP230" s="483"/>
      <c r="BQ230" s="228"/>
      <c r="BR230" s="228"/>
      <c r="BS230" s="229"/>
      <c r="BT230" s="483"/>
      <c r="BU230" s="228"/>
      <c r="BV230" s="228">
        <f>+BV212-BV194</f>
        <v>2.9312500000000004</v>
      </c>
      <c r="BW230" s="229">
        <f t="shared" ref="BW230:CL230" si="1206">+BW212-BW194</f>
        <v>2.9799999999999995</v>
      </c>
      <c r="BX230" s="483">
        <f t="shared" si="1206"/>
        <v>3.0125000000000002</v>
      </c>
      <c r="BY230" s="228">
        <f t="shared" si="1206"/>
        <v>3.0612500000000002</v>
      </c>
      <c r="BZ230" s="228">
        <f t="shared" si="1206"/>
        <v>3.1109953124999992</v>
      </c>
      <c r="CA230" s="229">
        <f t="shared" si="1206"/>
        <v>3.1615489863281248</v>
      </c>
      <c r="CB230" s="483">
        <f t="shared" si="1206"/>
        <v>3.2129241573559559</v>
      </c>
      <c r="CC230" s="228">
        <f t="shared" si="1206"/>
        <v>3.2651341749129905</v>
      </c>
      <c r="CD230" s="228">
        <f t="shared" si="1206"/>
        <v>3.3181926052553266</v>
      </c>
      <c r="CE230" s="229">
        <f t="shared" si="1206"/>
        <v>3.3721132350907252</v>
      </c>
      <c r="CF230" s="483">
        <f t="shared" si="1206"/>
        <v>4.72066007516095</v>
      </c>
      <c r="CG230" s="228">
        <f t="shared" si="1206"/>
        <v>0</v>
      </c>
      <c r="CH230" s="228">
        <f t="shared" si="1206"/>
        <v>0</v>
      </c>
      <c r="CI230" s="229">
        <f t="shared" si="1206"/>
        <v>0</v>
      </c>
      <c r="CJ230" s="483">
        <f t="shared" si="1206"/>
        <v>0</v>
      </c>
      <c r="CK230" s="228">
        <f t="shared" si="1206"/>
        <v>0</v>
      </c>
      <c r="CL230" s="228">
        <f t="shared" si="1206"/>
        <v>0</v>
      </c>
      <c r="CM230" s="229">
        <f t="shared" ref="CM230" si="1207">+CM212-CM194</f>
        <v>0</v>
      </c>
      <c r="CN230" s="228">
        <f t="shared" ref="CN230:CQ230" si="1208">+CN212-CN194</f>
        <v>0</v>
      </c>
      <c r="CO230" s="1252">
        <f t="shared" si="1187"/>
        <v>0</v>
      </c>
      <c r="CP230" s="228">
        <f t="shared" si="1208"/>
        <v>0</v>
      </c>
      <c r="CQ230" s="229">
        <f t="shared" si="1208"/>
        <v>0</v>
      </c>
      <c r="CR230" s="228">
        <f t="shared" ref="CR230:CU230" si="1209">+CR212-CR194</f>
        <v>0</v>
      </c>
      <c r="CS230" s="228">
        <f t="shared" si="1209"/>
        <v>0</v>
      </c>
      <c r="CT230" s="228">
        <f t="shared" si="1209"/>
        <v>0</v>
      </c>
      <c r="CU230" s="229">
        <f t="shared" si="1209"/>
        <v>0</v>
      </c>
      <c r="CV230" s="1330">
        <f t="shared" ref="CV230:CY230" si="1210">+CV212-CV194</f>
        <v>0</v>
      </c>
      <c r="CW230" s="1330">
        <f t="shared" si="1210"/>
        <v>0</v>
      </c>
      <c r="CX230" s="1330">
        <f t="shared" si="1210"/>
        <v>0</v>
      </c>
      <c r="CY230" s="1331">
        <f t="shared" si="1210"/>
        <v>0</v>
      </c>
      <c r="CZ230" s="1330">
        <f t="shared" ref="CZ230:DC230" si="1211">+CZ212-CZ194</f>
        <v>0</v>
      </c>
      <c r="DA230" s="1330">
        <f t="shared" si="1211"/>
        <v>0</v>
      </c>
      <c r="DB230" s="1330">
        <f t="shared" si="1211"/>
        <v>0</v>
      </c>
      <c r="DC230" s="1331">
        <f t="shared" si="1211"/>
        <v>0</v>
      </c>
      <c r="DD230" s="1331"/>
      <c r="DE230" s="483"/>
      <c r="DF230" s="228"/>
      <c r="DG230" s="228"/>
      <c r="DH230" s="228"/>
      <c r="DI230" s="228"/>
      <c r="DJ230" s="228"/>
      <c r="DK230" s="228"/>
      <c r="DL230" s="228"/>
      <c r="DM230" s="228"/>
      <c r="DN230" s="228"/>
      <c r="DO230" s="228"/>
      <c r="DP230" s="228"/>
      <c r="DQ230" s="228"/>
      <c r="DR230" s="228"/>
      <c r="DS230" s="228"/>
      <c r="DT230" s="228"/>
      <c r="DU230" s="1330"/>
      <c r="DV230" s="1330">
        <f t="shared" si="1191"/>
        <v>5.9112499999999999</v>
      </c>
      <c r="DW230" s="1330">
        <f t="shared" si="1192"/>
        <v>12.346294298828123</v>
      </c>
      <c r="DX230" s="1330">
        <f t="shared" si="1193"/>
        <v>13.168364172615</v>
      </c>
      <c r="DY230" s="1330">
        <f t="shared" si="1194"/>
        <v>4.72066007516095</v>
      </c>
      <c r="DZ230" s="1330">
        <f t="shared" si="1195"/>
        <v>0</v>
      </c>
      <c r="EA230" s="228">
        <f t="shared" si="1196"/>
        <v>0</v>
      </c>
      <c r="EB230" s="1330">
        <f t="shared" si="1197"/>
        <v>0</v>
      </c>
      <c r="EC230" s="1330">
        <f t="shared" si="1198"/>
        <v>0</v>
      </c>
      <c r="ED230" s="1331">
        <f t="shared" si="1199"/>
        <v>0</v>
      </c>
      <c r="EE230" s="483"/>
      <c r="EF230" s="416"/>
      <c r="EG230" s="416"/>
      <c r="EH230" s="416"/>
      <c r="EI230" s="416"/>
      <c r="EJ230" s="416"/>
      <c r="EK230" s="416"/>
      <c r="EL230" s="416"/>
      <c r="EM230" s="416"/>
      <c r="EN230" s="416"/>
      <c r="EO230" s="416"/>
      <c r="EP230" s="416"/>
      <c r="EQ230" s="416"/>
      <c r="ER230" s="416"/>
      <c r="ES230" s="416"/>
      <c r="ET230" s="416"/>
      <c r="EU230" s="416"/>
      <c r="EV230" s="416"/>
      <c r="EW230" s="416"/>
      <c r="EX230" s="416"/>
      <c r="EY230" s="416"/>
      <c r="EZ230" s="416"/>
      <c r="FA230" s="416"/>
      <c r="FB230" s="416"/>
      <c r="FC230" s="416"/>
      <c r="FD230" s="416"/>
      <c r="FE230" s="228"/>
      <c r="FF230" s="1330"/>
      <c r="FG230" s="1330"/>
      <c r="FH230" s="1330"/>
      <c r="FI230"/>
      <c r="FJ230"/>
      <c r="FK230"/>
      <c r="FL230"/>
      <c r="FM230"/>
      <c r="FN230"/>
      <c r="FO230" s="416"/>
    </row>
    <row r="231" spans="1:171" s="417" customFormat="1" ht="14.25" hidden="1" customHeight="1" outlineLevel="1">
      <c r="A231" s="416"/>
      <c r="B231" s="511" t="s">
        <v>118</v>
      </c>
      <c r="C231" s="228"/>
      <c r="D231" s="228"/>
      <c r="E231" s="228"/>
      <c r="F231" s="228"/>
      <c r="G231" s="228"/>
      <c r="H231" s="228"/>
      <c r="I231" s="228"/>
      <c r="J231" s="228"/>
      <c r="K231" s="228"/>
      <c r="L231" s="228"/>
      <c r="M231" s="228"/>
      <c r="N231" s="228"/>
      <c r="O231" s="228"/>
      <c r="P231" s="228"/>
      <c r="Q231" s="228"/>
      <c r="R231" s="228"/>
      <c r="S231" s="228"/>
      <c r="T231" s="228"/>
      <c r="U231" s="228"/>
      <c r="V231" s="228"/>
      <c r="W231" s="228"/>
      <c r="X231" s="228"/>
      <c r="Y231" s="228"/>
      <c r="Z231" s="228"/>
      <c r="AA231" s="228"/>
      <c r="AB231" s="228"/>
      <c r="AC231" s="228"/>
      <c r="AD231" s="228"/>
      <c r="AE231" s="228"/>
      <c r="AF231" s="228"/>
      <c r="AG231" s="228"/>
      <c r="AH231" s="228"/>
      <c r="AI231" s="228"/>
      <c r="AJ231" s="228"/>
      <c r="AK231" s="228"/>
      <c r="AL231" s="228"/>
      <c r="AM231" s="228"/>
      <c r="AN231" s="228"/>
      <c r="AO231" s="228"/>
      <c r="AP231" s="228"/>
      <c r="AQ231" s="228"/>
      <c r="AR231" s="228"/>
      <c r="AS231" s="228"/>
      <c r="AT231" s="228"/>
      <c r="AU231" s="228"/>
      <c r="AV231" s="228"/>
      <c r="AW231" s="228"/>
      <c r="AX231" s="228"/>
      <c r="AY231" s="228"/>
      <c r="AZ231" s="228"/>
      <c r="BA231" s="228"/>
      <c r="BB231" s="228"/>
      <c r="BC231" s="228"/>
      <c r="BD231" s="228"/>
      <c r="BE231" s="228"/>
      <c r="BF231" s="228"/>
      <c r="BG231" s="228"/>
      <c r="BH231" s="483"/>
      <c r="BI231" s="228"/>
      <c r="BJ231" s="228"/>
      <c r="BK231" s="229"/>
      <c r="BL231" s="228"/>
      <c r="BM231" s="228"/>
      <c r="BN231" s="228"/>
      <c r="BO231" s="228"/>
      <c r="BP231" s="483"/>
      <c r="BQ231" s="228"/>
      <c r="BR231" s="228"/>
      <c r="BS231" s="229"/>
      <c r="BT231" s="483"/>
      <c r="BU231" s="228"/>
      <c r="BV231" s="228">
        <f>+BV213-BV195</f>
        <v>2.5653125000000001</v>
      </c>
      <c r="BW231" s="229">
        <f t="shared" ref="BW231:CL231" si="1212">+BW213-BW195</f>
        <v>2.6003125000000002</v>
      </c>
      <c r="BX231" s="483">
        <f t="shared" si="1212"/>
        <v>2.6353125000000004</v>
      </c>
      <c r="BY231" s="228">
        <f t="shared" si="1212"/>
        <v>2.6878125000000006</v>
      </c>
      <c r="BZ231" s="228">
        <f t="shared" si="1212"/>
        <v>2.7348492187500009</v>
      </c>
      <c r="CA231" s="229">
        <f t="shared" si="1212"/>
        <v>2.782709080078126</v>
      </c>
      <c r="CB231" s="483">
        <f t="shared" si="1212"/>
        <v>2.8314064889794928</v>
      </c>
      <c r="CC231" s="228">
        <f t="shared" si="1212"/>
        <v>2.8809561025366337</v>
      </c>
      <c r="CD231" s="228">
        <f t="shared" si="1212"/>
        <v>2.9313728343310252</v>
      </c>
      <c r="CE231" s="229">
        <f t="shared" si="1212"/>
        <v>2.982671858931818</v>
      </c>
      <c r="CF231" s="483">
        <f t="shared" si="1212"/>
        <v>3.0348686164631244</v>
      </c>
      <c r="CG231" s="228">
        <f t="shared" si="1212"/>
        <v>3.0879788172512299</v>
      </c>
      <c r="CH231" s="228">
        <f t="shared" si="1212"/>
        <v>3.1420184465531262</v>
      </c>
      <c r="CI231" s="229">
        <f t="shared" si="1212"/>
        <v>3.1970037693678064</v>
      </c>
      <c r="CJ231" s="483">
        <f t="shared" si="1212"/>
        <v>3.2529513353317432</v>
      </c>
      <c r="CK231" s="228">
        <f t="shared" si="1212"/>
        <v>3.3098779837000478</v>
      </c>
      <c r="CL231" s="228">
        <f t="shared" si="1212"/>
        <v>3.3678008484147997</v>
      </c>
      <c r="CM231" s="229">
        <f t="shared" ref="CM231" si="1213">+CM213-CM195</f>
        <v>3.4267373632620579</v>
      </c>
      <c r="CN231" s="228">
        <f t="shared" ref="CN231:CQ231" si="1214">+CN213-CN195</f>
        <v>3.4867052671191443</v>
      </c>
      <c r="CO231" s="1252">
        <f t="shared" si="1187"/>
        <v>3.5477226092937295</v>
      </c>
      <c r="CP231" s="228">
        <f t="shared" si="1214"/>
        <v>3.6098077549563694</v>
      </c>
      <c r="CQ231" s="229">
        <f t="shared" si="1214"/>
        <v>3.6729793906681056</v>
      </c>
      <c r="CR231" s="228">
        <f t="shared" ref="CR231:CU231" si="1215">+CR213-CR195</f>
        <v>3.7372565300047977</v>
      </c>
      <c r="CS231" s="228">
        <f t="shared" si="1215"/>
        <v>3.8026585192798814</v>
      </c>
      <c r="CT231" s="228">
        <f t="shared" si="1215"/>
        <v>3.8692050433672796</v>
      </c>
      <c r="CU231" s="229">
        <f t="shared" si="1215"/>
        <v>3.9369161316262069</v>
      </c>
      <c r="CV231" s="1330">
        <f t="shared" ref="CV231:CY231" si="1216">+CV213-CV195</f>
        <v>4.005812163929666</v>
      </c>
      <c r="CW231" s="1330">
        <f t="shared" si="1216"/>
        <v>4.0759138767984346</v>
      </c>
      <c r="CX231" s="1330">
        <f t="shared" si="1216"/>
        <v>4.1472423696424068</v>
      </c>
      <c r="CY231" s="1331">
        <f t="shared" si="1216"/>
        <v>4.2198191111111498</v>
      </c>
      <c r="CZ231" s="1330">
        <f t="shared" ref="CZ231:DC231" si="1217">+CZ213-CZ195</f>
        <v>4.2936659455555937</v>
      </c>
      <c r="DA231" s="1330">
        <f t="shared" si="1217"/>
        <v>4.3688050996028167</v>
      </c>
      <c r="DB231" s="1330">
        <f t="shared" si="1217"/>
        <v>4.4452591888458661</v>
      </c>
      <c r="DC231" s="1331">
        <f t="shared" si="1217"/>
        <v>4.5230512246506684</v>
      </c>
      <c r="DD231" s="1331"/>
      <c r="DE231" s="483"/>
      <c r="DF231" s="228"/>
      <c r="DG231" s="228"/>
      <c r="DH231" s="228"/>
      <c r="DI231" s="228"/>
      <c r="DJ231" s="228"/>
      <c r="DK231" s="228"/>
      <c r="DL231" s="228"/>
      <c r="DM231" s="228"/>
      <c r="DN231" s="228"/>
      <c r="DO231" s="228"/>
      <c r="DP231" s="228"/>
      <c r="DQ231" s="228"/>
      <c r="DR231" s="228"/>
      <c r="DS231" s="228"/>
      <c r="DT231" s="228"/>
      <c r="DU231" s="1330"/>
      <c r="DV231" s="1330">
        <f t="shared" si="1191"/>
        <v>5.1656250000000004</v>
      </c>
      <c r="DW231" s="1330">
        <f t="shared" si="1192"/>
        <v>10.840683298828127</v>
      </c>
      <c r="DX231" s="1330">
        <f t="shared" si="1193"/>
        <v>11.626407284778969</v>
      </c>
      <c r="DY231" s="1330">
        <f t="shared" si="1194"/>
        <v>12.461869649635286</v>
      </c>
      <c r="DZ231" s="1330">
        <f t="shared" si="1195"/>
        <v>13.357367530708649</v>
      </c>
      <c r="EA231" s="228">
        <f t="shared" si="1196"/>
        <v>14.317215022037349</v>
      </c>
      <c r="EB231" s="1330">
        <f t="shared" si="1197"/>
        <v>15.346036224278166</v>
      </c>
      <c r="EC231" s="1330">
        <f t="shared" si="1198"/>
        <v>16.448787521481655</v>
      </c>
      <c r="ED231" s="1331">
        <f t="shared" si="1199"/>
        <v>17.630781458654944</v>
      </c>
      <c r="EE231" s="483"/>
      <c r="EF231" s="416"/>
      <c r="EG231" s="416"/>
      <c r="EH231" s="416"/>
      <c r="EI231" s="416"/>
      <c r="EJ231" s="416"/>
      <c r="EK231" s="416"/>
      <c r="EL231" s="416"/>
      <c r="EM231" s="416"/>
      <c r="EN231" s="416"/>
      <c r="EO231" s="416"/>
      <c r="EP231" s="416"/>
      <c r="EQ231" s="416"/>
      <c r="ER231" s="416"/>
      <c r="ES231" s="416"/>
      <c r="ET231" s="416"/>
      <c r="EU231" s="416"/>
      <c r="EV231" s="416"/>
      <c r="EW231" s="416"/>
      <c r="EX231" s="416"/>
      <c r="EY231" s="416"/>
      <c r="EZ231" s="416"/>
      <c r="FA231" s="416"/>
      <c r="FB231" s="416"/>
      <c r="FC231" s="416"/>
      <c r="FD231" s="416"/>
      <c r="FE231" s="228"/>
      <c r="FF231" s="1330"/>
      <c r="FG231" s="1330"/>
      <c r="FH231" s="1330"/>
      <c r="FI231"/>
      <c r="FJ231"/>
      <c r="FK231"/>
      <c r="FL231"/>
      <c r="FM231"/>
      <c r="FN231"/>
      <c r="FO231" s="416"/>
    </row>
    <row r="232" spans="1:171" s="417" customFormat="1" ht="14.25" hidden="1" customHeight="1" outlineLevel="1">
      <c r="A232" s="416"/>
      <c r="B232" s="511" t="s">
        <v>119</v>
      </c>
      <c r="C232" s="228"/>
      <c r="D232" s="228"/>
      <c r="E232" s="228"/>
      <c r="F232" s="228"/>
      <c r="G232" s="228"/>
      <c r="H232" s="228"/>
      <c r="I232" s="228"/>
      <c r="J232" s="228"/>
      <c r="K232" s="228"/>
      <c r="L232" s="228"/>
      <c r="M232" s="228"/>
      <c r="N232" s="228"/>
      <c r="O232" s="228"/>
      <c r="P232" s="228"/>
      <c r="Q232" s="228"/>
      <c r="R232" s="228"/>
      <c r="S232" s="228"/>
      <c r="T232" s="228"/>
      <c r="U232" s="228"/>
      <c r="V232" s="228"/>
      <c r="W232" s="228"/>
      <c r="X232" s="228"/>
      <c r="Y232" s="228"/>
      <c r="Z232" s="228"/>
      <c r="AA232" s="228"/>
      <c r="AB232" s="228"/>
      <c r="AC232" s="228"/>
      <c r="AD232" s="228"/>
      <c r="AE232" s="228"/>
      <c r="AF232" s="228"/>
      <c r="AG232" s="228"/>
      <c r="AH232" s="228"/>
      <c r="AI232" s="228"/>
      <c r="AJ232" s="228"/>
      <c r="AK232" s="228"/>
      <c r="AL232" s="228"/>
      <c r="AM232" s="228"/>
      <c r="AN232" s="228"/>
      <c r="AO232" s="228"/>
      <c r="AP232" s="228"/>
      <c r="AQ232" s="228"/>
      <c r="AR232" s="228"/>
      <c r="AS232" s="228"/>
      <c r="AT232" s="228"/>
      <c r="AU232" s="228"/>
      <c r="AV232" s="228"/>
      <c r="AW232" s="228"/>
      <c r="AX232" s="228"/>
      <c r="AY232" s="228"/>
      <c r="AZ232" s="228"/>
      <c r="BA232" s="228"/>
      <c r="BB232" s="228"/>
      <c r="BC232" s="228"/>
      <c r="BD232" s="228"/>
      <c r="BE232" s="228"/>
      <c r="BF232" s="228"/>
      <c r="BG232" s="228"/>
      <c r="BH232" s="483"/>
      <c r="BI232" s="228"/>
      <c r="BJ232" s="228"/>
      <c r="BK232" s="229"/>
      <c r="BL232" s="228"/>
      <c r="BM232" s="228"/>
      <c r="BN232" s="228"/>
      <c r="BO232" s="228"/>
      <c r="BP232" s="483"/>
      <c r="BQ232" s="228"/>
      <c r="BR232" s="228"/>
      <c r="BS232" s="229"/>
      <c r="BT232" s="483"/>
      <c r="BU232" s="228"/>
      <c r="BV232" s="228">
        <f>+BV214-BV196</f>
        <v>1.5601875000000001</v>
      </c>
      <c r="BW232" s="229">
        <f t="shared" ref="BW232:CL232" si="1218">+BW214-BW196</f>
        <v>1.5774375000000003</v>
      </c>
      <c r="BX232" s="483">
        <f t="shared" si="1218"/>
        <v>1.6119375000000002</v>
      </c>
      <c r="BY232" s="228">
        <f t="shared" si="1218"/>
        <v>1.6291875</v>
      </c>
      <c r="BZ232" s="228">
        <f t="shared" si="1218"/>
        <v>1.6572909843750003</v>
      </c>
      <c r="CA232" s="229">
        <f t="shared" si="1218"/>
        <v>1.685879253855469</v>
      </c>
      <c r="CB232" s="483">
        <f t="shared" si="1218"/>
        <v>1.714960670984476</v>
      </c>
      <c r="CC232" s="228">
        <f t="shared" si="1218"/>
        <v>1.7445437425589581</v>
      </c>
      <c r="CD232" s="228">
        <f t="shared" si="1218"/>
        <v>1.7746371221181003</v>
      </c>
      <c r="CE232" s="229">
        <f t="shared" si="1218"/>
        <v>1.8052496124746376</v>
      </c>
      <c r="CF232" s="483">
        <f t="shared" si="1218"/>
        <v>1.8363901682898245</v>
      </c>
      <c r="CG232" s="228">
        <f t="shared" si="1218"/>
        <v>1.8680678986928241</v>
      </c>
      <c r="CH232" s="228">
        <f t="shared" si="1218"/>
        <v>1.9002920699452752</v>
      </c>
      <c r="CI232" s="229">
        <f t="shared" si="1218"/>
        <v>1.9330721081518312</v>
      </c>
      <c r="CJ232" s="483">
        <f t="shared" si="1218"/>
        <v>1.9664176020174504</v>
      </c>
      <c r="CK232" s="228">
        <f t="shared" si="1218"/>
        <v>2.0003383056522517</v>
      </c>
      <c r="CL232" s="228">
        <f t="shared" si="1218"/>
        <v>2.0348441414247529</v>
      </c>
      <c r="CM232" s="229">
        <f t="shared" ref="CM232" si="1219">+CM214-CM196</f>
        <v>2.0699452028643299</v>
      </c>
      <c r="CN232" s="228">
        <f t="shared" ref="CN232:CQ232" si="1220">+CN214-CN196</f>
        <v>2.1056517576137392</v>
      </c>
      <c r="CO232" s="1252">
        <f t="shared" si="1187"/>
        <v>2.1419742504325763</v>
      </c>
      <c r="CP232" s="228">
        <f t="shared" si="1220"/>
        <v>2.1789233062525386</v>
      </c>
      <c r="CQ232" s="229">
        <f t="shared" si="1220"/>
        <v>2.2165097332853945</v>
      </c>
      <c r="CR232" s="228">
        <f t="shared" ref="CR232:CU232" si="1221">+CR214-CR196</f>
        <v>2.2547445261845676</v>
      </c>
      <c r="CS232" s="228">
        <f t="shared" si="1221"/>
        <v>2.2936388692612515</v>
      </c>
      <c r="CT232" s="228">
        <f t="shared" si="1221"/>
        <v>2.3332041397560079</v>
      </c>
      <c r="CU232" s="229">
        <f t="shared" si="1221"/>
        <v>2.3734519111667995</v>
      </c>
      <c r="CV232" s="1330">
        <f t="shared" ref="CV232:CY232" si="1222">+CV214-CV196</f>
        <v>2.4143939566344268</v>
      </c>
      <c r="CW232" s="1330">
        <f t="shared" si="1222"/>
        <v>2.4560422523863705</v>
      </c>
      <c r="CX232" s="1330">
        <f t="shared" si="1222"/>
        <v>2.4984089812400354</v>
      </c>
      <c r="CY232" s="1331">
        <f t="shared" si="1222"/>
        <v>2.541506536166426</v>
      </c>
      <c r="CZ232" s="1330">
        <f t="shared" ref="CZ232:DC232" si="1223">+CZ214-CZ196</f>
        <v>2.585347523915297</v>
      </c>
      <c r="DA232" s="1330">
        <f t="shared" si="1223"/>
        <v>2.6299447687028357</v>
      </c>
      <c r="DB232" s="1330">
        <f t="shared" si="1223"/>
        <v>2.6753113159629596</v>
      </c>
      <c r="DC232" s="1331">
        <f t="shared" si="1223"/>
        <v>2.721460436163321</v>
      </c>
      <c r="DD232" s="1331"/>
      <c r="DE232" s="483"/>
      <c r="DF232" s="228"/>
      <c r="DG232" s="228"/>
      <c r="DH232" s="228"/>
      <c r="DI232" s="228"/>
      <c r="DJ232" s="228"/>
      <c r="DK232" s="228"/>
      <c r="DL232" s="228"/>
      <c r="DM232" s="228"/>
      <c r="DN232" s="228"/>
      <c r="DO232" s="228"/>
      <c r="DP232" s="228"/>
      <c r="DQ232" s="228"/>
      <c r="DR232" s="228"/>
      <c r="DS232" s="228"/>
      <c r="DT232" s="228"/>
      <c r="DU232" s="1330"/>
      <c r="DV232" s="1330">
        <f t="shared" si="1191"/>
        <v>3.1376250000000003</v>
      </c>
      <c r="DW232" s="1330">
        <f t="shared" si="1192"/>
        <v>6.58429523823047</v>
      </c>
      <c r="DX232" s="1330">
        <f t="shared" si="1193"/>
        <v>7.0393911481361719</v>
      </c>
      <c r="DY232" s="1330">
        <f t="shared" si="1194"/>
        <v>7.5378222450797558</v>
      </c>
      <c r="DZ232" s="1330">
        <f t="shared" si="1195"/>
        <v>8.0715452519587849</v>
      </c>
      <c r="EA232" s="228">
        <f t="shared" si="1196"/>
        <v>8.6430590475842486</v>
      </c>
      <c r="EB232" s="1330">
        <f t="shared" si="1197"/>
        <v>9.2550394463686274</v>
      </c>
      <c r="EC232" s="1330">
        <f t="shared" si="1198"/>
        <v>9.9103517264272583</v>
      </c>
      <c r="ED232" s="1331">
        <f t="shared" si="1199"/>
        <v>10.612064044744413</v>
      </c>
      <c r="EE232" s="483"/>
      <c r="EF232" s="416"/>
      <c r="EG232" s="416"/>
      <c r="EH232" s="416"/>
      <c r="EI232" s="416"/>
      <c r="EJ232" s="416"/>
      <c r="EK232" s="416"/>
      <c r="EL232" s="416"/>
      <c r="EM232" s="416"/>
      <c r="EN232" s="416"/>
      <c r="EO232" s="416"/>
      <c r="EP232" s="416"/>
      <c r="EQ232" s="416"/>
      <c r="ER232" s="416"/>
      <c r="ES232" s="416"/>
      <c r="ET232" s="416"/>
      <c r="EU232" s="416"/>
      <c r="EV232" s="416"/>
      <c r="EW232" s="416"/>
      <c r="EX232" s="416"/>
      <c r="EY232" s="416"/>
      <c r="EZ232" s="416"/>
      <c r="FA232" s="416"/>
      <c r="FB232" s="416"/>
      <c r="FC232" s="416"/>
      <c r="FD232" s="416"/>
      <c r="FE232" s="228"/>
      <c r="FF232" s="1330"/>
      <c r="FG232" s="1330"/>
      <c r="FH232" s="1330"/>
      <c r="FI232"/>
      <c r="FJ232"/>
      <c r="FK232"/>
      <c r="FL232"/>
      <c r="FM232"/>
      <c r="FN232"/>
      <c r="FO232" s="416"/>
    </row>
    <row r="233" spans="1:171" s="420" customFormat="1" ht="14.25" hidden="1" customHeight="1" outlineLevel="1">
      <c r="A233" s="418"/>
      <c r="B233" s="511" t="s">
        <v>120</v>
      </c>
      <c r="C233" s="228"/>
      <c r="D233" s="228"/>
      <c r="E233" s="228"/>
      <c r="F233" s="228"/>
      <c r="G233" s="228"/>
      <c r="H233" s="228"/>
      <c r="I233" s="228"/>
      <c r="J233" s="228"/>
      <c r="K233" s="228"/>
      <c r="L233" s="228"/>
      <c r="M233" s="228"/>
      <c r="N233" s="228"/>
      <c r="O233" s="228"/>
      <c r="P233" s="228"/>
      <c r="Q233" s="228"/>
      <c r="R233" s="228"/>
      <c r="S233" s="228"/>
      <c r="T233" s="228"/>
      <c r="U233" s="228"/>
      <c r="V233" s="228"/>
      <c r="W233" s="228"/>
      <c r="X233" s="228"/>
      <c r="Y233" s="228"/>
      <c r="Z233" s="228"/>
      <c r="AA233" s="228"/>
      <c r="AB233" s="228"/>
      <c r="AC233" s="228"/>
      <c r="AD233" s="228"/>
      <c r="AE233" s="228"/>
      <c r="AF233" s="228"/>
      <c r="AG233" s="228"/>
      <c r="AH233" s="228"/>
      <c r="AI233" s="228"/>
      <c r="AJ233" s="228"/>
      <c r="AK233" s="228"/>
      <c r="AL233" s="228"/>
      <c r="AM233" s="228"/>
      <c r="AN233" s="228"/>
      <c r="AO233" s="228"/>
      <c r="AP233" s="228"/>
      <c r="AQ233" s="228"/>
      <c r="AR233" s="228"/>
      <c r="AS233" s="228"/>
      <c r="AT233" s="228"/>
      <c r="AU233" s="228"/>
      <c r="AV233" s="228"/>
      <c r="AW233" s="228"/>
      <c r="AX233" s="228"/>
      <c r="AY233" s="228"/>
      <c r="AZ233" s="228"/>
      <c r="BA233" s="228"/>
      <c r="BB233" s="228"/>
      <c r="BC233" s="228"/>
      <c r="BD233" s="228"/>
      <c r="BE233" s="228"/>
      <c r="BF233" s="228"/>
      <c r="BG233" s="228"/>
      <c r="BH233" s="483"/>
      <c r="BI233" s="228"/>
      <c r="BJ233" s="228"/>
      <c r="BK233" s="229"/>
      <c r="BL233" s="228"/>
      <c r="BM233" s="228"/>
      <c r="BN233" s="228"/>
      <c r="BO233" s="228"/>
      <c r="BP233" s="483"/>
      <c r="BQ233" s="228"/>
      <c r="BR233" s="228"/>
      <c r="BS233" s="229"/>
      <c r="BT233" s="483"/>
      <c r="BU233" s="228"/>
      <c r="BV233" s="228">
        <f>+BV215-BV197</f>
        <v>12.081843750000001</v>
      </c>
      <c r="BW233" s="229">
        <f t="shared" ref="BW233:CL233" si="1224">+BW215-BW197</f>
        <v>12.299093750000001</v>
      </c>
      <c r="BX233" s="483">
        <f t="shared" si="1224"/>
        <v>12.536093749999999</v>
      </c>
      <c r="BY233" s="228">
        <f t="shared" si="1224"/>
        <v>12.773093750000001</v>
      </c>
      <c r="BZ233" s="228">
        <f t="shared" si="1224"/>
        <v>13.025362351562499</v>
      </c>
      <c r="CA233" s="229">
        <f t="shared" si="1224"/>
        <v>13.28261325800586</v>
      </c>
      <c r="CB233" s="483">
        <f t="shared" si="1224"/>
        <v>13.544944869851477</v>
      </c>
      <c r="CC233" s="228">
        <f t="shared" si="1224"/>
        <v>13.812457531031043</v>
      </c>
      <c r="CD233" s="228">
        <f t="shared" si="1224"/>
        <v>14.085253567268907</v>
      </c>
      <c r="CE233" s="229">
        <f t="shared" si="1224"/>
        <v>18.744724999999999</v>
      </c>
      <c r="CF233" s="483">
        <f t="shared" si="1224"/>
        <v>0</v>
      </c>
      <c r="CG233" s="228">
        <f t="shared" si="1224"/>
        <v>0</v>
      </c>
      <c r="CH233" s="228">
        <f t="shared" si="1224"/>
        <v>0</v>
      </c>
      <c r="CI233" s="229">
        <f t="shared" si="1224"/>
        <v>0</v>
      </c>
      <c r="CJ233" s="483">
        <f t="shared" si="1224"/>
        <v>0</v>
      </c>
      <c r="CK233" s="228">
        <f t="shared" si="1224"/>
        <v>0</v>
      </c>
      <c r="CL233" s="228">
        <f t="shared" si="1224"/>
        <v>0</v>
      </c>
      <c r="CM233" s="229">
        <f t="shared" ref="CM233" si="1225">+CM215-CM197</f>
        <v>0</v>
      </c>
      <c r="CN233" s="228">
        <f t="shared" ref="CN233:CQ233" si="1226">+CN215-CN197</f>
        <v>0</v>
      </c>
      <c r="CO233" s="1252">
        <f t="shared" si="1187"/>
        <v>0</v>
      </c>
      <c r="CP233" s="228">
        <f t="shared" si="1226"/>
        <v>0</v>
      </c>
      <c r="CQ233" s="229">
        <f t="shared" si="1226"/>
        <v>0</v>
      </c>
      <c r="CR233" s="228">
        <f t="shared" ref="CR233:CU233" si="1227">+CR215-CR197</f>
        <v>0</v>
      </c>
      <c r="CS233" s="228">
        <f t="shared" si="1227"/>
        <v>0</v>
      </c>
      <c r="CT233" s="228">
        <f t="shared" si="1227"/>
        <v>0</v>
      </c>
      <c r="CU233" s="229">
        <f t="shared" si="1227"/>
        <v>0</v>
      </c>
      <c r="CV233" s="1330">
        <f t="shared" ref="CV233:CY233" si="1228">+CV215-CV197</f>
        <v>0</v>
      </c>
      <c r="CW233" s="1330">
        <f t="shared" si="1228"/>
        <v>0</v>
      </c>
      <c r="CX233" s="1330">
        <f t="shared" si="1228"/>
        <v>0</v>
      </c>
      <c r="CY233" s="1331">
        <f t="shared" si="1228"/>
        <v>0</v>
      </c>
      <c r="CZ233" s="1330">
        <f t="shared" ref="CZ233:DC233" si="1229">+CZ215-CZ197</f>
        <v>0</v>
      </c>
      <c r="DA233" s="1330">
        <f t="shared" si="1229"/>
        <v>0</v>
      </c>
      <c r="DB233" s="1330">
        <f t="shared" si="1229"/>
        <v>0</v>
      </c>
      <c r="DC233" s="1331">
        <f t="shared" si="1229"/>
        <v>0</v>
      </c>
      <c r="DD233" s="1331"/>
      <c r="DE233" s="483"/>
      <c r="DF233" s="228"/>
      <c r="DG233" s="228"/>
      <c r="DH233" s="228"/>
      <c r="DI233" s="228"/>
      <c r="DJ233" s="228"/>
      <c r="DK233" s="228"/>
      <c r="DL233" s="228"/>
      <c r="DM233" s="228"/>
      <c r="DN233" s="228"/>
      <c r="DO233" s="228"/>
      <c r="DP233" s="228"/>
      <c r="DQ233" s="228"/>
      <c r="DR233" s="228"/>
      <c r="DS233" s="228"/>
      <c r="DT233" s="228"/>
      <c r="DU233" s="1330"/>
      <c r="DV233" s="1330">
        <f t="shared" si="1191"/>
        <v>24.380937500000002</v>
      </c>
      <c r="DW233" s="1330">
        <f t="shared" si="1192"/>
        <v>51.617163109568359</v>
      </c>
      <c r="DX233" s="1330">
        <f t="shared" si="1193"/>
        <v>60.18738096815143</v>
      </c>
      <c r="DY233" s="1330">
        <f t="shared" si="1194"/>
        <v>0</v>
      </c>
      <c r="DZ233" s="1330">
        <f t="shared" si="1195"/>
        <v>0</v>
      </c>
      <c r="EA233" s="228">
        <f t="shared" si="1196"/>
        <v>0</v>
      </c>
      <c r="EB233" s="1330">
        <f t="shared" si="1197"/>
        <v>0</v>
      </c>
      <c r="EC233" s="1330">
        <f t="shared" si="1198"/>
        <v>0</v>
      </c>
      <c r="ED233" s="1331">
        <f t="shared" si="1199"/>
        <v>0</v>
      </c>
      <c r="EE233" s="484"/>
      <c r="EF233" s="418"/>
      <c r="EG233" s="418"/>
      <c r="EH233" s="418"/>
      <c r="EI233" s="418"/>
      <c r="EJ233" s="418"/>
      <c r="EK233" s="418"/>
      <c r="EL233" s="418"/>
      <c r="EM233" s="418"/>
      <c r="EN233" s="418"/>
      <c r="EO233" s="418"/>
      <c r="EP233" s="418"/>
      <c r="EQ233" s="418"/>
      <c r="ER233" s="418"/>
      <c r="ES233" s="418"/>
      <c r="ET233" s="418"/>
      <c r="EU233" s="418"/>
      <c r="EV233" s="418"/>
      <c r="EW233" s="418"/>
      <c r="EX233" s="418"/>
      <c r="EY233" s="418"/>
      <c r="EZ233" s="418"/>
      <c r="FA233" s="418"/>
      <c r="FB233" s="418"/>
      <c r="FC233" s="418"/>
      <c r="FD233" s="418"/>
      <c r="FE233" s="419"/>
      <c r="FF233" s="1265"/>
      <c r="FG233" s="1265"/>
      <c r="FH233" s="1265"/>
      <c r="FI233"/>
      <c r="FJ233"/>
      <c r="FK233"/>
      <c r="FL233"/>
      <c r="FM233"/>
      <c r="FN233"/>
      <c r="FO233" s="418"/>
    </row>
    <row r="234" spans="1:171" s="420" customFormat="1" ht="14.25" hidden="1" customHeight="1" outlineLevel="1">
      <c r="A234" s="418"/>
      <c r="B234" s="511" t="s">
        <v>217</v>
      </c>
      <c r="C234" s="228"/>
      <c r="D234" s="228"/>
      <c r="E234" s="228"/>
      <c r="F234" s="228"/>
      <c r="G234" s="228"/>
      <c r="H234" s="228"/>
      <c r="I234" s="228"/>
      <c r="J234" s="228"/>
      <c r="K234" s="228"/>
      <c r="L234" s="228"/>
      <c r="M234" s="228"/>
      <c r="N234" s="228"/>
      <c r="O234" s="228"/>
      <c r="P234" s="228"/>
      <c r="Q234" s="228"/>
      <c r="R234" s="228"/>
      <c r="S234" s="228"/>
      <c r="T234" s="228"/>
      <c r="U234" s="228"/>
      <c r="V234" s="228"/>
      <c r="W234" s="228"/>
      <c r="X234" s="228"/>
      <c r="Y234" s="228"/>
      <c r="Z234" s="228"/>
      <c r="AA234" s="228"/>
      <c r="AB234" s="228"/>
      <c r="AC234" s="228"/>
      <c r="AD234" s="228"/>
      <c r="AE234" s="228"/>
      <c r="AF234" s="228"/>
      <c r="AG234" s="228"/>
      <c r="AH234" s="228"/>
      <c r="AI234" s="228"/>
      <c r="AJ234" s="228"/>
      <c r="AK234" s="228"/>
      <c r="AL234" s="228"/>
      <c r="AM234" s="228"/>
      <c r="AN234" s="228"/>
      <c r="AO234" s="228"/>
      <c r="AP234" s="228"/>
      <c r="AQ234" s="228"/>
      <c r="AR234" s="228"/>
      <c r="AS234" s="228"/>
      <c r="AT234" s="228"/>
      <c r="AU234" s="228"/>
      <c r="AV234" s="228"/>
      <c r="AW234" s="228"/>
      <c r="AX234" s="228"/>
      <c r="AY234" s="228"/>
      <c r="AZ234" s="228"/>
      <c r="BA234" s="228"/>
      <c r="BB234" s="228"/>
      <c r="BC234" s="228"/>
      <c r="BD234" s="228"/>
      <c r="BE234" s="228"/>
      <c r="BF234" s="228"/>
      <c r="BG234" s="228"/>
      <c r="BH234" s="483"/>
      <c r="BI234" s="228"/>
      <c r="BJ234" s="228"/>
      <c r="BK234" s="229"/>
      <c r="BL234" s="228"/>
      <c r="BM234" s="228"/>
      <c r="BN234" s="228"/>
      <c r="BO234" s="228"/>
      <c r="BP234" s="483"/>
      <c r="BQ234" s="228"/>
      <c r="BR234" s="228"/>
      <c r="BS234" s="229"/>
      <c r="BT234" s="483"/>
      <c r="BU234" s="228"/>
      <c r="BV234" s="228"/>
      <c r="BW234" s="229"/>
      <c r="BX234" s="483"/>
      <c r="BY234" s="228"/>
      <c r="BZ234" s="228"/>
      <c r="CA234" s="229"/>
      <c r="CB234" s="483">
        <f t="shared" ref="CB234:CL234" si="1230">+CB216-CB198</f>
        <v>0</v>
      </c>
      <c r="CC234" s="228">
        <f t="shared" si="1230"/>
        <v>0</v>
      </c>
      <c r="CD234" s="228">
        <f t="shared" si="1230"/>
        <v>0</v>
      </c>
      <c r="CE234" s="229">
        <f t="shared" si="1230"/>
        <v>0</v>
      </c>
      <c r="CF234" s="483">
        <f t="shared" si="1230"/>
        <v>0</v>
      </c>
      <c r="CG234" s="228">
        <f t="shared" si="1230"/>
        <v>0</v>
      </c>
      <c r="CH234" s="228">
        <f t="shared" si="1230"/>
        <v>0</v>
      </c>
      <c r="CI234" s="229">
        <f t="shared" si="1230"/>
        <v>0</v>
      </c>
      <c r="CJ234" s="483">
        <f t="shared" si="1230"/>
        <v>0</v>
      </c>
      <c r="CK234" s="228">
        <f t="shared" si="1230"/>
        <v>0</v>
      </c>
      <c r="CL234" s="228">
        <f t="shared" si="1230"/>
        <v>0</v>
      </c>
      <c r="CM234" s="229">
        <f t="shared" ref="CM234" si="1231">+CM216-CM198</f>
        <v>0</v>
      </c>
      <c r="CN234" s="228">
        <f t="shared" ref="CN234:CQ234" si="1232">+CN216-CN198</f>
        <v>0</v>
      </c>
      <c r="CO234" s="1252">
        <f t="shared" si="1187"/>
        <v>0</v>
      </c>
      <c r="CP234" s="228">
        <f t="shared" si="1232"/>
        <v>0</v>
      </c>
      <c r="CQ234" s="229">
        <f t="shared" si="1232"/>
        <v>0</v>
      </c>
      <c r="CR234" s="228">
        <f t="shared" ref="CR234:CU234" si="1233">+CR216-CR198</f>
        <v>0</v>
      </c>
      <c r="CS234" s="228">
        <f t="shared" si="1233"/>
        <v>0</v>
      </c>
      <c r="CT234" s="228">
        <f t="shared" si="1233"/>
        <v>0</v>
      </c>
      <c r="CU234" s="229">
        <f t="shared" si="1233"/>
        <v>0</v>
      </c>
      <c r="CV234" s="1330">
        <f t="shared" ref="CV234:CY234" si="1234">+CV216-CV198</f>
        <v>0</v>
      </c>
      <c r="CW234" s="1330">
        <f t="shared" si="1234"/>
        <v>0</v>
      </c>
      <c r="CX234" s="1330">
        <f t="shared" si="1234"/>
        <v>0</v>
      </c>
      <c r="CY234" s="1331">
        <f t="shared" si="1234"/>
        <v>0</v>
      </c>
      <c r="CZ234" s="1330">
        <f t="shared" ref="CZ234:DC234" si="1235">+CZ216-CZ198</f>
        <v>0</v>
      </c>
      <c r="DA234" s="1330">
        <f t="shared" si="1235"/>
        <v>0</v>
      </c>
      <c r="DB234" s="1330">
        <f t="shared" si="1235"/>
        <v>0</v>
      </c>
      <c r="DC234" s="1331">
        <f t="shared" si="1235"/>
        <v>0</v>
      </c>
      <c r="DD234" s="1331"/>
      <c r="DE234" s="483"/>
      <c r="DF234" s="228"/>
      <c r="DG234" s="228"/>
      <c r="DH234" s="228"/>
      <c r="DI234" s="228"/>
      <c r="DJ234" s="228"/>
      <c r="DK234" s="228"/>
      <c r="DL234" s="228"/>
      <c r="DM234" s="228"/>
      <c r="DN234" s="228"/>
      <c r="DO234" s="228"/>
      <c r="DP234" s="228"/>
      <c r="DQ234" s="228"/>
      <c r="DR234" s="228"/>
      <c r="DS234" s="228"/>
      <c r="DT234" s="228"/>
      <c r="DU234" s="1330"/>
      <c r="DV234" s="1330">
        <f t="shared" ref="DV234:DV242" si="1236">+SUM(BT234:BW234)</f>
        <v>0</v>
      </c>
      <c r="DW234" s="1330">
        <f t="shared" ref="DW234:DW242" si="1237">+SUM(BX234:CA234)</f>
        <v>0</v>
      </c>
      <c r="DX234" s="1330">
        <f t="shared" ref="DX234:DX242" si="1238">+SUM(CB234:CE234)</f>
        <v>0</v>
      </c>
      <c r="DY234" s="1330">
        <f t="shared" ref="DY234:DY242" si="1239">+SUM(CF234:CI234)</f>
        <v>0</v>
      </c>
      <c r="DZ234" s="1330">
        <f t="shared" ref="DZ234:DZ242" si="1240">+SUM(CJ234:CM234)</f>
        <v>0</v>
      </c>
      <c r="EA234" s="228">
        <f t="shared" si="1196"/>
        <v>0</v>
      </c>
      <c r="EB234" s="1330">
        <f t="shared" si="1197"/>
        <v>0</v>
      </c>
      <c r="EC234" s="1330">
        <f t="shared" si="1198"/>
        <v>0</v>
      </c>
      <c r="ED234" s="1331">
        <f t="shared" si="1199"/>
        <v>0</v>
      </c>
      <c r="EE234" s="484"/>
      <c r="EF234" s="418"/>
      <c r="EG234" s="418"/>
      <c r="EH234" s="418"/>
      <c r="EI234" s="418"/>
      <c r="EJ234" s="418"/>
      <c r="EK234" s="418"/>
      <c r="EL234" s="418"/>
      <c r="EM234" s="418"/>
      <c r="EN234" s="418"/>
      <c r="EO234" s="418"/>
      <c r="EP234" s="418"/>
      <c r="EQ234" s="418"/>
      <c r="ER234" s="418"/>
      <c r="ES234" s="418"/>
      <c r="ET234" s="418"/>
      <c r="EU234" s="418"/>
      <c r="EV234" s="418"/>
      <c r="EW234" s="418"/>
      <c r="EX234" s="418"/>
      <c r="EY234" s="418"/>
      <c r="EZ234" s="418"/>
      <c r="FA234" s="418"/>
      <c r="FB234" s="418"/>
      <c r="FC234" s="418"/>
      <c r="FD234" s="418"/>
      <c r="FE234" s="419"/>
      <c r="FF234" s="1265"/>
      <c r="FG234" s="1265"/>
      <c r="FH234" s="1265"/>
      <c r="FI234"/>
      <c r="FJ234"/>
      <c r="FK234"/>
      <c r="FL234"/>
      <c r="FM234"/>
      <c r="FN234"/>
      <c r="FO234" s="418"/>
    </row>
    <row r="235" spans="1:171" s="420" customFormat="1" ht="14.25" hidden="1" customHeight="1" outlineLevel="1">
      <c r="A235" s="418"/>
      <c r="B235" s="511" t="s">
        <v>482</v>
      </c>
      <c r="C235" s="228"/>
      <c r="D235" s="228"/>
      <c r="E235" s="228"/>
      <c r="F235" s="228"/>
      <c r="G235" s="228"/>
      <c r="H235" s="228"/>
      <c r="I235" s="228"/>
      <c r="J235" s="228"/>
      <c r="K235" s="228"/>
      <c r="L235" s="228"/>
      <c r="M235" s="228"/>
      <c r="N235" s="228"/>
      <c r="O235" s="228"/>
      <c r="P235" s="228"/>
      <c r="Q235" s="228"/>
      <c r="R235" s="228"/>
      <c r="S235" s="228"/>
      <c r="T235" s="228"/>
      <c r="U235" s="228"/>
      <c r="V235" s="228"/>
      <c r="W235" s="228"/>
      <c r="X235" s="228"/>
      <c r="Y235" s="228"/>
      <c r="Z235" s="228"/>
      <c r="AA235" s="228"/>
      <c r="AB235" s="228"/>
      <c r="AC235" s="228"/>
      <c r="AD235" s="228"/>
      <c r="AE235" s="228"/>
      <c r="AF235" s="228"/>
      <c r="AG235" s="228"/>
      <c r="AH235" s="228"/>
      <c r="AI235" s="228"/>
      <c r="AJ235" s="228"/>
      <c r="AK235" s="228"/>
      <c r="AL235" s="228"/>
      <c r="AM235" s="228"/>
      <c r="AN235" s="228"/>
      <c r="AO235" s="228"/>
      <c r="AP235" s="228"/>
      <c r="AQ235" s="228"/>
      <c r="AR235" s="228"/>
      <c r="AS235" s="228"/>
      <c r="AT235" s="228"/>
      <c r="AU235" s="228"/>
      <c r="AV235" s="228"/>
      <c r="AW235" s="228"/>
      <c r="AX235" s="228"/>
      <c r="AY235" s="228"/>
      <c r="AZ235" s="228"/>
      <c r="BA235" s="228"/>
      <c r="BB235" s="228"/>
      <c r="BC235" s="228"/>
      <c r="BD235" s="228"/>
      <c r="BE235" s="228"/>
      <c r="BF235" s="228"/>
      <c r="BG235" s="228"/>
      <c r="BH235" s="483"/>
      <c r="BI235" s="228"/>
      <c r="BJ235" s="228"/>
      <c r="BK235" s="229"/>
      <c r="BL235" s="228"/>
      <c r="BM235" s="228"/>
      <c r="BN235" s="228"/>
      <c r="BO235" s="228"/>
      <c r="BP235" s="483"/>
      <c r="BQ235" s="228"/>
      <c r="BR235" s="228"/>
      <c r="BS235" s="229"/>
      <c r="BT235" s="483"/>
      <c r="BU235" s="228"/>
      <c r="BV235" s="228"/>
      <c r="BW235" s="229"/>
      <c r="BX235" s="483"/>
      <c r="BY235" s="228"/>
      <c r="BZ235" s="228"/>
      <c r="CA235" s="229"/>
      <c r="CB235" s="483">
        <f t="shared" ref="CB235:CL235" si="1241">+CB217-CB199</f>
        <v>0</v>
      </c>
      <c r="CC235" s="228">
        <f t="shared" si="1241"/>
        <v>0</v>
      </c>
      <c r="CD235" s="228">
        <f t="shared" si="1241"/>
        <v>0</v>
      </c>
      <c r="CE235" s="229">
        <f t="shared" si="1241"/>
        <v>0</v>
      </c>
      <c r="CF235" s="483">
        <f t="shared" si="1241"/>
        <v>0</v>
      </c>
      <c r="CG235" s="228">
        <f t="shared" si="1241"/>
        <v>0</v>
      </c>
      <c r="CH235" s="228">
        <f t="shared" si="1241"/>
        <v>0</v>
      </c>
      <c r="CI235" s="229">
        <f t="shared" si="1241"/>
        <v>0</v>
      </c>
      <c r="CJ235" s="483">
        <f t="shared" si="1241"/>
        <v>0</v>
      </c>
      <c r="CK235" s="228">
        <f t="shared" si="1241"/>
        <v>0</v>
      </c>
      <c r="CL235" s="228">
        <f t="shared" si="1241"/>
        <v>0</v>
      </c>
      <c r="CM235" s="229">
        <f t="shared" ref="CM235" si="1242">+CM217-CM199</f>
        <v>0</v>
      </c>
      <c r="CN235" s="228">
        <f t="shared" ref="CN235:CQ235" si="1243">+CN217-CN199</f>
        <v>0</v>
      </c>
      <c r="CO235" s="1252">
        <f t="shared" si="1187"/>
        <v>0</v>
      </c>
      <c r="CP235" s="228">
        <f t="shared" si="1243"/>
        <v>0</v>
      </c>
      <c r="CQ235" s="229">
        <f t="shared" si="1243"/>
        <v>0</v>
      </c>
      <c r="CR235" s="228">
        <f t="shared" ref="CR235:CU235" si="1244">+CR217-CR199</f>
        <v>0</v>
      </c>
      <c r="CS235" s="228">
        <f t="shared" si="1244"/>
        <v>0</v>
      </c>
      <c r="CT235" s="228">
        <f t="shared" si="1244"/>
        <v>0</v>
      </c>
      <c r="CU235" s="229">
        <f t="shared" si="1244"/>
        <v>0</v>
      </c>
      <c r="CV235" s="1330">
        <f t="shared" ref="CV235:CY235" si="1245">+CV217-CV199</f>
        <v>0</v>
      </c>
      <c r="CW235" s="1330">
        <f t="shared" si="1245"/>
        <v>0</v>
      </c>
      <c r="CX235" s="1330">
        <f t="shared" si="1245"/>
        <v>0</v>
      </c>
      <c r="CY235" s="1331">
        <f t="shared" si="1245"/>
        <v>0</v>
      </c>
      <c r="CZ235" s="1330">
        <f t="shared" ref="CZ235:DC235" si="1246">+CZ217-CZ199</f>
        <v>0</v>
      </c>
      <c r="DA235" s="1330">
        <f t="shared" si="1246"/>
        <v>0</v>
      </c>
      <c r="DB235" s="1330">
        <f t="shared" si="1246"/>
        <v>0</v>
      </c>
      <c r="DC235" s="1331">
        <f t="shared" si="1246"/>
        <v>0</v>
      </c>
      <c r="DD235" s="1331"/>
      <c r="DE235" s="483"/>
      <c r="DF235" s="228"/>
      <c r="DG235" s="228"/>
      <c r="DH235" s="228"/>
      <c r="DI235" s="228"/>
      <c r="DJ235" s="228"/>
      <c r="DK235" s="228"/>
      <c r="DL235" s="228"/>
      <c r="DM235" s="228"/>
      <c r="DN235" s="228"/>
      <c r="DO235" s="228"/>
      <c r="DP235" s="228"/>
      <c r="DQ235" s="228"/>
      <c r="DR235" s="228"/>
      <c r="DS235" s="228"/>
      <c r="DT235" s="228"/>
      <c r="DU235" s="1330"/>
      <c r="DV235" s="1330">
        <f t="shared" si="1236"/>
        <v>0</v>
      </c>
      <c r="DW235" s="1330">
        <f t="shared" si="1237"/>
        <v>0</v>
      </c>
      <c r="DX235" s="1330">
        <f t="shared" si="1238"/>
        <v>0</v>
      </c>
      <c r="DY235" s="1330">
        <f t="shared" si="1239"/>
        <v>0</v>
      </c>
      <c r="DZ235" s="1330">
        <f t="shared" si="1240"/>
        <v>0</v>
      </c>
      <c r="EA235" s="228">
        <f t="shared" si="1196"/>
        <v>0</v>
      </c>
      <c r="EB235" s="1330">
        <f t="shared" si="1197"/>
        <v>0</v>
      </c>
      <c r="EC235" s="1330">
        <f t="shared" si="1198"/>
        <v>0</v>
      </c>
      <c r="ED235" s="1331">
        <f t="shared" si="1199"/>
        <v>0</v>
      </c>
      <c r="EE235" s="484"/>
      <c r="EF235" s="418"/>
      <c r="EG235" s="418"/>
      <c r="EH235" s="418"/>
      <c r="EI235" s="418"/>
      <c r="EJ235" s="418"/>
      <c r="EK235" s="418"/>
      <c r="EL235" s="418"/>
      <c r="EM235" s="418"/>
      <c r="EN235" s="418"/>
      <c r="EO235" s="418"/>
      <c r="EP235" s="418"/>
      <c r="EQ235" s="418"/>
      <c r="ER235" s="418"/>
      <c r="ES235" s="418"/>
      <c r="ET235" s="418"/>
      <c r="EU235" s="418"/>
      <c r="EV235" s="418"/>
      <c r="EW235" s="418"/>
      <c r="EX235" s="418"/>
      <c r="EY235" s="418"/>
      <c r="EZ235" s="418"/>
      <c r="FA235" s="418"/>
      <c r="FB235" s="418"/>
      <c r="FC235" s="418"/>
      <c r="FD235" s="418"/>
      <c r="FE235" s="419"/>
      <c r="FF235" s="1265"/>
      <c r="FG235" s="1265"/>
      <c r="FH235" s="1265"/>
      <c r="FI235"/>
      <c r="FJ235"/>
      <c r="FK235"/>
      <c r="FL235"/>
      <c r="FM235"/>
      <c r="FN235"/>
      <c r="FO235" s="418"/>
    </row>
    <row r="236" spans="1:171" s="420" customFormat="1" ht="14.25" hidden="1" customHeight="1" outlineLevel="1">
      <c r="A236" s="418"/>
      <c r="B236" s="511" t="s">
        <v>542</v>
      </c>
      <c r="C236" s="228"/>
      <c r="D236" s="228"/>
      <c r="E236" s="228"/>
      <c r="F236" s="228"/>
      <c r="G236" s="228"/>
      <c r="H236" s="228"/>
      <c r="I236" s="228"/>
      <c r="J236" s="228"/>
      <c r="K236" s="228"/>
      <c r="L236" s="228"/>
      <c r="M236" s="228"/>
      <c r="N236" s="228"/>
      <c r="O236" s="228"/>
      <c r="P236" s="228"/>
      <c r="Q236" s="228"/>
      <c r="R236" s="228"/>
      <c r="S236" s="228"/>
      <c r="T236" s="228"/>
      <c r="U236" s="228"/>
      <c r="V236" s="228"/>
      <c r="W236" s="228"/>
      <c r="X236" s="228"/>
      <c r="Y236" s="228"/>
      <c r="Z236" s="228"/>
      <c r="AA236" s="228"/>
      <c r="AB236" s="228"/>
      <c r="AC236" s="228"/>
      <c r="AD236" s="228"/>
      <c r="AE236" s="228"/>
      <c r="AF236" s="228"/>
      <c r="AG236" s="228"/>
      <c r="AH236" s="228"/>
      <c r="AI236" s="228"/>
      <c r="AJ236" s="228"/>
      <c r="AK236" s="228"/>
      <c r="AL236" s="228"/>
      <c r="AM236" s="228"/>
      <c r="AN236" s="228"/>
      <c r="AO236" s="228"/>
      <c r="AP236" s="228"/>
      <c r="AQ236" s="228"/>
      <c r="AR236" s="228"/>
      <c r="AS236" s="228"/>
      <c r="AT236" s="228"/>
      <c r="AU236" s="228"/>
      <c r="AV236" s="228"/>
      <c r="AW236" s="228"/>
      <c r="AX236" s="228"/>
      <c r="AY236" s="228"/>
      <c r="AZ236" s="228"/>
      <c r="BA236" s="228"/>
      <c r="BB236" s="228"/>
      <c r="BC236" s="228"/>
      <c r="BD236" s="228"/>
      <c r="BE236" s="228"/>
      <c r="BF236" s="228"/>
      <c r="BG236" s="228"/>
      <c r="BH236" s="483"/>
      <c r="BI236" s="228"/>
      <c r="BJ236" s="228"/>
      <c r="BK236" s="229"/>
      <c r="BL236" s="228"/>
      <c r="BM236" s="228"/>
      <c r="BN236" s="228"/>
      <c r="BO236" s="228"/>
      <c r="BP236" s="483"/>
      <c r="BQ236" s="228"/>
      <c r="BR236" s="228"/>
      <c r="BS236" s="229"/>
      <c r="BT236" s="483"/>
      <c r="BU236" s="228"/>
      <c r="BV236" s="228"/>
      <c r="BW236" s="229"/>
      <c r="BX236" s="483"/>
      <c r="BY236" s="228"/>
      <c r="BZ236" s="228"/>
      <c r="CA236" s="229"/>
      <c r="CB236" s="483">
        <f t="shared" ref="CB236:CL236" si="1247">+CB218-CB200</f>
        <v>0</v>
      </c>
      <c r="CC236" s="228">
        <f t="shared" si="1247"/>
        <v>0</v>
      </c>
      <c r="CD236" s="228">
        <f t="shared" si="1247"/>
        <v>0</v>
      </c>
      <c r="CE236" s="229">
        <f t="shared" si="1247"/>
        <v>0</v>
      </c>
      <c r="CF236" s="483">
        <f t="shared" si="1247"/>
        <v>0</v>
      </c>
      <c r="CG236" s="228">
        <f t="shared" si="1247"/>
        <v>0</v>
      </c>
      <c r="CH236" s="228">
        <f t="shared" si="1247"/>
        <v>0</v>
      </c>
      <c r="CI236" s="229">
        <f t="shared" si="1247"/>
        <v>0</v>
      </c>
      <c r="CJ236" s="483">
        <f t="shared" si="1247"/>
        <v>0</v>
      </c>
      <c r="CK236" s="228">
        <f t="shared" si="1247"/>
        <v>0</v>
      </c>
      <c r="CL236" s="228">
        <f t="shared" si="1247"/>
        <v>0</v>
      </c>
      <c r="CM236" s="229">
        <f t="shared" ref="CM236" si="1248">+CM218-CM200</f>
        <v>0</v>
      </c>
      <c r="CN236" s="228">
        <f t="shared" ref="CN236:CQ236" si="1249">+CN218-CN200</f>
        <v>0</v>
      </c>
      <c r="CO236" s="1252">
        <f t="shared" si="1187"/>
        <v>0</v>
      </c>
      <c r="CP236" s="228">
        <f t="shared" si="1249"/>
        <v>0</v>
      </c>
      <c r="CQ236" s="229">
        <f t="shared" si="1249"/>
        <v>0</v>
      </c>
      <c r="CR236" s="228">
        <f t="shared" ref="CR236:CU236" si="1250">+CR218-CR200</f>
        <v>0</v>
      </c>
      <c r="CS236" s="228">
        <f t="shared" si="1250"/>
        <v>0</v>
      </c>
      <c r="CT236" s="228">
        <f t="shared" si="1250"/>
        <v>0</v>
      </c>
      <c r="CU236" s="229">
        <f t="shared" si="1250"/>
        <v>0</v>
      </c>
      <c r="CV236" s="1330">
        <f t="shared" ref="CV236:CY236" si="1251">+CV218-CV200</f>
        <v>0</v>
      </c>
      <c r="CW236" s="1330">
        <f t="shared" si="1251"/>
        <v>0</v>
      </c>
      <c r="CX236" s="1330">
        <f t="shared" si="1251"/>
        <v>0</v>
      </c>
      <c r="CY236" s="1331">
        <f t="shared" si="1251"/>
        <v>0</v>
      </c>
      <c r="CZ236" s="1330">
        <f t="shared" ref="CZ236:DC236" si="1252">+CZ218-CZ200</f>
        <v>0</v>
      </c>
      <c r="DA236" s="1330">
        <f t="shared" si="1252"/>
        <v>0</v>
      </c>
      <c r="DB236" s="1330">
        <f t="shared" si="1252"/>
        <v>0</v>
      </c>
      <c r="DC236" s="1331">
        <f t="shared" si="1252"/>
        <v>0</v>
      </c>
      <c r="DD236" s="1331"/>
      <c r="DE236" s="483"/>
      <c r="DF236" s="228"/>
      <c r="DG236" s="228"/>
      <c r="DH236" s="228"/>
      <c r="DI236" s="228"/>
      <c r="DJ236" s="228"/>
      <c r="DK236" s="228"/>
      <c r="DL236" s="228"/>
      <c r="DM236" s="228"/>
      <c r="DN236" s="228"/>
      <c r="DO236" s="228"/>
      <c r="DP236" s="228"/>
      <c r="DQ236" s="228"/>
      <c r="DR236" s="228"/>
      <c r="DS236" s="228"/>
      <c r="DT236" s="228"/>
      <c r="DU236" s="1330"/>
      <c r="DV236" s="1330">
        <f t="shared" si="1236"/>
        <v>0</v>
      </c>
      <c r="DW236" s="1330">
        <f t="shared" si="1237"/>
        <v>0</v>
      </c>
      <c r="DX236" s="1330">
        <f t="shared" si="1238"/>
        <v>0</v>
      </c>
      <c r="DY236" s="1330">
        <f t="shared" si="1239"/>
        <v>0</v>
      </c>
      <c r="DZ236" s="1330">
        <f t="shared" si="1240"/>
        <v>0</v>
      </c>
      <c r="EA236" s="228">
        <f t="shared" si="1196"/>
        <v>0</v>
      </c>
      <c r="EB236" s="1330">
        <f t="shared" si="1197"/>
        <v>0</v>
      </c>
      <c r="EC236" s="1330">
        <f t="shared" si="1198"/>
        <v>0</v>
      </c>
      <c r="ED236" s="1331">
        <f t="shared" si="1199"/>
        <v>0</v>
      </c>
      <c r="EE236" s="484"/>
      <c r="EF236" s="418"/>
      <c r="EG236" s="418"/>
      <c r="EH236" s="418"/>
      <c r="EI236" s="418"/>
      <c r="EJ236" s="418"/>
      <c r="EK236" s="418"/>
      <c r="EL236" s="418"/>
      <c r="EM236" s="418"/>
      <c r="EN236" s="418"/>
      <c r="EO236" s="418"/>
      <c r="EP236" s="418"/>
      <c r="EQ236" s="418"/>
      <c r="ER236" s="418"/>
      <c r="ES236" s="418"/>
      <c r="ET236" s="418"/>
      <c r="EU236" s="418"/>
      <c r="EV236" s="418"/>
      <c r="EW236" s="418"/>
      <c r="EX236" s="418"/>
      <c r="EY236" s="418"/>
      <c r="EZ236" s="418"/>
      <c r="FA236" s="418"/>
      <c r="FB236" s="418"/>
      <c r="FC236" s="418"/>
      <c r="FD236" s="418"/>
      <c r="FE236" s="419"/>
      <c r="FF236" s="1265"/>
      <c r="FG236" s="1265"/>
      <c r="FH236" s="1265"/>
      <c r="FI236"/>
      <c r="FJ236"/>
      <c r="FK236"/>
      <c r="FL236"/>
      <c r="FM236"/>
      <c r="FN236"/>
      <c r="FO236" s="418"/>
    </row>
    <row r="237" spans="1:171" s="420" customFormat="1" ht="14.25" hidden="1" customHeight="1" outlineLevel="1">
      <c r="A237" s="418"/>
      <c r="B237" s="511" t="s">
        <v>543</v>
      </c>
      <c r="C237" s="228"/>
      <c r="D237" s="228"/>
      <c r="E237" s="228"/>
      <c r="F237" s="228"/>
      <c r="G237" s="228"/>
      <c r="H237" s="228"/>
      <c r="I237" s="228"/>
      <c r="J237" s="228"/>
      <c r="K237" s="228"/>
      <c r="L237" s="228"/>
      <c r="M237" s="228"/>
      <c r="N237" s="228"/>
      <c r="O237" s="228"/>
      <c r="P237" s="228"/>
      <c r="Q237" s="228"/>
      <c r="R237" s="228"/>
      <c r="S237" s="228"/>
      <c r="T237" s="228"/>
      <c r="U237" s="228"/>
      <c r="V237" s="228"/>
      <c r="W237" s="228"/>
      <c r="X237" s="228"/>
      <c r="Y237" s="228"/>
      <c r="Z237" s="228"/>
      <c r="AA237" s="228"/>
      <c r="AB237" s="228"/>
      <c r="AC237" s="228"/>
      <c r="AD237" s="228"/>
      <c r="AE237" s="228"/>
      <c r="AF237" s="228"/>
      <c r="AG237" s="228"/>
      <c r="AH237" s="228"/>
      <c r="AI237" s="228"/>
      <c r="AJ237" s="228"/>
      <c r="AK237" s="228"/>
      <c r="AL237" s="228"/>
      <c r="AM237" s="228"/>
      <c r="AN237" s="228"/>
      <c r="AO237" s="228"/>
      <c r="AP237" s="228"/>
      <c r="AQ237" s="228"/>
      <c r="AR237" s="228"/>
      <c r="AS237" s="228"/>
      <c r="AT237" s="228"/>
      <c r="AU237" s="228"/>
      <c r="AV237" s="228"/>
      <c r="AW237" s="228"/>
      <c r="AX237" s="228"/>
      <c r="AY237" s="228"/>
      <c r="AZ237" s="228"/>
      <c r="BA237" s="228"/>
      <c r="BB237" s="228"/>
      <c r="BC237" s="228"/>
      <c r="BD237" s="228"/>
      <c r="BE237" s="228"/>
      <c r="BF237" s="228"/>
      <c r="BG237" s="228"/>
      <c r="BH237" s="483"/>
      <c r="BI237" s="228"/>
      <c r="BJ237" s="228"/>
      <c r="BK237" s="229"/>
      <c r="BL237" s="228"/>
      <c r="BM237" s="228"/>
      <c r="BN237" s="228"/>
      <c r="BO237" s="228"/>
      <c r="BP237" s="483"/>
      <c r="BQ237" s="228"/>
      <c r="BR237" s="228"/>
      <c r="BS237" s="229"/>
      <c r="BT237" s="483"/>
      <c r="BU237" s="228"/>
      <c r="BV237" s="228"/>
      <c r="BW237" s="229"/>
      <c r="BX237" s="483"/>
      <c r="BY237" s="228"/>
      <c r="BZ237" s="228"/>
      <c r="CA237" s="229"/>
      <c r="CB237" s="483">
        <f t="shared" ref="CB237:CL237" si="1253">+CB219-CB201</f>
        <v>0</v>
      </c>
      <c r="CC237" s="228">
        <f t="shared" si="1253"/>
        <v>0</v>
      </c>
      <c r="CD237" s="228">
        <f t="shared" si="1253"/>
        <v>0</v>
      </c>
      <c r="CE237" s="229">
        <f t="shared" si="1253"/>
        <v>0</v>
      </c>
      <c r="CF237" s="483">
        <f t="shared" si="1253"/>
        <v>0</v>
      </c>
      <c r="CG237" s="228">
        <f t="shared" si="1253"/>
        <v>0</v>
      </c>
      <c r="CH237" s="228">
        <f t="shared" si="1253"/>
        <v>0</v>
      </c>
      <c r="CI237" s="229">
        <f t="shared" si="1253"/>
        <v>0</v>
      </c>
      <c r="CJ237" s="483">
        <f t="shared" si="1253"/>
        <v>0</v>
      </c>
      <c r="CK237" s="228">
        <f t="shared" si="1253"/>
        <v>0</v>
      </c>
      <c r="CL237" s="228">
        <f t="shared" si="1253"/>
        <v>0</v>
      </c>
      <c r="CM237" s="229">
        <f t="shared" ref="CM237" si="1254">+CM219-CM201</f>
        <v>0</v>
      </c>
      <c r="CN237" s="228">
        <f t="shared" ref="CN237:CQ237" si="1255">+CN219-CN201</f>
        <v>0</v>
      </c>
      <c r="CO237" s="1252">
        <f t="shared" si="1187"/>
        <v>0</v>
      </c>
      <c r="CP237" s="228">
        <f t="shared" si="1255"/>
        <v>0</v>
      </c>
      <c r="CQ237" s="229">
        <f t="shared" si="1255"/>
        <v>0</v>
      </c>
      <c r="CR237" s="228">
        <f t="shared" ref="CR237:CU237" si="1256">+CR219-CR201</f>
        <v>0</v>
      </c>
      <c r="CS237" s="228">
        <f t="shared" si="1256"/>
        <v>0</v>
      </c>
      <c r="CT237" s="228">
        <f t="shared" si="1256"/>
        <v>0</v>
      </c>
      <c r="CU237" s="229">
        <f t="shared" si="1256"/>
        <v>0</v>
      </c>
      <c r="CV237" s="1330">
        <f t="shared" ref="CV237:CY237" si="1257">+CV219-CV201</f>
        <v>0</v>
      </c>
      <c r="CW237" s="1330">
        <f t="shared" si="1257"/>
        <v>0</v>
      </c>
      <c r="CX237" s="1330">
        <f t="shared" si="1257"/>
        <v>0</v>
      </c>
      <c r="CY237" s="1331">
        <f t="shared" si="1257"/>
        <v>0</v>
      </c>
      <c r="CZ237" s="1330">
        <f t="shared" ref="CZ237:DC237" si="1258">+CZ219-CZ201</f>
        <v>0</v>
      </c>
      <c r="DA237" s="1330">
        <f t="shared" si="1258"/>
        <v>0</v>
      </c>
      <c r="DB237" s="1330">
        <f t="shared" si="1258"/>
        <v>0</v>
      </c>
      <c r="DC237" s="1331">
        <f t="shared" si="1258"/>
        <v>0</v>
      </c>
      <c r="DD237" s="1331"/>
      <c r="DE237" s="483"/>
      <c r="DF237" s="228"/>
      <c r="DG237" s="228"/>
      <c r="DH237" s="228"/>
      <c r="DI237" s="228"/>
      <c r="DJ237" s="228"/>
      <c r="DK237" s="228"/>
      <c r="DL237" s="228"/>
      <c r="DM237" s="228"/>
      <c r="DN237" s="228"/>
      <c r="DO237" s="228"/>
      <c r="DP237" s="228"/>
      <c r="DQ237" s="228"/>
      <c r="DR237" s="228"/>
      <c r="DS237" s="228"/>
      <c r="DT237" s="228"/>
      <c r="DU237" s="1330"/>
      <c r="DV237" s="1330">
        <f t="shared" si="1236"/>
        <v>0</v>
      </c>
      <c r="DW237" s="1330">
        <f t="shared" si="1237"/>
        <v>0</v>
      </c>
      <c r="DX237" s="1330">
        <f t="shared" si="1238"/>
        <v>0</v>
      </c>
      <c r="DY237" s="1330">
        <f t="shared" si="1239"/>
        <v>0</v>
      </c>
      <c r="DZ237" s="1330">
        <f t="shared" si="1240"/>
        <v>0</v>
      </c>
      <c r="EA237" s="228">
        <f t="shared" si="1196"/>
        <v>0</v>
      </c>
      <c r="EB237" s="1330">
        <f t="shared" si="1197"/>
        <v>0</v>
      </c>
      <c r="EC237" s="1330">
        <f t="shared" si="1198"/>
        <v>0</v>
      </c>
      <c r="ED237" s="1331">
        <f t="shared" si="1199"/>
        <v>0</v>
      </c>
      <c r="EE237" s="484"/>
      <c r="EF237" s="418"/>
      <c r="EG237" s="418"/>
      <c r="EH237" s="418"/>
      <c r="EI237" s="418"/>
      <c r="EJ237" s="418"/>
      <c r="EK237" s="418"/>
      <c r="EL237" s="418"/>
      <c r="EM237" s="418"/>
      <c r="EN237" s="418"/>
      <c r="EO237" s="418"/>
      <c r="EP237" s="418"/>
      <c r="EQ237" s="418"/>
      <c r="ER237" s="418"/>
      <c r="ES237" s="418"/>
      <c r="ET237" s="418"/>
      <c r="EU237" s="418"/>
      <c r="EV237" s="418"/>
      <c r="EW237" s="418"/>
      <c r="EX237" s="418"/>
      <c r="EY237" s="418"/>
      <c r="EZ237" s="418"/>
      <c r="FA237" s="418"/>
      <c r="FB237" s="418"/>
      <c r="FC237" s="418"/>
      <c r="FD237" s="418"/>
      <c r="FE237" s="419"/>
      <c r="FF237" s="1265"/>
      <c r="FG237" s="1265"/>
      <c r="FH237" s="1265"/>
      <c r="FI237"/>
      <c r="FJ237"/>
      <c r="FK237"/>
      <c r="FL237"/>
      <c r="FM237"/>
      <c r="FN237"/>
      <c r="FO237" s="418"/>
    </row>
    <row r="238" spans="1:171" s="420" customFormat="1" ht="14.25" hidden="1" customHeight="1" outlineLevel="1">
      <c r="A238" s="418"/>
      <c r="B238" s="511"/>
      <c r="C238" s="228"/>
      <c r="D238" s="228"/>
      <c r="E238" s="228"/>
      <c r="F238" s="228"/>
      <c r="G238" s="228"/>
      <c r="H238" s="228"/>
      <c r="I238" s="228"/>
      <c r="J238" s="228"/>
      <c r="K238" s="228"/>
      <c r="L238" s="228"/>
      <c r="M238" s="228"/>
      <c r="N238" s="228"/>
      <c r="O238" s="228"/>
      <c r="P238" s="228"/>
      <c r="Q238" s="228"/>
      <c r="R238" s="228"/>
      <c r="S238" s="228"/>
      <c r="T238" s="228"/>
      <c r="U238" s="228"/>
      <c r="V238" s="228"/>
      <c r="W238" s="228"/>
      <c r="X238" s="228"/>
      <c r="Y238" s="228"/>
      <c r="Z238" s="228"/>
      <c r="AA238" s="228"/>
      <c r="AB238" s="228"/>
      <c r="AC238" s="228"/>
      <c r="AD238" s="228"/>
      <c r="AE238" s="228"/>
      <c r="AF238" s="228"/>
      <c r="AG238" s="228"/>
      <c r="AH238" s="228"/>
      <c r="AI238" s="228"/>
      <c r="AJ238" s="228"/>
      <c r="AK238" s="228"/>
      <c r="AL238" s="228"/>
      <c r="AM238" s="228"/>
      <c r="AN238" s="228"/>
      <c r="AO238" s="228"/>
      <c r="AP238" s="228"/>
      <c r="AQ238" s="228"/>
      <c r="AR238" s="228"/>
      <c r="AS238" s="228"/>
      <c r="AT238" s="228"/>
      <c r="AU238" s="228"/>
      <c r="AV238" s="228"/>
      <c r="AW238" s="228"/>
      <c r="AX238" s="228"/>
      <c r="AY238" s="228"/>
      <c r="AZ238" s="228"/>
      <c r="BA238" s="228"/>
      <c r="BB238" s="228"/>
      <c r="BC238" s="228"/>
      <c r="BD238" s="228"/>
      <c r="BE238" s="228"/>
      <c r="BF238" s="228"/>
      <c r="BG238" s="228"/>
      <c r="BH238" s="483"/>
      <c r="BI238" s="228"/>
      <c r="BJ238" s="228"/>
      <c r="BK238" s="229"/>
      <c r="BL238" s="228"/>
      <c r="BM238" s="228"/>
      <c r="BN238" s="228"/>
      <c r="BO238" s="228"/>
      <c r="BP238" s="483"/>
      <c r="BQ238" s="228"/>
      <c r="BR238" s="228"/>
      <c r="BS238" s="229"/>
      <c r="BT238" s="483"/>
      <c r="BU238" s="228"/>
      <c r="BV238" s="228"/>
      <c r="BW238" s="229"/>
      <c r="BX238" s="483"/>
      <c r="BY238" s="228"/>
      <c r="BZ238" s="228"/>
      <c r="CA238" s="229"/>
      <c r="CB238" s="483"/>
      <c r="CC238" s="228"/>
      <c r="CD238" s="228"/>
      <c r="CE238" s="229"/>
      <c r="CF238" s="483"/>
      <c r="CG238" s="228"/>
      <c r="CH238" s="228"/>
      <c r="CI238" s="229"/>
      <c r="CJ238" s="483"/>
      <c r="CK238" s="228"/>
      <c r="CL238" s="228"/>
      <c r="CM238" s="229"/>
      <c r="CN238" s="228"/>
      <c r="CO238" s="1252"/>
      <c r="CP238" s="228"/>
      <c r="CQ238" s="229"/>
      <c r="CR238" s="228"/>
      <c r="CS238" s="228"/>
      <c r="CT238" s="228"/>
      <c r="CU238" s="229"/>
      <c r="CV238" s="1330"/>
      <c r="CW238" s="1330"/>
      <c r="CX238" s="1330"/>
      <c r="CY238" s="1331"/>
      <c r="CZ238" s="1330"/>
      <c r="DA238" s="1330"/>
      <c r="DB238" s="1330"/>
      <c r="DC238" s="1331"/>
      <c r="DD238" s="1331"/>
      <c r="DE238" s="483"/>
      <c r="DF238" s="228"/>
      <c r="DG238" s="228"/>
      <c r="DH238" s="228"/>
      <c r="DI238" s="228"/>
      <c r="DJ238" s="228"/>
      <c r="DK238" s="228"/>
      <c r="DL238" s="228"/>
      <c r="DM238" s="228"/>
      <c r="DN238" s="228"/>
      <c r="DO238" s="228"/>
      <c r="DP238" s="228"/>
      <c r="DQ238" s="228"/>
      <c r="DR238" s="228"/>
      <c r="DS238" s="228"/>
      <c r="DT238" s="228"/>
      <c r="DU238" s="1330"/>
      <c r="DV238" s="1330"/>
      <c r="DW238" s="1330"/>
      <c r="DX238" s="1330"/>
      <c r="DY238" s="1330"/>
      <c r="DZ238" s="1330"/>
      <c r="EA238" s="228"/>
      <c r="EB238" s="1330"/>
      <c r="EC238" s="1330">
        <f t="shared" si="1198"/>
        <v>0</v>
      </c>
      <c r="ED238" s="1331">
        <f t="shared" si="1199"/>
        <v>0</v>
      </c>
      <c r="EE238" s="484"/>
      <c r="EF238" s="418"/>
      <c r="EG238" s="418"/>
      <c r="EH238" s="418"/>
      <c r="EI238" s="418"/>
      <c r="EJ238" s="418"/>
      <c r="EK238" s="418"/>
      <c r="EL238" s="418"/>
      <c r="EM238" s="418"/>
      <c r="EN238" s="418"/>
      <c r="EO238" s="418"/>
      <c r="EP238" s="418"/>
      <c r="EQ238" s="418"/>
      <c r="ER238" s="418"/>
      <c r="ES238" s="418"/>
      <c r="ET238" s="418"/>
      <c r="EU238" s="418"/>
      <c r="EV238" s="418"/>
      <c r="EW238" s="418"/>
      <c r="EX238" s="418"/>
      <c r="EY238" s="418"/>
      <c r="EZ238" s="418"/>
      <c r="FA238" s="418"/>
      <c r="FB238" s="418"/>
      <c r="FC238" s="418"/>
      <c r="FD238" s="418"/>
      <c r="FE238" s="419"/>
      <c r="FF238" s="1265"/>
      <c r="FG238" s="1265"/>
      <c r="FH238" s="1265"/>
      <c r="FI238"/>
      <c r="FJ238"/>
      <c r="FK238"/>
      <c r="FL238"/>
      <c r="FM238"/>
      <c r="FN238"/>
      <c r="FO238" s="418"/>
    </row>
    <row r="239" spans="1:171" s="420" customFormat="1" ht="14.25" hidden="1" customHeight="1" outlineLevel="1">
      <c r="A239" s="418"/>
      <c r="B239" s="511"/>
      <c r="C239" s="228"/>
      <c r="D239" s="228"/>
      <c r="E239" s="228"/>
      <c r="F239" s="228"/>
      <c r="G239" s="228"/>
      <c r="H239" s="228"/>
      <c r="I239" s="228"/>
      <c r="J239" s="228"/>
      <c r="K239" s="228"/>
      <c r="L239" s="228"/>
      <c r="M239" s="228"/>
      <c r="N239" s="228"/>
      <c r="O239" s="228"/>
      <c r="P239" s="228"/>
      <c r="Q239" s="228"/>
      <c r="R239" s="228"/>
      <c r="S239" s="228"/>
      <c r="T239" s="228"/>
      <c r="U239" s="228"/>
      <c r="V239" s="228"/>
      <c r="W239" s="228"/>
      <c r="X239" s="228"/>
      <c r="Y239" s="228"/>
      <c r="Z239" s="228"/>
      <c r="AA239" s="228"/>
      <c r="AB239" s="228"/>
      <c r="AC239" s="228"/>
      <c r="AD239" s="228"/>
      <c r="AE239" s="228"/>
      <c r="AF239" s="228"/>
      <c r="AG239" s="228"/>
      <c r="AH239" s="228"/>
      <c r="AI239" s="228"/>
      <c r="AJ239" s="228"/>
      <c r="AK239" s="228"/>
      <c r="AL239" s="228"/>
      <c r="AM239" s="228"/>
      <c r="AN239" s="228"/>
      <c r="AO239" s="228"/>
      <c r="AP239" s="228"/>
      <c r="AQ239" s="228"/>
      <c r="AR239" s="228"/>
      <c r="AS239" s="228"/>
      <c r="AT239" s="228"/>
      <c r="AU239" s="228"/>
      <c r="AV239" s="228"/>
      <c r="AW239" s="228"/>
      <c r="AX239" s="228"/>
      <c r="AY239" s="228"/>
      <c r="AZ239" s="228"/>
      <c r="BA239" s="228"/>
      <c r="BB239" s="228"/>
      <c r="BC239" s="228"/>
      <c r="BD239" s="228"/>
      <c r="BE239" s="228"/>
      <c r="BF239" s="228"/>
      <c r="BG239" s="228"/>
      <c r="BH239" s="483"/>
      <c r="BI239" s="228"/>
      <c r="BJ239" s="228"/>
      <c r="BK239" s="229"/>
      <c r="BL239" s="228"/>
      <c r="BM239" s="228"/>
      <c r="BN239" s="228"/>
      <c r="BO239" s="228"/>
      <c r="BP239" s="483"/>
      <c r="BQ239" s="228"/>
      <c r="BR239" s="228"/>
      <c r="BS239" s="229"/>
      <c r="BT239" s="483"/>
      <c r="BU239" s="228"/>
      <c r="BV239" s="228"/>
      <c r="BW239" s="229"/>
      <c r="BX239" s="483"/>
      <c r="BY239" s="228"/>
      <c r="BZ239" s="228"/>
      <c r="CA239" s="229"/>
      <c r="CB239" s="483"/>
      <c r="CC239" s="228"/>
      <c r="CD239" s="228"/>
      <c r="CE239" s="229"/>
      <c r="CF239" s="483"/>
      <c r="CG239" s="228"/>
      <c r="CH239" s="228"/>
      <c r="CI239" s="229"/>
      <c r="CJ239" s="483"/>
      <c r="CK239" s="228"/>
      <c r="CL239" s="228"/>
      <c r="CM239" s="229"/>
      <c r="CN239" s="228"/>
      <c r="CO239" s="1252"/>
      <c r="CP239" s="228"/>
      <c r="CQ239" s="229"/>
      <c r="CR239" s="228"/>
      <c r="CS239" s="228"/>
      <c r="CT239" s="228"/>
      <c r="CU239" s="229"/>
      <c r="CV239" s="1330"/>
      <c r="CW239" s="1330"/>
      <c r="CX239" s="1330"/>
      <c r="CY239" s="1331"/>
      <c r="CZ239" s="1330"/>
      <c r="DA239" s="1330"/>
      <c r="DB239" s="1330"/>
      <c r="DC239" s="1331"/>
      <c r="DD239" s="1331"/>
      <c r="DE239" s="483"/>
      <c r="DF239" s="228"/>
      <c r="DG239" s="228"/>
      <c r="DH239" s="228"/>
      <c r="DI239" s="228"/>
      <c r="DJ239" s="228"/>
      <c r="DK239" s="228"/>
      <c r="DL239" s="228"/>
      <c r="DM239" s="228"/>
      <c r="DN239" s="228"/>
      <c r="DO239" s="228"/>
      <c r="DP239" s="228"/>
      <c r="DQ239" s="228"/>
      <c r="DR239" s="228"/>
      <c r="DS239" s="228"/>
      <c r="DT239" s="228"/>
      <c r="DU239" s="1330"/>
      <c r="DV239" s="1330"/>
      <c r="DW239" s="1330"/>
      <c r="DX239" s="1330"/>
      <c r="DY239" s="1330"/>
      <c r="DZ239" s="1330"/>
      <c r="EA239" s="228"/>
      <c r="EB239" s="1330"/>
      <c r="EC239" s="1330">
        <f t="shared" si="1198"/>
        <v>0</v>
      </c>
      <c r="ED239" s="1331">
        <f t="shared" si="1199"/>
        <v>0</v>
      </c>
      <c r="EE239" s="484"/>
      <c r="EF239" s="418"/>
      <c r="EG239" s="418"/>
      <c r="EH239" s="418"/>
      <c r="EI239" s="418"/>
      <c r="EJ239" s="418"/>
      <c r="EK239" s="418"/>
      <c r="EL239" s="418"/>
      <c r="EM239" s="418"/>
      <c r="EN239" s="418"/>
      <c r="EO239" s="418"/>
      <c r="EP239" s="418"/>
      <c r="EQ239" s="418"/>
      <c r="ER239" s="418"/>
      <c r="ES239" s="418"/>
      <c r="ET239" s="418"/>
      <c r="EU239" s="418"/>
      <c r="EV239" s="418"/>
      <c r="EW239" s="418"/>
      <c r="EX239" s="418"/>
      <c r="EY239" s="418"/>
      <c r="EZ239" s="418"/>
      <c r="FA239" s="418"/>
      <c r="FB239" s="418"/>
      <c r="FC239" s="418"/>
      <c r="FD239" s="418"/>
      <c r="FE239" s="419"/>
      <c r="FF239" s="1265"/>
      <c r="FG239" s="1265"/>
      <c r="FH239" s="1265"/>
      <c r="FI239"/>
      <c r="FJ239"/>
      <c r="FK239"/>
      <c r="FL239"/>
      <c r="FM239"/>
      <c r="FN239"/>
      <c r="FO239" s="418"/>
    </row>
    <row r="240" spans="1:171" s="420" customFormat="1" ht="14.25" hidden="1" customHeight="1" outlineLevel="1">
      <c r="A240" s="418"/>
      <c r="B240" s="511" t="s">
        <v>238</v>
      </c>
      <c r="C240" s="228"/>
      <c r="D240" s="228"/>
      <c r="E240" s="228"/>
      <c r="F240" s="228"/>
      <c r="G240" s="228"/>
      <c r="H240" s="228"/>
      <c r="I240" s="228"/>
      <c r="J240" s="228"/>
      <c r="K240" s="228"/>
      <c r="L240" s="228"/>
      <c r="M240" s="228"/>
      <c r="N240" s="228"/>
      <c r="O240" s="228"/>
      <c r="P240" s="228"/>
      <c r="Q240" s="228"/>
      <c r="R240" s="228"/>
      <c r="S240" s="228"/>
      <c r="T240" s="228"/>
      <c r="U240" s="228"/>
      <c r="V240" s="228"/>
      <c r="W240" s="228"/>
      <c r="X240" s="228"/>
      <c r="Y240" s="228"/>
      <c r="Z240" s="228"/>
      <c r="AA240" s="228"/>
      <c r="AB240" s="228"/>
      <c r="AC240" s="228"/>
      <c r="AD240" s="228"/>
      <c r="AE240" s="228"/>
      <c r="AF240" s="228"/>
      <c r="AG240" s="228"/>
      <c r="AH240" s="228"/>
      <c r="AI240" s="228"/>
      <c r="AJ240" s="228"/>
      <c r="AK240" s="228"/>
      <c r="AL240" s="228"/>
      <c r="AM240" s="228"/>
      <c r="AN240" s="228"/>
      <c r="AO240" s="228"/>
      <c r="AP240" s="228"/>
      <c r="AQ240" s="228"/>
      <c r="AR240" s="228"/>
      <c r="AS240" s="228"/>
      <c r="AT240" s="228"/>
      <c r="AU240" s="228"/>
      <c r="AV240" s="228"/>
      <c r="AW240" s="228"/>
      <c r="AX240" s="228"/>
      <c r="AY240" s="228"/>
      <c r="AZ240" s="228"/>
      <c r="BA240" s="228"/>
      <c r="BB240" s="228"/>
      <c r="BC240" s="228"/>
      <c r="BD240" s="228"/>
      <c r="BE240" s="228"/>
      <c r="BF240" s="228"/>
      <c r="BG240" s="228"/>
      <c r="BH240" s="483"/>
      <c r="BI240" s="228"/>
      <c r="BJ240" s="228"/>
      <c r="BK240" s="229"/>
      <c r="BL240" s="228"/>
      <c r="BM240" s="228"/>
      <c r="BN240" s="228"/>
      <c r="BO240" s="228"/>
      <c r="BP240" s="483"/>
      <c r="BQ240" s="228"/>
      <c r="BR240" s="228"/>
      <c r="BS240" s="229"/>
      <c r="BT240" s="483"/>
      <c r="BU240" s="228"/>
      <c r="BV240" s="228"/>
      <c r="BW240" s="229"/>
      <c r="BX240" s="483"/>
      <c r="BY240" s="228"/>
      <c r="BZ240" s="228"/>
      <c r="CA240" s="229"/>
      <c r="CB240" s="483">
        <f t="shared" ref="CB240:CL240" si="1259">+CB222-CB204</f>
        <v>0</v>
      </c>
      <c r="CC240" s="228">
        <f t="shared" si="1259"/>
        <v>0</v>
      </c>
      <c r="CD240" s="228">
        <f t="shared" si="1259"/>
        <v>0</v>
      </c>
      <c r="CE240" s="229">
        <f t="shared" si="1259"/>
        <v>0</v>
      </c>
      <c r="CF240" s="483">
        <f t="shared" si="1259"/>
        <v>0</v>
      </c>
      <c r="CG240" s="228">
        <f t="shared" si="1259"/>
        <v>0</v>
      </c>
      <c r="CH240" s="228">
        <f t="shared" si="1259"/>
        <v>0</v>
      </c>
      <c r="CI240" s="229">
        <f t="shared" si="1259"/>
        <v>0</v>
      </c>
      <c r="CJ240" s="483">
        <f t="shared" si="1259"/>
        <v>0</v>
      </c>
      <c r="CK240" s="228">
        <f t="shared" si="1259"/>
        <v>0</v>
      </c>
      <c r="CL240" s="228">
        <f t="shared" si="1259"/>
        <v>0</v>
      </c>
      <c r="CM240" s="229">
        <f t="shared" ref="CM240" si="1260">+CM222-CM204</f>
        <v>0</v>
      </c>
      <c r="CN240" s="228">
        <f t="shared" ref="CN240:CQ242" si="1261">+CN222-CN204</f>
        <v>0</v>
      </c>
      <c r="CO240" s="1252">
        <f t="shared" si="1261"/>
        <v>0</v>
      </c>
      <c r="CP240" s="228">
        <f t="shared" si="1261"/>
        <v>0</v>
      </c>
      <c r="CQ240" s="229">
        <f t="shared" si="1261"/>
        <v>0</v>
      </c>
      <c r="CR240" s="228">
        <f t="shared" ref="CR240:CU240" si="1262">+CR222-CR204</f>
        <v>0</v>
      </c>
      <c r="CS240" s="228">
        <f t="shared" si="1262"/>
        <v>0</v>
      </c>
      <c r="CT240" s="228">
        <f t="shared" si="1262"/>
        <v>0</v>
      </c>
      <c r="CU240" s="229">
        <f t="shared" si="1262"/>
        <v>0</v>
      </c>
      <c r="CV240" s="1330">
        <f t="shared" ref="CV240:CY240" si="1263">+CV222-CV204</f>
        <v>0</v>
      </c>
      <c r="CW240" s="1330">
        <f t="shared" si="1263"/>
        <v>0</v>
      </c>
      <c r="CX240" s="1330">
        <f t="shared" si="1263"/>
        <v>0</v>
      </c>
      <c r="CY240" s="1331">
        <f t="shared" si="1263"/>
        <v>0</v>
      </c>
      <c r="CZ240" s="1330">
        <f t="shared" ref="CZ240:DC240" si="1264">+CZ222-CZ204</f>
        <v>0</v>
      </c>
      <c r="DA240" s="1330">
        <f t="shared" si="1264"/>
        <v>0</v>
      </c>
      <c r="DB240" s="1330">
        <f t="shared" si="1264"/>
        <v>0</v>
      </c>
      <c r="DC240" s="1331">
        <f t="shared" si="1264"/>
        <v>0</v>
      </c>
      <c r="DD240" s="1331"/>
      <c r="DE240" s="483"/>
      <c r="DF240" s="228"/>
      <c r="DG240" s="228"/>
      <c r="DH240" s="228"/>
      <c r="DI240" s="228"/>
      <c r="DJ240" s="228"/>
      <c r="DK240" s="228"/>
      <c r="DL240" s="228"/>
      <c r="DM240" s="228"/>
      <c r="DN240" s="228"/>
      <c r="DO240" s="228"/>
      <c r="DP240" s="228"/>
      <c r="DQ240" s="228"/>
      <c r="DR240" s="228"/>
      <c r="DS240" s="228"/>
      <c r="DT240" s="228"/>
      <c r="DU240" s="1330"/>
      <c r="DV240" s="1330">
        <f t="shared" si="1236"/>
        <v>0</v>
      </c>
      <c r="DW240" s="1330">
        <f t="shared" si="1237"/>
        <v>0</v>
      </c>
      <c r="DX240" s="1330">
        <f t="shared" si="1238"/>
        <v>0</v>
      </c>
      <c r="DY240" s="1330">
        <f t="shared" si="1239"/>
        <v>0</v>
      </c>
      <c r="DZ240" s="1330">
        <f t="shared" si="1240"/>
        <v>0</v>
      </c>
      <c r="EA240" s="228">
        <f t="shared" si="1196"/>
        <v>0</v>
      </c>
      <c r="EB240" s="1330">
        <f t="shared" ref="EB240:EB243" si="1265">+SUM(CR240:CU240)</f>
        <v>0</v>
      </c>
      <c r="EC240" s="1330">
        <f t="shared" si="1198"/>
        <v>0</v>
      </c>
      <c r="ED240" s="1331">
        <f t="shared" si="1199"/>
        <v>0</v>
      </c>
      <c r="EE240" s="484"/>
      <c r="EF240" s="418"/>
      <c r="EG240" s="418"/>
      <c r="EH240" s="418"/>
      <c r="EI240" s="418"/>
      <c r="EJ240" s="418"/>
      <c r="EK240" s="418"/>
      <c r="EL240" s="418"/>
      <c r="EM240" s="418"/>
      <c r="EN240" s="418"/>
      <c r="EO240" s="418"/>
      <c r="EP240" s="418"/>
      <c r="EQ240" s="418"/>
      <c r="ER240" s="418"/>
      <c r="ES240" s="418"/>
      <c r="ET240" s="418"/>
      <c r="EU240" s="418"/>
      <c r="EV240" s="418"/>
      <c r="EW240" s="418"/>
      <c r="EX240" s="418"/>
      <c r="EY240" s="418"/>
      <c r="EZ240" s="418"/>
      <c r="FA240" s="418"/>
      <c r="FB240" s="418"/>
      <c r="FC240" s="418"/>
      <c r="FD240" s="418"/>
      <c r="FE240" s="419"/>
      <c r="FF240" s="1265"/>
      <c r="FG240" s="1265"/>
      <c r="FH240" s="1265"/>
      <c r="FI240"/>
      <c r="FJ240"/>
      <c r="FK240"/>
      <c r="FL240"/>
      <c r="FM240"/>
      <c r="FN240"/>
      <c r="FO240" s="418"/>
    </row>
    <row r="241" spans="1:171" s="420" customFormat="1" ht="14.25" hidden="1" customHeight="1" outlineLevel="1">
      <c r="A241" s="418"/>
      <c r="B241" s="511" t="s">
        <v>239</v>
      </c>
      <c r="C241" s="228"/>
      <c r="D241" s="228"/>
      <c r="E241" s="228"/>
      <c r="F241" s="228"/>
      <c r="G241" s="228"/>
      <c r="H241" s="228"/>
      <c r="I241" s="228"/>
      <c r="J241" s="228"/>
      <c r="K241" s="228"/>
      <c r="L241" s="228"/>
      <c r="M241" s="228"/>
      <c r="N241" s="228"/>
      <c r="O241" s="228"/>
      <c r="P241" s="228"/>
      <c r="Q241" s="228"/>
      <c r="R241" s="228"/>
      <c r="S241" s="228"/>
      <c r="T241" s="228"/>
      <c r="U241" s="228"/>
      <c r="V241" s="228"/>
      <c r="W241" s="228"/>
      <c r="X241" s="228"/>
      <c r="Y241" s="228"/>
      <c r="Z241" s="228"/>
      <c r="AA241" s="228"/>
      <c r="AB241" s="228"/>
      <c r="AC241" s="228"/>
      <c r="AD241" s="228"/>
      <c r="AE241" s="228"/>
      <c r="AF241" s="228"/>
      <c r="AG241" s="228"/>
      <c r="AH241" s="228"/>
      <c r="AI241" s="228"/>
      <c r="AJ241" s="228"/>
      <c r="AK241" s="228"/>
      <c r="AL241" s="228"/>
      <c r="AM241" s="228"/>
      <c r="AN241" s="228"/>
      <c r="AO241" s="228"/>
      <c r="AP241" s="228"/>
      <c r="AQ241" s="228"/>
      <c r="AR241" s="228"/>
      <c r="AS241" s="228"/>
      <c r="AT241" s="228"/>
      <c r="AU241" s="228"/>
      <c r="AV241" s="228"/>
      <c r="AW241" s="228"/>
      <c r="AX241" s="228"/>
      <c r="AY241" s="228"/>
      <c r="AZ241" s="228"/>
      <c r="BA241" s="228"/>
      <c r="BB241" s="228"/>
      <c r="BC241" s="228"/>
      <c r="BD241" s="228"/>
      <c r="BE241" s="228"/>
      <c r="BF241" s="228"/>
      <c r="BG241" s="228"/>
      <c r="BH241" s="483"/>
      <c r="BI241" s="228"/>
      <c r="BJ241" s="228"/>
      <c r="BK241" s="229"/>
      <c r="BL241" s="228"/>
      <c r="BM241" s="228"/>
      <c r="BN241" s="228"/>
      <c r="BO241" s="228"/>
      <c r="BP241" s="483"/>
      <c r="BQ241" s="228"/>
      <c r="BR241" s="228"/>
      <c r="BS241" s="229"/>
      <c r="BT241" s="483"/>
      <c r="BU241" s="228"/>
      <c r="BV241" s="228"/>
      <c r="BW241" s="229"/>
      <c r="BX241" s="483"/>
      <c r="BY241" s="228"/>
      <c r="BZ241" s="228"/>
      <c r="CA241" s="229"/>
      <c r="CB241" s="483">
        <f t="shared" ref="CB241:CL241" si="1266">+CB223-CB205</f>
        <v>0</v>
      </c>
      <c r="CC241" s="228">
        <f t="shared" si="1266"/>
        <v>0</v>
      </c>
      <c r="CD241" s="228">
        <f t="shared" si="1266"/>
        <v>0</v>
      </c>
      <c r="CE241" s="229">
        <f t="shared" si="1266"/>
        <v>0</v>
      </c>
      <c r="CF241" s="483">
        <f t="shared" si="1266"/>
        <v>0</v>
      </c>
      <c r="CG241" s="228">
        <f t="shared" si="1266"/>
        <v>0</v>
      </c>
      <c r="CH241" s="228">
        <f t="shared" si="1266"/>
        <v>0</v>
      </c>
      <c r="CI241" s="229">
        <f t="shared" si="1266"/>
        <v>0</v>
      </c>
      <c r="CJ241" s="483">
        <f t="shared" si="1266"/>
        <v>0</v>
      </c>
      <c r="CK241" s="228">
        <f t="shared" si="1266"/>
        <v>0</v>
      </c>
      <c r="CL241" s="228">
        <f t="shared" si="1266"/>
        <v>0</v>
      </c>
      <c r="CM241" s="229">
        <f t="shared" ref="CM241" si="1267">+CM223-CM205</f>
        <v>0</v>
      </c>
      <c r="CN241" s="228">
        <f t="shared" ref="CN241:CQ241" si="1268">+CN223-CN205</f>
        <v>0</v>
      </c>
      <c r="CO241" s="1252">
        <f t="shared" si="1261"/>
        <v>0</v>
      </c>
      <c r="CP241" s="228">
        <f t="shared" si="1268"/>
        <v>0</v>
      </c>
      <c r="CQ241" s="229">
        <f t="shared" si="1268"/>
        <v>0</v>
      </c>
      <c r="CR241" s="228">
        <f t="shared" ref="CR241:CU241" si="1269">+CR223-CR205</f>
        <v>0</v>
      </c>
      <c r="CS241" s="228">
        <f t="shared" si="1269"/>
        <v>0</v>
      </c>
      <c r="CT241" s="228">
        <f t="shared" si="1269"/>
        <v>0</v>
      </c>
      <c r="CU241" s="229">
        <f t="shared" si="1269"/>
        <v>0</v>
      </c>
      <c r="CV241" s="1330">
        <f t="shared" ref="CV241:CY241" si="1270">+CV223-CV205</f>
        <v>0</v>
      </c>
      <c r="CW241" s="1330">
        <f t="shared" si="1270"/>
        <v>0</v>
      </c>
      <c r="CX241" s="1330">
        <f t="shared" si="1270"/>
        <v>0</v>
      </c>
      <c r="CY241" s="1331">
        <f t="shared" si="1270"/>
        <v>0</v>
      </c>
      <c r="CZ241" s="1330">
        <f t="shared" ref="CZ241:DC241" si="1271">+CZ223-CZ205</f>
        <v>0</v>
      </c>
      <c r="DA241" s="1330">
        <f t="shared" si="1271"/>
        <v>0</v>
      </c>
      <c r="DB241" s="1330">
        <f t="shared" si="1271"/>
        <v>0</v>
      </c>
      <c r="DC241" s="1331">
        <f t="shared" si="1271"/>
        <v>0</v>
      </c>
      <c r="DD241" s="1331"/>
      <c r="DE241" s="483"/>
      <c r="DF241" s="228"/>
      <c r="DG241" s="228"/>
      <c r="DH241" s="228"/>
      <c r="DI241" s="228"/>
      <c r="DJ241" s="228"/>
      <c r="DK241" s="228"/>
      <c r="DL241" s="228"/>
      <c r="DM241" s="228"/>
      <c r="DN241" s="228"/>
      <c r="DO241" s="228"/>
      <c r="DP241" s="228"/>
      <c r="DQ241" s="228"/>
      <c r="DR241" s="228"/>
      <c r="DS241" s="228"/>
      <c r="DT241" s="228"/>
      <c r="DU241" s="1330"/>
      <c r="DV241" s="1330">
        <f t="shared" si="1236"/>
        <v>0</v>
      </c>
      <c r="DW241" s="1330">
        <f t="shared" si="1237"/>
        <v>0</v>
      </c>
      <c r="DX241" s="1330">
        <f t="shared" si="1238"/>
        <v>0</v>
      </c>
      <c r="DY241" s="1330">
        <f t="shared" si="1239"/>
        <v>0</v>
      </c>
      <c r="DZ241" s="1330">
        <f t="shared" si="1240"/>
        <v>0</v>
      </c>
      <c r="EA241" s="228">
        <f t="shared" si="1196"/>
        <v>0</v>
      </c>
      <c r="EB241" s="1330">
        <f t="shared" si="1265"/>
        <v>0</v>
      </c>
      <c r="EC241" s="1330">
        <f t="shared" si="1198"/>
        <v>0</v>
      </c>
      <c r="ED241" s="1331">
        <f t="shared" si="1199"/>
        <v>0</v>
      </c>
      <c r="EE241" s="484"/>
      <c r="EF241" s="418"/>
      <c r="EG241" s="418"/>
      <c r="EH241" s="418"/>
      <c r="EI241" s="418"/>
      <c r="EJ241" s="418"/>
      <c r="EK241" s="418"/>
      <c r="EL241" s="418"/>
      <c r="EM241" s="418"/>
      <c r="EN241" s="418"/>
      <c r="EO241" s="418"/>
      <c r="EP241" s="418"/>
      <c r="EQ241" s="418"/>
      <c r="ER241" s="418"/>
      <c r="ES241" s="418"/>
      <c r="ET241" s="418"/>
      <c r="EU241" s="418"/>
      <c r="EV241" s="418"/>
      <c r="EW241" s="418"/>
      <c r="EX241" s="418"/>
      <c r="EY241" s="418"/>
      <c r="EZ241" s="418"/>
      <c r="FA241" s="418"/>
      <c r="FB241" s="418"/>
      <c r="FC241" s="418"/>
      <c r="FD241" s="418"/>
      <c r="FE241" s="419"/>
      <c r="FF241" s="1265"/>
      <c r="FG241" s="1265"/>
      <c r="FH241" s="1265"/>
      <c r="FI241"/>
      <c r="FJ241"/>
      <c r="FK241"/>
      <c r="FL241"/>
      <c r="FM241"/>
      <c r="FN241"/>
      <c r="FO241" s="418"/>
    </row>
    <row r="242" spans="1:171" s="420" customFormat="1" ht="14.25" hidden="1" customHeight="1" outlineLevel="1">
      <c r="A242" s="418"/>
      <c r="B242" s="511" t="s">
        <v>126</v>
      </c>
      <c r="C242" s="228"/>
      <c r="D242" s="228"/>
      <c r="E242" s="228"/>
      <c r="F242" s="228"/>
      <c r="G242" s="228"/>
      <c r="H242" s="228"/>
      <c r="I242" s="228"/>
      <c r="J242" s="228"/>
      <c r="K242" s="228"/>
      <c r="L242" s="228"/>
      <c r="M242" s="228"/>
      <c r="N242" s="228"/>
      <c r="O242" s="228"/>
      <c r="P242" s="228"/>
      <c r="Q242" s="228"/>
      <c r="R242" s="228"/>
      <c r="S242" s="228"/>
      <c r="T242" s="228"/>
      <c r="U242" s="228"/>
      <c r="V242" s="228"/>
      <c r="W242" s="228"/>
      <c r="X242" s="228"/>
      <c r="Y242" s="228"/>
      <c r="Z242" s="228"/>
      <c r="AA242" s="228"/>
      <c r="AB242" s="228"/>
      <c r="AC242" s="228"/>
      <c r="AD242" s="228"/>
      <c r="AE242" s="228"/>
      <c r="AF242" s="228"/>
      <c r="AG242" s="228"/>
      <c r="AH242" s="228"/>
      <c r="AI242" s="228"/>
      <c r="AJ242" s="228"/>
      <c r="AK242" s="228"/>
      <c r="AL242" s="228"/>
      <c r="AM242" s="228"/>
      <c r="AN242" s="228"/>
      <c r="AO242" s="228"/>
      <c r="AP242" s="228"/>
      <c r="AQ242" s="228"/>
      <c r="AR242" s="228"/>
      <c r="AS242" s="228"/>
      <c r="AT242" s="228"/>
      <c r="AU242" s="228"/>
      <c r="AV242" s="228"/>
      <c r="AW242" s="228"/>
      <c r="AX242" s="228"/>
      <c r="AY242" s="228"/>
      <c r="AZ242" s="228"/>
      <c r="BA242" s="228"/>
      <c r="BB242" s="228"/>
      <c r="BC242" s="228"/>
      <c r="BD242" s="228"/>
      <c r="BE242" s="228"/>
      <c r="BF242" s="228"/>
      <c r="BG242" s="228"/>
      <c r="BH242" s="483"/>
      <c r="BI242" s="228"/>
      <c r="BJ242" s="228"/>
      <c r="BK242" s="229"/>
      <c r="BL242" s="228"/>
      <c r="BM242" s="228"/>
      <c r="BN242" s="228"/>
      <c r="BO242" s="228"/>
      <c r="BP242" s="483"/>
      <c r="BQ242" s="228"/>
      <c r="BR242" s="228"/>
      <c r="BS242" s="229"/>
      <c r="BT242" s="483"/>
      <c r="BU242" s="228"/>
      <c r="BV242" s="228"/>
      <c r="BW242" s="229"/>
      <c r="BX242" s="483"/>
      <c r="BY242" s="228"/>
      <c r="BZ242" s="228"/>
      <c r="CA242" s="229"/>
      <c r="CB242" s="483">
        <f t="shared" ref="CB242:CL242" si="1272">+CB224-CB206</f>
        <v>0</v>
      </c>
      <c r="CC242" s="228">
        <f t="shared" si="1272"/>
        <v>-0.21700000000000053</v>
      </c>
      <c r="CD242" s="228">
        <f t="shared" si="1272"/>
        <v>0</v>
      </c>
      <c r="CE242" s="229">
        <f t="shared" si="1272"/>
        <v>0</v>
      </c>
      <c r="CF242" s="483">
        <f t="shared" si="1272"/>
        <v>0</v>
      </c>
      <c r="CG242" s="228">
        <f t="shared" si="1272"/>
        <v>-2.9845000000000006</v>
      </c>
      <c r="CH242" s="228">
        <f t="shared" si="1272"/>
        <v>0</v>
      </c>
      <c r="CI242" s="229">
        <f t="shared" si="1272"/>
        <v>1.9131054631969242</v>
      </c>
      <c r="CJ242" s="483">
        <f t="shared" si="1272"/>
        <v>0</v>
      </c>
      <c r="CK242" s="228">
        <f t="shared" si="1272"/>
        <v>0</v>
      </c>
      <c r="CL242" s="228">
        <f t="shared" si="1272"/>
        <v>0</v>
      </c>
      <c r="CM242" s="229">
        <f t="shared" ref="CM242" si="1273">+CM224-CM206</f>
        <v>0</v>
      </c>
      <c r="CN242" s="228">
        <f t="shared" ref="CN242:CQ242" si="1274">+CN224-CN206</f>
        <v>0</v>
      </c>
      <c r="CO242" s="1252">
        <f t="shared" si="1261"/>
        <v>0</v>
      </c>
      <c r="CP242" s="228">
        <f t="shared" si="1274"/>
        <v>0</v>
      </c>
      <c r="CQ242" s="229">
        <f t="shared" si="1274"/>
        <v>0</v>
      </c>
      <c r="CR242" s="228">
        <f t="shared" ref="CR242:CU242" si="1275">+CR224-CR206</f>
        <v>0</v>
      </c>
      <c r="CS242" s="228">
        <f t="shared" si="1275"/>
        <v>0</v>
      </c>
      <c r="CT242" s="228">
        <f t="shared" si="1275"/>
        <v>0</v>
      </c>
      <c r="CU242" s="229">
        <f t="shared" si="1275"/>
        <v>0</v>
      </c>
      <c r="CV242" s="1330">
        <f t="shared" ref="CV242:CY242" si="1276">+CV224-CV206</f>
        <v>0</v>
      </c>
      <c r="CW242" s="1330">
        <f t="shared" si="1276"/>
        <v>0</v>
      </c>
      <c r="CX242" s="1330">
        <f t="shared" si="1276"/>
        <v>0</v>
      </c>
      <c r="CY242" s="1331">
        <f t="shared" si="1276"/>
        <v>0</v>
      </c>
      <c r="CZ242" s="1330">
        <f t="shared" ref="CZ242:DC242" si="1277">+CZ224-CZ206</f>
        <v>0</v>
      </c>
      <c r="DA242" s="1330">
        <f t="shared" si="1277"/>
        <v>0</v>
      </c>
      <c r="DB242" s="1330">
        <f t="shared" si="1277"/>
        <v>0</v>
      </c>
      <c r="DC242" s="1331">
        <f t="shared" si="1277"/>
        <v>0</v>
      </c>
      <c r="DD242" s="1331"/>
      <c r="DE242" s="483"/>
      <c r="DF242" s="228"/>
      <c r="DG242" s="228"/>
      <c r="DH242" s="228"/>
      <c r="DI242" s="228"/>
      <c r="DJ242" s="228"/>
      <c r="DK242" s="228"/>
      <c r="DL242" s="228"/>
      <c r="DM242" s="228"/>
      <c r="DN242" s="228"/>
      <c r="DO242" s="228"/>
      <c r="DP242" s="228"/>
      <c r="DQ242" s="228"/>
      <c r="DR242" s="228"/>
      <c r="DS242" s="228"/>
      <c r="DT242" s="228"/>
      <c r="DU242" s="1330"/>
      <c r="DV242" s="1330">
        <f t="shared" si="1236"/>
        <v>0</v>
      </c>
      <c r="DW242" s="1330">
        <f t="shared" si="1237"/>
        <v>0</v>
      </c>
      <c r="DX242" s="1330">
        <f t="shared" si="1238"/>
        <v>-0.21700000000000053</v>
      </c>
      <c r="DY242" s="1330">
        <f t="shared" si="1239"/>
        <v>-1.0713945368030764</v>
      </c>
      <c r="DZ242" s="1330">
        <f t="shared" si="1240"/>
        <v>0</v>
      </c>
      <c r="EA242" s="228">
        <f t="shared" si="1196"/>
        <v>0</v>
      </c>
      <c r="EB242" s="1330">
        <f t="shared" si="1265"/>
        <v>0</v>
      </c>
      <c r="EC242" s="1330">
        <f t="shared" si="1198"/>
        <v>0</v>
      </c>
      <c r="ED242" s="1331">
        <f t="shared" si="1199"/>
        <v>0</v>
      </c>
      <c r="EE242" s="484"/>
      <c r="EF242" s="418"/>
      <c r="EG242" s="418"/>
      <c r="EH242" s="418"/>
      <c r="EI242" s="418"/>
      <c r="EJ242" s="418"/>
      <c r="EK242" s="418"/>
      <c r="EL242" s="418"/>
      <c r="EM242" s="418"/>
      <c r="EN242" s="418"/>
      <c r="EO242" s="418"/>
      <c r="EP242" s="418"/>
      <c r="EQ242" s="418"/>
      <c r="ER242" s="418"/>
      <c r="ES242" s="418"/>
      <c r="ET242" s="418"/>
      <c r="EU242" s="418"/>
      <c r="EV242" s="418"/>
      <c r="EW242" s="418"/>
      <c r="EX242" s="418"/>
      <c r="EY242" s="418"/>
      <c r="EZ242" s="418"/>
      <c r="FA242" s="418"/>
      <c r="FB242" s="418"/>
      <c r="FC242" s="418"/>
      <c r="FD242" s="418"/>
      <c r="FE242" s="419"/>
      <c r="FF242" s="1265"/>
      <c r="FG242" s="1265"/>
      <c r="FH242" s="1265"/>
      <c r="FI242"/>
      <c r="FJ242"/>
      <c r="FK242"/>
      <c r="FL242"/>
      <c r="FM242"/>
      <c r="FN242"/>
      <c r="FO242" s="418"/>
    </row>
    <row r="243" spans="1:171" s="423" customFormat="1" ht="14.25" hidden="1" customHeight="1" outlineLevel="1">
      <c r="A243" s="421"/>
      <c r="B243" s="517" t="s">
        <v>121</v>
      </c>
      <c r="C243" s="492"/>
      <c r="D243" s="492"/>
      <c r="E243" s="492"/>
      <c r="F243" s="492"/>
      <c r="G243" s="492"/>
      <c r="H243" s="492"/>
      <c r="I243" s="492"/>
      <c r="J243" s="492"/>
      <c r="K243" s="492"/>
      <c r="L243" s="492"/>
      <c r="M243" s="492"/>
      <c r="N243" s="492"/>
      <c r="O243" s="492"/>
      <c r="P243" s="492"/>
      <c r="Q243" s="492"/>
      <c r="R243" s="492"/>
      <c r="S243" s="492"/>
      <c r="T243" s="492"/>
      <c r="U243" s="492"/>
      <c r="V243" s="492"/>
      <c r="W243" s="492"/>
      <c r="X243" s="492"/>
      <c r="Y243" s="492"/>
      <c r="Z243" s="492"/>
      <c r="AA243" s="492"/>
      <c r="AB243" s="492"/>
      <c r="AC243" s="492"/>
      <c r="AD243" s="492"/>
      <c r="AE243" s="492"/>
      <c r="AF243" s="492"/>
      <c r="AG243" s="492"/>
      <c r="AH243" s="492"/>
      <c r="AI243" s="492"/>
      <c r="AJ243" s="492"/>
      <c r="AK243" s="492"/>
      <c r="AL243" s="492"/>
      <c r="AM243" s="492"/>
      <c r="AN243" s="492"/>
      <c r="AO243" s="492"/>
      <c r="AP243" s="492"/>
      <c r="AQ243" s="492"/>
      <c r="AR243" s="492"/>
      <c r="AS243" s="492"/>
      <c r="AT243" s="492"/>
      <c r="AU243" s="492"/>
      <c r="AV243" s="492"/>
      <c r="AW243" s="492"/>
      <c r="AX243" s="492"/>
      <c r="AY243" s="492"/>
      <c r="AZ243" s="492"/>
      <c r="BA243" s="492"/>
      <c r="BB243" s="492"/>
      <c r="BC243" s="492"/>
      <c r="BD243" s="492"/>
      <c r="BE243" s="492"/>
      <c r="BF243" s="492"/>
      <c r="BG243" s="492"/>
      <c r="BH243" s="491"/>
      <c r="BI243" s="492"/>
      <c r="BJ243" s="492"/>
      <c r="BK243" s="493"/>
      <c r="BL243" s="492"/>
      <c r="BM243" s="492"/>
      <c r="BN243" s="492"/>
      <c r="BO243" s="492"/>
      <c r="BP243" s="491"/>
      <c r="BQ243" s="492"/>
      <c r="BR243" s="492"/>
      <c r="BS243" s="493"/>
      <c r="BT243" s="491"/>
      <c r="BU243" s="492"/>
      <c r="BV243" s="492">
        <f t="shared" ref="BV243:CL243" si="1278">+SUM(BV228:BV233)</f>
        <v>19.138593750000002</v>
      </c>
      <c r="BW243" s="493">
        <f t="shared" si="1278"/>
        <v>25.049843750000001</v>
      </c>
      <c r="BX243" s="491">
        <f t="shared" si="1278"/>
        <v>25.465343749999999</v>
      </c>
      <c r="BY243" s="492">
        <f t="shared" si="1278"/>
        <v>25.897343750000001</v>
      </c>
      <c r="BZ243" s="492">
        <f t="shared" si="1278"/>
        <v>26.362339085937499</v>
      </c>
      <c r="CA243" s="493">
        <f t="shared" si="1278"/>
        <v>26.835776640744143</v>
      </c>
      <c r="CB243" s="491">
        <f t="shared" si="1278"/>
        <v>27.317811282331192</v>
      </c>
      <c r="CC243" s="492">
        <f t="shared" si="1278"/>
        <v>27.808600746730384</v>
      </c>
      <c r="CD243" s="492">
        <f t="shared" si="1278"/>
        <v>28.308305691670192</v>
      </c>
      <c r="CE243" s="493">
        <f t="shared" si="1278"/>
        <v>33.198377425938034</v>
      </c>
      <c r="CF243" s="491">
        <f t="shared" si="1278"/>
        <v>15.981754378709468</v>
      </c>
      <c r="CG243" s="492">
        <f t="shared" si="1278"/>
        <v>11.44357186423828</v>
      </c>
      <c r="CH243" s="492">
        <f t="shared" si="1278"/>
        <v>11.62901965175705</v>
      </c>
      <c r="CI243" s="493">
        <f t="shared" si="1278"/>
        <v>11.817486229525583</v>
      </c>
      <c r="CJ243" s="491">
        <f>+SUM(CJ228:CJ233)</f>
        <v>12.009020958484207</v>
      </c>
      <c r="CK243" s="492">
        <f t="shared" si="1278"/>
        <v>12.203674010246441</v>
      </c>
      <c r="CL243" s="492">
        <f t="shared" si="1278"/>
        <v>12.401496380470423</v>
      </c>
      <c r="CM243" s="493">
        <f t="shared" ref="CM243" si="1279">+SUM(CM228:CM233)</f>
        <v>12.602539902451829</v>
      </c>
      <c r="CN243" s="492">
        <f>+SUM(CN228:CN233)</f>
        <v>12.806857260941964</v>
      </c>
      <c r="CO243" s="1272">
        <f t="shared" ref="CO243" si="1280">+SUM(CO228:CO233)</f>
        <v>13.014502006194743</v>
      </c>
      <c r="CP243" s="492">
        <f t="shared" ref="CP243:CQ243" si="1281">+SUM(CP228:CP233)</f>
        <v>13.225528568246375</v>
      </c>
      <c r="CQ243" s="493">
        <f t="shared" si="1281"/>
        <v>13.439992271431638</v>
      </c>
      <c r="CR243" s="492">
        <f t="shared" ref="CR243:CU243" si="1282">+SUM(CR228:CR233)</f>
        <v>13.65794934914069</v>
      </c>
      <c r="CS243" s="492">
        <f t="shared" si="1282"/>
        <v>13.879456958820352</v>
      </c>
      <c r="CT243" s="492">
        <f t="shared" si="1282"/>
        <v>14.104573197224026</v>
      </c>
      <c r="CU243" s="493">
        <f t="shared" si="1282"/>
        <v>14.333357115914295</v>
      </c>
      <c r="CV243" s="492">
        <f t="shared" ref="CV243:CY243" si="1283">+SUM(CV228:CV233)</f>
        <v>14.565868737022484</v>
      </c>
      <c r="CW243" s="492">
        <f t="shared" si="1283"/>
        <v>14.802169069269386</v>
      </c>
      <c r="CX243" s="492">
        <f t="shared" si="1283"/>
        <v>15.042320124251582</v>
      </c>
      <c r="CY243" s="493">
        <f t="shared" si="1283"/>
        <v>15.286384932997677</v>
      </c>
      <c r="CZ243" s="492">
        <f t="shared" ref="CZ243:DC243" si="1284">+SUM(CZ228:CZ233)</f>
        <v>15.53442756279904</v>
      </c>
      <c r="DA243" s="492">
        <f t="shared" si="1284"/>
        <v>15.786513134319545</v>
      </c>
      <c r="DB243" s="492">
        <f t="shared" si="1284"/>
        <v>16.042707838989003</v>
      </c>
      <c r="DC243" s="493">
        <f t="shared" si="1284"/>
        <v>16.303078956684963</v>
      </c>
      <c r="DD243" s="490"/>
      <c r="DE243" s="491"/>
      <c r="DF243" s="492"/>
      <c r="DG243" s="492"/>
      <c r="DH243" s="492"/>
      <c r="DI243" s="492"/>
      <c r="DJ243" s="492"/>
      <c r="DK243" s="492"/>
      <c r="DL243" s="492"/>
      <c r="DM243" s="492"/>
      <c r="DN243" s="492"/>
      <c r="DO243" s="492"/>
      <c r="DP243" s="492"/>
      <c r="DQ243" s="492"/>
      <c r="DR243" s="492"/>
      <c r="DS243" s="492"/>
      <c r="DT243" s="492"/>
      <c r="DU243" s="492"/>
      <c r="DV243" s="492">
        <f>+SUM(DV228:DV233)</f>
        <v>44.188437499999999</v>
      </c>
      <c r="DW243" s="492">
        <f>+SUM(DW228:DW233)</f>
        <v>104.56080322668163</v>
      </c>
      <c r="DX243" s="492">
        <f>+SUM(DX228:DX233)</f>
        <v>116.6330951466698</v>
      </c>
      <c r="DY243" s="492">
        <f>+SUM(DY228:DY233)</f>
        <v>50.87183212423038</v>
      </c>
      <c r="DZ243" s="492">
        <f t="shared" si="1195"/>
        <v>49.216731251652902</v>
      </c>
      <c r="EA243" s="492">
        <f t="shared" si="1196"/>
        <v>52.486880106814723</v>
      </c>
      <c r="EB243" s="492">
        <f t="shared" si="1265"/>
        <v>55.975336621099366</v>
      </c>
      <c r="EC243" s="492">
        <f t="shared" si="1198"/>
        <v>59.696742863541132</v>
      </c>
      <c r="ED243" s="493">
        <f t="shared" si="1199"/>
        <v>63.666727492792553</v>
      </c>
      <c r="EE243" s="489"/>
      <c r="EF243" s="421"/>
      <c r="EG243" s="421"/>
      <c r="EH243" s="421"/>
      <c r="EI243" s="421"/>
      <c r="EJ243" s="421"/>
      <c r="EK243" s="421"/>
      <c r="EL243" s="421"/>
      <c r="EM243" s="421"/>
      <c r="EN243" s="421"/>
      <c r="EO243" s="421"/>
      <c r="EP243" s="421"/>
      <c r="EQ243" s="421"/>
      <c r="ER243" s="421"/>
      <c r="ES243" s="421"/>
      <c r="ET243" s="421"/>
      <c r="EU243" s="421"/>
      <c r="EV243" s="421"/>
      <c r="EW243" s="421"/>
      <c r="EX243" s="421"/>
      <c r="EY243" s="421"/>
      <c r="EZ243" s="421"/>
      <c r="FA243" s="421"/>
      <c r="FB243" s="421"/>
      <c r="FC243" s="421"/>
      <c r="FD243" s="421"/>
      <c r="FE243" s="422"/>
      <c r="FF243" s="422"/>
      <c r="FG243" s="422"/>
      <c r="FH243" s="422"/>
      <c r="FI243"/>
      <c r="FJ243"/>
      <c r="FK243"/>
      <c r="FL243"/>
      <c r="FM243"/>
      <c r="FN243"/>
      <c r="FO243" s="421"/>
    </row>
    <row r="244" spans="1:171" ht="14.25" hidden="1" customHeight="1" outlineLevel="1">
      <c r="A244" s="7"/>
      <c r="B244" s="451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1224"/>
      <c r="CP244" s="7"/>
      <c r="CQ244" s="7"/>
      <c r="CR244" s="7"/>
      <c r="CS244" s="7"/>
      <c r="CT244" s="7"/>
      <c r="CU244" s="7"/>
      <c r="CV244" s="7"/>
      <c r="CW244" s="7"/>
      <c r="CX244" s="7"/>
      <c r="CY244" s="7"/>
      <c r="CZ244" s="7"/>
      <c r="DA244" s="7"/>
      <c r="DB244" s="7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13"/>
      <c r="FF244" s="13"/>
      <c r="FG244" s="13"/>
      <c r="FH244" s="13"/>
      <c r="FO244" s="7"/>
    </row>
    <row r="245" spans="1:171" ht="14.25" hidden="1" customHeight="1" outlineLevel="1">
      <c r="A245" s="7"/>
      <c r="B245" s="451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1224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/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13"/>
      <c r="FF245" s="13"/>
      <c r="FG245" s="13"/>
      <c r="FH245" s="13"/>
      <c r="FO245" s="7"/>
    </row>
    <row r="246" spans="1:171" ht="14.25" hidden="1" customHeight="1" outlineLevel="1">
      <c r="A246" s="7"/>
      <c r="B246" s="455" t="s">
        <v>186</v>
      </c>
      <c r="C246" s="456"/>
      <c r="D246" s="468" t="str">
        <f>+D$6</f>
        <v>F1Q95A</v>
      </c>
      <c r="E246" s="571" t="str">
        <f t="shared" ref="E246:BP246" si="1285">+E$6</f>
        <v>F2Q95A</v>
      </c>
      <c r="F246" s="571" t="str">
        <f t="shared" si="1285"/>
        <v>F3Q95A</v>
      </c>
      <c r="G246" s="571" t="str">
        <f t="shared" si="1285"/>
        <v>F4Q95A</v>
      </c>
      <c r="H246" s="571" t="str">
        <f t="shared" si="1285"/>
        <v>F1Q96A</v>
      </c>
      <c r="I246" s="571" t="str">
        <f t="shared" si="1285"/>
        <v>F2Q96A</v>
      </c>
      <c r="J246" s="571" t="str">
        <f t="shared" si="1285"/>
        <v>F3Q96A</v>
      </c>
      <c r="K246" s="571" t="str">
        <f t="shared" si="1285"/>
        <v>F4Q96A</v>
      </c>
      <c r="L246" s="571" t="str">
        <f t="shared" si="1285"/>
        <v>F1Q97A</v>
      </c>
      <c r="M246" s="571" t="str">
        <f t="shared" si="1285"/>
        <v>F2Q97A</v>
      </c>
      <c r="N246" s="571" t="str">
        <f t="shared" si="1285"/>
        <v>F3Q97A</v>
      </c>
      <c r="O246" s="571" t="str">
        <f t="shared" si="1285"/>
        <v>F4Q97A</v>
      </c>
      <c r="P246" s="571" t="str">
        <f t="shared" si="1285"/>
        <v>F1Q98A</v>
      </c>
      <c r="Q246" s="571" t="str">
        <f t="shared" si="1285"/>
        <v>F2Q98A</v>
      </c>
      <c r="R246" s="571" t="str">
        <f t="shared" si="1285"/>
        <v>F3Q98A</v>
      </c>
      <c r="S246" s="571" t="str">
        <f t="shared" si="1285"/>
        <v>F4Q98A</v>
      </c>
      <c r="T246" s="571" t="str">
        <f t="shared" si="1285"/>
        <v>F1Q99A</v>
      </c>
      <c r="U246" s="571" t="str">
        <f t="shared" si="1285"/>
        <v>F2Q99A</v>
      </c>
      <c r="V246" s="571" t="str">
        <f t="shared" si="1285"/>
        <v>F3Q99A</v>
      </c>
      <c r="W246" s="571" t="str">
        <f t="shared" si="1285"/>
        <v>F4Q99A</v>
      </c>
      <c r="X246" s="571" t="str">
        <f t="shared" si="1285"/>
        <v>F1Q00A</v>
      </c>
      <c r="Y246" s="571" t="str">
        <f t="shared" si="1285"/>
        <v>F2Q00A</v>
      </c>
      <c r="Z246" s="571" t="str">
        <f t="shared" si="1285"/>
        <v>F3Q00A</v>
      </c>
      <c r="AA246" s="571" t="str">
        <f t="shared" si="1285"/>
        <v>F4Q00A</v>
      </c>
      <c r="AB246" s="571" t="str">
        <f t="shared" si="1285"/>
        <v>F1Q01A</v>
      </c>
      <c r="AC246" s="571" t="str">
        <f t="shared" si="1285"/>
        <v>F2Q01A</v>
      </c>
      <c r="AD246" s="571" t="str">
        <f t="shared" si="1285"/>
        <v>F3Q01A</v>
      </c>
      <c r="AE246" s="571" t="str">
        <f t="shared" si="1285"/>
        <v>F4Q01A</v>
      </c>
      <c r="AF246" s="571" t="str">
        <f t="shared" si="1285"/>
        <v>F1Q02A</v>
      </c>
      <c r="AG246" s="571" t="str">
        <f t="shared" si="1285"/>
        <v>F2Q02A</v>
      </c>
      <c r="AH246" s="571" t="str">
        <f t="shared" si="1285"/>
        <v>F3Q02A</v>
      </c>
      <c r="AI246" s="571" t="str">
        <f t="shared" si="1285"/>
        <v>F4Q02A</v>
      </c>
      <c r="AJ246" s="571" t="str">
        <f t="shared" si="1285"/>
        <v>F1Q03A</v>
      </c>
      <c r="AK246" s="571" t="str">
        <f t="shared" si="1285"/>
        <v>F2Q03A</v>
      </c>
      <c r="AL246" s="571" t="str">
        <f t="shared" si="1285"/>
        <v>F3Q03A</v>
      </c>
      <c r="AM246" s="571" t="str">
        <f t="shared" si="1285"/>
        <v>F4Q03A</v>
      </c>
      <c r="AN246" s="571" t="str">
        <f t="shared" si="1285"/>
        <v>F1Q04A</v>
      </c>
      <c r="AO246" s="571" t="str">
        <f t="shared" si="1285"/>
        <v>F2Q04A</v>
      </c>
      <c r="AP246" s="571" t="str">
        <f t="shared" si="1285"/>
        <v>F3Q04A</v>
      </c>
      <c r="AQ246" s="571" t="str">
        <f t="shared" si="1285"/>
        <v>F4Q04A</v>
      </c>
      <c r="AR246" s="571" t="str">
        <f t="shared" si="1285"/>
        <v>F1Q05A</v>
      </c>
      <c r="AS246" s="571" t="str">
        <f t="shared" si="1285"/>
        <v>F2Q05A</v>
      </c>
      <c r="AT246" s="571" t="str">
        <f t="shared" si="1285"/>
        <v>F3Q05A</v>
      </c>
      <c r="AU246" s="571" t="str">
        <f t="shared" si="1285"/>
        <v>F4Q05A</v>
      </c>
      <c r="AV246" s="571" t="str">
        <f t="shared" si="1285"/>
        <v>F1Q06A</v>
      </c>
      <c r="AW246" s="571" t="str">
        <f t="shared" si="1285"/>
        <v>F2Q06A</v>
      </c>
      <c r="AX246" s="571" t="str">
        <f t="shared" si="1285"/>
        <v>F3Q06A</v>
      </c>
      <c r="AY246" s="571" t="str">
        <f t="shared" si="1285"/>
        <v>F4Q06A</v>
      </c>
      <c r="AZ246" s="571" t="str">
        <f t="shared" si="1285"/>
        <v>F1Q07A</v>
      </c>
      <c r="BA246" s="571" t="str">
        <f t="shared" si="1285"/>
        <v>F2Q07A</v>
      </c>
      <c r="BB246" s="571" t="str">
        <f t="shared" si="1285"/>
        <v>F3Q07A</v>
      </c>
      <c r="BC246" s="571" t="str">
        <f t="shared" si="1285"/>
        <v>F4Q07A</v>
      </c>
      <c r="BD246" s="572" t="str">
        <f t="shared" si="1285"/>
        <v>F1Q08A</v>
      </c>
      <c r="BE246" s="571" t="str">
        <f t="shared" si="1285"/>
        <v>F2Q08A</v>
      </c>
      <c r="BF246" s="571" t="str">
        <f t="shared" si="1285"/>
        <v>F3Q08A</v>
      </c>
      <c r="BG246" s="573" t="str">
        <f t="shared" si="1285"/>
        <v>F4Q08A</v>
      </c>
      <c r="BH246" s="571" t="str">
        <f t="shared" si="1285"/>
        <v>F1Q09A</v>
      </c>
      <c r="BI246" s="571" t="str">
        <f t="shared" si="1285"/>
        <v>F2Q09A</v>
      </c>
      <c r="BJ246" s="571" t="str">
        <f t="shared" si="1285"/>
        <v>F3Q09A</v>
      </c>
      <c r="BK246" s="571" t="str">
        <f t="shared" si="1285"/>
        <v>F4Q09A</v>
      </c>
      <c r="BL246" s="572" t="str">
        <f t="shared" si="1285"/>
        <v>F1Q10A</v>
      </c>
      <c r="BM246" s="571" t="str">
        <f t="shared" si="1285"/>
        <v>F2Q10A</v>
      </c>
      <c r="BN246" s="571" t="str">
        <f t="shared" si="1285"/>
        <v>F3Q10A</v>
      </c>
      <c r="BO246" s="573" t="str">
        <f t="shared" si="1285"/>
        <v>F4Q10A</v>
      </c>
      <c r="BP246" s="571" t="str">
        <f t="shared" si="1285"/>
        <v>F1Q11A</v>
      </c>
      <c r="BQ246" s="571" t="str">
        <f t="shared" ref="BQ246:DC246" si="1286">+BQ$6</f>
        <v>F2Q11A</v>
      </c>
      <c r="BR246" s="571" t="str">
        <f t="shared" si="1286"/>
        <v>F3Q11A</v>
      </c>
      <c r="BS246" s="571" t="str">
        <f t="shared" si="1286"/>
        <v>F4Q11A</v>
      </c>
      <c r="BT246" s="470" t="str">
        <f t="shared" si="1286"/>
        <v>F1Q12A</v>
      </c>
      <c r="BU246" s="468" t="str">
        <f t="shared" si="1286"/>
        <v>F2Q12A</v>
      </c>
      <c r="BV246" s="468" t="str">
        <f t="shared" si="1286"/>
        <v>F3Q12A</v>
      </c>
      <c r="BW246" s="469" t="str">
        <f t="shared" si="1286"/>
        <v>F4Q12A</v>
      </c>
      <c r="BX246" s="468" t="str">
        <f t="shared" si="1286"/>
        <v>F1Q13A</v>
      </c>
      <c r="BY246" s="468" t="str">
        <f t="shared" si="1286"/>
        <v>F2Q13A</v>
      </c>
      <c r="BZ246" s="468" t="str">
        <f t="shared" si="1286"/>
        <v>F3Q13</v>
      </c>
      <c r="CA246" s="469" t="str">
        <f t="shared" si="1286"/>
        <v>F4Q13</v>
      </c>
      <c r="CB246" s="470" t="str">
        <f t="shared" si="1286"/>
        <v>F1Q14</v>
      </c>
      <c r="CC246" s="468" t="str">
        <f t="shared" si="1286"/>
        <v>F2Q14A</v>
      </c>
      <c r="CD246" s="468" t="str">
        <f t="shared" si="1286"/>
        <v>F3Q14A</v>
      </c>
      <c r="CE246" s="469" t="str">
        <f t="shared" si="1286"/>
        <v>F4Q14</v>
      </c>
      <c r="CF246" s="470" t="str">
        <f t="shared" si="1286"/>
        <v>F1Q15A</v>
      </c>
      <c r="CG246" s="468" t="str">
        <f t="shared" si="1286"/>
        <v>F2Q15A</v>
      </c>
      <c r="CH246" s="468" t="str">
        <f t="shared" si="1286"/>
        <v>F3Q15A</v>
      </c>
      <c r="CI246" s="469" t="str">
        <f t="shared" si="1286"/>
        <v>F4Q15A</v>
      </c>
      <c r="CJ246" s="470" t="str">
        <f t="shared" si="1286"/>
        <v>F1Q16A</v>
      </c>
      <c r="CK246" s="468" t="str">
        <f t="shared" si="1286"/>
        <v>F2Q16A</v>
      </c>
      <c r="CL246" s="468" t="str">
        <f t="shared" si="1286"/>
        <v>F3Q16A</v>
      </c>
      <c r="CM246" s="469" t="str">
        <f t="shared" si="1286"/>
        <v>F4Q16A</v>
      </c>
      <c r="CN246" s="468" t="str">
        <f t="shared" si="1286"/>
        <v>F1Q17A</v>
      </c>
      <c r="CO246" s="1269" t="str">
        <f t="shared" si="1286"/>
        <v>F2Q17A</v>
      </c>
      <c r="CP246" s="468" t="str">
        <f t="shared" si="1286"/>
        <v>F3Q17A</v>
      </c>
      <c r="CQ246" s="469" t="str">
        <f t="shared" si="1286"/>
        <v>F4Q17A</v>
      </c>
      <c r="CR246" s="468" t="str">
        <f t="shared" si="1286"/>
        <v>F1Q18A</v>
      </c>
      <c r="CS246" s="468" t="str">
        <f t="shared" si="1286"/>
        <v>F2Q18A</v>
      </c>
      <c r="CT246" s="468" t="str">
        <f t="shared" si="1286"/>
        <v>F3Q18E</v>
      </c>
      <c r="CU246" s="469" t="str">
        <f t="shared" si="1286"/>
        <v>F4Q18E</v>
      </c>
      <c r="CV246" s="468" t="str">
        <f t="shared" si="1286"/>
        <v>F1Q19E</v>
      </c>
      <c r="CW246" s="468" t="str">
        <f t="shared" si="1286"/>
        <v>F2Q19E</v>
      </c>
      <c r="CX246" s="468" t="str">
        <f t="shared" si="1286"/>
        <v>F3Q19E</v>
      </c>
      <c r="CY246" s="469" t="str">
        <f t="shared" si="1286"/>
        <v>F4Q19E</v>
      </c>
      <c r="CZ246" s="468" t="str">
        <f t="shared" si="1286"/>
        <v>F1Q20E</v>
      </c>
      <c r="DA246" s="468" t="str">
        <f t="shared" si="1286"/>
        <v>F2Q20E</v>
      </c>
      <c r="DB246" s="468" t="str">
        <f t="shared" si="1286"/>
        <v>F3Q20E</v>
      </c>
      <c r="DC246" s="469" t="str">
        <f t="shared" si="1286"/>
        <v>F4Q20E</v>
      </c>
      <c r="DD246" s="18"/>
      <c r="DE246" s="470" t="str">
        <f>+DE$6</f>
        <v>FY1995A</v>
      </c>
      <c r="DF246" s="468" t="str">
        <f t="shared" ref="DF246:ED246" si="1287">+DF$6</f>
        <v>FY1996A</v>
      </c>
      <c r="DG246" s="468" t="str">
        <f t="shared" si="1287"/>
        <v>FY1997A</v>
      </c>
      <c r="DH246" s="468" t="str">
        <f t="shared" si="1287"/>
        <v>FY1998A</v>
      </c>
      <c r="DI246" s="468" t="str">
        <f t="shared" si="1287"/>
        <v>FY1999A</v>
      </c>
      <c r="DJ246" s="468" t="str">
        <f t="shared" si="1287"/>
        <v>FY2000A</v>
      </c>
      <c r="DK246" s="468" t="str">
        <f t="shared" si="1287"/>
        <v>FY2001A</v>
      </c>
      <c r="DL246" s="468" t="str">
        <f t="shared" si="1287"/>
        <v>FY2002A</v>
      </c>
      <c r="DM246" s="468" t="str">
        <f t="shared" si="1287"/>
        <v>FY2003A</v>
      </c>
      <c r="DN246" s="468" t="str">
        <f t="shared" si="1287"/>
        <v>FY2004A</v>
      </c>
      <c r="DO246" s="468" t="str">
        <f t="shared" si="1287"/>
        <v>FY2005A</v>
      </c>
      <c r="DP246" s="468" t="str">
        <f t="shared" si="1287"/>
        <v>FY2006A</v>
      </c>
      <c r="DQ246" s="468" t="str">
        <f t="shared" si="1287"/>
        <v>FY2007A</v>
      </c>
      <c r="DR246" s="468" t="str">
        <f t="shared" si="1287"/>
        <v>FY2008A</v>
      </c>
      <c r="DS246" s="468" t="str">
        <f t="shared" si="1287"/>
        <v>FY2009A</v>
      </c>
      <c r="DT246" s="468" t="str">
        <f t="shared" si="1287"/>
        <v>FY2010A</v>
      </c>
      <c r="DU246" s="468" t="str">
        <f t="shared" si="1287"/>
        <v>FY2011A</v>
      </c>
      <c r="DV246" s="468" t="str">
        <f t="shared" si="1287"/>
        <v>FY2012A</v>
      </c>
      <c r="DW246" s="468" t="str">
        <f t="shared" si="1287"/>
        <v>FY2013A</v>
      </c>
      <c r="DX246" s="468" t="str">
        <f t="shared" si="1287"/>
        <v>FY2014A</v>
      </c>
      <c r="DY246" s="468" t="str">
        <f t="shared" si="1287"/>
        <v>FY2015A</v>
      </c>
      <c r="DZ246" s="468" t="str">
        <f t="shared" si="1287"/>
        <v>FY2016A</v>
      </c>
      <c r="EA246" s="468" t="str">
        <f t="shared" si="1287"/>
        <v>FY2017A</v>
      </c>
      <c r="EB246" s="468" t="str">
        <f t="shared" si="1287"/>
        <v>FY2018E</v>
      </c>
      <c r="EC246" s="468" t="str">
        <f t="shared" si="1287"/>
        <v>FY2019E</v>
      </c>
      <c r="ED246" s="469" t="str">
        <f t="shared" si="1287"/>
        <v>FY2020E</v>
      </c>
      <c r="EE246" s="21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/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13"/>
      <c r="FF246" s="13"/>
      <c r="FG246" s="13"/>
      <c r="FH246" s="13"/>
      <c r="FO246" s="7"/>
    </row>
    <row r="247" spans="1:171" s="578" customFormat="1" ht="14.25" hidden="1" customHeight="1" outlineLevel="1">
      <c r="A247" s="577"/>
      <c r="B247" s="713" t="s">
        <v>219</v>
      </c>
      <c r="C247" s="547"/>
      <c r="D247" s="390"/>
      <c r="E247" s="390"/>
      <c r="F247" s="390"/>
      <c r="G247" s="390"/>
      <c r="H247" s="390"/>
      <c r="I247" s="390"/>
      <c r="J247" s="390"/>
      <c r="K247" s="390"/>
      <c r="L247" s="390">
        <f t="shared" ref="L247:AQ247" si="1288">+K83</f>
        <v>0</v>
      </c>
      <c r="M247" s="390">
        <f t="shared" si="1288"/>
        <v>227.8</v>
      </c>
      <c r="N247" s="390">
        <f t="shared" si="1288"/>
        <v>588.9</v>
      </c>
      <c r="O247" s="390">
        <f t="shared" si="1288"/>
        <v>521</v>
      </c>
      <c r="P247" s="390">
        <f t="shared" si="1288"/>
        <v>987.7</v>
      </c>
      <c r="Q247" s="390">
        <f t="shared" si="1288"/>
        <v>928.19999999999993</v>
      </c>
      <c r="R247" s="390">
        <f t="shared" si="1288"/>
        <v>934.9</v>
      </c>
      <c r="S247" s="390">
        <f t="shared" si="1288"/>
        <v>708.4</v>
      </c>
      <c r="T247" s="390">
        <f t="shared" si="1288"/>
        <v>649.4</v>
      </c>
      <c r="U247" s="390">
        <f t="shared" si="1288"/>
        <v>1924.8</v>
      </c>
      <c r="V247" s="390">
        <f t="shared" si="1288"/>
        <v>1782.600000000001</v>
      </c>
      <c r="W247" s="390">
        <f t="shared" si="1288"/>
        <v>1660.5</v>
      </c>
      <c r="X247" s="390">
        <f t="shared" si="1288"/>
        <v>1613.5</v>
      </c>
      <c r="Y247" s="390">
        <f t="shared" si="1288"/>
        <v>1886.400000000001</v>
      </c>
      <c r="Z247" s="390">
        <f t="shared" si="1288"/>
        <v>1678.4</v>
      </c>
      <c r="AA247" s="390">
        <f t="shared" si="1288"/>
        <v>1847.7</v>
      </c>
      <c r="AB247" s="390">
        <f t="shared" si="1288"/>
        <v>2466.4</v>
      </c>
      <c r="AC247" s="390">
        <f t="shared" si="1288"/>
        <v>2463.5</v>
      </c>
      <c r="AD247" s="390">
        <f t="shared" si="1288"/>
        <v>2049.1</v>
      </c>
      <c r="AE247" s="390">
        <f t="shared" si="1288"/>
        <v>1728.6000000000001</v>
      </c>
      <c r="AF247" s="390">
        <f t="shared" si="1288"/>
        <v>1678.3000000000002</v>
      </c>
      <c r="AG247" s="390">
        <f t="shared" si="1288"/>
        <v>1731.6</v>
      </c>
      <c r="AH247" s="390">
        <f t="shared" si="1288"/>
        <v>1480.9</v>
      </c>
      <c r="AI247" s="390">
        <f t="shared" si="1288"/>
        <v>1251.8</v>
      </c>
      <c r="AJ247" s="390">
        <f t="shared" si="1288"/>
        <v>985.7</v>
      </c>
      <c r="AK247" s="390">
        <f t="shared" si="1288"/>
        <v>658</v>
      </c>
      <c r="AL247" s="390">
        <f t="shared" si="1288"/>
        <v>1205.9000000000001</v>
      </c>
      <c r="AM247" s="390">
        <f t="shared" si="1288"/>
        <v>1003.8</v>
      </c>
      <c r="AN247" s="390">
        <f t="shared" si="1288"/>
        <v>921.8</v>
      </c>
      <c r="AO247" s="390">
        <f t="shared" si="1288"/>
        <v>1172</v>
      </c>
      <c r="AP247" s="390">
        <f t="shared" si="1288"/>
        <v>1211.7</v>
      </c>
      <c r="AQ247" s="390">
        <f t="shared" si="1288"/>
        <v>1131.9000000000001</v>
      </c>
      <c r="AR247" s="390">
        <f t="shared" ref="AR247:BW247" si="1289">+AQ83</f>
        <v>1231</v>
      </c>
      <c r="AS247" s="390">
        <f t="shared" si="1289"/>
        <v>1050.2</v>
      </c>
      <c r="AT247" s="390">
        <f t="shared" si="1289"/>
        <v>1133.5999999999999</v>
      </c>
      <c r="AU247" s="390">
        <f t="shared" si="1289"/>
        <v>1295.5999999999999</v>
      </c>
      <c r="AV247" s="390">
        <f t="shared" si="1289"/>
        <v>1290.4000000000001</v>
      </c>
      <c r="AW247" s="390">
        <f t="shared" si="1289"/>
        <v>1377.4</v>
      </c>
      <c r="AX247" s="390">
        <f t="shared" si="1289"/>
        <v>2586.8000000000002</v>
      </c>
      <c r="AY247" s="390">
        <f t="shared" si="1289"/>
        <v>2830</v>
      </c>
      <c r="AZ247" s="390">
        <f t="shared" si="1289"/>
        <v>3080.8</v>
      </c>
      <c r="BA247" s="390">
        <f t="shared" si="1289"/>
        <v>2638</v>
      </c>
      <c r="BB247" s="390">
        <f t="shared" si="1289"/>
        <v>2193</v>
      </c>
      <c r="BC247" s="390">
        <f t="shared" si="1289"/>
        <v>2920</v>
      </c>
      <c r="BD247" s="389">
        <f t="shared" si="1289"/>
        <v>2616</v>
      </c>
      <c r="BE247" s="390">
        <f t="shared" si="1289"/>
        <v>2031</v>
      </c>
      <c r="BF247" s="390">
        <f t="shared" si="1289"/>
        <v>1853</v>
      </c>
      <c r="BG247" s="391">
        <f t="shared" si="1289"/>
        <v>1584</v>
      </c>
      <c r="BH247" s="390">
        <f t="shared" si="1289"/>
        <v>1362</v>
      </c>
      <c r="BI247" s="390">
        <f t="shared" si="1289"/>
        <v>1028</v>
      </c>
      <c r="BJ247" s="390">
        <f t="shared" si="1289"/>
        <v>932</v>
      </c>
      <c r="BK247" s="390">
        <f t="shared" si="1289"/>
        <v>1306</v>
      </c>
      <c r="BL247" s="389">
        <f t="shared" si="1289"/>
        <v>1485</v>
      </c>
      <c r="BM247" s="390">
        <f t="shared" si="1289"/>
        <v>1581</v>
      </c>
      <c r="BN247" s="390">
        <f t="shared" si="1289"/>
        <v>1892</v>
      </c>
      <c r="BO247" s="391">
        <f t="shared" si="1289"/>
        <v>2330</v>
      </c>
      <c r="BP247" s="390">
        <f t="shared" si="1289"/>
        <v>2932</v>
      </c>
      <c r="BQ247" s="390">
        <f t="shared" si="1289"/>
        <v>2430</v>
      </c>
      <c r="BR247" s="390">
        <f t="shared" si="1289"/>
        <v>2212</v>
      </c>
      <c r="BS247" s="390">
        <f t="shared" si="1289"/>
        <v>2445</v>
      </c>
      <c r="BT247" s="389">
        <f t="shared" si="1289"/>
        <v>2212</v>
      </c>
      <c r="BU247" s="390">
        <f t="shared" si="1289"/>
        <v>1968</v>
      </c>
      <c r="BV247" s="390">
        <f t="shared" si="1289"/>
        <v>2108</v>
      </c>
      <c r="BW247" s="391">
        <f t="shared" si="1289"/>
        <v>2686</v>
      </c>
      <c r="BX247" s="390">
        <f t="shared" ref="BX247:CM247" si="1290">+BW83</f>
        <v>2933</v>
      </c>
      <c r="BY247" s="390">
        <f t="shared" si="1290"/>
        <v>2798</v>
      </c>
      <c r="BZ247" s="390">
        <f t="shared" si="1290"/>
        <v>2774</v>
      </c>
      <c r="CA247" s="391">
        <f t="shared" si="1290"/>
        <v>2899</v>
      </c>
      <c r="CB247" s="389">
        <f t="shared" si="1290"/>
        <v>3600</v>
      </c>
      <c r="CC247" s="390">
        <f t="shared" si="1290"/>
        <v>4408</v>
      </c>
      <c r="CD247" s="390">
        <f t="shared" si="1290"/>
        <v>5056</v>
      </c>
      <c r="CE247" s="391">
        <f t="shared" si="1290"/>
        <v>4809</v>
      </c>
      <c r="CF247" s="389">
        <f t="shared" si="1290"/>
        <v>5353</v>
      </c>
      <c r="CG247" s="390">
        <f t="shared" si="1290"/>
        <v>5307</v>
      </c>
      <c r="CH247" s="390">
        <f t="shared" si="1290"/>
        <v>6348</v>
      </c>
      <c r="CI247" s="391">
        <f t="shared" si="1290"/>
        <v>7330</v>
      </c>
      <c r="CJ247" s="389">
        <f t="shared" si="1290"/>
        <v>5634</v>
      </c>
      <c r="CK247" s="390">
        <f t="shared" si="1290"/>
        <v>5412</v>
      </c>
      <c r="CL247" s="390">
        <f t="shared" si="1290"/>
        <v>5143</v>
      </c>
      <c r="CM247" s="391">
        <f t="shared" si="1290"/>
        <v>5874</v>
      </c>
      <c r="CN247" s="390">
        <f t="shared" ref="CN247:CO247" si="1291">+CM83</f>
        <v>4812</v>
      </c>
      <c r="CO247" s="1262">
        <f t="shared" si="1291"/>
        <v>4324</v>
      </c>
      <c r="CP247" s="390">
        <f t="shared" ref="CP247" si="1292">+CO83</f>
        <v>4487</v>
      </c>
      <c r="CQ247" s="391">
        <f t="shared" ref="CQ247" si="1293">+CP83</f>
        <v>4801</v>
      </c>
      <c r="CR247" s="390">
        <f t="shared" ref="CR247" si="1294">+CQ83</f>
        <v>6045</v>
      </c>
      <c r="CS247" s="390">
        <f t="shared" ref="CS247" si="1295">+CR83</f>
        <v>6488</v>
      </c>
      <c r="CT247" s="390">
        <f t="shared" ref="CT247" si="1296">+CS83</f>
        <v>8562</v>
      </c>
      <c r="CU247" s="391">
        <f t="shared" ref="CU247" si="1297">+CT83</f>
        <v>12561.975169087404</v>
      </c>
      <c r="CV247" s="390">
        <f t="shared" ref="CV247" si="1298">+CU83</f>
        <v>15532.052040939898</v>
      </c>
      <c r="CW247" s="390">
        <f t="shared" ref="CW247" si="1299">+CV83</f>
        <v>17384.994975012749</v>
      </c>
      <c r="CX247" s="390">
        <f t="shared" ref="CX247" si="1300">+CW83</f>
        <v>18923.158819485157</v>
      </c>
      <c r="CY247" s="391">
        <f t="shared" ref="CY247" si="1301">+CX83</f>
        <v>19960.015362767506</v>
      </c>
      <c r="CZ247" s="390">
        <f t="shared" ref="CZ247" si="1302">+CY83</f>
        <v>20645.946412183035</v>
      </c>
      <c r="DA247" s="390">
        <f t="shared" ref="DA247" si="1303">+CZ83</f>
        <v>21419.594652083244</v>
      </c>
      <c r="DB247" s="390">
        <f t="shared" ref="DB247" si="1304">+DA83</f>
        <v>21707.860888705571</v>
      </c>
      <c r="DC247" s="391">
        <f t="shared" ref="DC247" si="1305">+DB83</f>
        <v>22045.305480133407</v>
      </c>
      <c r="DD247" s="607"/>
      <c r="DE247" s="389"/>
      <c r="DF247" s="390"/>
      <c r="DG247" s="390"/>
      <c r="DH247" s="390"/>
      <c r="DI247" s="390"/>
      <c r="DJ247" s="390"/>
      <c r="DK247" s="390"/>
      <c r="DL247" s="390"/>
      <c r="DM247" s="390"/>
      <c r="DN247" s="390"/>
      <c r="DO247" s="390"/>
      <c r="DP247" s="390"/>
      <c r="DQ247" s="390"/>
      <c r="DR247" s="390"/>
      <c r="DS247" s="390"/>
      <c r="DT247" s="390"/>
      <c r="DU247" s="390"/>
      <c r="DV247" s="390"/>
      <c r="DW247" s="390"/>
      <c r="DX247" s="390"/>
      <c r="DY247" s="390"/>
      <c r="DZ247" s="390"/>
      <c r="EA247" s="390"/>
      <c r="EB247" s="390"/>
      <c r="EC247" s="390"/>
      <c r="ED247" s="391"/>
      <c r="EE247" s="524"/>
      <c r="EF247" s="577"/>
      <c r="EG247" s="577"/>
      <c r="EH247" s="577"/>
      <c r="EI247" s="577"/>
      <c r="EJ247" s="577"/>
      <c r="EK247" s="577"/>
      <c r="EL247" s="577"/>
      <c r="EM247" s="577"/>
      <c r="EN247" s="577"/>
      <c r="EO247" s="577"/>
      <c r="EP247" s="577"/>
      <c r="EQ247" s="577"/>
      <c r="ER247" s="577"/>
      <c r="ES247" s="577"/>
      <c r="ET247" s="577"/>
      <c r="EU247" s="577"/>
      <c r="EV247" s="577"/>
      <c r="EW247" s="577"/>
      <c r="EX247" s="577"/>
      <c r="EY247" s="577"/>
      <c r="EZ247" s="577"/>
      <c r="FA247" s="577"/>
      <c r="FB247" s="577"/>
      <c r="FC247" s="577"/>
      <c r="FD247" s="577"/>
      <c r="FE247" s="547"/>
      <c r="FF247" s="547"/>
      <c r="FG247" s="547"/>
      <c r="FH247" s="547"/>
      <c r="FI247"/>
      <c r="FJ247"/>
      <c r="FK247"/>
      <c r="FL247"/>
      <c r="FM247"/>
      <c r="FN247"/>
      <c r="FO247" s="577"/>
    </row>
    <row r="248" spans="1:171" s="578" customFormat="1" ht="14.25" hidden="1" customHeight="1" outlineLevel="1">
      <c r="A248" s="577"/>
      <c r="B248" s="713" t="s">
        <v>220</v>
      </c>
      <c r="C248" s="547"/>
      <c r="D248" s="390"/>
      <c r="E248" s="390"/>
      <c r="F248" s="390"/>
      <c r="G248" s="390"/>
      <c r="H248" s="390"/>
      <c r="I248" s="390"/>
      <c r="J248" s="390"/>
      <c r="K248" s="390"/>
      <c r="L248" s="390">
        <f t="shared" ref="L248:AQ248" si="1306">+L83</f>
        <v>227.8</v>
      </c>
      <c r="M248" s="390">
        <f t="shared" si="1306"/>
        <v>588.9</v>
      </c>
      <c r="N248" s="390">
        <f t="shared" si="1306"/>
        <v>521</v>
      </c>
      <c r="O248" s="390">
        <f t="shared" si="1306"/>
        <v>987.7</v>
      </c>
      <c r="P248" s="390">
        <f t="shared" si="1306"/>
        <v>928.19999999999993</v>
      </c>
      <c r="Q248" s="390">
        <f t="shared" si="1306"/>
        <v>934.9</v>
      </c>
      <c r="R248" s="390">
        <f t="shared" si="1306"/>
        <v>708.4</v>
      </c>
      <c r="S248" s="390">
        <f t="shared" si="1306"/>
        <v>649.4</v>
      </c>
      <c r="T248" s="390">
        <f t="shared" si="1306"/>
        <v>1924.8</v>
      </c>
      <c r="U248" s="390">
        <f t="shared" si="1306"/>
        <v>1782.600000000001</v>
      </c>
      <c r="V248" s="390">
        <f t="shared" si="1306"/>
        <v>1660.5</v>
      </c>
      <c r="W248" s="390">
        <f t="shared" si="1306"/>
        <v>1613.5</v>
      </c>
      <c r="X248" s="390">
        <f t="shared" si="1306"/>
        <v>1886.400000000001</v>
      </c>
      <c r="Y248" s="390">
        <f t="shared" si="1306"/>
        <v>1678.4</v>
      </c>
      <c r="Z248" s="390">
        <f t="shared" si="1306"/>
        <v>1847.7</v>
      </c>
      <c r="AA248" s="390">
        <f t="shared" si="1306"/>
        <v>2466.4</v>
      </c>
      <c r="AB248" s="390">
        <f t="shared" si="1306"/>
        <v>2463.5</v>
      </c>
      <c r="AC248" s="390">
        <f t="shared" si="1306"/>
        <v>2049.1</v>
      </c>
      <c r="AD248" s="390">
        <f t="shared" si="1306"/>
        <v>1728.6000000000001</v>
      </c>
      <c r="AE248" s="390">
        <f t="shared" si="1306"/>
        <v>1678.3000000000002</v>
      </c>
      <c r="AF248" s="390">
        <f t="shared" si="1306"/>
        <v>1731.6</v>
      </c>
      <c r="AG248" s="390">
        <f t="shared" si="1306"/>
        <v>1480.9</v>
      </c>
      <c r="AH248" s="390">
        <f t="shared" si="1306"/>
        <v>1251.8</v>
      </c>
      <c r="AI248" s="390">
        <f t="shared" si="1306"/>
        <v>985.7</v>
      </c>
      <c r="AJ248" s="390">
        <f t="shared" si="1306"/>
        <v>658</v>
      </c>
      <c r="AK248" s="390">
        <f t="shared" si="1306"/>
        <v>1205.9000000000001</v>
      </c>
      <c r="AL248" s="390">
        <f t="shared" si="1306"/>
        <v>1003.8</v>
      </c>
      <c r="AM248" s="390">
        <f t="shared" si="1306"/>
        <v>921.8</v>
      </c>
      <c r="AN248" s="390">
        <f t="shared" si="1306"/>
        <v>1172</v>
      </c>
      <c r="AO248" s="390">
        <f t="shared" si="1306"/>
        <v>1211.7</v>
      </c>
      <c r="AP248" s="390">
        <f t="shared" si="1306"/>
        <v>1131.9000000000001</v>
      </c>
      <c r="AQ248" s="390">
        <f t="shared" si="1306"/>
        <v>1231</v>
      </c>
      <c r="AR248" s="390">
        <f t="shared" ref="AR248:BW248" si="1307">+AR83</f>
        <v>1050.2</v>
      </c>
      <c r="AS248" s="390">
        <f t="shared" si="1307"/>
        <v>1133.5999999999999</v>
      </c>
      <c r="AT248" s="390">
        <f t="shared" si="1307"/>
        <v>1295.5999999999999</v>
      </c>
      <c r="AU248" s="390">
        <f t="shared" si="1307"/>
        <v>1290.4000000000001</v>
      </c>
      <c r="AV248" s="390">
        <f t="shared" si="1307"/>
        <v>1377.4</v>
      </c>
      <c r="AW248" s="390">
        <f t="shared" si="1307"/>
        <v>2586.8000000000002</v>
      </c>
      <c r="AX248" s="390">
        <f t="shared" si="1307"/>
        <v>2830</v>
      </c>
      <c r="AY248" s="390">
        <f t="shared" si="1307"/>
        <v>3080.8</v>
      </c>
      <c r="AZ248" s="390">
        <f t="shared" si="1307"/>
        <v>2638</v>
      </c>
      <c r="BA248" s="390">
        <f t="shared" si="1307"/>
        <v>2193</v>
      </c>
      <c r="BB248" s="390">
        <f t="shared" si="1307"/>
        <v>2920</v>
      </c>
      <c r="BC248" s="390">
        <f t="shared" si="1307"/>
        <v>2616</v>
      </c>
      <c r="BD248" s="389">
        <f t="shared" si="1307"/>
        <v>2031</v>
      </c>
      <c r="BE248" s="390">
        <f t="shared" si="1307"/>
        <v>1853</v>
      </c>
      <c r="BF248" s="390">
        <f t="shared" si="1307"/>
        <v>1584</v>
      </c>
      <c r="BG248" s="391">
        <f t="shared" si="1307"/>
        <v>1362</v>
      </c>
      <c r="BH248" s="390">
        <f t="shared" si="1307"/>
        <v>1028</v>
      </c>
      <c r="BI248" s="390">
        <f t="shared" si="1307"/>
        <v>932</v>
      </c>
      <c r="BJ248" s="390">
        <f t="shared" si="1307"/>
        <v>1306</v>
      </c>
      <c r="BK248" s="390">
        <f t="shared" si="1307"/>
        <v>1485</v>
      </c>
      <c r="BL248" s="389">
        <f t="shared" si="1307"/>
        <v>1581</v>
      </c>
      <c r="BM248" s="390">
        <f t="shared" si="1307"/>
        <v>1892</v>
      </c>
      <c r="BN248" s="390">
        <f t="shared" si="1307"/>
        <v>2330</v>
      </c>
      <c r="BO248" s="391">
        <f t="shared" si="1307"/>
        <v>2932</v>
      </c>
      <c r="BP248" s="390">
        <f t="shared" si="1307"/>
        <v>2430</v>
      </c>
      <c r="BQ248" s="390">
        <f t="shared" si="1307"/>
        <v>2212</v>
      </c>
      <c r="BR248" s="390">
        <f t="shared" si="1307"/>
        <v>2445</v>
      </c>
      <c r="BS248" s="390">
        <f t="shared" si="1307"/>
        <v>2212</v>
      </c>
      <c r="BT248" s="389">
        <f t="shared" si="1307"/>
        <v>1968</v>
      </c>
      <c r="BU248" s="390">
        <f t="shared" si="1307"/>
        <v>2108</v>
      </c>
      <c r="BV248" s="390">
        <f t="shared" si="1307"/>
        <v>2686</v>
      </c>
      <c r="BW248" s="391">
        <f t="shared" si="1307"/>
        <v>2933</v>
      </c>
      <c r="BX248" s="390">
        <f t="shared" ref="BX248:CL248" si="1308">+BX83</f>
        <v>2798</v>
      </c>
      <c r="BY248" s="390">
        <f t="shared" si="1308"/>
        <v>2774</v>
      </c>
      <c r="BZ248" s="390">
        <f t="shared" si="1308"/>
        <v>2899</v>
      </c>
      <c r="CA248" s="391">
        <f t="shared" si="1308"/>
        <v>3600</v>
      </c>
      <c r="CB248" s="389">
        <f t="shared" si="1308"/>
        <v>4408</v>
      </c>
      <c r="CC248" s="390">
        <f t="shared" si="1308"/>
        <v>5056</v>
      </c>
      <c r="CD248" s="390">
        <f t="shared" si="1308"/>
        <v>4809</v>
      </c>
      <c r="CE248" s="391">
        <f t="shared" si="1308"/>
        <v>5353</v>
      </c>
      <c r="CF248" s="389">
        <f t="shared" si="1308"/>
        <v>5307</v>
      </c>
      <c r="CG248" s="390">
        <f t="shared" si="1308"/>
        <v>6348</v>
      </c>
      <c r="CH248" s="390">
        <f t="shared" si="1308"/>
        <v>7330</v>
      </c>
      <c r="CI248" s="391">
        <f t="shared" si="1308"/>
        <v>5634</v>
      </c>
      <c r="CJ248" s="389">
        <f t="shared" si="1308"/>
        <v>5412</v>
      </c>
      <c r="CK248" s="390">
        <f t="shared" si="1308"/>
        <v>5143</v>
      </c>
      <c r="CL248" s="390">
        <f t="shared" si="1308"/>
        <v>5874</v>
      </c>
      <c r="CM248" s="391">
        <f t="shared" ref="CM248" si="1309">+CM83</f>
        <v>4812</v>
      </c>
      <c r="CN248" s="390">
        <f t="shared" ref="CN248:CQ248" si="1310">+CN83</f>
        <v>4324</v>
      </c>
      <c r="CO248" s="1262">
        <f t="shared" si="1310"/>
        <v>4487</v>
      </c>
      <c r="CP248" s="390">
        <f t="shared" si="1310"/>
        <v>4801</v>
      </c>
      <c r="CQ248" s="391">
        <f t="shared" si="1310"/>
        <v>6045</v>
      </c>
      <c r="CR248" s="390">
        <f t="shared" ref="CR248:CU248" si="1311">+CR83</f>
        <v>6488</v>
      </c>
      <c r="CS248" s="390">
        <f t="shared" si="1311"/>
        <v>8562</v>
      </c>
      <c r="CT248" s="390">
        <f t="shared" si="1311"/>
        <v>12561.975169087404</v>
      </c>
      <c r="CU248" s="391">
        <f t="shared" si="1311"/>
        <v>15532.052040939898</v>
      </c>
      <c r="CV248" s="390">
        <f t="shared" ref="CV248:CY248" si="1312">+CV83</f>
        <v>17384.994975012749</v>
      </c>
      <c r="CW248" s="390">
        <f t="shared" si="1312"/>
        <v>18923.158819485157</v>
      </c>
      <c r="CX248" s="390">
        <f t="shared" si="1312"/>
        <v>19960.015362767506</v>
      </c>
      <c r="CY248" s="391">
        <f t="shared" si="1312"/>
        <v>20645.946412183035</v>
      </c>
      <c r="CZ248" s="390">
        <f t="shared" ref="CZ248:DC248" si="1313">+CZ83</f>
        <v>21419.594652083244</v>
      </c>
      <c r="DA248" s="390">
        <f t="shared" si="1313"/>
        <v>21707.860888705571</v>
      </c>
      <c r="DB248" s="390">
        <f t="shared" si="1313"/>
        <v>22045.305480133407</v>
      </c>
      <c r="DC248" s="391">
        <f t="shared" si="1313"/>
        <v>22312.147928009636</v>
      </c>
      <c r="DD248" s="607"/>
      <c r="DE248" s="389"/>
      <c r="DF248" s="390"/>
      <c r="DG248" s="390"/>
      <c r="DH248" s="390"/>
      <c r="DI248" s="390"/>
      <c r="DJ248" s="390"/>
      <c r="DK248" s="390"/>
      <c r="DL248" s="390"/>
      <c r="DM248" s="390"/>
      <c r="DN248" s="390"/>
      <c r="DO248" s="390"/>
      <c r="DP248" s="390"/>
      <c r="DQ248" s="390"/>
      <c r="DR248" s="390"/>
      <c r="DS248" s="390"/>
      <c r="DT248" s="390"/>
      <c r="DU248" s="390"/>
      <c r="DV248" s="390"/>
      <c r="DW248" s="390"/>
      <c r="DX248" s="390"/>
      <c r="DY248" s="390"/>
      <c r="DZ248" s="390"/>
      <c r="EA248" s="390"/>
      <c r="EB248" s="390"/>
      <c r="EC248" s="390"/>
      <c r="ED248" s="391"/>
      <c r="EE248" s="524"/>
      <c r="EF248" s="577"/>
      <c r="EG248" s="577"/>
      <c r="EH248" s="577"/>
      <c r="EI248" s="577"/>
      <c r="EJ248" s="577"/>
      <c r="EK248" s="577"/>
      <c r="EL248" s="577"/>
      <c r="EM248" s="577"/>
      <c r="EN248" s="577"/>
      <c r="EO248" s="577"/>
      <c r="EP248" s="577"/>
      <c r="EQ248" s="577"/>
      <c r="ER248" s="577"/>
      <c r="ES248" s="577"/>
      <c r="ET248" s="577"/>
      <c r="EU248" s="577"/>
      <c r="EV248" s="577"/>
      <c r="EW248" s="577"/>
      <c r="EX248" s="577"/>
      <c r="EY248" s="577"/>
      <c r="EZ248" s="577"/>
      <c r="FA248" s="577"/>
      <c r="FB248" s="577"/>
      <c r="FC248" s="577"/>
      <c r="FD248" s="577"/>
      <c r="FE248" s="547"/>
      <c r="FF248" s="547"/>
      <c r="FG248" s="547"/>
      <c r="FH248" s="547"/>
      <c r="FI248"/>
      <c r="FJ248"/>
      <c r="FK248"/>
      <c r="FL248"/>
      <c r="FM248"/>
      <c r="FN248"/>
      <c r="FO248" s="577"/>
    </row>
    <row r="249" spans="1:171" ht="14.25" hidden="1" customHeight="1" outlineLevel="1">
      <c r="A249" s="7"/>
      <c r="B249" s="515" t="s">
        <v>188</v>
      </c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21"/>
      <c r="BE249" s="13"/>
      <c r="BF249" s="13"/>
      <c r="BG249" s="231"/>
      <c r="BH249" s="13"/>
      <c r="BI249" s="13"/>
      <c r="BJ249" s="13"/>
      <c r="BK249" s="13"/>
      <c r="BL249" s="21"/>
      <c r="BM249" s="13"/>
      <c r="BN249" s="13"/>
      <c r="BO249" s="231"/>
      <c r="BP249" s="13"/>
      <c r="BQ249" s="13"/>
      <c r="BR249" s="13"/>
      <c r="BS249" s="13"/>
      <c r="BT249" s="21"/>
      <c r="BU249" s="13"/>
      <c r="BV249" s="13"/>
      <c r="BW249" s="580">
        <v>3.0000000000000001E-3</v>
      </c>
      <c r="BX249" s="579">
        <v>3.0000000000000001E-3</v>
      </c>
      <c r="BY249" s="579">
        <v>3.0000000000000001E-3</v>
      </c>
      <c r="BZ249" s="579">
        <v>3.0000000000000001E-3</v>
      </c>
      <c r="CA249" s="580">
        <v>3.0000000000000001E-3</v>
      </c>
      <c r="CB249" s="627">
        <v>3.0000000000000001E-3</v>
      </c>
      <c r="CC249" s="579">
        <v>3.0000000000000001E-3</v>
      </c>
      <c r="CD249" s="579">
        <v>3.0000000000000001E-3</v>
      </c>
      <c r="CE249" s="580">
        <v>3.0000000000000001E-3</v>
      </c>
      <c r="CF249" s="627">
        <v>3.0000000000000001E-3</v>
      </c>
      <c r="CG249" s="579">
        <v>3.0000000000000001E-3</v>
      </c>
      <c r="CH249" s="579">
        <v>3.0000000000000001E-3</v>
      </c>
      <c r="CI249" s="580">
        <v>3.0000000000000001E-3</v>
      </c>
      <c r="CJ249" s="627">
        <v>3.0000000000000001E-3</v>
      </c>
      <c r="CK249" s="579">
        <v>3.0000000000000001E-3</v>
      </c>
      <c r="CL249" s="579">
        <v>3.0000000000000001E-3</v>
      </c>
      <c r="CM249" s="580">
        <v>3.0000000000000001E-3</v>
      </c>
      <c r="CN249" s="579">
        <v>2.027312030981034E-3</v>
      </c>
      <c r="CO249" s="1279">
        <v>2.027312030981034E-3</v>
      </c>
      <c r="CP249" s="579">
        <v>2.027312030981034E-3</v>
      </c>
      <c r="CQ249" s="580">
        <v>2.027312030981034E-3</v>
      </c>
      <c r="CR249" s="579">
        <v>2.027312030981034E-3</v>
      </c>
      <c r="CS249" s="579">
        <v>2.027312030981034E-3</v>
      </c>
      <c r="CT249" s="579">
        <v>2.027312030981034E-3</v>
      </c>
      <c r="CU249" s="580">
        <v>2.027312030981034E-3</v>
      </c>
      <c r="CV249" s="579">
        <v>2.027312030981034E-3</v>
      </c>
      <c r="CW249" s="579">
        <v>2.027312030981034E-3</v>
      </c>
      <c r="CX249" s="579">
        <v>2.027312030981034E-3</v>
      </c>
      <c r="CY249" s="580">
        <v>2.027312030981034E-3</v>
      </c>
      <c r="CZ249" s="579">
        <v>2.027312030981034E-3</v>
      </c>
      <c r="DA249" s="579">
        <v>2.027312030981034E-3</v>
      </c>
      <c r="DB249" s="579">
        <v>2.027312030981034E-3</v>
      </c>
      <c r="DC249" s="580">
        <v>2.027312030981034E-3</v>
      </c>
      <c r="DD249" s="18"/>
      <c r="DE249" s="21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231"/>
      <c r="EE249" s="21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13"/>
      <c r="FF249" s="13"/>
      <c r="FG249" s="13"/>
      <c r="FH249" s="13"/>
      <c r="FO249" s="7"/>
    </row>
    <row r="250" spans="1:171" s="314" customFormat="1" ht="14.25" hidden="1" customHeight="1" outlineLevel="1">
      <c r="A250" s="412"/>
      <c r="B250" s="625" t="s">
        <v>181</v>
      </c>
      <c r="C250" s="626"/>
      <c r="D250" s="626"/>
      <c r="E250" s="626"/>
      <c r="F250" s="626"/>
      <c r="G250" s="626"/>
      <c r="H250" s="626"/>
      <c r="I250" s="626"/>
      <c r="J250" s="626"/>
      <c r="K250" s="626"/>
      <c r="L250" s="626"/>
      <c r="M250" s="626"/>
      <c r="N250" s="626"/>
      <c r="O250" s="626"/>
      <c r="P250" s="626"/>
      <c r="Q250" s="626"/>
      <c r="R250" s="626"/>
      <c r="S250" s="626"/>
      <c r="T250" s="626"/>
      <c r="U250" s="626"/>
      <c r="V250" s="626"/>
      <c r="W250" s="626"/>
      <c r="X250" s="626"/>
      <c r="Y250" s="626"/>
      <c r="Z250" s="626"/>
      <c r="AA250" s="626"/>
      <c r="AB250" s="626"/>
      <c r="AC250" s="626"/>
      <c r="AD250" s="626"/>
      <c r="AE250" s="626"/>
      <c r="AF250" s="626"/>
      <c r="AG250" s="626"/>
      <c r="AH250" s="626"/>
      <c r="AI250" s="626"/>
      <c r="AJ250" s="626"/>
      <c r="AK250" s="626"/>
      <c r="AL250" s="626"/>
      <c r="AM250" s="626"/>
      <c r="AN250" s="626"/>
      <c r="AO250" s="626"/>
      <c r="AP250" s="626"/>
      <c r="AQ250" s="626"/>
      <c r="AR250" s="626"/>
      <c r="AS250" s="626"/>
      <c r="AT250" s="626"/>
      <c r="AU250" s="626"/>
      <c r="AV250" s="626"/>
      <c r="AW250" s="626"/>
      <c r="AX250" s="626"/>
      <c r="AY250" s="626"/>
      <c r="AZ250" s="626"/>
      <c r="BA250" s="626"/>
      <c r="BB250" s="626"/>
      <c r="BC250" s="626"/>
      <c r="BD250" s="628"/>
      <c r="BE250" s="626"/>
      <c r="BF250" s="626"/>
      <c r="BG250" s="629"/>
      <c r="BH250" s="626"/>
      <c r="BI250" s="626"/>
      <c r="BJ250" s="626"/>
      <c r="BK250" s="626"/>
      <c r="BL250" s="628"/>
      <c r="BM250" s="626"/>
      <c r="BN250" s="626"/>
      <c r="BO250" s="629"/>
      <c r="BP250" s="626"/>
      <c r="BQ250" s="626"/>
      <c r="BR250" s="626"/>
      <c r="BS250" s="626"/>
      <c r="BT250" s="628"/>
      <c r="BU250" s="626"/>
      <c r="BV250" s="626"/>
      <c r="BW250" s="493">
        <f t="shared" ref="BW250:CD250" si="1314">+BV247*BW249/4</f>
        <v>1.581</v>
      </c>
      <c r="BX250" s="492">
        <f t="shared" si="1314"/>
        <v>2.0145</v>
      </c>
      <c r="BY250" s="492">
        <f t="shared" si="1314"/>
        <v>2.1997499999999999</v>
      </c>
      <c r="BZ250" s="492">
        <f t="shared" si="1314"/>
        <v>2.0985</v>
      </c>
      <c r="CA250" s="493">
        <f t="shared" si="1314"/>
        <v>2.0805000000000002</v>
      </c>
      <c r="CB250" s="491">
        <f t="shared" si="1314"/>
        <v>2.1742500000000002</v>
      </c>
      <c r="CC250" s="492">
        <f t="shared" si="1314"/>
        <v>2.7</v>
      </c>
      <c r="CD250" s="492">
        <f t="shared" si="1314"/>
        <v>3.306</v>
      </c>
      <c r="CE250" s="493">
        <f t="shared" ref="CE250:CM250" si="1315">+CD247*CE249/4</f>
        <v>3.7920000000000003</v>
      </c>
      <c r="CF250" s="491">
        <f t="shared" si="1315"/>
        <v>3.6067499999999999</v>
      </c>
      <c r="CG250" s="492">
        <f t="shared" si="1315"/>
        <v>4.0147500000000003</v>
      </c>
      <c r="CH250" s="492">
        <f t="shared" si="1315"/>
        <v>3.9802500000000003</v>
      </c>
      <c r="CI250" s="493">
        <f t="shared" si="1315"/>
        <v>4.7610000000000001</v>
      </c>
      <c r="CJ250" s="491">
        <f t="shared" si="1315"/>
        <v>5.4975000000000005</v>
      </c>
      <c r="CK250" s="492">
        <f t="shared" si="1315"/>
        <v>4.2255000000000003</v>
      </c>
      <c r="CL250" s="492">
        <f t="shared" si="1315"/>
        <v>4.0590000000000002</v>
      </c>
      <c r="CM250" s="493">
        <f t="shared" si="1315"/>
        <v>3.8572500000000001</v>
      </c>
      <c r="CN250" s="492">
        <f t="shared" ref="CN250:CO250" si="1316">+CM247*CN249/4</f>
        <v>2.9771077174956484</v>
      </c>
      <c r="CO250" s="1272">
        <f t="shared" si="1316"/>
        <v>2.438856373270184</v>
      </c>
      <c r="CP250" s="492">
        <f t="shared" ref="CP250" si="1317">+CO247*CP249/4</f>
        <v>2.1915243054904976</v>
      </c>
      <c r="CQ250" s="493">
        <f t="shared" ref="CQ250" si="1318">+CP247*CQ249/4</f>
        <v>2.2741372707529748</v>
      </c>
      <c r="CR250" s="492">
        <f t="shared" ref="CR250" si="1319">+CQ247*CR249/4</f>
        <v>2.433281265184986</v>
      </c>
      <c r="CS250" s="492">
        <f t="shared" ref="CS250" si="1320">+CR247*CS249/4</f>
        <v>3.0637753068200877</v>
      </c>
      <c r="CT250" s="492">
        <f t="shared" ref="CT250" si="1321">+CS247*CT249/4</f>
        <v>3.2883001142512374</v>
      </c>
      <c r="CU250" s="493">
        <f t="shared" ref="CU250" si="1322">+CT247*CU249/4</f>
        <v>4.3394614023149032</v>
      </c>
      <c r="CV250" s="492">
        <f t="shared" ref="CV250" si="1323">+CU247*CV249/4</f>
        <v>6.3667608482939757</v>
      </c>
      <c r="CW250" s="492">
        <f t="shared" ref="CW250" si="1324">+CV247*CW249/4</f>
        <v>7.8720789921052443</v>
      </c>
      <c r="CX250" s="492">
        <f t="shared" ref="CX250" si="1325">+CW247*CX249/4</f>
        <v>8.8112023678470415</v>
      </c>
      <c r="CY250" s="493">
        <f t="shared" ref="CY250" si="1326">+CX247*CY249/4</f>
        <v>9.5907868847267803</v>
      </c>
      <c r="CZ250" s="492">
        <f t="shared" ref="CZ250" si="1327">+CY247*CZ249/4</f>
        <v>10.116294820876208</v>
      </c>
      <c r="DA250" s="492">
        <f t="shared" ref="DA250" si="1328">+CZ247*DA249/4</f>
        <v>10.463943888102095</v>
      </c>
      <c r="DB250" s="492">
        <f t="shared" ref="DB250" si="1329">+DA247*DB249/4</f>
        <v>10.856050484226344</v>
      </c>
      <c r="DC250" s="493">
        <f t="shared" ref="DC250" si="1330">+DB247*DC249/4</f>
        <v>11.002151886633861</v>
      </c>
      <c r="DD250" s="387"/>
      <c r="DE250" s="388"/>
      <c r="DF250" s="386"/>
      <c r="DG250" s="386"/>
      <c r="DH250" s="386"/>
      <c r="DI250" s="386"/>
      <c r="DJ250" s="386"/>
      <c r="DK250" s="386"/>
      <c r="DL250" s="386"/>
      <c r="DM250" s="386"/>
      <c r="DN250" s="386"/>
      <c r="DO250" s="386"/>
      <c r="DP250" s="386"/>
      <c r="DQ250" s="386"/>
      <c r="DR250" s="386"/>
      <c r="DS250" s="386"/>
      <c r="DT250" s="626"/>
      <c r="DU250" s="386"/>
      <c r="DV250" s="386"/>
      <c r="DW250" s="386"/>
      <c r="DX250" s="386"/>
      <c r="DY250" s="386"/>
      <c r="DZ250" s="386"/>
      <c r="EA250" s="626"/>
      <c r="EB250" s="626"/>
      <c r="EC250" s="626"/>
      <c r="ED250" s="629"/>
      <c r="EE250" s="388"/>
      <c r="EF250" s="412"/>
      <c r="EG250" s="412"/>
      <c r="EH250" s="412"/>
      <c r="EI250" s="412"/>
      <c r="EJ250" s="412"/>
      <c r="EK250" s="412"/>
      <c r="EL250" s="412"/>
      <c r="EM250" s="412"/>
      <c r="EN250" s="412"/>
      <c r="EO250" s="412"/>
      <c r="EP250" s="412"/>
      <c r="EQ250" s="412"/>
      <c r="ER250" s="412"/>
      <c r="ES250" s="412"/>
      <c r="ET250" s="412"/>
      <c r="EU250" s="412"/>
      <c r="EV250" s="412"/>
      <c r="EW250" s="412"/>
      <c r="EX250" s="412"/>
      <c r="EY250" s="412"/>
      <c r="EZ250" s="412"/>
      <c r="FA250" s="412"/>
      <c r="FB250" s="412"/>
      <c r="FC250" s="412"/>
      <c r="FD250" s="412"/>
      <c r="FE250" s="386"/>
      <c r="FF250" s="386"/>
      <c r="FG250" s="386"/>
      <c r="FH250" s="386"/>
      <c r="FI250"/>
      <c r="FJ250"/>
      <c r="FK250"/>
      <c r="FL250"/>
      <c r="FM250"/>
      <c r="FN250"/>
      <c r="FO250" s="412"/>
    </row>
    <row r="251" spans="1:171" ht="14.25" hidden="1" customHeight="1" outlineLevel="1">
      <c r="A251" s="7"/>
      <c r="B251" s="45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1224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/>
      <c r="EB251" s="7"/>
      <c r="EC251" s="7"/>
      <c r="ED251" s="7"/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13"/>
      <c r="FF251" s="13"/>
      <c r="FG251" s="13"/>
      <c r="FH251" s="13"/>
      <c r="FO251" s="7"/>
    </row>
    <row r="252" spans="1:171" ht="14.25" hidden="1" customHeight="1" outlineLevel="1">
      <c r="A252" s="7"/>
      <c r="B252" s="451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1224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/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13"/>
      <c r="FF252" s="13"/>
      <c r="FG252" s="13"/>
      <c r="FH252" s="13"/>
      <c r="FO252" s="7"/>
    </row>
    <row r="253" spans="1:171" ht="14.25" hidden="1" customHeight="1" outlineLevel="1">
      <c r="A253" s="7"/>
      <c r="B253" s="451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1224"/>
      <c r="CP253" s="7"/>
      <c r="CQ253" s="7"/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13"/>
      <c r="FF253" s="13"/>
      <c r="FG253" s="13"/>
      <c r="FH253" s="13"/>
      <c r="FO253" s="7"/>
    </row>
    <row r="254" spans="1:171" ht="14.25" hidden="1" customHeight="1" outlineLevel="1">
      <c r="B254"/>
      <c r="CI254"/>
      <c r="CJ254"/>
      <c r="CK254"/>
      <c r="CL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U254"/>
      <c r="DV254"/>
      <c r="DW254"/>
      <c r="DX254"/>
      <c r="DY254"/>
      <c r="DZ254"/>
      <c r="EA254"/>
      <c r="EB254"/>
      <c r="EC254"/>
      <c r="EX254"/>
      <c r="EY254"/>
      <c r="EZ254"/>
      <c r="FA254"/>
      <c r="FB254"/>
      <c r="FC254"/>
      <c r="FD254"/>
      <c r="FE254"/>
      <c r="FF254"/>
      <c r="FG254"/>
      <c r="FH254"/>
    </row>
    <row r="255" spans="1:171" ht="14.25" hidden="1" customHeight="1" outlineLevel="1">
      <c r="A255" s="7"/>
      <c r="B255" s="452" t="s">
        <v>277</v>
      </c>
      <c r="C255" s="90"/>
      <c r="D255" s="91" t="str">
        <f>IS!D172</f>
        <v>A</v>
      </c>
      <c r="E255" s="91" t="str">
        <f>IS!E172</f>
        <v>A</v>
      </c>
      <c r="F255" s="91" t="str">
        <f>IS!F172</f>
        <v>A</v>
      </c>
      <c r="G255" s="91" t="str">
        <f>IS!G172</f>
        <v>A</v>
      </c>
      <c r="H255" s="91" t="str">
        <f>IS!H172</f>
        <v>A</v>
      </c>
      <c r="I255" s="91" t="str">
        <f>IS!I172</f>
        <v>A</v>
      </c>
      <c r="J255" s="91" t="str">
        <f>IS!J172</f>
        <v>A</v>
      </c>
      <c r="K255" s="91" t="str">
        <f>IS!K172</f>
        <v>A</v>
      </c>
      <c r="L255" s="91" t="e">
        <f>IS!L172</f>
        <v>#NAME?</v>
      </c>
      <c r="M255" s="91" t="e">
        <f>IS!M172</f>
        <v>#NAME?</v>
      </c>
      <c r="N255" s="91" t="e">
        <f>IS!N172</f>
        <v>#NAME?</v>
      </c>
      <c r="O255" s="91" t="e">
        <f>IS!O172</f>
        <v>#NAME?</v>
      </c>
      <c r="P255" s="91" t="e">
        <f>IS!P172</f>
        <v>#NAME?</v>
      </c>
      <c r="Q255" s="91" t="e">
        <f>IS!Q172</f>
        <v>#NAME?</v>
      </c>
      <c r="R255" s="91" t="e">
        <f>IS!R172</f>
        <v>#NAME?</v>
      </c>
      <c r="S255" s="91" t="e">
        <f>IS!S172</f>
        <v>#NAME?</v>
      </c>
      <c r="T255" s="91" t="e">
        <f>IS!T172</f>
        <v>#NAME?</v>
      </c>
      <c r="U255" s="91" t="e">
        <f>IS!U172</f>
        <v>#NAME?</v>
      </c>
      <c r="V255" s="91" t="e">
        <f>IS!V172</f>
        <v>#NAME?</v>
      </c>
      <c r="W255" s="91" t="e">
        <f>IS!W172</f>
        <v>#NAME?</v>
      </c>
      <c r="X255" s="91" t="e">
        <f>IS!X172</f>
        <v>#NAME?</v>
      </c>
      <c r="Y255" s="91" t="e">
        <f>IS!Y172</f>
        <v>#NAME?</v>
      </c>
      <c r="Z255" s="91" t="e">
        <f>IS!Z172</f>
        <v>#NAME?</v>
      </c>
      <c r="AA255" s="91" t="e">
        <f>IS!AA172</f>
        <v>#NAME?</v>
      </c>
      <c r="AB255" s="91" t="e">
        <f>IS!AB172</f>
        <v>#NAME?</v>
      </c>
      <c r="AC255" s="91" t="e">
        <f>IS!AC172</f>
        <v>#NAME?</v>
      </c>
      <c r="AD255" s="91" t="e">
        <f>IS!AD172</f>
        <v>#NAME?</v>
      </c>
      <c r="AE255" s="91" t="e">
        <f>IS!AE172</f>
        <v>#NAME?</v>
      </c>
      <c r="AF255" s="91" t="e">
        <f>IS!AF172</f>
        <v>#NAME?</v>
      </c>
      <c r="AG255" s="91" t="e">
        <f>IS!AG172</f>
        <v>#NAME?</v>
      </c>
      <c r="AH255" s="91" t="e">
        <f>IS!AH172</f>
        <v>#NAME?</v>
      </c>
      <c r="AI255" s="91" t="e">
        <f>IS!AI172</f>
        <v>#NAME?</v>
      </c>
      <c r="AJ255" s="91" t="e">
        <f>IS!AJ172</f>
        <v>#NAME?</v>
      </c>
      <c r="AK255" s="91" t="e">
        <f>IS!AK172</f>
        <v>#NAME?</v>
      </c>
      <c r="AL255" s="91" t="e">
        <f>IS!AL172</f>
        <v>#NAME?</v>
      </c>
      <c r="AM255" s="91" t="e">
        <f>IS!AM172</f>
        <v>#NAME?</v>
      </c>
      <c r="AN255" s="91" t="e">
        <f>IS!AN172</f>
        <v>#NAME?</v>
      </c>
      <c r="AO255" s="91" t="e">
        <f>IS!AO172</f>
        <v>#NAME?</v>
      </c>
      <c r="AP255" s="91" t="e">
        <f>IS!AP172</f>
        <v>#NAME?</v>
      </c>
      <c r="AQ255" s="91" t="e">
        <f>IS!AQ172</f>
        <v>#NAME?</v>
      </c>
      <c r="AR255" s="91" t="e">
        <f>IS!AR172</f>
        <v>#NAME?</v>
      </c>
      <c r="AS255" s="91" t="e">
        <f>IS!AS172</f>
        <v>#NAME?</v>
      </c>
      <c r="AT255" s="91" t="e">
        <f>IS!AT172</f>
        <v>#NAME?</v>
      </c>
      <c r="AU255" s="91" t="e">
        <f>IS!AU172</f>
        <v>#NAME?</v>
      </c>
      <c r="AV255" s="91" t="e">
        <f>IS!AV172</f>
        <v>#NAME?</v>
      </c>
      <c r="AW255" s="91" t="e">
        <f>IS!AW172</f>
        <v>#NAME?</v>
      </c>
      <c r="AX255" s="91" t="e">
        <f>IS!AX172</f>
        <v>#NAME?</v>
      </c>
      <c r="AY255" s="91" t="e">
        <f>IS!AY172</f>
        <v>#NAME?</v>
      </c>
      <c r="AZ255" s="91" t="e">
        <f>IS!AZ172</f>
        <v>#NAME?</v>
      </c>
      <c r="BA255" s="91" t="e">
        <f>IS!BA172</f>
        <v>#NAME?</v>
      </c>
      <c r="BB255" s="91" t="e">
        <f>IS!BB172</f>
        <v>#NAME?</v>
      </c>
      <c r="BC255" s="91" t="e">
        <f>IS!BC172</f>
        <v>#NAME?</v>
      </c>
      <c r="BD255" s="91" t="e">
        <f>IS!BD172</f>
        <v>#NAME?</v>
      </c>
      <c r="BE255" s="91" t="e">
        <f>IS!BE172</f>
        <v>#NAME?</v>
      </c>
      <c r="BF255" s="91" t="e">
        <f>IS!BF172</f>
        <v>#NAME?</v>
      </c>
      <c r="BG255" s="91" t="e">
        <f>IS!BG172</f>
        <v>#NAME?</v>
      </c>
      <c r="BH255" s="91" t="e">
        <f>IS!BH172</f>
        <v>#NAME?</v>
      </c>
      <c r="BI255" s="91" t="e">
        <f>IS!BI172</f>
        <v>#NAME?</v>
      </c>
      <c r="BJ255" s="91" t="e">
        <f>IS!BJ172</f>
        <v>#NAME?</v>
      </c>
      <c r="BK255" s="91" t="e">
        <f>IS!BK172</f>
        <v>#NAME?</v>
      </c>
      <c r="BL255" s="91" t="e">
        <f>IS!BL172</f>
        <v>#NAME?</v>
      </c>
      <c r="BM255" s="91" t="e">
        <f>IS!BM172</f>
        <v>#NAME?</v>
      </c>
      <c r="BN255" s="91" t="e">
        <f>IS!BN172</f>
        <v>#NAME?</v>
      </c>
      <c r="BO255" s="91" t="e">
        <f>IS!BO172</f>
        <v>#NAME?</v>
      </c>
      <c r="BP255" s="91" t="e">
        <f>IS!BP172</f>
        <v>#NAME?</v>
      </c>
      <c r="BQ255" s="91" t="e">
        <f>IS!BQ172</f>
        <v>#NAME?</v>
      </c>
      <c r="BR255" s="91" t="e">
        <f>IS!BR172</f>
        <v>#NAME?</v>
      </c>
      <c r="BS255" s="91" t="e">
        <f>IS!BS172</f>
        <v>#NAME?</v>
      </c>
      <c r="BT255" s="91" t="e">
        <f>IS!BT172</f>
        <v>#NAME?</v>
      </c>
      <c r="BU255" s="91" t="e">
        <f>IS!BU172</f>
        <v>#NAME?</v>
      </c>
      <c r="BV255" s="91" t="e">
        <f>IS!BV172</f>
        <v>#NAME?</v>
      </c>
      <c r="BW255" s="91" t="e">
        <f>IS!BW172</f>
        <v>#NAME?</v>
      </c>
      <c r="BX255" s="91" t="e">
        <f>IS!BX172</f>
        <v>#NAME?</v>
      </c>
      <c r="BY255" s="91" t="e">
        <f>IS!BY172</f>
        <v>#NAME?</v>
      </c>
      <c r="BZ255" s="91" t="e">
        <f>IS!BZ172</f>
        <v>#NAME?</v>
      </c>
      <c r="CA255" s="91" t="e">
        <f>IS!CA172</f>
        <v>#NAME?</v>
      </c>
      <c r="CB255" s="91" t="str">
        <f>IS!CB172</f>
        <v>A</v>
      </c>
      <c r="CC255" s="91" t="e">
        <f>IS!CC172</f>
        <v>#NAME?</v>
      </c>
      <c r="CD255" s="91" t="e">
        <f>IS!CD172</f>
        <v>#NAME?</v>
      </c>
      <c r="CE255" s="91" t="e">
        <f>IS!CE172</f>
        <v>#NAME?</v>
      </c>
      <c r="CF255" s="91" t="e">
        <f>IS!CF172</f>
        <v>#NAME?</v>
      </c>
      <c r="CG255" s="91" t="e">
        <f>IS!CG172</f>
        <v>#NAME?</v>
      </c>
      <c r="CH255" s="91" t="e">
        <f>IS!CH172</f>
        <v>#NAME?</v>
      </c>
      <c r="CI255" s="91" t="e">
        <f>IS!CI172</f>
        <v>#NAME?</v>
      </c>
      <c r="CJ255" s="91" t="e">
        <f>IS!CJ172</f>
        <v>#NAME?</v>
      </c>
      <c r="CK255" s="91" t="e">
        <f>IS!CK172</f>
        <v>#NAME?</v>
      </c>
      <c r="CL255" s="91" t="e">
        <f>IS!CL172</f>
        <v>#NAME?</v>
      </c>
      <c r="CM255" s="91" t="e">
        <f>IS!CM172</f>
        <v>#NAME?</v>
      </c>
      <c r="CN255" s="91" t="e">
        <f>IS!CN172</f>
        <v>#NAME?</v>
      </c>
      <c r="CO255" s="1233">
        <f>IS!CO170</f>
        <v>0</v>
      </c>
      <c r="CP255" s="91" t="e">
        <f>IS!CP172</f>
        <v>#NAME?</v>
      </c>
      <c r="CQ255" s="91" t="e">
        <f>IS!CQ172</f>
        <v>#NAME?</v>
      </c>
      <c r="CR255" s="91" t="e">
        <f>IS!CR172</f>
        <v>#NAME?</v>
      </c>
      <c r="CS255" s="91" t="e">
        <f>IS!CS172</f>
        <v>#NAME?</v>
      </c>
      <c r="CT255" s="91" t="e">
        <f>IS!CT172</f>
        <v>#NAME?</v>
      </c>
      <c r="CU255" s="91" t="e">
        <f>IS!CU172</f>
        <v>#NAME?</v>
      </c>
      <c r="CV255" s="91" t="e">
        <f>IS!CV172</f>
        <v>#NAME?</v>
      </c>
      <c r="CW255" s="91" t="e">
        <f>IS!CW172</f>
        <v>#NAME?</v>
      </c>
      <c r="CX255" s="91" t="e">
        <f>IS!CX172</f>
        <v>#NAME?</v>
      </c>
      <c r="CY255" s="91" t="e">
        <f>IS!CY172</f>
        <v>#NAME?</v>
      </c>
      <c r="CZ255" s="91" t="e">
        <f>IS!CZ172</f>
        <v>#NAME?</v>
      </c>
      <c r="DA255" s="91" t="e">
        <f>IS!DA172</f>
        <v>#NAME?</v>
      </c>
      <c r="DB255" s="91" t="e">
        <f>IS!DB172</f>
        <v>#NAME?</v>
      </c>
      <c r="DC255" s="91" t="e">
        <f>IS!DC172</f>
        <v>#NAME?</v>
      </c>
      <c r="DD255" s="91"/>
      <c r="DE255" s="91" t="str">
        <f>IS!DE172</f>
        <v>A</v>
      </c>
      <c r="DF255" s="91" t="str">
        <f>IS!DF172</f>
        <v>A</v>
      </c>
      <c r="DG255" s="91" t="e">
        <f>IS!DG172</f>
        <v>#NAME?</v>
      </c>
      <c r="DH255" s="91" t="e">
        <f>IS!DH172</f>
        <v>#NAME?</v>
      </c>
      <c r="DI255" s="91" t="e">
        <f>IS!DI172</f>
        <v>#NAME?</v>
      </c>
      <c r="DJ255" s="91" t="e">
        <f>IS!DJ172</f>
        <v>#NAME?</v>
      </c>
      <c r="DK255" s="91" t="e">
        <f>IS!DK172</f>
        <v>#NAME?</v>
      </c>
      <c r="DL255" s="91" t="e">
        <f>IS!DL172</f>
        <v>#NAME?</v>
      </c>
      <c r="DM255" s="91" t="e">
        <f>IS!DM172</f>
        <v>#NAME?</v>
      </c>
      <c r="DN255" s="91" t="e">
        <f>IS!DN172</f>
        <v>#NAME?</v>
      </c>
      <c r="DO255" s="91" t="e">
        <f>IS!DO172</f>
        <v>#NAME?</v>
      </c>
      <c r="DP255" s="91" t="e">
        <f>IS!DP172</f>
        <v>#NAME?</v>
      </c>
      <c r="DQ255" s="91" t="e">
        <f>IS!DQ172</f>
        <v>#NAME?</v>
      </c>
      <c r="DR255" s="91" t="e">
        <f>IS!DR172</f>
        <v>#NAME?</v>
      </c>
      <c r="DS255" s="91" t="e">
        <f>IS!DS172</f>
        <v>#NAME?</v>
      </c>
      <c r="DT255" s="91" t="e">
        <f>IS!DT172</f>
        <v>#NAME?</v>
      </c>
      <c r="DU255" s="91" t="e">
        <f>IS!DU172</f>
        <v>#NAME?</v>
      </c>
      <c r="DV255" s="91" t="e">
        <f>IS!DV172</f>
        <v>#NAME?</v>
      </c>
      <c r="DW255" s="91" t="e">
        <f>IS!DW172</f>
        <v>#NAME?</v>
      </c>
      <c r="DX255" s="91" t="e">
        <f>IS!DX172</f>
        <v>#NAME?</v>
      </c>
      <c r="DY255" s="91" t="e">
        <f>IS!DY172</f>
        <v>#NAME?</v>
      </c>
      <c r="DZ255" s="91" t="e">
        <f>IS!DZ172</f>
        <v>#NAME?</v>
      </c>
      <c r="EA255" s="91" t="e">
        <f>IS!EA172</f>
        <v>#NAME?</v>
      </c>
      <c r="EB255" s="91" t="e">
        <f>IS!EB172</f>
        <v>#NAME?</v>
      </c>
      <c r="EC255" s="91" t="e">
        <f>IS!EC172</f>
        <v>#NAME?</v>
      </c>
      <c r="ED255" s="91" t="e">
        <f>IS!ED172</f>
        <v>#NAME?</v>
      </c>
      <c r="EE255" s="7"/>
      <c r="EF255" s="91" t="str">
        <f>IS!EF172</f>
        <v>A</v>
      </c>
      <c r="EG255" s="91" t="e">
        <f>IS!EG172</f>
        <v>#NAME?</v>
      </c>
      <c r="EH255" s="91" t="e">
        <f>IS!EH172</f>
        <v>#NAME?</v>
      </c>
      <c r="EI255" s="91" t="e">
        <f>IS!EI172</f>
        <v>#NAME?</v>
      </c>
      <c r="EJ255" s="91" t="e">
        <f>IS!EJ172</f>
        <v>#NAME?</v>
      </c>
      <c r="EK255" s="91" t="e">
        <f>IS!EK172</f>
        <v>#NAME?</v>
      </c>
      <c r="EL255" s="91" t="e">
        <f>IS!EL172</f>
        <v>#NAME?</v>
      </c>
      <c r="EM255" s="91" t="e">
        <f>IS!EM172</f>
        <v>#NAME?</v>
      </c>
      <c r="EN255" s="91" t="e">
        <f>IS!EN172</f>
        <v>#NAME?</v>
      </c>
      <c r="EO255" s="91" t="e">
        <f>IS!EO172</f>
        <v>#NAME?</v>
      </c>
      <c r="EP255" s="91" t="e">
        <f>IS!EP172</f>
        <v>#NAME?</v>
      </c>
      <c r="EQ255" s="91" t="e">
        <f>IS!EQ172</f>
        <v>#NAME?</v>
      </c>
      <c r="ER255" s="91" t="e">
        <f>IS!ER172</f>
        <v>#NAME?</v>
      </c>
      <c r="ES255" s="91" t="e">
        <f>IS!ES172</f>
        <v>#NAME?</v>
      </c>
      <c r="ET255" s="91" t="e">
        <f>IS!ET172</f>
        <v>#NAME?</v>
      </c>
      <c r="EU255" s="91" t="e">
        <f>IS!EU172</f>
        <v>#NAME?</v>
      </c>
      <c r="EV255" s="91" t="str">
        <f>IS!EV172</f>
        <v>A</v>
      </c>
      <c r="EW255" s="91" t="e">
        <f>IS!EW172</f>
        <v>#NAME?</v>
      </c>
      <c r="EX255" s="91" t="e">
        <f>IS!EX172</f>
        <v>#NAME?</v>
      </c>
      <c r="EY255" s="91" t="e">
        <f>IS!EY172</f>
        <v>#NAME?</v>
      </c>
      <c r="EZ255" s="91"/>
      <c r="FA255" s="91"/>
      <c r="FB255" s="91"/>
      <c r="FC255" s="91"/>
      <c r="FD255" s="91"/>
      <c r="FE255" s="13"/>
      <c r="FF255" s="13"/>
      <c r="FG255" s="13"/>
      <c r="FH255" s="13"/>
      <c r="FO255" s="7"/>
    </row>
    <row r="256" spans="1:171" ht="14.25" hidden="1" customHeight="1" outlineLevel="1">
      <c r="A256" s="7"/>
      <c r="B256" s="405" t="s">
        <v>322</v>
      </c>
      <c r="C256" s="59"/>
      <c r="D256" s="174" t="s">
        <v>323</v>
      </c>
      <c r="E256" s="174" t="s">
        <v>323</v>
      </c>
      <c r="F256" s="174" t="s">
        <v>323</v>
      </c>
      <c r="G256" s="174" t="s">
        <v>323</v>
      </c>
      <c r="H256" s="174" t="s">
        <v>323</v>
      </c>
      <c r="I256" s="174" t="s">
        <v>323</v>
      </c>
      <c r="J256" s="174" t="s">
        <v>323</v>
      </c>
      <c r="K256" s="174" t="s">
        <v>323</v>
      </c>
      <c r="L256" s="174" t="s">
        <v>323</v>
      </c>
      <c r="M256" s="174" t="s">
        <v>323</v>
      </c>
      <c r="N256" s="174" t="s">
        <v>323</v>
      </c>
      <c r="O256" s="174" t="s">
        <v>323</v>
      </c>
      <c r="P256" s="174" t="s">
        <v>323</v>
      </c>
      <c r="Q256" s="174" t="s">
        <v>323</v>
      </c>
      <c r="R256" s="174" t="s">
        <v>323</v>
      </c>
      <c r="S256" s="174" t="s">
        <v>323</v>
      </c>
      <c r="T256" s="174" t="s">
        <v>323</v>
      </c>
      <c r="U256" s="174" t="s">
        <v>323</v>
      </c>
      <c r="V256" s="174" t="s">
        <v>323</v>
      </c>
      <c r="W256" s="174" t="s">
        <v>323</v>
      </c>
      <c r="X256" s="174" t="s">
        <v>323</v>
      </c>
      <c r="Y256" s="174" t="s">
        <v>323</v>
      </c>
      <c r="Z256" s="174" t="s">
        <v>323</v>
      </c>
      <c r="AA256" s="174" t="s">
        <v>323</v>
      </c>
      <c r="AB256" s="174" t="s">
        <v>323</v>
      </c>
      <c r="AC256" s="174" t="s">
        <v>323</v>
      </c>
      <c r="AD256" s="174" t="s">
        <v>323</v>
      </c>
      <c r="AE256" s="174" t="s">
        <v>323</v>
      </c>
      <c r="AF256" s="174" t="s">
        <v>323</v>
      </c>
      <c r="AG256" s="174" t="s">
        <v>323</v>
      </c>
      <c r="AH256" s="174" t="s">
        <v>323</v>
      </c>
      <c r="AI256" s="174" t="s">
        <v>323</v>
      </c>
      <c r="AJ256" s="174" t="s">
        <v>323</v>
      </c>
      <c r="AK256" s="174" t="s">
        <v>323</v>
      </c>
      <c r="AL256" s="174" t="s">
        <v>323</v>
      </c>
      <c r="AM256" s="174" t="s">
        <v>323</v>
      </c>
      <c r="AN256" s="174" t="s">
        <v>323</v>
      </c>
      <c r="AO256" s="174" t="s">
        <v>323</v>
      </c>
      <c r="AP256" s="174" t="s">
        <v>323</v>
      </c>
      <c r="AQ256" s="174" t="s">
        <v>323</v>
      </c>
      <c r="AR256" s="174" t="s">
        <v>323</v>
      </c>
      <c r="AS256" s="174" t="s">
        <v>323</v>
      </c>
      <c r="AT256" s="174" t="s">
        <v>323</v>
      </c>
      <c r="AU256" s="174" t="s">
        <v>323</v>
      </c>
      <c r="AV256" s="174" t="s">
        <v>323</v>
      </c>
      <c r="AW256" s="174" t="s">
        <v>323</v>
      </c>
      <c r="AX256" s="174" t="s">
        <v>323</v>
      </c>
      <c r="AY256" s="174" t="s">
        <v>323</v>
      </c>
      <c r="AZ256" s="174" t="s">
        <v>323</v>
      </c>
      <c r="BA256" s="174" t="s">
        <v>323</v>
      </c>
      <c r="BB256" s="174" t="s">
        <v>323</v>
      </c>
      <c r="BC256" s="174" t="s">
        <v>323</v>
      </c>
      <c r="BD256" s="174" t="s">
        <v>323</v>
      </c>
      <c r="BE256" s="174" t="s">
        <v>323</v>
      </c>
      <c r="BF256" s="174" t="s">
        <v>323</v>
      </c>
      <c r="BG256" s="174" t="s">
        <v>323</v>
      </c>
      <c r="BH256" s="174" t="s">
        <v>323</v>
      </c>
      <c r="BI256" s="174" t="s">
        <v>323</v>
      </c>
      <c r="BJ256" s="174" t="s">
        <v>323</v>
      </c>
      <c r="BK256" s="174" t="s">
        <v>323</v>
      </c>
      <c r="BL256" s="174" t="s">
        <v>323</v>
      </c>
      <c r="BM256" s="174" t="s">
        <v>323</v>
      </c>
      <c r="BN256" s="174" t="s">
        <v>323</v>
      </c>
      <c r="BO256" s="174" t="s">
        <v>323</v>
      </c>
      <c r="BP256" s="174" t="s">
        <v>323</v>
      </c>
      <c r="BQ256" s="174" t="s">
        <v>323</v>
      </c>
      <c r="BR256" s="174" t="s">
        <v>323</v>
      </c>
      <c r="BS256" s="174" t="s">
        <v>323</v>
      </c>
      <c r="BT256" s="174" t="s">
        <v>323</v>
      </c>
      <c r="BU256" s="174" t="s">
        <v>323</v>
      </c>
      <c r="BV256" s="174" t="s">
        <v>323</v>
      </c>
      <c r="BW256" s="174" t="s">
        <v>323</v>
      </c>
      <c r="BX256" s="174" t="s">
        <v>323</v>
      </c>
      <c r="BY256" s="174" t="s">
        <v>323</v>
      </c>
      <c r="BZ256" s="174" t="s">
        <v>323</v>
      </c>
      <c r="CA256" s="174" t="s">
        <v>323</v>
      </c>
      <c r="CB256" s="174" t="s">
        <v>323</v>
      </c>
      <c r="CC256" s="174" t="s">
        <v>323</v>
      </c>
      <c r="CD256" s="174" t="s">
        <v>323</v>
      </c>
      <c r="CE256" s="174" t="s">
        <v>323</v>
      </c>
      <c r="CF256" s="174" t="s">
        <v>323</v>
      </c>
      <c r="CG256" s="174" t="s">
        <v>323</v>
      </c>
      <c r="CH256" s="174" t="s">
        <v>323</v>
      </c>
      <c r="CI256" s="174" t="s">
        <v>323</v>
      </c>
      <c r="CJ256" s="174" t="s">
        <v>323</v>
      </c>
      <c r="CK256" s="174" t="s">
        <v>323</v>
      </c>
      <c r="CL256" s="174" t="s">
        <v>323</v>
      </c>
      <c r="CM256" s="174" t="s">
        <v>323</v>
      </c>
      <c r="CN256" s="174" t="s">
        <v>323</v>
      </c>
      <c r="CO256" s="1248" t="s">
        <v>323</v>
      </c>
      <c r="CP256" s="174" t="s">
        <v>323</v>
      </c>
      <c r="CQ256" s="174" t="s">
        <v>323</v>
      </c>
      <c r="CR256" s="174" t="s">
        <v>323</v>
      </c>
      <c r="CS256" s="174" t="s">
        <v>323</v>
      </c>
      <c r="CT256" s="174" t="s">
        <v>323</v>
      </c>
      <c r="CU256" s="174" t="s">
        <v>323</v>
      </c>
      <c r="CV256" s="174" t="s">
        <v>323</v>
      </c>
      <c r="CW256" s="174" t="s">
        <v>323</v>
      </c>
      <c r="CX256" s="174" t="s">
        <v>323</v>
      </c>
      <c r="CY256" s="174" t="s">
        <v>323</v>
      </c>
      <c r="CZ256" s="174" t="s">
        <v>323</v>
      </c>
      <c r="DA256" s="174" t="s">
        <v>323</v>
      </c>
      <c r="DB256" s="174" t="s">
        <v>323</v>
      </c>
      <c r="DC256" s="174" t="s">
        <v>323</v>
      </c>
      <c r="DD256" s="7"/>
      <c r="DE256" s="174" t="s">
        <v>323</v>
      </c>
      <c r="DF256" s="174" t="s">
        <v>323</v>
      </c>
      <c r="DG256" s="174" t="s">
        <v>323</v>
      </c>
      <c r="DH256" s="174" t="s">
        <v>323</v>
      </c>
      <c r="DI256" s="174" t="s">
        <v>323</v>
      </c>
      <c r="DJ256" s="174" t="s">
        <v>323</v>
      </c>
      <c r="DK256" s="174" t="s">
        <v>323</v>
      </c>
      <c r="DL256" s="174" t="s">
        <v>323</v>
      </c>
      <c r="DM256" s="174" t="s">
        <v>323</v>
      </c>
      <c r="DN256" s="174" t="s">
        <v>323</v>
      </c>
      <c r="DO256" s="174" t="s">
        <v>323</v>
      </c>
      <c r="DP256" s="174" t="s">
        <v>323</v>
      </c>
      <c r="DQ256" s="174" t="s">
        <v>323</v>
      </c>
      <c r="DR256" s="174" t="s">
        <v>323</v>
      </c>
      <c r="DS256" s="174" t="s">
        <v>323</v>
      </c>
      <c r="DT256" s="174" t="s">
        <v>323</v>
      </c>
      <c r="DU256" s="174" t="s">
        <v>323</v>
      </c>
      <c r="DV256" s="174" t="s">
        <v>323</v>
      </c>
      <c r="DW256" s="174" t="s">
        <v>323</v>
      </c>
      <c r="DX256" s="174" t="s">
        <v>323</v>
      </c>
      <c r="DY256" s="174" t="s">
        <v>323</v>
      </c>
      <c r="DZ256" s="174" t="s">
        <v>323</v>
      </c>
      <c r="EA256" s="174" t="s">
        <v>323</v>
      </c>
      <c r="EB256" s="174" t="s">
        <v>323</v>
      </c>
      <c r="EC256" s="174" t="s">
        <v>323</v>
      </c>
      <c r="ED256" s="174" t="s">
        <v>323</v>
      </c>
      <c r="EE256" s="7"/>
      <c r="EF256" s="174" t="s">
        <v>323</v>
      </c>
      <c r="EG256" s="174" t="s">
        <v>323</v>
      </c>
      <c r="EH256" s="174" t="s">
        <v>323</v>
      </c>
      <c r="EI256" s="174" t="s">
        <v>323</v>
      </c>
      <c r="EJ256" s="174" t="s">
        <v>323</v>
      </c>
      <c r="EK256" s="174" t="s">
        <v>323</v>
      </c>
      <c r="EL256" s="174" t="s">
        <v>323</v>
      </c>
      <c r="EM256" s="174" t="s">
        <v>323</v>
      </c>
      <c r="EN256" s="174" t="s">
        <v>323</v>
      </c>
      <c r="EO256" s="174" t="s">
        <v>323</v>
      </c>
      <c r="EP256" s="174" t="s">
        <v>323</v>
      </c>
      <c r="EQ256" s="174" t="s">
        <v>323</v>
      </c>
      <c r="ER256" s="174" t="s">
        <v>323</v>
      </c>
      <c r="ES256" s="174" t="s">
        <v>323</v>
      </c>
      <c r="ET256" s="174" t="s">
        <v>323</v>
      </c>
      <c r="EU256" s="174" t="s">
        <v>323</v>
      </c>
      <c r="EV256" s="174" t="s">
        <v>323</v>
      </c>
      <c r="EW256" s="174" t="s">
        <v>323</v>
      </c>
      <c r="EX256" s="174" t="s">
        <v>323</v>
      </c>
      <c r="EY256" s="174" t="s">
        <v>323</v>
      </c>
      <c r="EZ256" s="174"/>
      <c r="FA256" s="174"/>
      <c r="FB256" s="174"/>
      <c r="FC256" s="174"/>
      <c r="FD256" s="174"/>
      <c r="FE256" s="13"/>
      <c r="FF256" s="13"/>
      <c r="FG256" s="13"/>
      <c r="FH256" s="13"/>
      <c r="FO256" s="7"/>
    </row>
    <row r="257" spans="1:171" s="458" customFormat="1" ht="14.25" hidden="1" customHeight="1" outlineLevel="1">
      <c r="A257" s="457"/>
      <c r="B257" s="564" t="s">
        <v>324</v>
      </c>
      <c r="C257" s="565"/>
      <c r="D257" s="565"/>
      <c r="E257" s="565">
        <f>E64-D64+E68-D68-E62+D62-E60+D60+E67-D67-IS!E97</f>
        <v>-183.50000000000003</v>
      </c>
      <c r="F257" s="565">
        <f>F64-E64+F68-E68-F62+E62-F60+E60+F67-E67-IS!F97</f>
        <v>-220.20000000000005</v>
      </c>
      <c r="G257" s="565">
        <f>G64-F64+G68-F68-G62+F62-G60+F60+G67-F67-IS!G97</f>
        <v>-281.10000000000002</v>
      </c>
      <c r="H257" s="565">
        <f>H64-G64+H68-G68-H62+G62-H60+G60+H67-G67-IS!H97</f>
        <v>-328.49999999999989</v>
      </c>
      <c r="I257" s="565">
        <f>I64-H64+I68-H68-I62+H62-I60+H60+I67-H67-IS!I97</f>
        <v>-188.19999999999993</v>
      </c>
      <c r="J257" s="565">
        <f>J64-I64+J68-I68-J62+I62-J60+I60+J67-I67-IS!J97</f>
        <v>-58.199999999999982</v>
      </c>
      <c r="K257" s="565">
        <f>K64-J64+K68-J68-K62+J62-K60+J60+K67-J67-IS!K97</f>
        <v>-18.599999999999941</v>
      </c>
      <c r="L257" s="565">
        <f>L64-K64+L68-K68-L62+K62-L60+K60+L67-K67-IS!L97</f>
        <v>2507.6</v>
      </c>
      <c r="M257" s="565">
        <f>M64-L64+M68-L68-M62+L62-M60+L60+M67-L67-IS!M97</f>
        <v>10.000000000000227</v>
      </c>
      <c r="N257" s="565">
        <f>N64-M64+N68-M68-N62+M62-N60+M60+N67-M67-IS!N97</f>
        <v>11.399999999999821</v>
      </c>
      <c r="O257" s="565">
        <f>O64-N64+O68-N68-O62+N62-O60+N60+O67-N67-IS!O97</f>
        <v>21.899999999999451</v>
      </c>
      <c r="P257" s="565">
        <f>P64-O64+P68-O68-P62+O62-P60+O60+P67-O67-IS!P97</f>
        <v>6.6000000000004153</v>
      </c>
      <c r="Q257" s="565">
        <f>Q64-P64+Q68-P68-Q62+P62-Q60+P60+Q67-P67-IS!Q97</f>
        <v>29.499999999999844</v>
      </c>
      <c r="R257" s="565">
        <f>R64-Q64+R68-Q68-R62+Q62-R60+Q60+R67-Q67-IS!R97</f>
        <v>8.4999999999999005</v>
      </c>
      <c r="S257" s="565">
        <f>S64-R64+S68-R68-S62+R62-S60+R60+S67-R67-IS!S97</f>
        <v>12.40000000000029</v>
      </c>
      <c r="T257" s="565">
        <f>T64-S64+T68-S68-T62+S62-T60+S60+T67-S67-IS!T97</f>
        <v>1189.5999999999997</v>
      </c>
      <c r="U257" s="565">
        <f>U64-T64+U68-T68-U62+T62-U60+T60+U67-T67-IS!U97</f>
        <v>87.60000000000008</v>
      </c>
      <c r="V257" s="565">
        <f>V64-U64+V68-U68-V62+U62-V60+U60+V67-U67-IS!V97</f>
        <v>8.3000000000003453</v>
      </c>
      <c r="W257" s="565">
        <f>W64-V64+W68-V68-W62+V62-W60+V60+W67-V67-IS!W97</f>
        <v>56.599999999999795</v>
      </c>
      <c r="X257" s="565">
        <f>X64-W64+X68-W68-X62+W62-X60+W60+X67-W67-IS!X97</f>
        <v>79.900000000000205</v>
      </c>
      <c r="Y257" s="565">
        <f>Y64-X64+Y68-X68-Y62+X62-Y60+X60+Y67-X67-IS!Y97</f>
        <v>147.50000000000028</v>
      </c>
      <c r="Z257" s="565">
        <f>Z64-Y64+Z68-Y68-Z62+Y62-Z60+Y60+Z67-Y67-IS!Z97</f>
        <v>628.70000000000005</v>
      </c>
      <c r="AA257" s="565">
        <f>AA64-Z64+AA68-Z68-AA62+Z62-AA60+Z60+AA67-Z67-IS!AA97</f>
        <v>103.99999999999909</v>
      </c>
      <c r="AB257" s="565">
        <f>AB64-AA64+AB68-AA68-AB62+AA62-AB60+AA60+AB67-AA67-IS!AB97</f>
        <v>711.80000000000064</v>
      </c>
      <c r="AC257" s="565">
        <f>AC64-AB64+AC68-AB68-AC62+AB62-AC60+AB60+AC67-AB67-IS!AC97</f>
        <v>58.299999999999486</v>
      </c>
      <c r="AD257" s="565">
        <f>AD64-AC64+AD68-AC68-AD62+AC62-AD60+AC60+AD67-AC67-IS!AD97</f>
        <v>47.099999999999739</v>
      </c>
      <c r="AE257" s="565">
        <f>AE64-AD64+AE68-AD68-AE62+AD62-AE60+AD60+AE67-AD67-IS!AE97</f>
        <v>515.39999999999941</v>
      </c>
      <c r="AF257" s="565">
        <f>AF64-AE64+AF68-AE68-AF62+AE62-AF60+AE60+AF67-AE67-IS!AF97</f>
        <v>28.899999999999579</v>
      </c>
      <c r="AG257" s="565">
        <f>AG64-AF64+AG68-AF68-AG62+AF62-AG60+AF60+AG67-AF67-IS!AG97</f>
        <v>25.700000000001094</v>
      </c>
      <c r="AH257" s="565">
        <f>AH64-AG64+AH68-AG68-AH62+AG62-AH60+AG60+AH67-AG67-IS!AH97</f>
        <v>21.599999999999262</v>
      </c>
      <c r="AI257" s="565">
        <f>AI64-AH64+AI68-AH68-AI62+AH62-AI60+AH60+AI67-AH67-IS!AI97</f>
        <v>0.2000000000007276</v>
      </c>
      <c r="AJ257" s="565">
        <f>AJ64-AI64+AJ68-AI68-AJ62+AI62-AJ60+AI60+AJ67-AI67-IS!AJ97</f>
        <v>28.599999999999511</v>
      </c>
      <c r="AK257" s="565">
        <f>AK64-AJ64+AK68-AJ68-AK62+AJ62-AK60+AJ60+AK67-AJ67-IS!AK97</f>
        <v>-100.09999999999945</v>
      </c>
      <c r="AL257" s="565">
        <f>AL64-AK64+AL68-AK68-AL62+AK62-AL60+AK60+AL67-AK67-IS!AL97</f>
        <v>7.6999999999989086</v>
      </c>
      <c r="AM257" s="565">
        <f>AM64-AL64+AM68-AL68-AM62+AL62-AM60+AL60+AM67-AL67-IS!AM97</f>
        <v>8.8000000000006935</v>
      </c>
      <c r="AN257" s="565">
        <f>AN64-AM64+AN68-AM68-AN62+AM62-AN60+AM60+AN67-AM67-IS!AN97</f>
        <v>457.59999999999917</v>
      </c>
      <c r="AO257" s="565">
        <f>AO64-AN64+AO68-AN68-AO62+AN62-AO60+AN60+AO67-AN67-IS!AO97</f>
        <v>4.7000000000007098</v>
      </c>
      <c r="AP257" s="565">
        <f>AP64-AO64+AP68-AO68-AP62+AO62-AP60+AO60+AP67-AO67-IS!AP97</f>
        <v>10.00000000000054</v>
      </c>
      <c r="AQ257" s="565">
        <f>AQ64-AP64+AQ68-AP68-AQ62+AP62-AQ60+AP60+AQ67-AP67-IS!AQ97</f>
        <v>8.4999999999986926</v>
      </c>
      <c r="AR257" s="565">
        <f>AR64-AQ64+AR68-AQ68-AR62+AQ62-AR60+AQ60+AR67-AQ67-IS!AR97</f>
        <v>6.5000000000005116</v>
      </c>
      <c r="AS257" s="565">
        <f>AS64-AR64+AS68-AR68-AS62+AR62-AS60+AR60+AS67-AR67-IS!AS97</f>
        <v>8.3999999999992667</v>
      </c>
      <c r="AT257" s="565">
        <f>AT64-AS64+AT68-AS68-AT62+AS62-AT60+AS60+AT67-AS67-IS!AT97</f>
        <v>10.100000000000236</v>
      </c>
      <c r="AU257" s="565">
        <f>AU64-AT64+AU68-AT68-AU62+AT62-AU60+AT60+AU67-AT67-IS!AU97</f>
        <v>12.000000000000441</v>
      </c>
      <c r="AV257" s="565">
        <f>AV64-AU64+AV68-AU68-AV62+AU62-AV60+AU60+AV67-AU67-IS!AV97</f>
        <v>14.799999999999976</v>
      </c>
      <c r="AW257" s="565">
        <f>AW64-AV64+AW68-AV68-AW62+AV62-AW60+AV60+AW67-AV67-IS!AW97</f>
        <v>836.9000000000002</v>
      </c>
      <c r="AX257" s="565">
        <f>AX64-AW64+AX68-AW68-AX62+AW62-AX60+AW60+AX67-AW67-IS!AX97</f>
        <v>44.099999999999469</v>
      </c>
      <c r="AY257" s="565">
        <f>AY64-AX64+AY68-AX68-AY62+AX62-AY60+AX60+AY67-AX67-IS!AY97</f>
        <v>965.40000000000032</v>
      </c>
      <c r="AZ257" s="565">
        <f>AZ64-AY64+AZ68-AY68-AZ62+AY62-AZ60+AY60+AZ67-AY67-IS!AZ97</f>
        <v>48</v>
      </c>
      <c r="BA257" s="565">
        <f>BA64-AZ64+BA68-AZ68-BA62+AZ62-BA60+AZ60+BA67-AZ67-IS!BA97</f>
        <v>25</v>
      </c>
      <c r="BB257" s="565">
        <f>BB64-BA64+BB68-BA68-BB62+BA62-BB60+BA60+BB67-BA67-IS!BB97</f>
        <v>-137</v>
      </c>
      <c r="BC257" s="565">
        <f>BC64-BB64+BC68-BB68-BC62+BB62-BC60+BB60+BC67-BB67-IS!BC97</f>
        <v>27</v>
      </c>
      <c r="BD257" s="565">
        <f>BD64-BC64+BD68-BC68-BD62+BC62-BD60+BC60+BD67-BC67-IS!BD97</f>
        <v>12</v>
      </c>
      <c r="BE257" s="565">
        <f>BE64-BD64+BE68-BD68-BE62+BD62-BE60+BD60+BE67-BD67-IS!BE97</f>
        <v>12</v>
      </c>
      <c r="BF257" s="565">
        <f>BF64-BE64+BF68-BE68-BF62+BE62-BF60+BE60+BF67-BE67-IS!BF97</f>
        <v>14</v>
      </c>
      <c r="BG257" s="565">
        <f>BG64-BF64+BG68-BF68-BG62+BF62-BG60+BF60+BG67-BF67-IS!BG97</f>
        <v>8</v>
      </c>
      <c r="BH257" s="565">
        <f>BH64-BG64+BH68-BG68-BH62+BG62-BH60+BG60+BH67-BG67-IS!BH97</f>
        <v>8</v>
      </c>
      <c r="BI257" s="565">
        <f>BI64-BH64+BI68-BH68-BI62+BH62-BI60+BH60+BI67-BH67-IS!BI97</f>
        <v>12</v>
      </c>
      <c r="BJ257" s="565">
        <f>BJ64-BI64+BJ68-BI68-BJ62+BI62-BJ60+BI60+BJ67-BI67-IS!BJ97</f>
        <v>264</v>
      </c>
      <c r="BK257" s="565">
        <f>BK64-BJ64+BK68-BJ68-BK62+BJ62-BK60+BJ60+BK67-BJ67-IS!BK97</f>
        <v>322</v>
      </c>
      <c r="BL257" s="565">
        <f>BL64-BK64+BL68-BK68-BL62+BK62-BL60+BK60+BL67-BK67-IS!BL97</f>
        <v>30</v>
      </c>
      <c r="BM257" s="565">
        <f>BM64-BL64+BM68-BL68-BM62+BL62-BM60+BL60+BM67-BL67-IS!BM97</f>
        <v>34</v>
      </c>
      <c r="BN257" s="565">
        <f>BN64-BM64+BN68-BM68-BN62+BM62-BN60+BM60+BN67-BM67-IS!BN97</f>
        <v>1134</v>
      </c>
      <c r="BO257" s="565">
        <f>BO64-BN64+BO68-BN68-BO62+BN62-BO60+BN60+BO67-BN67-IS!BO97</f>
        <v>4</v>
      </c>
      <c r="BP257" s="565">
        <f>BP64-BO64+BP68-BO68-BP62+BO62-BP60+BO60+BP67-BO67-IS!BP97</f>
        <v>27</v>
      </c>
      <c r="BQ257" s="565">
        <f>BQ64-BP64+BQ68-BP68-BQ62+BP62-BQ60+BP60+BQ67-BP67-IS!BQ97</f>
        <v>98</v>
      </c>
      <c r="BR257" s="565">
        <f>BR64-BQ64+BR68-BQ68-BR62+BQ62-BR60+BQ60+BR67-BQ67-IS!BR97</f>
        <v>28</v>
      </c>
      <c r="BS257" s="565">
        <f>BS64-BR64+BS68-BR68-BS62+BR62-BS60+BR60+BS67-BR67-IS!BS97</f>
        <v>9</v>
      </c>
      <c r="BT257" s="565">
        <f>BT64-BS64+BT68-BS68-BT62+BS62-BT60+BS60+BT67-BS67-IS!BT97</f>
        <v>19</v>
      </c>
      <c r="BU257" s="565">
        <f>BU64-BT64+BU68-BT68-BU62+BT62-BU60+BT60+BU67-BT67-IS!BU97</f>
        <v>30</v>
      </c>
      <c r="BV257" s="565">
        <f>BV64-BU64+BV68-BU68-BV62+BU62-BV60+BU60+BV67-BU67-IS!BV97</f>
        <v>133</v>
      </c>
      <c r="BW257" s="565">
        <f>BW64-BV64+BW68-BV68-BW62+BV62-BW60+BV60+BW67-BV67-IS!BW97</f>
        <v>132</v>
      </c>
      <c r="BX257" s="565">
        <f>BX64-BW64+BX68-BW68-BX62+BW62-BX60+BW60+BX67-BW67-IS!BX97</f>
        <v>41</v>
      </c>
      <c r="BY257" s="565">
        <f>BY64-BX64+BY68-BX68-BY62+BX62-BY60+BX60+BY67-BX67-IS!BY97</f>
        <v>52</v>
      </c>
      <c r="BZ257" s="565">
        <f>BZ64-BY64+BZ68-BY68-BZ62+BY62-BZ60+BY60+BZ67-BY67-IS!BZ97</f>
        <v>64</v>
      </c>
      <c r="CA257" s="565">
        <f>CA64-BZ64+CA68-BZ68-CA62+BZ62-CA60+BZ60+CA67-BZ67-IS!CA97</f>
        <v>112</v>
      </c>
      <c r="CB257" s="565">
        <f>CB64-CA64+CB68-CA68-CB62+CA62-CB60+CA60+CB67-CA67-IS!CB97</f>
        <v>-286</v>
      </c>
      <c r="CC257" s="565">
        <f>CC64-CB64+CC68-CB68-CC62+CB62-CC60+CB60+CC67-CB67-IS!CC97</f>
        <v>-657</v>
      </c>
      <c r="CD257" s="565">
        <f>CD64-CC64+CD68-CC68-CD62+CC62-CD60+CC60+CD67-CC67-IS!CD97</f>
        <v>-135</v>
      </c>
      <c r="CE257" s="565">
        <f>CE64-CD64+CE68-CD68-CE62+CD62-CE60+CD60+CE67-CD67-IS!CE97</f>
        <v>-331</v>
      </c>
      <c r="CF257" s="565">
        <f>CF64-CE64+CF68-CE68-CF62+CE62-CF60+CE60+CF67-CE67-IS!CF97</f>
        <v>-75</v>
      </c>
      <c r="CG257" s="565">
        <f>CG64-CF64+CG68-CF68-CG62+CF62-CG60+CF60+CG67-CF67-IS!CG97</f>
        <v>-133</v>
      </c>
      <c r="CH257" s="565">
        <f>CH64-CG64+CH68-CG68-CH62+CG62-CH60+CG60+CH67-CG67-IS!CH97</f>
        <v>-474</v>
      </c>
      <c r="CI257" s="565">
        <f>CI64-CH64+CI68-CH68-CI62+CH62-CI60+CH60+CI67-CH67-IS!CI97</f>
        <v>-643</v>
      </c>
      <c r="CJ257" s="565">
        <f>CJ64-CI64+CJ68-CI68-CJ62+CI62-CJ60+CI60+CJ67-CI67-IS!CJ97</f>
        <v>-104</v>
      </c>
      <c r="CK257" s="565">
        <f>CK64-CJ64+CK68-CJ68-CK62+CJ62-CK60+CJ60+CK67-CJ67-IS!CK97</f>
        <v>54</v>
      </c>
      <c r="CL257" s="565">
        <f>CL64-CK64+CL68-CK68-CL62+CK62-CL60+CK60+CL67-CK67-IS!CL97</f>
        <v>92</v>
      </c>
      <c r="CM257" s="565">
        <f>CM64-CL64+CM68-CL68-CM62+CL62-CM60+CL60+CM67-CL67-IS!CM97</f>
        <v>60</v>
      </c>
      <c r="CN257" s="565">
        <f>CN64-CM64+CN68-CM68-CN62+CM62-CN60+CM60+CN67-CM67-IS!CN97</f>
        <v>32</v>
      </c>
      <c r="CO257" s="1278">
        <f>CO64-CN64+CO68-CN68-CO62+CN62-CO60+CN60+CO67-CN67-IS!CO97</f>
        <v>1073</v>
      </c>
      <c r="CP257" s="565">
        <f>CP64-CO64+CP68-CO68-CP62+CO62-CP60+CO60+CP67-CO67-IS!CP97</f>
        <v>218</v>
      </c>
      <c r="CQ257" s="565">
        <f>CQ64-CP64+CQ68-CP68-CQ62+CP62-CQ60+CP60+CQ67-CP67-IS!CQ97</f>
        <v>65</v>
      </c>
      <c r="CR257" s="565">
        <f>CR64-CQ64+CR68-CQ68-CR62+CQ62-CR60+CQ60+CR67-CQ67-IS!CR97</f>
        <v>1232</v>
      </c>
      <c r="CS257" s="565">
        <f>CS64-CR64+CS68-CR68-CS62+CR62-CS60+CR60+CS67-CR67-IS!CS97</f>
        <v>54</v>
      </c>
      <c r="CT257" s="565">
        <f>CT64-CS64+CT68-CS68-CT62+CS62-CT60+CS60+CT67-CS67-IS!CT97</f>
        <v>50.999999999999545</v>
      </c>
      <c r="CU257" s="565">
        <f>CU64-CT64+CU68-CT68-CU62+CT62-CU60+CT60+CU67-CT67-IS!CU97</f>
        <v>50.999999999999091</v>
      </c>
      <c r="CV257" s="1278">
        <f>CV64-CU64+CV68-CU68-CV62+CU62-CV60+CU60+CV67-CU67-IS!CV97</f>
        <v>50.999999999998181</v>
      </c>
      <c r="CW257" s="1278">
        <f>CW64-CV64+CW68-CV68-CW62+CV62-CW60+CV60+CW67-CV67-IS!CW97</f>
        <v>51.000000000001819</v>
      </c>
      <c r="CX257" s="1278">
        <f>CX64-CW64+CX68-CW68-CX62+CW62-CX60+CW60+CX67-CW67-IS!CX97</f>
        <v>51.000000000001819</v>
      </c>
      <c r="CY257" s="1278">
        <f>CY64-CX64+CY68-CX68-CY62+CX62-CY60+CX60+CY67-CX67-IS!CY97</f>
        <v>51.000000000001364</v>
      </c>
      <c r="CZ257" s="1278">
        <f>CZ64-CY64+CZ68-CY68-CZ62+CY62-CZ60+CY60+CZ67-CY67-IS!CZ97</f>
        <v>50.999999999997954</v>
      </c>
      <c r="DA257" s="1278">
        <f>DA64-CZ64+DA68-CZ68-DA62+CZ62-DA60+CZ60+DA67-CZ67-IS!DA97</f>
        <v>50.999999999999318</v>
      </c>
      <c r="DB257" s="1278">
        <f>DB64-DA64+DB68-DA68-DB62+DA62-DB60+DA60+DB67-DA67-IS!DB97</f>
        <v>50.999999999997499</v>
      </c>
      <c r="DC257" s="1278">
        <f>DC64-DB64+DC68-DB68-DC62+DB62-DC60+DB60+DC67-DB67-IS!DC97</f>
        <v>51.000000000002274</v>
      </c>
      <c r="DD257" s="566"/>
      <c r="DE257" s="566">
        <f>DE64-DD64+DE68-DD68-DE62+DD62-DE60+DD60+DE67-DD67-IS!DE97</f>
        <v>-844.0999999999998</v>
      </c>
      <c r="DF257" s="566">
        <f>DF64-DE64+DF68-DE68-DF62+DE62-DF60+DE60+DF67-DE67-IS!DF97</f>
        <v>-593.5</v>
      </c>
      <c r="DG257" s="566">
        <f>DG64-DF64+DG68-DF68-DG62+DF62-DG60+DF60+DG67-DF67-IS!DG97</f>
        <v>2550.8999999999996</v>
      </c>
      <c r="DH257" s="566">
        <f>DH64-DG64+DH68-DG68-DH62+DG62-DH60+DG60+DH67-DG67-IS!DH97</f>
        <v>56.999999999999972</v>
      </c>
      <c r="DI257" s="566">
        <f>DI64-DH64+DI68-DH68-DI62+DH62-DI60+DH60+DI67-DH67-IS!DI97</f>
        <v>1342.1000000000004</v>
      </c>
      <c r="DJ257" s="566">
        <f>DJ64-DI64+DJ68-DI68-DJ62+DI62-DJ60+DI60+DJ67-DI67-IS!DJ97</f>
        <v>960.09999999999923</v>
      </c>
      <c r="DK257" s="566">
        <f>DK64-DJ64+DK68-DJ68-DK62+DJ62-DK60+DJ60+DK67-DJ67-IS!DK97</f>
        <v>1332.5999999999997</v>
      </c>
      <c r="DL257" s="566">
        <f>DL64-DK64+DL68-DK68-DL62+DK62-DL60+DK60+DL67-DK67-IS!DL97</f>
        <v>76.400000000000773</v>
      </c>
      <c r="DM257" s="566">
        <f>DM64-DL64+DM68-DL68-DM62+DL62-DM60+DL60+DM67-DL67-IS!DM97</f>
        <v>-55.000000000000455</v>
      </c>
      <c r="DN257" s="566">
        <f>DN64-DM64+DN68-DM68-DN62+DM62-DN60+DM60+DN67-DM67-IS!DN97</f>
        <v>480.79999999999922</v>
      </c>
      <c r="DO257" s="566">
        <f>DO64-DN64+DO68-DN68-DO62+DN62-DO60+DN60+DO67-DN67-IS!DO97</f>
        <v>37.000000000000284</v>
      </c>
      <c r="DP257" s="566">
        <f>DP64-DO64+DP68-DO68-DP62+DO62-DP60+DO60+DP67-DO67-IS!DP97</f>
        <v>1861.2000000000005</v>
      </c>
      <c r="DQ257" s="566">
        <f>DQ64-DP64+DQ68-DP68-DQ62+DP62-DQ60+DP60+DQ67-DP67-IS!DQ97</f>
        <v>-37</v>
      </c>
      <c r="DR257" s="566">
        <f>DR64-DQ64+DR68-DQ68-DR62+DQ62-DR60+DQ60+DR67-DQ67-IS!DR97</f>
        <v>46</v>
      </c>
      <c r="DS257" s="566">
        <f>DS64-DR64+DS68-DR68-DS62+DR62-DS60+DR60+DS67-DR67-IS!DS97</f>
        <v>606</v>
      </c>
      <c r="DT257" s="566">
        <f>DT64-DS64+DT68-DS68-DT62+DS62-DT60+DS60+DT67-DS67-IS!DT97</f>
        <v>1202</v>
      </c>
      <c r="DU257" s="566">
        <f>DU64-DT64+DU68-DT68-DU62+DT62-DU60+DT60+DU67-DT67-IS!DU97</f>
        <v>162</v>
      </c>
      <c r="DV257" s="566">
        <f>DV64-DU64+DV68-DU68-DV62+DU62-DV60+DU60+DV67-DU67-IS!DV97</f>
        <v>314</v>
      </c>
      <c r="DW257" s="566">
        <f>DW64-DV64+DW68-DV68-DW62+DV62-DW60+DV60+DW67-DV67-IS!DW97</f>
        <v>1753</v>
      </c>
      <c r="DX257" s="566">
        <f>DX64-DW64+DX68-DW68-DX62+DW62-DX60+DW60+DX67-DW67-IS!DX97</f>
        <v>-1409</v>
      </c>
      <c r="DY257" s="566">
        <f>DY64-DX64+DY68-DX68-DY62+DX62-DY60+DX60+DY67-DX67-IS!DY97</f>
        <v>-1325</v>
      </c>
      <c r="DZ257" s="566">
        <f>DZ64-DY64+DZ68-DY68-DZ62+DY62-DZ60+DY60+DZ67-DY67-IS!DZ97</f>
        <v>102</v>
      </c>
      <c r="EA257" s="566">
        <f>EA64-DZ64+EA68-DZ68-EA62+DZ62-EA60+DZ60+EA67-DZ67-IS!EA97</f>
        <v>1388</v>
      </c>
      <c r="EB257" s="566">
        <f>EB64-EA64+EB68-EA68-EB62+EA62-EB60+EA60+EB67-EA67-IS!EB97</f>
        <v>1388.0000000000018</v>
      </c>
      <c r="EC257" s="566">
        <f>EC64-EB64+EC68-EB68-EC62+EB62-EC60+EB60+EC67-EB67-IS!EC97</f>
        <v>204.00000000000364</v>
      </c>
      <c r="ED257" s="566">
        <f>ED64-EC64+ED68-EC68-ED62+EC62-ED60+EC60+ED67-EC67-IS!ED97</f>
        <v>204.00000000000364</v>
      </c>
      <c r="EE257" s="566"/>
      <c r="EF257" s="566">
        <f>EF64-EE64+EF68-EE68-EF62+EE62-EF60+EE60+EF67-EE67-IS!EF97</f>
        <v>-1013.2999999999998</v>
      </c>
      <c r="EG257" s="566">
        <f>EG64-EF64+EG68-EF68-EG62+EF62-EG60+EF60+EG67-EF67-IS!EG97</f>
        <v>2242.5999999999995</v>
      </c>
      <c r="EH257" s="566">
        <f>EH64-EG64+EH68-EG68-EH62+EG62-EH60+EG60+EH67-EG67-IS!EH97</f>
        <v>49.900000000000261</v>
      </c>
      <c r="EI257" s="566">
        <f>EI64-EH64+EI68-EH68-EI62+EH62-EI60+EH60+EI67-EH67-IS!EI97</f>
        <v>1240</v>
      </c>
      <c r="EJ257" s="566">
        <f>EJ64-EI64+EJ68-EI68-EJ62+EI62-EJ60+EI60+EJ67-EI67-IS!EJ97</f>
        <v>232.40000000000094</v>
      </c>
      <c r="EK257" s="566">
        <f>EK64-EJ64+EK68-EJ68-EK62+EJ62-EK60+EJ60+EK67-EJ67-IS!EK97</f>
        <v>1592.0000000000009</v>
      </c>
      <c r="EL257" s="566">
        <f>EL64-EK64+EL68-EK68-EL62+EK62-EL60+EK60+EL67-EK67-IS!EL97</f>
        <v>649.69999999999823</v>
      </c>
      <c r="EM257" s="566">
        <f>EM64-EL64+EM68-EL68-EM62+EL62-EM60+EL60+EM67-EL67-IS!EM97</f>
        <v>76.100000000001273</v>
      </c>
      <c r="EN257" s="566">
        <f>EN64-EM64+EN68-EM68-EN62+EM62-EN60+EM60+EN67-EM67-IS!EN97</f>
        <v>373.99999999999989</v>
      </c>
      <c r="EO257" s="566">
        <f>EO64-EN64+EO68-EN68-EO62+EN62-EO60+EN60+EO67-EN67-IS!EO97</f>
        <v>29.699999999999761</v>
      </c>
      <c r="EP257" s="566">
        <f>EP64-EO64+EP68-EO68-EP62+EO62-EP60+EO60+EP67-EO67-IS!EP97</f>
        <v>45.299999999999173</v>
      </c>
      <c r="EQ257" s="566">
        <f>EQ64-EP64+EQ68-EP68-EQ62+EP62-EQ60+EP60+EQ67-EP67-IS!EQ97</f>
        <v>1894.3999999999992</v>
      </c>
      <c r="ER257" s="566">
        <f>ER64-EQ64+ER68-EQ68-ER62+EQ62-ER60+EQ60+ER67-EQ67-IS!ER97</f>
        <v>-73</v>
      </c>
      <c r="ES257" s="566">
        <f>ES64-ER64+ES68-ER68-ES62+ER62-ES60+ER60+ES67-ER67-IS!ES97</f>
        <v>42</v>
      </c>
      <c r="ET257" s="566">
        <f>ET64-ES64+ET68-ES68-ET62+ES62-ET60+ES60+ET67-ES67-IS!ET97</f>
        <v>611</v>
      </c>
      <c r="EU257" s="566">
        <f>EU64-ET64+EU68-ET68-EU62+ET62-EU60+ET60+EU67-ET67-IS!EU97</f>
        <v>1151</v>
      </c>
      <c r="EV257" s="566">
        <f>EV64-EU64+EV68-EU68-EV62+EU62-EV60+EU60+EV67-EU67-IS!EV97</f>
        <v>-52</v>
      </c>
      <c r="EW257" s="566">
        <f>EW64-EV64+EW68-EV68-EW62+EV62-EW60+EV60+EW67-EV67-IS!EW97</f>
        <v>64</v>
      </c>
      <c r="EX257" s="566">
        <f>EX64-EW64+EX68-EW68-EX62+EW62-EX60+EW60+EX67-EW67-IS!EX97</f>
        <v>1481</v>
      </c>
      <c r="EY257" s="566">
        <f>EY64-EX64+EY68-EX68-EY62+EX62-EY60+EX60+EY67-EX67-IS!EY97</f>
        <v>-686</v>
      </c>
      <c r="EZ257" s="566"/>
      <c r="FA257" s="566"/>
      <c r="FB257" s="566"/>
      <c r="FC257" s="566"/>
      <c r="FD257" s="566"/>
      <c r="FE257" s="564"/>
      <c r="FF257" s="564"/>
      <c r="FG257" s="564"/>
      <c r="FH257" s="564"/>
      <c r="FI257"/>
      <c r="FJ257"/>
      <c r="FK257"/>
      <c r="FL257"/>
      <c r="FM257"/>
      <c r="FN257"/>
      <c r="FO257" s="457"/>
    </row>
    <row r="258" spans="1:171" ht="14.25" hidden="1" customHeight="1" outlineLevel="1">
      <c r="A258" s="1"/>
      <c r="B258" s="453"/>
      <c r="C258" s="175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223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76"/>
      <c r="FF258" s="176"/>
      <c r="FG258" s="176"/>
      <c r="FH258" s="176"/>
      <c r="FO258" s="1"/>
    </row>
    <row r="259" spans="1:171" ht="14.25" hidden="1" customHeight="1" outlineLevel="1">
      <c r="CO259" s="1222"/>
    </row>
    <row r="260" spans="1:171" ht="14.25" customHeight="1" collapsed="1">
      <c r="CO260" s="1222"/>
    </row>
    <row r="261" spans="1:171" ht="14.25" customHeight="1">
      <c r="CO261" s="1222"/>
    </row>
    <row r="262" spans="1:171" ht="14.25" customHeight="1">
      <c r="CO262" s="1222"/>
    </row>
    <row r="263" spans="1:171" ht="14.25" customHeight="1">
      <c r="CO263" s="1222"/>
    </row>
    <row r="264" spans="1:171" ht="14.25" customHeight="1">
      <c r="CO264" s="1222"/>
    </row>
  </sheetData>
  <phoneticPr fontId="23" type="noConversion"/>
  <pageMargins left="0" right="0" top="0" bottom="0" header="0" footer="0"/>
  <pageSetup paperSize="5" scale="79" orientation="landscape" r:id="rId1"/>
  <headerFooter alignWithMargins="0"/>
  <ignoredErrors>
    <ignoredError sqref="DP21:DT21 FR32:FS32 EF32:EY32 CA50 DE32:DY32 FO32" 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FP180"/>
  <sheetViews>
    <sheetView showGridLines="0" zoomScale="85" workbookViewId="0">
      <pane xSplit="3" ySplit="6" topLeftCell="CN7" activePane="bottomRight" state="frozen"/>
      <selection pane="topRight" activeCell="D1" sqref="D1"/>
      <selection pane="bottomLeft" activeCell="A7" sqref="A7"/>
      <selection pane="bottomRight" activeCell="CN7" sqref="CN7"/>
    </sheetView>
  </sheetViews>
  <sheetFormatPr defaultRowHeight="14.25" customHeight="1" outlineLevelCol="1"/>
  <cols>
    <col min="1" max="1" width="1.7109375" customWidth="1"/>
    <col min="2" max="2" width="55.28515625" customWidth="1"/>
    <col min="3" max="3" width="1.7109375" customWidth="1"/>
    <col min="4" max="71" width="11.42578125" hidden="1" customWidth="1" outlineLevel="1"/>
    <col min="72" max="74" width="10" hidden="1" customWidth="1" outlineLevel="1"/>
    <col min="75" max="75" width="11.140625" hidden="1" customWidth="1" outlineLevel="1"/>
    <col min="76" max="76" width="10" hidden="1" customWidth="1" outlineLevel="1" collapsed="1"/>
    <col min="77" max="77" width="9.5703125" hidden="1" customWidth="1" outlineLevel="1"/>
    <col min="78" max="78" width="10" hidden="1" customWidth="1" outlineLevel="1"/>
    <col min="79" max="79" width="10.5703125" hidden="1" customWidth="1" outlineLevel="1"/>
    <col min="80" max="80" width="9.42578125" hidden="1" customWidth="1" outlineLevel="1" collapsed="1"/>
    <col min="81" max="83" width="10.5703125" hidden="1" customWidth="1" outlineLevel="1"/>
    <col min="84" max="84" width="10.5703125" hidden="1" customWidth="1" outlineLevel="1" collapsed="1"/>
    <col min="85" max="85" width="10.5703125" hidden="1" customWidth="1" outlineLevel="1"/>
    <col min="86" max="86" width="10.5703125" style="1073" hidden="1" customWidth="1" outlineLevel="1"/>
    <col min="87" max="87" width="10.5703125" style="1080" hidden="1" customWidth="1" outlineLevel="1"/>
    <col min="88" max="88" width="10.5703125" style="1133" hidden="1" customWidth="1" outlineLevel="1"/>
    <col min="89" max="90" width="10.5703125" hidden="1" customWidth="1" outlineLevel="1"/>
    <col min="91" max="91" width="11.28515625" hidden="1" customWidth="1" outlineLevel="1"/>
    <col min="92" max="92" width="10.5703125" style="1222" bestFit="1" customWidth="1" collapsed="1"/>
    <col min="93" max="93" width="10.5703125" style="1222" bestFit="1" customWidth="1"/>
    <col min="94" max="94" width="10.5703125" style="1152" bestFit="1" customWidth="1"/>
    <col min="95" max="95" width="11.28515625" style="1152" bestFit="1" customWidth="1"/>
    <col min="96" max="96" width="10.5703125" style="1395" bestFit="1" customWidth="1" collapsed="1"/>
    <col min="97" max="98" width="10.5703125" style="1395" bestFit="1" customWidth="1"/>
    <col min="99" max="99" width="11.7109375" style="1395" bestFit="1" customWidth="1"/>
    <col min="100" max="100" width="10.5703125" style="1395" bestFit="1" customWidth="1" collapsed="1"/>
    <col min="101" max="102" width="10.5703125" style="1395" bestFit="1" customWidth="1"/>
    <col min="103" max="103" width="11.7109375" style="1395" bestFit="1" customWidth="1"/>
    <col min="104" max="104" width="10.5703125" style="1397" hidden="1" customWidth="1" outlineLevel="1" collapsed="1"/>
    <col min="105" max="105" width="10.5703125" style="1397" hidden="1" customWidth="1" outlineLevel="1"/>
    <col min="106" max="107" width="11.7109375" style="1397" hidden="1" customWidth="1" outlineLevel="1"/>
    <col min="108" max="108" width="4.28515625" customWidth="1" collapsed="1"/>
    <col min="109" max="124" width="11.42578125" hidden="1" customWidth="1" outlineLevel="1"/>
    <col min="125" max="127" width="11.42578125" style="1395" hidden="1" customWidth="1" outlineLevel="1"/>
    <col min="128" max="130" width="11.42578125" style="1424" hidden="1" customWidth="1" outlineLevel="1"/>
    <col min="131" max="131" width="10.5703125" style="1152" bestFit="1" customWidth="1" collapsed="1"/>
    <col min="132" max="133" width="11.7109375" style="1395" bestFit="1" customWidth="1"/>
    <col min="134" max="134" width="11.42578125" hidden="1" customWidth="1" outlineLevel="1"/>
    <col min="135" max="135" width="2.7109375" customWidth="1" collapsed="1"/>
    <col min="136" max="149" width="11.42578125" hidden="1" customWidth="1" outlineLevel="1"/>
    <col min="150" max="151" width="11.42578125" style="1395" hidden="1" customWidth="1" outlineLevel="1"/>
    <col min="152" max="153" width="11.42578125" hidden="1" customWidth="1" outlineLevel="1"/>
    <col min="154" max="155" width="11.42578125" style="1395" hidden="1" customWidth="1" outlineLevel="1"/>
    <col min="156" max="157" width="11.42578125" style="1424" hidden="1" customWidth="1" outlineLevel="1"/>
    <col min="158" max="158" width="11.42578125" style="1424" customWidth="1" collapsed="1"/>
    <col min="159" max="159" width="11.42578125" style="1424" customWidth="1"/>
    <col min="160" max="160" width="11.42578125" style="1397" customWidth="1"/>
    <col min="161" max="164" width="11.42578125" customWidth="1"/>
    <col min="165" max="165" width="100.85546875" hidden="1" customWidth="1" outlineLevel="1"/>
    <col min="166" max="171" width="9.140625" hidden="1" customWidth="1" outlineLevel="1"/>
    <col min="172" max="172" width="9.140625" collapsed="1"/>
  </cols>
  <sheetData>
    <row r="1" spans="1:172" ht="67.5" customHeight="1">
      <c r="A1" s="1"/>
      <c r="B1" s="4"/>
      <c r="C1" s="1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</row>
    <row r="2" spans="1:172" ht="18" customHeight="1">
      <c r="A2" s="1"/>
      <c r="B2" s="3" t="str">
        <f>BS!B2</f>
        <v>Micron Technology, Inc</v>
      </c>
      <c r="C2" s="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670"/>
      <c r="BX2" s="1"/>
      <c r="BY2" s="1"/>
      <c r="BZ2" s="1"/>
      <c r="CA2" s="670"/>
      <c r="CB2" s="1"/>
      <c r="CC2" s="1"/>
      <c r="CD2" s="1"/>
      <c r="CE2" s="767"/>
      <c r="CF2" s="1"/>
      <c r="CG2" s="907"/>
      <c r="CH2" s="1"/>
      <c r="CI2" s="767"/>
      <c r="CJ2" s="1"/>
      <c r="CK2" s="1"/>
      <c r="CL2" s="1"/>
      <c r="CM2" s="1"/>
      <c r="CN2" s="1"/>
      <c r="CO2" s="1"/>
      <c r="CP2" s="1"/>
      <c r="CQ2" s="1"/>
      <c r="CR2" s="5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</row>
    <row r="3" spans="1:172" ht="14.25" customHeight="1">
      <c r="A3" s="1"/>
      <c r="B3" s="563"/>
      <c r="C3" s="6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</row>
    <row r="4" spans="1:172" ht="14.25" customHeight="1">
      <c r="A4" s="7"/>
      <c r="B4" s="8" t="s">
        <v>143</v>
      </c>
      <c r="C4" s="9"/>
      <c r="D4" s="397" t="str">
        <f>IS!D4</f>
        <v>C4Q94A</v>
      </c>
      <c r="E4" s="398" t="str">
        <f>IS!E4</f>
        <v>C1Q95A</v>
      </c>
      <c r="F4" s="398" t="str">
        <f>IS!F4</f>
        <v>C2Q95A</v>
      </c>
      <c r="G4" s="399" t="str">
        <f>IS!G4</f>
        <v>C3Q95A</v>
      </c>
      <c r="H4" s="397" t="str">
        <f>IS!H4</f>
        <v>C4Q95A</v>
      </c>
      <c r="I4" s="398" t="str">
        <f>IS!I4</f>
        <v>C1Q96A</v>
      </c>
      <c r="J4" s="398" t="str">
        <f>IS!J4</f>
        <v>C2Q96A</v>
      </c>
      <c r="K4" s="399" t="str">
        <f>IS!K4</f>
        <v>C3Q96A</v>
      </c>
      <c r="L4" s="397" t="str">
        <f>IS!L4</f>
        <v>C4Q96A</v>
      </c>
      <c r="M4" s="398" t="str">
        <f>IS!M4</f>
        <v>C1Q97A</v>
      </c>
      <c r="N4" s="398" t="str">
        <f>IS!N4</f>
        <v>C2Q97A</v>
      </c>
      <c r="O4" s="399" t="str">
        <f>IS!O4</f>
        <v>C3Q97A</v>
      </c>
      <c r="P4" s="397" t="str">
        <f>IS!P4</f>
        <v>C4Q97A</v>
      </c>
      <c r="Q4" s="398" t="str">
        <f>IS!Q4</f>
        <v>C1Q98A</v>
      </c>
      <c r="R4" s="398" t="str">
        <f>IS!R4</f>
        <v>C2Q98A</v>
      </c>
      <c r="S4" s="399" t="str">
        <f>IS!S4</f>
        <v>C3Q98A</v>
      </c>
      <c r="T4" s="397" t="str">
        <f>IS!T4</f>
        <v>C4Q98A</v>
      </c>
      <c r="U4" s="398" t="str">
        <f>IS!U4</f>
        <v>C1Q99A</v>
      </c>
      <c r="V4" s="398" t="str">
        <f>IS!V4</f>
        <v>C2Q99A</v>
      </c>
      <c r="W4" s="399" t="str">
        <f>IS!W4</f>
        <v>C3Q99A</v>
      </c>
      <c r="X4" s="397" t="str">
        <f>IS!X4</f>
        <v>C4Q98A</v>
      </c>
      <c r="Y4" s="398" t="str">
        <f>IS!Y4</f>
        <v>C1Q99A</v>
      </c>
      <c r="Z4" s="398" t="str">
        <f>IS!Z4</f>
        <v>C2Q99A</v>
      </c>
      <c r="AA4" s="399" t="str">
        <f>IS!AA4</f>
        <v>C3Q99A</v>
      </c>
      <c r="AB4" s="397" t="str">
        <f>IS!AB4</f>
        <v>C4Q99A</v>
      </c>
      <c r="AC4" s="398" t="str">
        <f>IS!AC4</f>
        <v>C1Q01A</v>
      </c>
      <c r="AD4" s="398" t="str">
        <f>IS!AD4</f>
        <v>C2Q01A</v>
      </c>
      <c r="AE4" s="399" t="str">
        <f>IS!AE4</f>
        <v>C3Q01A</v>
      </c>
      <c r="AF4" s="397" t="str">
        <f>IS!AF4</f>
        <v>C4Q01A</v>
      </c>
      <c r="AG4" s="398" t="str">
        <f>IS!AG4</f>
        <v>C1Q02A</v>
      </c>
      <c r="AH4" s="398" t="str">
        <f>IS!AH4</f>
        <v>C2Q02A</v>
      </c>
      <c r="AI4" s="399" t="str">
        <f>IS!AI4</f>
        <v>C3Q02A</v>
      </c>
      <c r="AJ4" s="397" t="str">
        <f>IS!AJ4</f>
        <v>C4Q02A</v>
      </c>
      <c r="AK4" s="398" t="str">
        <f>IS!AK4</f>
        <v>C1Q03A</v>
      </c>
      <c r="AL4" s="398" t="str">
        <f>IS!AL4</f>
        <v>C2Q03A</v>
      </c>
      <c r="AM4" s="399" t="str">
        <f>IS!AM4</f>
        <v>C3Q03A</v>
      </c>
      <c r="AN4" s="397" t="str">
        <f>IS!AN4</f>
        <v>C4Q03A</v>
      </c>
      <c r="AO4" s="398" t="str">
        <f>IS!AO4</f>
        <v>C1Q04A</v>
      </c>
      <c r="AP4" s="398" t="str">
        <f>IS!AP4</f>
        <v>C2Q04A</v>
      </c>
      <c r="AQ4" s="399" t="str">
        <f>IS!AQ4</f>
        <v>C3Q04A</v>
      </c>
      <c r="AR4" s="397" t="str">
        <f>IS!AR4</f>
        <v>C4Q04A</v>
      </c>
      <c r="AS4" s="398" t="str">
        <f>IS!AS4</f>
        <v>C1Q05A</v>
      </c>
      <c r="AT4" s="398" t="str">
        <f>IS!AT4</f>
        <v>C2Q05A</v>
      </c>
      <c r="AU4" s="399" t="str">
        <f>IS!AU4</f>
        <v>C3Q05A</v>
      </c>
      <c r="AV4" s="397" t="str">
        <f>IS!AV4</f>
        <v>C4Q05A</v>
      </c>
      <c r="AW4" s="398" t="str">
        <f>IS!AW4</f>
        <v>C1Q06A</v>
      </c>
      <c r="AX4" s="398" t="str">
        <f>IS!AX4</f>
        <v>C2Q06A</v>
      </c>
      <c r="AY4" s="399" t="str">
        <f>IS!AY4</f>
        <v>C3Q06A</v>
      </c>
      <c r="AZ4" s="397" t="str">
        <f>IS!AZ4</f>
        <v>C4Q06A</v>
      </c>
      <c r="BA4" s="398" t="str">
        <f>IS!BA4</f>
        <v>C1Q07A</v>
      </c>
      <c r="BB4" s="398" t="str">
        <f>IS!BB4</f>
        <v>C2Q07A</v>
      </c>
      <c r="BC4" s="399" t="str">
        <f>IS!BC4</f>
        <v>C3Q07A</v>
      </c>
      <c r="BD4" s="397" t="str">
        <f>IS!BD4</f>
        <v>C4Q07A</v>
      </c>
      <c r="BE4" s="398" t="str">
        <f>IS!BE4</f>
        <v>C1Q08A</v>
      </c>
      <c r="BF4" s="398" t="str">
        <f>IS!BF4</f>
        <v>C2Q08A</v>
      </c>
      <c r="BG4" s="399" t="str">
        <f>IS!BG4</f>
        <v>C3Q08A</v>
      </c>
      <c r="BH4" s="397" t="str">
        <f>IS!BH4</f>
        <v>C4Q08A</v>
      </c>
      <c r="BI4" s="398" t="str">
        <f>IS!BI4</f>
        <v>C1Q09A</v>
      </c>
      <c r="BJ4" s="398" t="str">
        <f>IS!BJ4</f>
        <v>C2Q09A</v>
      </c>
      <c r="BK4" s="399" t="str">
        <f>IS!BK4</f>
        <v>C3Q09A</v>
      </c>
      <c r="BL4" s="397" t="str">
        <f>IS!BL4</f>
        <v>C4Q09A</v>
      </c>
      <c r="BM4" s="398" t="str">
        <f>IS!BM4</f>
        <v>C1Q10A</v>
      </c>
      <c r="BN4" s="398" t="str">
        <f>IS!BN4</f>
        <v>C2Q10A</v>
      </c>
      <c r="BO4" s="399" t="str">
        <f>IS!BO4</f>
        <v>C3Q10A</v>
      </c>
      <c r="BP4" s="397" t="str">
        <f>IS!BP4</f>
        <v>C4Q10A</v>
      </c>
      <c r="BQ4" s="398" t="str">
        <f>IS!BQ4</f>
        <v>C1Q11A</v>
      </c>
      <c r="BR4" s="398" t="str">
        <f>IS!BR4</f>
        <v>C2Q11A</v>
      </c>
      <c r="BS4" s="399" t="str">
        <f>IS!BS4</f>
        <v>C3Q11A</v>
      </c>
      <c r="BT4" s="397" t="str">
        <f>IS!BT4</f>
        <v>C4Q11A</v>
      </c>
      <c r="BU4" s="398" t="str">
        <f>IS!BU4</f>
        <v>C1Q12A</v>
      </c>
      <c r="BV4" s="398" t="str">
        <f>IS!BV4</f>
        <v>C2Q12A</v>
      </c>
      <c r="BW4" s="399" t="str">
        <f>IS!BW4</f>
        <v>C3Q12A</v>
      </c>
      <c r="BX4" s="397" t="str">
        <f>IS!BX4</f>
        <v>C4Q12A</v>
      </c>
      <c r="BY4" s="398" t="str">
        <f>IS!BY4</f>
        <v>C1Q13A</v>
      </c>
      <c r="BZ4" s="398" t="str">
        <f>IS!BZ4</f>
        <v>C2Q13</v>
      </c>
      <c r="CA4" s="399" t="str">
        <f>IS!CA4</f>
        <v>C3Q13</v>
      </c>
      <c r="CB4" s="397" t="str">
        <f>IS!CB4</f>
        <v>C4Q13</v>
      </c>
      <c r="CC4" s="398" t="str">
        <f>IS!CC4</f>
        <v>C1Q14A</v>
      </c>
      <c r="CD4" s="398" t="str">
        <f>IS!CD4</f>
        <v>C2Q14</v>
      </c>
      <c r="CE4" s="399" t="str">
        <f>IS!CE4</f>
        <v>C3Q14</v>
      </c>
      <c r="CF4" s="397" t="str">
        <f>IS!CF4</f>
        <v>C4Q14A</v>
      </c>
      <c r="CG4" s="398" t="str">
        <f>IS!CG4</f>
        <v>C1Q15A</v>
      </c>
      <c r="CH4" s="398" t="str">
        <f>IS!CH4</f>
        <v>C2Q15A</v>
      </c>
      <c r="CI4" s="399" t="str">
        <f>IS!CI4</f>
        <v>C3Q15A</v>
      </c>
      <c r="CJ4" s="397" t="str">
        <f>IS!CJ4</f>
        <v>C4Q15A</v>
      </c>
      <c r="CK4" s="398" t="str">
        <f>IS!CK4</f>
        <v>C1Q16A</v>
      </c>
      <c r="CL4" s="398" t="str">
        <f>IS!CL4</f>
        <v>C2Q16A</v>
      </c>
      <c r="CM4" s="399" t="str">
        <f>IS!CM4</f>
        <v>C3Q16A</v>
      </c>
      <c r="CN4" s="1263" t="str">
        <f>IS!CN4</f>
        <v>C4Q16A</v>
      </c>
      <c r="CO4" s="1264" t="str">
        <f>IS!CO4</f>
        <v>C1Q17A</v>
      </c>
      <c r="CP4" s="398" t="str">
        <f>IS!CP4</f>
        <v>C2Q17A</v>
      </c>
      <c r="CQ4" s="399" t="str">
        <f>IS!CQ4</f>
        <v>C3Q17A</v>
      </c>
      <c r="CR4" s="1263" t="str">
        <f>IS!CR4</f>
        <v>C4Q17A</v>
      </c>
      <c r="CS4" s="1264" t="str">
        <f>IS!CS4</f>
        <v>C1Q18A</v>
      </c>
      <c r="CT4" s="1264" t="str">
        <f>IS!CT4</f>
        <v>C2Q18E</v>
      </c>
      <c r="CU4" s="399" t="str">
        <f>IS!CU4</f>
        <v>C3Q18E</v>
      </c>
      <c r="CV4" s="1263" t="str">
        <f>IS!CV4</f>
        <v>C4Q18E</v>
      </c>
      <c r="CW4" s="1264" t="str">
        <f>IS!CW4</f>
        <v>C1Q19E</v>
      </c>
      <c r="CX4" s="1264" t="str">
        <f>IS!CX4</f>
        <v>C2Q19E</v>
      </c>
      <c r="CY4" s="399" t="str">
        <f>IS!CY4</f>
        <v>C3Q19E</v>
      </c>
      <c r="CZ4" s="1263" t="str">
        <f>IS!CZ4</f>
        <v>C4Q19E</v>
      </c>
      <c r="DA4" s="1264" t="str">
        <f>IS!DA4</f>
        <v>C1Q20E</v>
      </c>
      <c r="DB4" s="1264" t="str">
        <f>IS!DB4</f>
        <v>C2Q20E</v>
      </c>
      <c r="DC4" s="399" t="str">
        <f>IS!DC4</f>
        <v>C3Q20E</v>
      </c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161"/>
      <c r="EF4" s="620" t="str">
        <f>IS!EF4</f>
        <v>CY1995</v>
      </c>
      <c r="EG4" s="621" t="str">
        <f>IS!EG4</f>
        <v>CY1996</v>
      </c>
      <c r="EH4" s="621" t="str">
        <f>IS!EH4</f>
        <v>CY1997</v>
      </c>
      <c r="EI4" s="621" t="str">
        <f>IS!EI4</f>
        <v>CY1998</v>
      </c>
      <c r="EJ4" s="621" t="str">
        <f>IS!EJ4</f>
        <v>CY1999</v>
      </c>
      <c r="EK4" s="621" t="str">
        <f>IS!EK4</f>
        <v>CY2000</v>
      </c>
      <c r="EL4" s="621" t="str">
        <f>IS!EL4</f>
        <v>CY2001</v>
      </c>
      <c r="EM4" s="621" t="str">
        <f>IS!EM4</f>
        <v>CY2002</v>
      </c>
      <c r="EN4" s="621" t="str">
        <f>IS!EN4</f>
        <v>CY2003</v>
      </c>
      <c r="EO4" s="621" t="str">
        <f>IS!EO4</f>
        <v>CY2004</v>
      </c>
      <c r="EP4" s="621" t="str">
        <f>IS!EP4</f>
        <v>CY2005</v>
      </c>
      <c r="EQ4" s="621" t="str">
        <f>IS!EQ4</f>
        <v>CY2006</v>
      </c>
      <c r="ER4" s="621" t="str">
        <f>IS!ER4</f>
        <v>CY2007</v>
      </c>
      <c r="ES4" s="621" t="str">
        <f>IS!ES4</f>
        <v>CY2008</v>
      </c>
      <c r="ET4" s="621" t="str">
        <f>IS!ET4</f>
        <v>CY2009</v>
      </c>
      <c r="EU4" s="621" t="str">
        <f>IS!EU4</f>
        <v>CY2010</v>
      </c>
      <c r="EV4" s="621" t="str">
        <f>IS!EV4</f>
        <v>CY2011</v>
      </c>
      <c r="EW4" s="621" t="str">
        <f>IS!EW4</f>
        <v>CY2012</v>
      </c>
      <c r="EX4" s="621" t="str">
        <f>IS!EX4</f>
        <v>CY2013</v>
      </c>
      <c r="EY4" s="621" t="str">
        <f>IS!EY4</f>
        <v>CY2014</v>
      </c>
      <c r="EZ4" s="621" t="s">
        <v>560</v>
      </c>
      <c r="FA4" s="621" t="s">
        <v>561</v>
      </c>
      <c r="FB4" s="621" t="s">
        <v>574</v>
      </c>
      <c r="FC4" s="621" t="s">
        <v>602</v>
      </c>
      <c r="FD4" s="1182" t="s">
        <v>612</v>
      </c>
    </row>
    <row r="5" spans="1:172" ht="14.25" customHeight="1">
      <c r="A5" s="7"/>
      <c r="B5" s="11" t="s">
        <v>407</v>
      </c>
      <c r="C5" s="12"/>
      <c r="D5" s="397">
        <f>BS!D5</f>
        <v>34668</v>
      </c>
      <c r="E5" s="398">
        <f>BS!E5</f>
        <v>34758</v>
      </c>
      <c r="F5" s="398">
        <f>BS!F5</f>
        <v>34850</v>
      </c>
      <c r="G5" s="399">
        <f>BS!G5</f>
        <v>34942</v>
      </c>
      <c r="H5" s="397">
        <f>BS!H5</f>
        <v>35033</v>
      </c>
      <c r="I5" s="398">
        <f>BS!I5</f>
        <v>35124</v>
      </c>
      <c r="J5" s="398">
        <f>BS!J5</f>
        <v>35216</v>
      </c>
      <c r="K5" s="399">
        <f>BS!K5</f>
        <v>35308</v>
      </c>
      <c r="L5" s="397">
        <f>BS!L5</f>
        <v>35399</v>
      </c>
      <c r="M5" s="398">
        <f>BS!M5</f>
        <v>35489</v>
      </c>
      <c r="N5" s="398">
        <f>BS!N5</f>
        <v>35581</v>
      </c>
      <c r="O5" s="399">
        <f>BS!O5</f>
        <v>35673</v>
      </c>
      <c r="P5" s="397">
        <f>BS!P5</f>
        <v>35764</v>
      </c>
      <c r="Q5" s="398">
        <f>BS!Q5</f>
        <v>35854</v>
      </c>
      <c r="R5" s="398">
        <f>BS!R5</f>
        <v>35946</v>
      </c>
      <c r="S5" s="399">
        <f>BS!S5</f>
        <v>36038</v>
      </c>
      <c r="T5" s="397">
        <f>BS!T5</f>
        <v>36129</v>
      </c>
      <c r="U5" s="398">
        <f>BS!U5</f>
        <v>36219</v>
      </c>
      <c r="V5" s="398">
        <f>BS!V5</f>
        <v>36311</v>
      </c>
      <c r="W5" s="399">
        <f>BS!W5</f>
        <v>36403</v>
      </c>
      <c r="X5" s="397">
        <f>BS!X5</f>
        <v>36494</v>
      </c>
      <c r="Y5" s="398">
        <f>BS!Y5</f>
        <v>36585</v>
      </c>
      <c r="Z5" s="398">
        <f>BS!Z5</f>
        <v>36677</v>
      </c>
      <c r="AA5" s="399">
        <f>BS!AA5</f>
        <v>36769</v>
      </c>
      <c r="AB5" s="397">
        <f>BS!AB5</f>
        <v>36860</v>
      </c>
      <c r="AC5" s="398">
        <f>BS!AC5</f>
        <v>36950</v>
      </c>
      <c r="AD5" s="398">
        <f>BS!AD5</f>
        <v>37042</v>
      </c>
      <c r="AE5" s="399">
        <f>BS!AE5</f>
        <v>37134</v>
      </c>
      <c r="AF5" s="397">
        <f>BS!AF5</f>
        <v>37225</v>
      </c>
      <c r="AG5" s="398">
        <f>BS!AG5</f>
        <v>37315</v>
      </c>
      <c r="AH5" s="398">
        <f>BS!AH5</f>
        <v>37407</v>
      </c>
      <c r="AI5" s="399">
        <f>BS!AI5</f>
        <v>37499</v>
      </c>
      <c r="AJ5" s="397">
        <f>BS!AJ5</f>
        <v>37590</v>
      </c>
      <c r="AK5" s="398">
        <f>BS!AK5</f>
        <v>37680</v>
      </c>
      <c r="AL5" s="398">
        <f>BS!AL5</f>
        <v>37772</v>
      </c>
      <c r="AM5" s="399">
        <f>BS!AM5</f>
        <v>37864</v>
      </c>
      <c r="AN5" s="397">
        <f>BS!AN5</f>
        <v>37955</v>
      </c>
      <c r="AO5" s="398">
        <f>BS!AO5</f>
        <v>38046</v>
      </c>
      <c r="AP5" s="398">
        <f>BS!AP5</f>
        <v>38138</v>
      </c>
      <c r="AQ5" s="399">
        <f>BS!AQ5</f>
        <v>38230</v>
      </c>
      <c r="AR5" s="397">
        <f>BS!AR5</f>
        <v>38321</v>
      </c>
      <c r="AS5" s="398">
        <f>BS!AS5</f>
        <v>38411</v>
      </c>
      <c r="AT5" s="398">
        <f>BS!AT5</f>
        <v>38503</v>
      </c>
      <c r="AU5" s="399">
        <f>BS!AU5</f>
        <v>38595</v>
      </c>
      <c r="AV5" s="397">
        <f>BS!AV5</f>
        <v>38686</v>
      </c>
      <c r="AW5" s="398">
        <f>BS!AW5</f>
        <v>38776</v>
      </c>
      <c r="AX5" s="398">
        <f>BS!AX5</f>
        <v>38868</v>
      </c>
      <c r="AY5" s="399">
        <f>BS!AY5</f>
        <v>38960</v>
      </c>
      <c r="AZ5" s="397">
        <f>BS!AZ5</f>
        <v>39051</v>
      </c>
      <c r="BA5" s="398">
        <f>BS!BA5</f>
        <v>39141</v>
      </c>
      <c r="BB5" s="398">
        <f>BS!BB5</f>
        <v>39233</v>
      </c>
      <c r="BC5" s="399">
        <f>BS!BC5</f>
        <v>39325</v>
      </c>
      <c r="BD5" s="397">
        <f>BS!BD5</f>
        <v>39416</v>
      </c>
      <c r="BE5" s="398">
        <f>BS!BE5</f>
        <v>39507</v>
      </c>
      <c r="BF5" s="398">
        <f>BS!BF5</f>
        <v>39599</v>
      </c>
      <c r="BG5" s="399">
        <f>BS!BG5</f>
        <v>39691</v>
      </c>
      <c r="BH5" s="397">
        <f>BS!BH5</f>
        <v>39782</v>
      </c>
      <c r="BI5" s="398">
        <f>BS!BI5</f>
        <v>39872</v>
      </c>
      <c r="BJ5" s="398">
        <f>BS!BJ5</f>
        <v>39964</v>
      </c>
      <c r="BK5" s="399">
        <f>BS!BK5</f>
        <v>40056</v>
      </c>
      <c r="BL5" s="397">
        <f>BS!BL5</f>
        <v>40147</v>
      </c>
      <c r="BM5" s="398">
        <f>BS!BM5</f>
        <v>40237</v>
      </c>
      <c r="BN5" s="398">
        <f>BS!BN5</f>
        <v>40329</v>
      </c>
      <c r="BO5" s="399">
        <f>BS!BO5</f>
        <v>40421</v>
      </c>
      <c r="BP5" s="397">
        <f>BS!BP5</f>
        <v>40512</v>
      </c>
      <c r="BQ5" s="398">
        <f>BS!BQ5</f>
        <v>40602</v>
      </c>
      <c r="BR5" s="398">
        <f>BS!BR5</f>
        <v>40694</v>
      </c>
      <c r="BS5" s="399">
        <f>BS!BS5</f>
        <v>40786</v>
      </c>
      <c r="BT5" s="397">
        <f>BS!BT5</f>
        <v>40877</v>
      </c>
      <c r="BU5" s="398">
        <f>BS!BU5</f>
        <v>40968</v>
      </c>
      <c r="BV5" s="398">
        <f>BS!BV5</f>
        <v>41060</v>
      </c>
      <c r="BW5" s="399">
        <f>BS!BW5</f>
        <v>41152</v>
      </c>
      <c r="BX5" s="397">
        <f>BS!BX5</f>
        <v>41243</v>
      </c>
      <c r="BY5" s="398">
        <f>BS!BY5</f>
        <v>41333</v>
      </c>
      <c r="BZ5" s="398">
        <f>BS!BZ5</f>
        <v>41425</v>
      </c>
      <c r="CA5" s="399">
        <f>BS!CA5</f>
        <v>41517</v>
      </c>
      <c r="CB5" s="397">
        <f>BS!CB5</f>
        <v>41608</v>
      </c>
      <c r="CC5" s="398">
        <f>BS!CC5</f>
        <v>41698</v>
      </c>
      <c r="CD5" s="398">
        <f>BS!CD5</f>
        <v>41790</v>
      </c>
      <c r="CE5" s="399">
        <f>BS!CE5</f>
        <v>41882</v>
      </c>
      <c r="CF5" s="397">
        <f>BS!CF5</f>
        <v>41973</v>
      </c>
      <c r="CG5" s="398">
        <f>BS!CG5</f>
        <v>42063</v>
      </c>
      <c r="CH5" s="398">
        <f>BS!CH5</f>
        <v>42155</v>
      </c>
      <c r="CI5" s="399">
        <f>BS!CI5</f>
        <v>42247</v>
      </c>
      <c r="CJ5" s="397">
        <f>BS!CJ5</f>
        <v>42338</v>
      </c>
      <c r="CK5" s="398">
        <f>BS!CK5</f>
        <v>42429</v>
      </c>
      <c r="CL5" s="398">
        <f>BS!CL5</f>
        <v>42521</v>
      </c>
      <c r="CM5" s="399">
        <f>BS!CM5</f>
        <v>42613</v>
      </c>
      <c r="CN5" s="1263">
        <f>BS!CN5</f>
        <v>42704</v>
      </c>
      <c r="CO5" s="1264">
        <f>BS!CO5</f>
        <v>42794</v>
      </c>
      <c r="CP5" s="398">
        <f>BS!CP5</f>
        <v>42886</v>
      </c>
      <c r="CQ5" s="399">
        <f>BS!CQ5</f>
        <v>42978</v>
      </c>
      <c r="CR5" s="1263">
        <f>BS!CR5</f>
        <v>43069</v>
      </c>
      <c r="CS5" s="1264">
        <f>BS!CS5</f>
        <v>43159</v>
      </c>
      <c r="CT5" s="1264">
        <f>BS!CT5</f>
        <v>43251</v>
      </c>
      <c r="CU5" s="399">
        <f>BS!CU5</f>
        <v>43343</v>
      </c>
      <c r="CV5" s="1263">
        <f>BS!CV5</f>
        <v>43434</v>
      </c>
      <c r="CW5" s="1264">
        <f>BS!CW5</f>
        <v>43524</v>
      </c>
      <c r="CX5" s="1264">
        <f>BS!CX5</f>
        <v>43616</v>
      </c>
      <c r="CY5" s="399">
        <f>BS!CY5</f>
        <v>43708</v>
      </c>
      <c r="CZ5" s="1263">
        <f>BS!CZ5</f>
        <v>43799</v>
      </c>
      <c r="DA5" s="1264">
        <f>BS!DA5</f>
        <v>43889</v>
      </c>
      <c r="DB5" s="1264">
        <f>BS!DB5</f>
        <v>43982</v>
      </c>
      <c r="DC5" s="399">
        <f>BS!DC5</f>
        <v>44074</v>
      </c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231"/>
      <c r="EF5" s="397">
        <f>IS!EF5</f>
        <v>35064</v>
      </c>
      <c r="EG5" s="398">
        <f>IS!EG5</f>
        <v>35430</v>
      </c>
      <c r="EH5" s="398">
        <f>IS!EH5</f>
        <v>35795</v>
      </c>
      <c r="EI5" s="398">
        <f>IS!EI5</f>
        <v>36160</v>
      </c>
      <c r="EJ5" s="398">
        <f>IS!EJ5</f>
        <v>36525</v>
      </c>
      <c r="EK5" s="398">
        <f>IS!EK5</f>
        <v>36891</v>
      </c>
      <c r="EL5" s="398">
        <f>IS!EL5</f>
        <v>37256</v>
      </c>
      <c r="EM5" s="398">
        <f>IS!EM5</f>
        <v>37621</v>
      </c>
      <c r="EN5" s="398">
        <f>IS!EN5</f>
        <v>37986</v>
      </c>
      <c r="EO5" s="398">
        <f>IS!EO5</f>
        <v>38352</v>
      </c>
      <c r="EP5" s="398">
        <f>IS!EP5</f>
        <v>38717</v>
      </c>
      <c r="EQ5" s="398">
        <f>IS!EQ5</f>
        <v>39082</v>
      </c>
      <c r="ER5" s="398">
        <f>IS!ER5</f>
        <v>39447</v>
      </c>
      <c r="ES5" s="398">
        <f>IS!ES5</f>
        <v>39813</v>
      </c>
      <c r="ET5" s="1264">
        <f>IS!ET5</f>
        <v>40178</v>
      </c>
      <c r="EU5" s="1264">
        <f>IS!EU5</f>
        <v>40543</v>
      </c>
      <c r="EV5" s="398">
        <f>IS!EV5</f>
        <v>40908</v>
      </c>
      <c r="EW5" s="398">
        <f>IS!EW5</f>
        <v>41274</v>
      </c>
      <c r="EX5" s="1264">
        <f>IS!EX5</f>
        <v>41639</v>
      </c>
      <c r="EY5" s="1264">
        <f>IS!EY5</f>
        <v>42004</v>
      </c>
      <c r="EZ5" s="1264">
        <v>42339</v>
      </c>
      <c r="FA5" s="1264">
        <v>42705</v>
      </c>
      <c r="FB5" s="1264">
        <v>43070</v>
      </c>
      <c r="FC5" s="1264">
        <v>43435</v>
      </c>
      <c r="FD5" s="399">
        <v>43800</v>
      </c>
    </row>
    <row r="6" spans="1:172" ht="14.25" customHeight="1">
      <c r="A6" s="7"/>
      <c r="B6" s="11"/>
      <c r="C6" s="177"/>
      <c r="D6" s="15" t="str">
        <f>BS!D6</f>
        <v>F1Q95A</v>
      </c>
      <c r="E6" s="16" t="str">
        <f>BS!E6</f>
        <v>F2Q95A</v>
      </c>
      <c r="F6" s="16" t="str">
        <f>BS!F6</f>
        <v>F3Q95A</v>
      </c>
      <c r="G6" s="17" t="str">
        <f>BS!G6</f>
        <v>F4Q95A</v>
      </c>
      <c r="H6" s="15" t="str">
        <f>BS!H6</f>
        <v>F1Q96A</v>
      </c>
      <c r="I6" s="16" t="str">
        <f>BS!I6</f>
        <v>F2Q96A</v>
      </c>
      <c r="J6" s="16" t="str">
        <f>BS!J6</f>
        <v>F3Q96A</v>
      </c>
      <c r="K6" s="17" t="str">
        <f>BS!K6</f>
        <v>F4Q96A</v>
      </c>
      <c r="L6" s="15" t="str">
        <f>BS!L6</f>
        <v>F1Q97A</v>
      </c>
      <c r="M6" s="16" t="str">
        <f>BS!M6</f>
        <v>F2Q97A</v>
      </c>
      <c r="N6" s="16" t="str">
        <f>BS!N6</f>
        <v>F3Q97A</v>
      </c>
      <c r="O6" s="17" t="str">
        <f>BS!O6</f>
        <v>F4Q97A</v>
      </c>
      <c r="P6" s="15" t="str">
        <f>BS!P6</f>
        <v>F1Q98A</v>
      </c>
      <c r="Q6" s="16" t="str">
        <f>BS!Q6</f>
        <v>F2Q98A</v>
      </c>
      <c r="R6" s="16" t="str">
        <f>BS!R6</f>
        <v>F3Q98A</v>
      </c>
      <c r="S6" s="17" t="str">
        <f>BS!S6</f>
        <v>F4Q98A</v>
      </c>
      <c r="T6" s="15" t="str">
        <f>BS!T6</f>
        <v>F1Q99A</v>
      </c>
      <c r="U6" s="16" t="str">
        <f>BS!U6</f>
        <v>F2Q99A</v>
      </c>
      <c r="V6" s="16" t="str">
        <f>BS!V6</f>
        <v>F3Q99A</v>
      </c>
      <c r="W6" s="17" t="str">
        <f>BS!W6</f>
        <v>F4Q99A</v>
      </c>
      <c r="X6" s="15" t="str">
        <f>BS!X6</f>
        <v>F1Q00A</v>
      </c>
      <c r="Y6" s="16" t="str">
        <f>BS!Y6</f>
        <v>F2Q00A</v>
      </c>
      <c r="Z6" s="16" t="str">
        <f>BS!Z6</f>
        <v>F3Q00A</v>
      </c>
      <c r="AA6" s="17" t="str">
        <f>BS!AA6</f>
        <v>F4Q00A</v>
      </c>
      <c r="AB6" s="15" t="str">
        <f>BS!AB6</f>
        <v>F1Q01A</v>
      </c>
      <c r="AC6" s="16" t="str">
        <f>BS!AC6</f>
        <v>F2Q01A</v>
      </c>
      <c r="AD6" s="16" t="str">
        <f>BS!AD6</f>
        <v>F3Q01A</v>
      </c>
      <c r="AE6" s="17" t="str">
        <f>BS!AE6</f>
        <v>F4Q01A</v>
      </c>
      <c r="AF6" s="15" t="str">
        <f>BS!AF6</f>
        <v>F1Q02A</v>
      </c>
      <c r="AG6" s="16" t="str">
        <f>BS!AG6</f>
        <v>F2Q02A</v>
      </c>
      <c r="AH6" s="16" t="str">
        <f>BS!AH6</f>
        <v>F3Q02A</v>
      </c>
      <c r="AI6" s="17" t="str">
        <f>BS!AI6</f>
        <v>F4Q02A</v>
      </c>
      <c r="AJ6" s="15" t="str">
        <f>BS!AJ6</f>
        <v>F1Q03A</v>
      </c>
      <c r="AK6" s="16" t="str">
        <f>BS!AK6</f>
        <v>F2Q03A</v>
      </c>
      <c r="AL6" s="16" t="str">
        <f>BS!AL6</f>
        <v>F3Q03A</v>
      </c>
      <c r="AM6" s="17" t="str">
        <f>BS!AM6</f>
        <v>F4Q03A</v>
      </c>
      <c r="AN6" s="15" t="str">
        <f>BS!AN6</f>
        <v>F1Q04A</v>
      </c>
      <c r="AO6" s="16" t="str">
        <f>BS!AO6</f>
        <v>F2Q04A</v>
      </c>
      <c r="AP6" s="16" t="str">
        <f>BS!AP6</f>
        <v>F3Q04A</v>
      </c>
      <c r="AQ6" s="17" t="str">
        <f>BS!AQ6</f>
        <v>F4Q04A</v>
      </c>
      <c r="AR6" s="15" t="str">
        <f>BS!AR6</f>
        <v>F1Q05A</v>
      </c>
      <c r="AS6" s="16" t="str">
        <f>BS!AS6</f>
        <v>F2Q05A</v>
      </c>
      <c r="AT6" s="16" t="str">
        <f>BS!AT6</f>
        <v>F3Q05A</v>
      </c>
      <c r="AU6" s="17" t="str">
        <f>BS!AU6</f>
        <v>F4Q05A</v>
      </c>
      <c r="AV6" s="15" t="str">
        <f>BS!AV6</f>
        <v>F1Q06A</v>
      </c>
      <c r="AW6" s="16" t="str">
        <f>BS!AW6</f>
        <v>F2Q06A</v>
      </c>
      <c r="AX6" s="16" t="str">
        <f>BS!AX6</f>
        <v>F3Q06A</v>
      </c>
      <c r="AY6" s="17" t="str">
        <f>BS!AY6</f>
        <v>F4Q06A</v>
      </c>
      <c r="AZ6" s="15" t="str">
        <f>BS!AZ6</f>
        <v>F1Q07A</v>
      </c>
      <c r="BA6" s="16" t="str">
        <f>BS!BA6</f>
        <v>F2Q07A</v>
      </c>
      <c r="BB6" s="16" t="str">
        <f>BS!BB6</f>
        <v>F3Q07A</v>
      </c>
      <c r="BC6" s="17" t="str">
        <f>BS!BC6</f>
        <v>F4Q07A</v>
      </c>
      <c r="BD6" s="15" t="str">
        <f>BS!BD6</f>
        <v>F1Q08A</v>
      </c>
      <c r="BE6" s="16" t="str">
        <f>BS!BE6</f>
        <v>F2Q08A</v>
      </c>
      <c r="BF6" s="16" t="str">
        <f>BS!BF6</f>
        <v>F3Q08A</v>
      </c>
      <c r="BG6" s="17" t="str">
        <f>BS!BG6</f>
        <v>F4Q08A</v>
      </c>
      <c r="BH6" s="15" t="str">
        <f>BS!BH6</f>
        <v>F1Q09A</v>
      </c>
      <c r="BI6" s="16" t="str">
        <f>BS!BI6</f>
        <v>F2Q09A</v>
      </c>
      <c r="BJ6" s="16" t="str">
        <f>BS!BJ6</f>
        <v>F3Q09A</v>
      </c>
      <c r="BK6" s="17" t="str">
        <f>BS!BK6</f>
        <v>F4Q09A</v>
      </c>
      <c r="BL6" s="15" t="str">
        <f>BS!BL6</f>
        <v>F1Q10A</v>
      </c>
      <c r="BM6" s="16" t="str">
        <f>BS!BM6</f>
        <v>F2Q10A</v>
      </c>
      <c r="BN6" s="16" t="str">
        <f>BS!BN6</f>
        <v>F3Q10A</v>
      </c>
      <c r="BO6" s="17" t="str">
        <f>BS!BO6</f>
        <v>F4Q10A</v>
      </c>
      <c r="BP6" s="15" t="str">
        <f>BS!BP6</f>
        <v>F1Q11A</v>
      </c>
      <c r="BQ6" s="16" t="str">
        <f>BS!BQ6</f>
        <v>F2Q11A</v>
      </c>
      <c r="BR6" s="16" t="str">
        <f>BS!BR6</f>
        <v>F3Q11A</v>
      </c>
      <c r="BS6" s="17" t="str">
        <f>BS!BS6</f>
        <v>F4Q11A</v>
      </c>
      <c r="BT6" s="15" t="str">
        <f>BS!BT6</f>
        <v>F1Q12A</v>
      </c>
      <c r="BU6" s="16" t="str">
        <f>BS!BU6</f>
        <v>F2Q12A</v>
      </c>
      <c r="BV6" s="16" t="str">
        <f>BS!BV6</f>
        <v>F3Q12A</v>
      </c>
      <c r="BW6" s="17" t="str">
        <f>BS!BW6</f>
        <v>F4Q12A</v>
      </c>
      <c r="BX6" s="15" t="str">
        <f>BS!BX6</f>
        <v>F1Q13A</v>
      </c>
      <c r="BY6" s="16" t="str">
        <f>BS!BY6</f>
        <v>F2Q13A</v>
      </c>
      <c r="BZ6" s="16" t="str">
        <f>BS!BZ6</f>
        <v>F3Q13</v>
      </c>
      <c r="CA6" s="17" t="str">
        <f>BS!CA6</f>
        <v>F4Q13</v>
      </c>
      <c r="CB6" s="15" t="str">
        <f>BS!CB6</f>
        <v>F1Q14</v>
      </c>
      <c r="CC6" s="16" t="str">
        <f>BS!CC6</f>
        <v>F2Q14A</v>
      </c>
      <c r="CD6" s="16" t="str">
        <f>BS!CD6</f>
        <v>F3Q14A</v>
      </c>
      <c r="CE6" s="17" t="str">
        <f>BS!CE6</f>
        <v>F4Q14</v>
      </c>
      <c r="CF6" s="15" t="str">
        <f>BS!CF6</f>
        <v>F1Q15A</v>
      </c>
      <c r="CG6" s="16" t="str">
        <f>BS!CG6</f>
        <v>F2Q15A</v>
      </c>
      <c r="CH6" s="16" t="str">
        <f>BS!CH6</f>
        <v>F3Q15A</v>
      </c>
      <c r="CI6" s="17" t="str">
        <f>BS!CI6</f>
        <v>F4Q15A</v>
      </c>
      <c r="CJ6" s="15" t="str">
        <f>BS!CJ6</f>
        <v>F1Q16A</v>
      </c>
      <c r="CK6" s="16" t="str">
        <f>BS!CK6</f>
        <v>F2Q16A</v>
      </c>
      <c r="CL6" s="16" t="str">
        <f>BS!CL6</f>
        <v>F3Q16A</v>
      </c>
      <c r="CM6" s="17" t="str">
        <f>BS!CM6</f>
        <v>F4Q16A</v>
      </c>
      <c r="CN6" s="1226" t="str">
        <f>BS!CN6</f>
        <v>F1Q17A</v>
      </c>
      <c r="CO6" s="1227" t="str">
        <f>BS!CO6</f>
        <v>F2Q17A</v>
      </c>
      <c r="CP6" s="16" t="str">
        <f>BS!CP6</f>
        <v>F3Q17A</v>
      </c>
      <c r="CQ6" s="17" t="str">
        <f>BS!CQ6</f>
        <v>F4Q17A</v>
      </c>
      <c r="CR6" s="1318" t="str">
        <f>BS!CR6</f>
        <v>F1Q18A</v>
      </c>
      <c r="CS6" s="1319" t="str">
        <f>BS!CS6</f>
        <v>F2Q18A</v>
      </c>
      <c r="CT6" s="1319" t="str">
        <f>BS!CT6</f>
        <v>F3Q18E</v>
      </c>
      <c r="CU6" s="1320" t="str">
        <f>BS!CU6</f>
        <v>F4Q18E</v>
      </c>
      <c r="CV6" s="1318" t="str">
        <f>BS!CV6</f>
        <v>F1Q19E</v>
      </c>
      <c r="CW6" s="1319" t="str">
        <f>BS!CW6</f>
        <v>F2Q19E</v>
      </c>
      <c r="CX6" s="1319" t="str">
        <f>BS!CX6</f>
        <v>F3Q19E</v>
      </c>
      <c r="CY6" s="1320" t="str">
        <f>BS!CY6</f>
        <v>F4Q19E</v>
      </c>
      <c r="CZ6" s="1318" t="str">
        <f>BS!CZ6</f>
        <v>F1Q20E</v>
      </c>
      <c r="DA6" s="1319" t="str">
        <f>BS!DA6</f>
        <v>F2Q20E</v>
      </c>
      <c r="DB6" s="1319" t="str">
        <f>BS!DB6</f>
        <v>F3Q20E</v>
      </c>
      <c r="DC6" s="1320" t="str">
        <f>BS!DC6</f>
        <v>F4Q20E</v>
      </c>
      <c r="DD6" s="18"/>
      <c r="DE6" s="15" t="str">
        <f>BS!DE6</f>
        <v>FY1995A</v>
      </c>
      <c r="DF6" s="16" t="str">
        <f>BS!DF6</f>
        <v>FY1996A</v>
      </c>
      <c r="DG6" s="16" t="str">
        <f>BS!DG6</f>
        <v>FY1997A</v>
      </c>
      <c r="DH6" s="16" t="str">
        <f>BS!DH6</f>
        <v>FY1998A</v>
      </c>
      <c r="DI6" s="16" t="str">
        <f>BS!DI6</f>
        <v>FY1999A</v>
      </c>
      <c r="DJ6" s="16" t="str">
        <f>BS!DJ6</f>
        <v>FY2000A</v>
      </c>
      <c r="DK6" s="16" t="str">
        <f>BS!DK6</f>
        <v>FY2001A</v>
      </c>
      <c r="DL6" s="16" t="str">
        <f>BS!DL6</f>
        <v>FY2002A</v>
      </c>
      <c r="DM6" s="16" t="str">
        <f>BS!DM6</f>
        <v>FY2003A</v>
      </c>
      <c r="DN6" s="16" t="str">
        <f>BS!DN6</f>
        <v>FY2004A</v>
      </c>
      <c r="DO6" s="16" t="str">
        <f>BS!DO6</f>
        <v>FY2005A</v>
      </c>
      <c r="DP6" s="16" t="str">
        <f>BS!DP6</f>
        <v>FY2006A</v>
      </c>
      <c r="DQ6" s="16" t="str">
        <f>BS!DQ6</f>
        <v>FY2007A</v>
      </c>
      <c r="DR6" s="16" t="str">
        <f>BS!DR6</f>
        <v>FY2008A</v>
      </c>
      <c r="DS6" s="16" t="str">
        <f>BS!DS6</f>
        <v>FY2009A</v>
      </c>
      <c r="DT6" s="16" t="str">
        <f>BS!DT6</f>
        <v>FY2010A</v>
      </c>
      <c r="DU6" s="1319" t="str">
        <f>BS!DU6</f>
        <v>FY2011A</v>
      </c>
      <c r="DV6" s="1319" t="str">
        <f>BS!DV6</f>
        <v>FY2012A</v>
      </c>
      <c r="DW6" s="1319" t="str">
        <f>BS!DW6</f>
        <v>FY2013A</v>
      </c>
      <c r="DX6" s="1319" t="str">
        <f>BS!DX6</f>
        <v>FY2014A</v>
      </c>
      <c r="DY6" s="1319" t="str">
        <f>BS!DY6</f>
        <v>FY2015A</v>
      </c>
      <c r="DZ6" s="1319" t="str">
        <f>BS!DZ6</f>
        <v>FY2016A</v>
      </c>
      <c r="EA6" s="16" t="str">
        <f>BS!EA6</f>
        <v>FY2017A</v>
      </c>
      <c r="EB6" s="1319" t="str">
        <f>BS!EB6</f>
        <v>FY2018E</v>
      </c>
      <c r="EC6" s="1319" t="str">
        <f>BS!EC6</f>
        <v>FY2019E</v>
      </c>
      <c r="ED6" s="17" t="str">
        <f>BS!ED6</f>
        <v>FY2020E</v>
      </c>
      <c r="EE6" s="18"/>
      <c r="EF6" s="508"/>
      <c r="EG6" s="509"/>
      <c r="EH6" s="509"/>
      <c r="EI6" s="509"/>
      <c r="EJ6" s="509"/>
      <c r="EK6" s="509"/>
      <c r="EL6" s="509"/>
      <c r="EM6" s="509"/>
      <c r="EN6" s="509"/>
      <c r="EO6" s="509"/>
      <c r="EP6" s="509"/>
      <c r="EQ6" s="509"/>
      <c r="ER6" s="509"/>
      <c r="ES6" s="509"/>
      <c r="ET6" s="509"/>
      <c r="EU6" s="509"/>
      <c r="EV6" s="509"/>
      <c r="EW6" s="509"/>
      <c r="EX6" s="509"/>
      <c r="EY6" s="509"/>
      <c r="EZ6" s="509"/>
      <c r="FA6" s="509"/>
      <c r="FB6" s="509"/>
      <c r="FC6" s="509"/>
      <c r="FD6" s="510"/>
    </row>
    <row r="7" spans="1:172" ht="14.25" customHeight="1">
      <c r="A7" s="7"/>
      <c r="B7" s="178" t="str">
        <f t="shared" ref="B7:B22" si="0">B111</f>
        <v>Cash flows provided by (used for) operating activities:</v>
      </c>
      <c r="C7" s="44"/>
      <c r="D7" s="181"/>
      <c r="E7" s="179"/>
      <c r="F7" s="179"/>
      <c r="G7" s="180"/>
      <c r="H7" s="181"/>
      <c r="I7" s="179"/>
      <c r="J7" s="179"/>
      <c r="K7" s="180"/>
      <c r="L7" s="181"/>
      <c r="M7" s="179"/>
      <c r="N7" s="179"/>
      <c r="O7" s="180"/>
      <c r="P7" s="181"/>
      <c r="Q7" s="179"/>
      <c r="R7" s="179"/>
      <c r="S7" s="180"/>
      <c r="T7" s="181"/>
      <c r="U7" s="179"/>
      <c r="V7" s="179"/>
      <c r="W7" s="180"/>
      <c r="X7" s="181"/>
      <c r="Y7" s="179"/>
      <c r="Z7" s="179"/>
      <c r="AA7" s="180"/>
      <c r="AB7" s="181"/>
      <c r="AC7" s="179"/>
      <c r="AD7" s="179"/>
      <c r="AE7" s="180"/>
      <c r="AF7" s="181"/>
      <c r="AG7" s="179"/>
      <c r="AH7" s="179"/>
      <c r="AI7" s="180"/>
      <c r="AJ7" s="181"/>
      <c r="AK7" s="179"/>
      <c r="AL7" s="179"/>
      <c r="AM7" s="180"/>
      <c r="AN7" s="181"/>
      <c r="AO7" s="179"/>
      <c r="AP7" s="179"/>
      <c r="AQ7" s="180"/>
      <c r="AR7" s="181"/>
      <c r="AS7" s="179"/>
      <c r="AT7" s="179"/>
      <c r="AU7" s="180"/>
      <c r="AV7" s="181"/>
      <c r="AW7" s="179"/>
      <c r="AX7" s="179"/>
      <c r="AY7" s="180"/>
      <c r="AZ7" s="181"/>
      <c r="BA7" s="179"/>
      <c r="BB7" s="179"/>
      <c r="BC7" s="180"/>
      <c r="BD7" s="181"/>
      <c r="BE7" s="179"/>
      <c r="BF7" s="179"/>
      <c r="BG7" s="180"/>
      <c r="BH7" s="181"/>
      <c r="BI7" s="179"/>
      <c r="BJ7" s="179"/>
      <c r="BK7" s="180"/>
      <c r="BL7" s="181"/>
      <c r="BM7" s="179"/>
      <c r="BN7" s="179"/>
      <c r="BO7" s="180"/>
      <c r="BP7" s="181"/>
      <c r="BQ7" s="179"/>
      <c r="BR7" s="179"/>
      <c r="BS7" s="179"/>
      <c r="BT7" s="181"/>
      <c r="BU7" s="179"/>
      <c r="BV7" s="179"/>
      <c r="BW7" s="180"/>
      <c r="BX7" s="181"/>
      <c r="BY7" s="179"/>
      <c r="BZ7" s="179"/>
      <c r="CA7" s="180"/>
      <c r="CB7" s="181"/>
      <c r="CC7" s="179"/>
      <c r="CD7" s="179"/>
      <c r="CE7" s="180"/>
      <c r="CF7" s="181"/>
      <c r="CG7" s="179"/>
      <c r="CH7" s="179"/>
      <c r="CI7" s="180"/>
      <c r="CJ7" s="181"/>
      <c r="CK7" s="179"/>
      <c r="CL7" s="179"/>
      <c r="CM7" s="179"/>
      <c r="CN7" s="181"/>
      <c r="CO7" s="179"/>
      <c r="CP7" s="179"/>
      <c r="CQ7" s="179"/>
      <c r="CR7" s="181"/>
      <c r="CS7" s="179"/>
      <c r="CT7" s="179"/>
      <c r="CU7" s="180"/>
      <c r="CV7" s="181"/>
      <c r="CW7" s="179"/>
      <c r="CX7" s="179"/>
      <c r="CY7" s="180"/>
      <c r="CZ7" s="181"/>
      <c r="DA7" s="179"/>
      <c r="DB7" s="179"/>
      <c r="DC7" s="180"/>
      <c r="DD7" s="18"/>
      <c r="DE7" s="771"/>
      <c r="DF7" s="179"/>
      <c r="DG7" s="179"/>
      <c r="DH7" s="179"/>
      <c r="DI7" s="179"/>
      <c r="DJ7" s="179"/>
      <c r="DK7" s="179"/>
      <c r="DL7" s="179"/>
      <c r="DM7" s="179"/>
      <c r="DN7" s="179"/>
      <c r="DO7" s="179"/>
      <c r="DP7" s="179"/>
      <c r="DQ7" s="179"/>
      <c r="DR7" s="179"/>
      <c r="DS7" s="179"/>
      <c r="DT7" s="179"/>
      <c r="DU7" s="179"/>
      <c r="DV7" s="179"/>
      <c r="DW7" s="179"/>
      <c r="DX7" s="179"/>
      <c r="DY7" s="179"/>
      <c r="DZ7" s="179"/>
      <c r="EA7" s="179"/>
      <c r="EB7" s="179"/>
      <c r="EC7" s="179"/>
      <c r="ED7" s="182"/>
      <c r="EE7" s="18"/>
      <c r="EF7" s="181"/>
      <c r="EG7" s="179"/>
      <c r="EH7" s="179"/>
      <c r="EI7" s="179"/>
      <c r="EJ7" s="179"/>
      <c r="EK7" s="179"/>
      <c r="EL7" s="179"/>
      <c r="EM7" s="179"/>
      <c r="EN7" s="179"/>
      <c r="EO7" s="179"/>
      <c r="EP7" s="179"/>
      <c r="EQ7" s="179"/>
      <c r="ER7" s="179"/>
      <c r="ES7" s="179"/>
      <c r="ET7" s="179"/>
      <c r="EU7" s="179"/>
      <c r="EV7" s="179"/>
      <c r="EW7" s="179"/>
      <c r="EX7" s="179"/>
      <c r="EY7" s="179"/>
      <c r="EZ7" s="179"/>
      <c r="FA7" s="179"/>
      <c r="FB7" s="179"/>
      <c r="FC7" s="179"/>
      <c r="FD7" s="180"/>
    </row>
    <row r="8" spans="1:172" s="330" customFormat="1" ht="14.25" customHeight="1">
      <c r="A8" s="10"/>
      <c r="B8" s="22" t="str">
        <f t="shared" si="0"/>
        <v>Net income</v>
      </c>
      <c r="C8" s="23"/>
      <c r="D8" s="83">
        <f>+IS!D97</f>
        <v>159.30000000000001</v>
      </c>
      <c r="E8" s="84">
        <f>+IS!E97</f>
        <v>183.50000000000003</v>
      </c>
      <c r="F8" s="84">
        <f>+IS!F97</f>
        <v>220.20000000000005</v>
      </c>
      <c r="G8" s="85">
        <f>+IS!G97</f>
        <v>281.10000000000002</v>
      </c>
      <c r="H8" s="83">
        <f>+IS!H97</f>
        <v>328.49999999999989</v>
      </c>
      <c r="I8" s="84">
        <f>+IS!I97</f>
        <v>188.19999999999993</v>
      </c>
      <c r="J8" s="84">
        <f>+IS!J97</f>
        <v>58.199999999999982</v>
      </c>
      <c r="K8" s="85">
        <f>+IS!K97</f>
        <v>18.599999999999941</v>
      </c>
      <c r="L8" s="83">
        <f>+IS!L97</f>
        <v>20.600000000000044</v>
      </c>
      <c r="M8" s="84">
        <f>+IS!M97</f>
        <v>142.70000000000005</v>
      </c>
      <c r="N8" s="84">
        <f>+IS!N97</f>
        <v>96.8</v>
      </c>
      <c r="O8" s="85">
        <f>+IS!O97</f>
        <v>72.100000000000094</v>
      </c>
      <c r="P8" s="83">
        <f>+IS!P97</f>
        <v>6.4999999999999485</v>
      </c>
      <c r="Q8" s="84">
        <f>+IS!Q97</f>
        <v>-50.899999999999935</v>
      </c>
      <c r="R8" s="84">
        <f>+IS!R97</f>
        <v>-109.39999999999999</v>
      </c>
      <c r="S8" s="85">
        <f>+IS!S97</f>
        <v>-93.299999999999926</v>
      </c>
      <c r="T8" s="83">
        <f>+IS!T97</f>
        <v>-46.200000000000024</v>
      </c>
      <c r="U8" s="84">
        <f>+IS!U97</f>
        <v>22.399999999999928</v>
      </c>
      <c r="V8" s="84">
        <f>+IS!V97</f>
        <v>-27.699999999999982</v>
      </c>
      <c r="W8" s="85">
        <f>+IS!W97</f>
        <v>-17.399999999999977</v>
      </c>
      <c r="X8" s="83">
        <f>+IS!X97</f>
        <v>341.30000000000007</v>
      </c>
      <c r="Y8" s="84">
        <f>+IS!Y97</f>
        <v>161.2999999999999</v>
      </c>
      <c r="Z8" s="84">
        <f>+IS!Z97</f>
        <v>274.89999999999992</v>
      </c>
      <c r="AA8" s="85">
        <f>+IS!AA97</f>
        <v>726.70000000000027</v>
      </c>
      <c r="AB8" s="83">
        <f>+IS!AB97</f>
        <v>352.19999999999982</v>
      </c>
      <c r="AC8" s="84">
        <f>+IS!AC97</f>
        <v>-88.29999999999994</v>
      </c>
      <c r="AD8" s="84">
        <f>+IS!AD97</f>
        <v>-313.39999999999992</v>
      </c>
      <c r="AE8" s="85">
        <f>+IS!AE97</f>
        <v>-575.49999999999932</v>
      </c>
      <c r="AF8" s="83">
        <f>+IS!AF97</f>
        <v>-265.90000000000003</v>
      </c>
      <c r="AG8" s="84">
        <f>+IS!AG97</f>
        <v>-30.400000000000002</v>
      </c>
      <c r="AH8" s="84">
        <f>+IS!AH97</f>
        <v>-24.79999999999999</v>
      </c>
      <c r="AI8" s="85">
        <f>+IS!AI97</f>
        <v>-588</v>
      </c>
      <c r="AJ8" s="83">
        <f>+IS!AJ97</f>
        <v>-317.39999999999992</v>
      </c>
      <c r="AK8" s="84">
        <f>+IS!AK97</f>
        <v>-620.79999999999995</v>
      </c>
      <c r="AL8" s="84">
        <f>+IS!AL97</f>
        <v>-216.5</v>
      </c>
      <c r="AM8" s="85">
        <f>+IS!AM97</f>
        <v>-124.80000000000001</v>
      </c>
      <c r="AN8" s="83">
        <f>+IS!AN97</f>
        <v>0.59999999999998721</v>
      </c>
      <c r="AO8" s="84">
        <f>+IS!AO97</f>
        <v>-28.299999999999937</v>
      </c>
      <c r="AP8" s="84">
        <f>+IS!AP97</f>
        <v>94.299999999999983</v>
      </c>
      <c r="AQ8" s="85">
        <f>+IS!AQ97</f>
        <v>96.900000000000034</v>
      </c>
      <c r="AR8" s="83">
        <f>+IS!AR97</f>
        <v>158.30000000000001</v>
      </c>
      <c r="AS8" s="84">
        <f>+IS!AS97</f>
        <v>121.3000000000001</v>
      </c>
      <c r="AT8" s="84">
        <f>+IS!AT97</f>
        <v>-127.89999999999996</v>
      </c>
      <c r="AU8" s="85">
        <f>+IS!AU97</f>
        <v>43.099999999999923</v>
      </c>
      <c r="AV8" s="83">
        <f>+IS!AV97</f>
        <v>62.599999999999888</v>
      </c>
      <c r="AW8" s="84">
        <f>+IS!AW97</f>
        <v>193.19999999999993</v>
      </c>
      <c r="AX8" s="84">
        <f>+IS!AX97</f>
        <v>88.499999999999986</v>
      </c>
      <c r="AY8" s="85">
        <f>+IS!AY97</f>
        <v>63.500000000000021</v>
      </c>
      <c r="AZ8" s="83">
        <f>+IS!AZ97</f>
        <v>115</v>
      </c>
      <c r="BA8" s="84">
        <f>+IS!BA97</f>
        <v>-52</v>
      </c>
      <c r="BB8" s="84">
        <f>+IS!BB97</f>
        <v>-225</v>
      </c>
      <c r="BC8" s="85">
        <f>+IS!BC97</f>
        <v>-158</v>
      </c>
      <c r="BD8" s="83">
        <f>+IS!BD97</f>
        <v>-262</v>
      </c>
      <c r="BE8" s="84">
        <f>+IS!BE97</f>
        <v>-777</v>
      </c>
      <c r="BF8" s="84">
        <f>+IS!BF97</f>
        <v>-236</v>
      </c>
      <c r="BG8" s="85">
        <f>+IS!BG97</f>
        <v>-344</v>
      </c>
      <c r="BH8" s="83">
        <f>+IS!BH97</f>
        <v>-706</v>
      </c>
      <c r="BI8" s="84">
        <f>+IS!BI97</f>
        <v>-751</v>
      </c>
      <c r="BJ8" s="84">
        <f>+IS!BJ97</f>
        <v>-290</v>
      </c>
      <c r="BK8" s="85">
        <f>+IS!BK97</f>
        <v>-88</v>
      </c>
      <c r="BL8" s="83">
        <f>+IS!BL90</f>
        <v>202</v>
      </c>
      <c r="BM8" s="84">
        <f>+IS!BM90</f>
        <v>379</v>
      </c>
      <c r="BN8" s="84">
        <f>+IS!BN90</f>
        <v>960</v>
      </c>
      <c r="BO8" s="85">
        <f>+IS!BO90</f>
        <v>359</v>
      </c>
      <c r="BP8" s="83">
        <f>+IS!BP90</f>
        <v>172</v>
      </c>
      <c r="BQ8" s="84">
        <f>+IS!BQ90</f>
        <v>75</v>
      </c>
      <c r="BR8" s="84">
        <f>+IS!BR90</f>
        <v>77</v>
      </c>
      <c r="BS8" s="85">
        <f>+IS!BS90</f>
        <v>-134</v>
      </c>
      <c r="BT8" s="83">
        <f>+IS!BT90</f>
        <v>-187</v>
      </c>
      <c r="BU8" s="84">
        <f>+IS!BU90</f>
        <v>-282</v>
      </c>
      <c r="BV8" s="84">
        <f>+IS!BV90</f>
        <v>-320</v>
      </c>
      <c r="BW8" s="85">
        <f>+IS!BW90</f>
        <v>-242</v>
      </c>
      <c r="BX8" s="83">
        <f>+IS!BX90</f>
        <v>-275</v>
      </c>
      <c r="BY8" s="84">
        <f>+IS!BY90</f>
        <v>-284</v>
      </c>
      <c r="BZ8" s="84">
        <f>+IS!BZ90</f>
        <v>43</v>
      </c>
      <c r="CA8" s="85">
        <f>+IS!CA90</f>
        <v>1710</v>
      </c>
      <c r="CB8" s="83">
        <f>+IS!CB90</f>
        <v>381</v>
      </c>
      <c r="CC8" s="84">
        <f>+IS!CC90</f>
        <v>741</v>
      </c>
      <c r="CD8" s="84">
        <f>+IS!CD90</f>
        <v>806</v>
      </c>
      <c r="CE8" s="85">
        <f>+IS!CE90</f>
        <v>1151</v>
      </c>
      <c r="CF8" s="83">
        <f>+IS!CF90</f>
        <v>1002</v>
      </c>
      <c r="CG8" s="84">
        <f>+IS!CG90</f>
        <v>935</v>
      </c>
      <c r="CH8" s="84">
        <f>+IS!CH90</f>
        <v>491</v>
      </c>
      <c r="CI8" s="85">
        <f>+IS!CI90</f>
        <v>471</v>
      </c>
      <c r="CJ8" s="83">
        <f>+IS!CJ90</f>
        <v>206</v>
      </c>
      <c r="CK8" s="84">
        <f>+IS!CK90</f>
        <v>-96</v>
      </c>
      <c r="CL8" s="84">
        <f>+IS!CL90</f>
        <v>-215</v>
      </c>
      <c r="CM8" s="85">
        <f>+IS!CM90</f>
        <v>-170</v>
      </c>
      <c r="CN8" s="83">
        <f>+IS!CN90</f>
        <v>180</v>
      </c>
      <c r="CO8" s="84">
        <f>+IS!CO90</f>
        <v>894</v>
      </c>
      <c r="CP8" s="84">
        <f>+IS!CP90</f>
        <v>1647</v>
      </c>
      <c r="CQ8" s="85">
        <f>+IS!CQ90</f>
        <v>2369</v>
      </c>
      <c r="CR8" s="83">
        <f>+IS!CR90</f>
        <v>2678</v>
      </c>
      <c r="CS8" s="84">
        <f>+IS!CS90</f>
        <v>3304</v>
      </c>
      <c r="CT8" s="84">
        <f>+IS!CT90</f>
        <v>3522.2096053387108</v>
      </c>
      <c r="CU8" s="85">
        <f>+IS!CU90</f>
        <v>3466.2660006003762</v>
      </c>
      <c r="CV8" s="83">
        <f>+IS!CV90</f>
        <v>2766.9864124111864</v>
      </c>
      <c r="CW8" s="84">
        <f>+IS!CW90</f>
        <v>2320.9252198045269</v>
      </c>
      <c r="CX8" s="84">
        <f>+IS!CX90</f>
        <v>1888.0719806037869</v>
      </c>
      <c r="CY8" s="85">
        <f>+IS!CY90</f>
        <v>1660.1994273413607</v>
      </c>
      <c r="CZ8" s="83">
        <f>+IS!CZ90</f>
        <v>1485.7809555562255</v>
      </c>
      <c r="DA8" s="84">
        <f>+IS!DA90</f>
        <v>1352.5726544938814</v>
      </c>
      <c r="DB8" s="84">
        <f>+IS!DB90</f>
        <v>1291.1874698997005</v>
      </c>
      <c r="DC8" s="85">
        <f>+IS!DC90</f>
        <v>1251.2791318465074</v>
      </c>
      <c r="DD8" s="895"/>
      <c r="DE8" s="83">
        <f>SUM(D8:G8)</f>
        <v>844.10000000000014</v>
      </c>
      <c r="DF8" s="84">
        <f>SUM(H8:K8)</f>
        <v>593.49999999999966</v>
      </c>
      <c r="DG8" s="84">
        <f>SUM(L8:O8)</f>
        <v>332.20000000000016</v>
      </c>
      <c r="DH8" s="84">
        <f>SUM(P8:S8)</f>
        <v>-247.09999999999991</v>
      </c>
      <c r="DI8" s="84">
        <f>SUM(T8:W8)</f>
        <v>-68.900000000000063</v>
      </c>
      <c r="DJ8" s="84">
        <f>SUM(X8:AA8)</f>
        <v>1504.2000000000003</v>
      </c>
      <c r="DK8" s="84">
        <f>SUM(AB8:AE8)</f>
        <v>-624.99999999999932</v>
      </c>
      <c r="DL8" s="84">
        <f>SUM(AF8:AI8)</f>
        <v>-909.1</v>
      </c>
      <c r="DM8" s="84">
        <f>SUM(AJ8:AM8)</f>
        <v>-1279.4999999999998</v>
      </c>
      <c r="DN8" s="84">
        <f>SUM(AN8:AQ8)</f>
        <v>163.50000000000006</v>
      </c>
      <c r="DO8" s="84">
        <f>SUM(AR8:AU8)</f>
        <v>194.80000000000007</v>
      </c>
      <c r="DP8" s="84">
        <f>SUM(AV8:AY8)</f>
        <v>407.79999999999978</v>
      </c>
      <c r="DQ8" s="84">
        <f>SUM(AZ8:BC8)</f>
        <v>-320</v>
      </c>
      <c r="DR8" s="84">
        <f>SUM(BD8:BG8)</f>
        <v>-1619</v>
      </c>
      <c r="DS8" s="84">
        <f>SUM(BH8:BK8)</f>
        <v>-1835</v>
      </c>
      <c r="DT8" s="84">
        <f>SUM(BL8:BO8)</f>
        <v>1900</v>
      </c>
      <c r="DU8" s="84">
        <f>SUM(BP8:BS8)</f>
        <v>190</v>
      </c>
      <c r="DV8" s="84">
        <f>SUM(BT8:BW8)</f>
        <v>-1031</v>
      </c>
      <c r="DW8" s="84">
        <f>SUM(BX8:CA8)</f>
        <v>1194</v>
      </c>
      <c r="DX8" s="84">
        <f>SUM(CB8:CE8)</f>
        <v>3079</v>
      </c>
      <c r="DY8" s="84">
        <f>SUM(CF8:CI8)</f>
        <v>2899</v>
      </c>
      <c r="DZ8" s="84">
        <f>SUM(CJ8:CM8)</f>
        <v>-275</v>
      </c>
      <c r="EA8" s="773">
        <f>SUM(CN8:CQ8)</f>
        <v>5090</v>
      </c>
      <c r="EB8" s="773">
        <f>SUM(CR8:CU8)</f>
        <v>12970.475605939086</v>
      </c>
      <c r="EC8" s="773">
        <f>SUM(CV8:CY8)</f>
        <v>8636.1830401608604</v>
      </c>
      <c r="ED8" s="773">
        <f>SUM(CZ8:DC8)</f>
        <v>5380.8202117963156</v>
      </c>
      <c r="EE8" s="717"/>
      <c r="EF8" s="83"/>
      <c r="EG8" s="84"/>
      <c r="EH8" s="84">
        <f>SUM(M8:P8)</f>
        <v>318.10000000000008</v>
      </c>
      <c r="EI8" s="84">
        <f>SUM(Q8:T8)</f>
        <v>-299.7999999999999</v>
      </c>
      <c r="EJ8" s="84">
        <f>SUM(U8:X8)</f>
        <v>318.60000000000002</v>
      </c>
      <c r="EK8" s="84">
        <f>SUM(Y8:AB8)</f>
        <v>1515.1</v>
      </c>
      <c r="EL8" s="84">
        <f>SUM(AC8:AF8)</f>
        <v>-1243.0999999999992</v>
      </c>
      <c r="EM8" s="84">
        <f>SUM(AG8:AJ8)</f>
        <v>-960.59999999999991</v>
      </c>
      <c r="EN8" s="84">
        <f>SUM(AK8:AN8)</f>
        <v>-961.49999999999989</v>
      </c>
      <c r="EO8" s="84">
        <f>SUM(AO8:AR8)</f>
        <v>321.2000000000001</v>
      </c>
      <c r="EP8" s="84">
        <f>SUM(AS8:AV8)</f>
        <v>99.099999999999937</v>
      </c>
      <c r="EQ8" s="84">
        <f>SUM(AW8:AZ8)</f>
        <v>460.19999999999993</v>
      </c>
      <c r="ER8" s="84">
        <f>SUM(BA8:BD8)</f>
        <v>-697</v>
      </c>
      <c r="ES8" s="84">
        <f>SUM(BE8:BH8)</f>
        <v>-2063</v>
      </c>
      <c r="ET8" s="84">
        <f>SUM(BI8:BL8)</f>
        <v>-927</v>
      </c>
      <c r="EU8" s="84">
        <f>SUM(BM8:BP8)</f>
        <v>1870</v>
      </c>
      <c r="EV8" s="84">
        <f>SUM(BQ8:BT8)</f>
        <v>-169</v>
      </c>
      <c r="EW8" s="84">
        <f>SUM(BU8:BX8)</f>
        <v>-1119</v>
      </c>
      <c r="EX8" s="84">
        <f>SUM(BY8:CB8)</f>
        <v>1850</v>
      </c>
      <c r="EY8" s="84">
        <f>SUM(CC8:CF8)</f>
        <v>3700</v>
      </c>
      <c r="EZ8" s="84">
        <f>SUM(CG8:CJ8)</f>
        <v>2103</v>
      </c>
      <c r="FA8" s="84">
        <f>SUM(CK8:CN8)</f>
        <v>-301</v>
      </c>
      <c r="FB8" s="84">
        <f>SUM(CO8:CR8)</f>
        <v>7588</v>
      </c>
      <c r="FC8" s="84">
        <f>SUM(CS8:CV8)</f>
        <v>13059.462018350272</v>
      </c>
      <c r="FD8" s="85">
        <f>SUM(CW8:CZ8)</f>
        <v>7354.9775833058993</v>
      </c>
      <c r="FE8"/>
      <c r="FF8"/>
      <c r="FG8"/>
      <c r="FH8"/>
      <c r="FI8"/>
      <c r="FJ8"/>
      <c r="FK8"/>
      <c r="FL8"/>
      <c r="FM8"/>
      <c r="FN8"/>
    </row>
    <row r="9" spans="1:172" ht="14.25" customHeight="1">
      <c r="A9" s="7"/>
      <c r="B9" s="183" t="str">
        <f t="shared" si="0"/>
        <v>Adjustments to reconcile net income to net cash provided by operating activities:</v>
      </c>
      <c r="C9" s="184"/>
      <c r="D9" s="187"/>
      <c r="E9" s="185"/>
      <c r="F9" s="185"/>
      <c r="G9" s="186"/>
      <c r="H9" s="187"/>
      <c r="I9" s="185"/>
      <c r="J9" s="185"/>
      <c r="K9" s="186"/>
      <c r="L9" s="187"/>
      <c r="M9" s="185"/>
      <c r="N9" s="185"/>
      <c r="O9" s="186"/>
      <c r="P9" s="187"/>
      <c r="Q9" s="185"/>
      <c r="R9" s="185"/>
      <c r="S9" s="186"/>
      <c r="T9" s="187"/>
      <c r="U9" s="185"/>
      <c r="V9" s="185"/>
      <c r="W9" s="186"/>
      <c r="X9" s="187"/>
      <c r="Y9" s="185"/>
      <c r="Z9" s="185"/>
      <c r="AA9" s="186"/>
      <c r="AB9" s="187"/>
      <c r="AC9" s="185"/>
      <c r="AD9" s="185"/>
      <c r="AE9" s="186"/>
      <c r="AF9" s="187"/>
      <c r="AG9" s="185"/>
      <c r="AH9" s="185"/>
      <c r="AI9" s="186"/>
      <c r="AJ9" s="187"/>
      <c r="AK9" s="185"/>
      <c r="AL9" s="185"/>
      <c r="AM9" s="186"/>
      <c r="AN9" s="187"/>
      <c r="AO9" s="185"/>
      <c r="AP9" s="185"/>
      <c r="AQ9" s="186"/>
      <c r="AR9" s="187"/>
      <c r="AS9" s="185"/>
      <c r="AT9" s="185"/>
      <c r="AU9" s="186"/>
      <c r="AV9" s="187"/>
      <c r="AW9" s="185"/>
      <c r="AX9" s="185"/>
      <c r="AY9" s="186"/>
      <c r="AZ9" s="187"/>
      <c r="BA9" s="185"/>
      <c r="BB9" s="185"/>
      <c r="BC9" s="186"/>
      <c r="BD9" s="187"/>
      <c r="BE9" s="185"/>
      <c r="BF9" s="185"/>
      <c r="BG9" s="186"/>
      <c r="BH9" s="187"/>
      <c r="BI9" s="185"/>
      <c r="BJ9" s="185"/>
      <c r="BK9" s="186"/>
      <c r="BL9" s="187"/>
      <c r="BM9" s="185"/>
      <c r="BN9" s="185"/>
      <c r="BO9" s="186"/>
      <c r="BP9" s="187"/>
      <c r="BQ9" s="185"/>
      <c r="BR9" s="185"/>
      <c r="BS9" s="186"/>
      <c r="BT9" s="187"/>
      <c r="BU9" s="185"/>
      <c r="BV9" s="185"/>
      <c r="BW9" s="622"/>
      <c r="BX9" s="187"/>
      <c r="BY9" s="185"/>
      <c r="BZ9" s="185"/>
      <c r="CA9" s="622"/>
      <c r="CB9" s="187"/>
      <c r="CC9" s="185"/>
      <c r="CD9" s="185"/>
      <c r="CE9" s="622"/>
      <c r="CF9" s="187"/>
      <c r="CG9" s="185"/>
      <c r="CH9" s="185"/>
      <c r="CI9" s="622"/>
      <c r="CJ9" s="187"/>
      <c r="CK9" s="1146"/>
      <c r="CL9" s="185"/>
      <c r="CM9" s="622"/>
      <c r="CN9" s="187"/>
      <c r="CO9" s="1146"/>
      <c r="CP9" s="185"/>
      <c r="CQ9" s="622"/>
      <c r="CR9" s="187"/>
      <c r="CS9" s="1146"/>
      <c r="CT9" s="185"/>
      <c r="CU9" s="186"/>
      <c r="CV9" s="187"/>
      <c r="CW9" s="1146"/>
      <c r="CX9" s="185"/>
      <c r="CY9" s="186"/>
      <c r="CZ9" s="187"/>
      <c r="DA9" s="1146"/>
      <c r="DB9" s="185"/>
      <c r="DC9" s="186"/>
      <c r="DD9" s="895"/>
      <c r="DE9" s="187"/>
      <c r="DF9" s="185"/>
      <c r="DG9" s="185"/>
      <c r="DH9" s="185"/>
      <c r="DI9" s="185"/>
      <c r="DJ9" s="185"/>
      <c r="DK9" s="185"/>
      <c r="DL9" s="185"/>
      <c r="DM9" s="185"/>
      <c r="DN9" s="185"/>
      <c r="DO9" s="185"/>
      <c r="DP9" s="185"/>
      <c r="DQ9" s="185"/>
      <c r="DR9" s="185"/>
      <c r="DS9" s="185"/>
      <c r="DT9" s="185"/>
      <c r="DU9" s="185"/>
      <c r="DV9" s="185"/>
      <c r="DW9" s="185"/>
      <c r="DX9" s="185"/>
      <c r="DY9" s="185"/>
      <c r="DZ9" s="185"/>
      <c r="EA9" s="185"/>
      <c r="EB9" s="185"/>
      <c r="EC9" s="185"/>
      <c r="ED9" s="185"/>
      <c r="EE9" s="716"/>
      <c r="EF9" s="187"/>
      <c r="EG9" s="185"/>
      <c r="EH9" s="185"/>
      <c r="EI9" s="185"/>
      <c r="EJ9" s="185"/>
      <c r="EK9" s="185"/>
      <c r="EL9" s="185"/>
      <c r="EM9" s="185"/>
      <c r="EN9" s="185"/>
      <c r="EO9" s="185"/>
      <c r="EP9" s="185"/>
      <c r="EQ9" s="185"/>
      <c r="ER9" s="185"/>
      <c r="ES9" s="185"/>
      <c r="ET9" s="185"/>
      <c r="EU9" s="185"/>
      <c r="EV9" s="185"/>
      <c r="EW9" s="185"/>
      <c r="EX9" s="185"/>
      <c r="EY9" s="185"/>
      <c r="EZ9" s="185"/>
      <c r="FA9" s="185"/>
      <c r="FB9" s="185"/>
      <c r="FC9" s="185"/>
      <c r="FD9" s="186"/>
      <c r="FO9" s="330"/>
      <c r="FP9" s="330"/>
    </row>
    <row r="10" spans="1:172" ht="14.25" customHeight="1">
      <c r="A10" s="7"/>
      <c r="B10" s="48" t="str">
        <f t="shared" si="0"/>
        <v>Depreciation and amortization</v>
      </c>
      <c r="C10" s="49"/>
      <c r="D10" s="190">
        <f t="shared" ref="D10:D17" si="1">D114</f>
        <v>0</v>
      </c>
      <c r="E10" s="188">
        <f t="shared" ref="E10:E17" si="2">E114-D10</f>
        <v>0</v>
      </c>
      <c r="F10" s="188">
        <f t="shared" ref="F10:F17" si="3">F114-E10-D10</f>
        <v>0</v>
      </c>
      <c r="G10" s="189">
        <f t="shared" ref="G10:G17" si="4">G114-F10-E10-D10</f>
        <v>0</v>
      </c>
      <c r="H10" s="190">
        <f t="shared" ref="H10:H17" si="5">H114</f>
        <v>0</v>
      </c>
      <c r="I10" s="188">
        <f t="shared" ref="I10:I17" si="6">I114-H10</f>
        <v>0</v>
      </c>
      <c r="J10" s="188">
        <f t="shared" ref="J10:J17" si="7">J114-I10-H10</f>
        <v>0</v>
      </c>
      <c r="K10" s="189">
        <f t="shared" ref="K10:K17" si="8">K114-J10-I10-H10</f>
        <v>0</v>
      </c>
      <c r="L10" s="190">
        <f t="shared" ref="L10:L17" si="9">L114</f>
        <v>110.3</v>
      </c>
      <c r="M10" s="188">
        <f t="shared" ref="M10:M17" si="10">M114-L10</f>
        <v>117.60000000000001</v>
      </c>
      <c r="N10" s="188">
        <f t="shared" ref="N10:N17" si="11">N114-M10-L10</f>
        <v>122.39999999999999</v>
      </c>
      <c r="O10" s="189">
        <f t="shared" ref="O10:O17" si="12">O114-N10-M10-L10</f>
        <v>111.39999999999999</v>
      </c>
      <c r="P10" s="190">
        <f t="shared" ref="P10:P17" si="13">P114</f>
        <v>136.30000000000001</v>
      </c>
      <c r="Q10" s="188">
        <f t="shared" ref="Q10:Q17" si="14">Q114-P10</f>
        <v>147.30000000000001</v>
      </c>
      <c r="R10" s="188">
        <f t="shared" ref="R10:R17" si="15">R114-Q10-P10</f>
        <v>151.09999999999997</v>
      </c>
      <c r="S10" s="189">
        <f t="shared" ref="S10:S17" si="16">S114-R10-Q10-P10</f>
        <v>171.90000000000003</v>
      </c>
      <c r="T10" s="190">
        <f t="shared" ref="T10:T17" si="17">T114</f>
        <v>189.5</v>
      </c>
      <c r="U10" s="188">
        <f t="shared" ref="U10:U17" si="18">U114-T10</f>
        <v>219.39999999999998</v>
      </c>
      <c r="V10" s="188">
        <f t="shared" ref="V10:V17" si="19">V114-U10-T10</f>
        <v>204</v>
      </c>
      <c r="W10" s="189">
        <f t="shared" ref="W10:W17" si="20">W114-V10-U10-T10</f>
        <v>230.39999999999998</v>
      </c>
      <c r="X10" s="190">
        <f t="shared" ref="X10:X17" si="21">X114</f>
        <v>229.5</v>
      </c>
      <c r="Y10" s="188">
        <f t="shared" ref="Y10:Y17" si="22">Y114-X10</f>
        <v>233.60000000000002</v>
      </c>
      <c r="Z10" s="188">
        <f t="shared" ref="Z10:Z17" si="23">Z114-Y10-X10</f>
        <v>250.10000000000002</v>
      </c>
      <c r="AA10" s="189">
        <f t="shared" ref="AA10:AA17" si="24">AA114-Z10-Y10-X10</f>
        <v>261.19999999999993</v>
      </c>
      <c r="AB10" s="190">
        <f t="shared" ref="AB10:AB17" si="25">AB114</f>
        <v>268.2</v>
      </c>
      <c r="AC10" s="188">
        <f t="shared" ref="AC10:AC17" si="26">AC114-AB10</f>
        <v>272.2</v>
      </c>
      <c r="AD10" s="188">
        <f t="shared" ref="AD10:AD17" si="27">AD114-AC10-AB10</f>
        <v>278.8</v>
      </c>
      <c r="AE10" s="189">
        <f t="shared" ref="AE10:AE17" si="28">AE114-AD10-AC10-AB10</f>
        <v>295.2000000000001</v>
      </c>
      <c r="AF10" s="190">
        <f t="shared" ref="AF10:AF17" si="29">AF114</f>
        <v>297.60000000000002</v>
      </c>
      <c r="AG10" s="188">
        <f t="shared" ref="AG10:AG17" si="30">AG114-AF10</f>
        <v>290.89999999999998</v>
      </c>
      <c r="AH10" s="188">
        <f t="shared" ref="AH10:AH17" si="31">AH114-AG10-AF10</f>
        <v>293.39999999999998</v>
      </c>
      <c r="AI10" s="189">
        <f t="shared" ref="AI10:AI17" si="32">AI114-AH10-AG10-AF10</f>
        <v>295.50000000000011</v>
      </c>
      <c r="AJ10" s="190">
        <f t="shared" ref="AJ10:AJ17" si="33">AJ114</f>
        <v>299.89999999999998</v>
      </c>
      <c r="AK10" s="188">
        <f t="shared" ref="AK10:AK17" si="34">AK114-AJ10</f>
        <v>310.20000000000005</v>
      </c>
      <c r="AL10" s="188">
        <f t="shared" ref="AL10:AL17" si="35">AL114-AK10-AJ10</f>
        <v>301</v>
      </c>
      <c r="AM10" s="189">
        <f t="shared" ref="AM10:AM17" si="36">AM114-AL10-AK10-AJ10</f>
        <v>298.80000000000007</v>
      </c>
      <c r="AN10" s="190">
        <f t="shared" ref="AN10:AN17" si="37">AN114</f>
        <v>312.5</v>
      </c>
      <c r="AO10" s="188">
        <f t="shared" ref="AO10:AO17" si="38">AO114-AN10</f>
        <v>295.60000000000002</v>
      </c>
      <c r="AP10" s="188">
        <f t="shared" ref="AP10:AP17" si="39">AP114-AO10-AN10</f>
        <v>300.10000000000002</v>
      </c>
      <c r="AQ10" s="189">
        <f t="shared" ref="AQ10:AQ17" si="40">AQ114-AP10-AO10-AN10</f>
        <v>309.29999999999995</v>
      </c>
      <c r="AR10" s="190">
        <f t="shared" ref="AR10:AR17" si="41">AR114</f>
        <v>313.7</v>
      </c>
      <c r="AS10" s="188">
        <f t="shared" ref="AS10:AS17" si="42">AS114-AR10</f>
        <v>317.2</v>
      </c>
      <c r="AT10" s="188">
        <f t="shared" ref="AT10:AT17" si="43">AT114-AS10-AR10</f>
        <v>318.7000000000001</v>
      </c>
      <c r="AU10" s="189">
        <f t="shared" ref="AU10:AU17" si="44">AU114-AT10-AS10-AR10</f>
        <v>314.89999999999992</v>
      </c>
      <c r="AV10" s="190">
        <f t="shared" ref="AV10:AV17" si="45">AV114</f>
        <v>303.39999999999998</v>
      </c>
      <c r="AW10" s="188">
        <f t="shared" ref="AW10:AW17" si="46">AW114-AV10</f>
        <v>291.20000000000005</v>
      </c>
      <c r="AX10" s="188">
        <f t="shared" ref="AX10:AX17" si="47">AX114-AW10-AV10</f>
        <v>341.6</v>
      </c>
      <c r="AY10" s="189">
        <f t="shared" ref="AY10:AY17" si="48">AY114-AX10-AW10-AV10</f>
        <v>344.79999999999995</v>
      </c>
      <c r="AZ10" s="190">
        <f t="shared" ref="AZ10:AZ27" si="49">AZ114</f>
        <v>380</v>
      </c>
      <c r="BA10" s="188">
        <f t="shared" ref="BA10:BA17" si="50">BA114-AZ10</f>
        <v>420</v>
      </c>
      <c r="BB10" s="188">
        <f t="shared" ref="BB10:BB17" si="51">BB114-BA10-AZ10</f>
        <v>444</v>
      </c>
      <c r="BC10" s="189">
        <f t="shared" ref="BC10:BC17" si="52">BC114-BB10-BA10-AZ10</f>
        <v>474</v>
      </c>
      <c r="BD10" s="190">
        <f t="shared" ref="BD10:BD27" si="53">BD114</f>
        <v>504</v>
      </c>
      <c r="BE10" s="188">
        <f t="shared" ref="BE10:BE17" si="54">BE114-BD10</f>
        <v>511</v>
      </c>
      <c r="BF10" s="188">
        <f t="shared" ref="BF10:BF17" si="55">BF114-BE10-BD10</f>
        <v>513</v>
      </c>
      <c r="BG10" s="189">
        <f t="shared" ref="BG10:BG17" si="56">BG114-BF10-BE10-BD10</f>
        <v>532</v>
      </c>
      <c r="BH10" s="190">
        <f t="shared" ref="BH10:BH27" si="57">BH114</f>
        <v>594</v>
      </c>
      <c r="BI10" s="188">
        <f t="shared" ref="BI10:BI17" si="58">BI114-BH10</f>
        <v>540</v>
      </c>
      <c r="BJ10" s="188">
        <f t="shared" ref="BJ10:BJ17" si="59">BJ114-BI10-BH10</f>
        <v>514</v>
      </c>
      <c r="BK10" s="189">
        <f t="shared" ref="BK10:BK17" si="60">BK114-BJ10-BI10-BH10</f>
        <v>491</v>
      </c>
      <c r="BL10" s="190">
        <f t="shared" ref="BL10:BL27" si="61">BL114</f>
        <v>491</v>
      </c>
      <c r="BM10" s="188">
        <f t="shared" ref="BM10:BM17" si="62">BM114-BL10</f>
        <v>446</v>
      </c>
      <c r="BN10" s="188">
        <f t="shared" ref="BN10:BN17" si="63">BN114-BM10-BL10</f>
        <v>476</v>
      </c>
      <c r="BO10" s="189">
        <f t="shared" ref="BO10:BO17" si="64">BO114-BN10-BM10-BL10</f>
        <v>509</v>
      </c>
      <c r="BP10" s="190">
        <f>BP114</f>
        <v>517</v>
      </c>
      <c r="BQ10" s="188">
        <f t="shared" ref="BQ10:BQ17" si="65">BQ114-BP10</f>
        <v>516</v>
      </c>
      <c r="BR10" s="188">
        <f t="shared" ref="BR10:BR17" si="66">BR114-BQ10-BP10</f>
        <v>559</v>
      </c>
      <c r="BS10" s="189">
        <f t="shared" ref="BS10:BS17" si="67">BS114-BR10-BQ10-BP10</f>
        <v>570</v>
      </c>
      <c r="BT10" s="190">
        <f t="shared" ref="BT10:BT27" si="68">BT114</f>
        <v>581</v>
      </c>
      <c r="BU10" s="188">
        <f t="shared" ref="BU10:BU17" si="69">BU114-BT10</f>
        <v>586</v>
      </c>
      <c r="BV10" s="188">
        <f t="shared" ref="BV10:BV17" si="70">BV114-BU10-BT10</f>
        <v>546</v>
      </c>
      <c r="BW10" s="189">
        <f t="shared" ref="BW10:BW17" si="71">BW114-BV10-BU10-BT10</f>
        <v>509</v>
      </c>
      <c r="BX10" s="190">
        <f t="shared" ref="BX10:BX27" si="72">BX114</f>
        <v>485</v>
      </c>
      <c r="BY10" s="188">
        <f t="shared" ref="BY10:BY17" si="73">BY114-BX10</f>
        <v>485</v>
      </c>
      <c r="BZ10" s="188">
        <f t="shared" ref="BZ10:BZ17" si="74">BZ114-BY10-BX10</f>
        <v>470</v>
      </c>
      <c r="CA10" s="189">
        <f t="shared" ref="CA10:CA17" si="75">CA114-BZ10-BY10-BX10</f>
        <v>486</v>
      </c>
      <c r="CB10" s="190">
        <f>CB114</f>
        <v>541</v>
      </c>
      <c r="CC10" s="188">
        <f t="shared" ref="CC10:CC17" si="76">CC114-CB10</f>
        <v>561</v>
      </c>
      <c r="CD10" s="188">
        <f t="shared" ref="CD10:CD17" si="77">CD114-CC10-CB10</f>
        <v>578</v>
      </c>
      <c r="CE10" s="189">
        <f t="shared" ref="CE10:CE17" si="78">CE114-CD10-CC10-CB10</f>
        <v>590</v>
      </c>
      <c r="CF10" s="190">
        <f>CF114</f>
        <v>681</v>
      </c>
      <c r="CG10" s="188">
        <f t="shared" ref="CG10:CG17" si="79">CG114-CF10</f>
        <v>674</v>
      </c>
      <c r="CH10" s="188">
        <f t="shared" ref="CH10:CH17" si="80">CH114-CG10-CF10</f>
        <v>707</v>
      </c>
      <c r="CI10" s="189">
        <f>CI114-CH10-CG10-CF10</f>
        <v>743</v>
      </c>
      <c r="CJ10" s="190">
        <f>CJ114</f>
        <v>770</v>
      </c>
      <c r="CK10" s="188">
        <f t="shared" ref="CK10:CK17" si="81">CK114-CJ10</f>
        <v>805</v>
      </c>
      <c r="CL10" s="188">
        <f t="shared" ref="CL10:CL17" si="82">CL114-CK10-CJ10</f>
        <v>785</v>
      </c>
      <c r="CM10" s="189">
        <f>CM114-CL10-CK10-CJ10</f>
        <v>746</v>
      </c>
      <c r="CN10" s="190">
        <f>CN114</f>
        <v>803</v>
      </c>
      <c r="CO10" s="188">
        <f t="shared" ref="CO10:CO17" si="83">CO114-CN10</f>
        <v>1034</v>
      </c>
      <c r="CP10" s="188">
        <f t="shared" ref="CP10:CP17" si="84">CP114-CO10-CN10</f>
        <v>1051</v>
      </c>
      <c r="CQ10" s="189">
        <f>CQ114-CP10-CO10-CN10</f>
        <v>1098</v>
      </c>
      <c r="CR10" s="190">
        <f>CR114</f>
        <v>1119</v>
      </c>
      <c r="CS10" s="188">
        <f t="shared" ref="CS10" si="85">CS114-CR10</f>
        <v>1177</v>
      </c>
      <c r="CT10" s="188">
        <f>CT81</f>
        <v>1218.4154501321186</v>
      </c>
      <c r="CU10" s="189">
        <f t="shared" ref="CU10:DC10" si="86">CU81</f>
        <v>1231.4162888743406</v>
      </c>
      <c r="CV10" s="190">
        <f t="shared" si="86"/>
        <v>1250</v>
      </c>
      <c r="CW10" s="188">
        <f t="shared" si="86"/>
        <v>1250</v>
      </c>
      <c r="CX10" s="188">
        <f t="shared" si="86"/>
        <v>1250</v>
      </c>
      <c r="CY10" s="189">
        <f t="shared" si="86"/>
        <v>1250</v>
      </c>
      <c r="CZ10" s="190">
        <f t="shared" si="86"/>
        <v>1375</v>
      </c>
      <c r="DA10" s="188">
        <f t="shared" si="86"/>
        <v>1375</v>
      </c>
      <c r="DB10" s="188">
        <f t="shared" si="86"/>
        <v>1375</v>
      </c>
      <c r="DC10" s="189">
        <f t="shared" si="86"/>
        <v>1375</v>
      </c>
      <c r="DD10" s="895"/>
      <c r="DE10" s="190">
        <f t="shared" ref="DE10:DE17" si="87">SUM(D10:G10)</f>
        <v>0</v>
      </c>
      <c r="DF10" s="188">
        <f t="shared" ref="DF10:DF17" si="88">SUM(H10:K10)</f>
        <v>0</v>
      </c>
      <c r="DG10" s="188">
        <f t="shared" ref="DG10:DG17" si="89">SUM(L10:O10)</f>
        <v>461.7</v>
      </c>
      <c r="DH10" s="188">
        <f t="shared" ref="DH10:DH17" si="90">SUM(P10:S10)</f>
        <v>606.6</v>
      </c>
      <c r="DI10" s="188">
        <f t="shared" ref="DI10:DI17" si="91">SUM(T10:W10)</f>
        <v>843.3</v>
      </c>
      <c r="DJ10" s="188">
        <f t="shared" ref="DJ10:DJ17" si="92">SUM(X10:AA10)</f>
        <v>974.4</v>
      </c>
      <c r="DK10" s="188">
        <f t="shared" ref="DK10:DK17" si="93">SUM(AB10:AE10)</f>
        <v>1114.4000000000001</v>
      </c>
      <c r="DL10" s="188">
        <f t="shared" ref="DL10:DL17" si="94">SUM(AF10:AI10)</f>
        <v>1177.4000000000001</v>
      </c>
      <c r="DM10" s="188">
        <f t="shared" ref="DM10:DM17" si="95">SUM(AJ10:AM10)</f>
        <v>1209.9000000000001</v>
      </c>
      <c r="DN10" s="188">
        <f t="shared" ref="DN10:DN17" si="96">SUM(AN10:AQ10)</f>
        <v>1217.5</v>
      </c>
      <c r="DO10" s="188">
        <f t="shared" ref="DO10:DO17" si="97">SUM(AR10:AU10)</f>
        <v>1264.5</v>
      </c>
      <c r="DP10" s="188">
        <f t="shared" ref="DP10:DP17" si="98">SUM(AV10:AY10)</f>
        <v>1281</v>
      </c>
      <c r="DQ10" s="188">
        <f t="shared" ref="DQ10:DQ17" si="99">SUM(AZ10:BC10)</f>
        <v>1718</v>
      </c>
      <c r="DR10" s="188">
        <f t="shared" ref="DR10:DR17" si="100">SUM(BD10:BG10)</f>
        <v>2060</v>
      </c>
      <c r="DS10" s="188">
        <f t="shared" ref="DS10:DS17" si="101">SUM(BH10:BK10)</f>
        <v>2139</v>
      </c>
      <c r="DT10" s="188">
        <f t="shared" ref="DT10:DT17" si="102">SUM(BL10:BO10)</f>
        <v>1922</v>
      </c>
      <c r="DU10" s="188">
        <f t="shared" ref="DU10:DU17" si="103">SUM(BP10:BS10)</f>
        <v>2162</v>
      </c>
      <c r="DV10" s="188">
        <f t="shared" ref="DV10:DV17" si="104">SUM(BT10:BW10)</f>
        <v>2222</v>
      </c>
      <c r="DW10" s="188">
        <f t="shared" ref="DW10:DW17" si="105">SUM(BX10:CA10)</f>
        <v>1926</v>
      </c>
      <c r="DX10" s="188">
        <f t="shared" ref="DX10:DX17" si="106">SUM(CB10:CE10)</f>
        <v>2270</v>
      </c>
      <c r="DY10" s="188">
        <f t="shared" ref="DY10:DY17" si="107">SUM(CF10:CI10)</f>
        <v>2805</v>
      </c>
      <c r="DZ10" s="188">
        <f t="shared" ref="DZ10:DZ17" si="108">SUM(CJ10:CM10)</f>
        <v>3106</v>
      </c>
      <c r="EA10" s="188">
        <f t="shared" ref="EA10:EA17" si="109">SUM(CN10:CQ10)</f>
        <v>3986</v>
      </c>
      <c r="EB10" s="188">
        <f t="shared" ref="EB10:EB17" si="110">SUM(CR10:CU10)</f>
        <v>4745.8317390064594</v>
      </c>
      <c r="EC10" s="188">
        <f t="shared" ref="EC10:EC27" si="111">SUM(CV10:CY10)</f>
        <v>5000</v>
      </c>
      <c r="ED10" s="188">
        <f t="shared" ref="ED10:ED27" si="112">SUM(CZ10:DC10)</f>
        <v>5500</v>
      </c>
      <c r="EE10" s="716"/>
      <c r="EF10" s="190"/>
      <c r="EG10" s="188"/>
      <c r="EH10" s="188">
        <f t="shared" ref="EH10:EH17" si="113">SUM(M10:P10)</f>
        <v>487.7</v>
      </c>
      <c r="EI10" s="188">
        <f t="shared" ref="EI10:EI17" si="114">SUM(Q10:T10)</f>
        <v>659.8</v>
      </c>
      <c r="EJ10" s="188">
        <f t="shared" ref="EJ10:EJ17" si="115">SUM(U10:X10)</f>
        <v>883.3</v>
      </c>
      <c r="EK10" s="188">
        <f t="shared" ref="EK10:EK17" si="116">SUM(Y10:AB10)</f>
        <v>1013.0999999999999</v>
      </c>
      <c r="EL10" s="188">
        <f t="shared" ref="EL10:EL17" si="117">SUM(AC10:AF10)</f>
        <v>1143.8000000000002</v>
      </c>
      <c r="EM10" s="188">
        <f t="shared" ref="EM10:EM17" si="118">SUM(AG10:AJ10)</f>
        <v>1179.7</v>
      </c>
      <c r="EN10" s="188">
        <f t="shared" ref="EN10:EN17" si="119">SUM(AK10:AN10)</f>
        <v>1222.5</v>
      </c>
      <c r="EO10" s="188">
        <f t="shared" ref="EO10:EO17" si="120">SUM(AO10:AR10)</f>
        <v>1218.7</v>
      </c>
      <c r="EP10" s="338">
        <f t="shared" ref="EP10:EP17" si="121">SUM(AS10:AV10)</f>
        <v>1254.1999999999998</v>
      </c>
      <c r="EQ10" s="338">
        <f t="shared" ref="EQ10:EQ17" si="122">SUM(AW10:AZ10)</f>
        <v>1357.6</v>
      </c>
      <c r="ER10" s="338">
        <f t="shared" ref="ER10:ER17" si="123">SUM(BA10:BD10)</f>
        <v>1842</v>
      </c>
      <c r="ES10" s="338">
        <f t="shared" ref="ES10:ES17" si="124">SUM(BE10:BH10)</f>
        <v>2150</v>
      </c>
      <c r="ET10" s="338">
        <f t="shared" ref="ET10:ET17" si="125">SUM(BI10:BL10)</f>
        <v>2036</v>
      </c>
      <c r="EU10" s="338">
        <f t="shared" ref="EU10:EU17" si="126">SUM(BM10:BP10)</f>
        <v>1948</v>
      </c>
      <c r="EV10" s="338">
        <f t="shared" ref="EV10:EV17" si="127">SUM(BQ10:BT10)</f>
        <v>2226</v>
      </c>
      <c r="EW10" s="338">
        <f t="shared" ref="EW10:EW17" si="128">SUM(BU10:BX10)</f>
        <v>2126</v>
      </c>
      <c r="EX10" s="338">
        <f t="shared" ref="EX10:EX17" si="129">SUM(BY10:CB10)</f>
        <v>1982</v>
      </c>
      <c r="EY10" s="338">
        <f t="shared" ref="EY10:EY17" si="130">SUM(CC10:CF10)</f>
        <v>2410</v>
      </c>
      <c r="EZ10" s="338">
        <f t="shared" ref="EZ10:EZ17" si="131">SUM(CG10:CJ10)</f>
        <v>2894</v>
      </c>
      <c r="FA10" s="338">
        <f t="shared" ref="FA10:FA17" si="132">SUM(CK10:CN10)</f>
        <v>3139</v>
      </c>
      <c r="FB10" s="338">
        <f t="shared" ref="FB10:FB17" si="133">SUM(CO10:CR10)</f>
        <v>4302</v>
      </c>
      <c r="FC10" s="338">
        <f t="shared" ref="FC10:FC17" si="134">SUM(CS10:CV10)</f>
        <v>4876.8317390064594</v>
      </c>
      <c r="FD10" s="339">
        <f t="shared" ref="FD10:FD27" si="135">SUM(CW10:CZ10)</f>
        <v>5125</v>
      </c>
      <c r="FO10" s="330"/>
      <c r="FP10" s="330"/>
    </row>
    <row r="11" spans="1:172" ht="14.25" customHeight="1">
      <c r="A11" s="7"/>
      <c r="B11" s="48" t="str">
        <f t="shared" si="0"/>
        <v>Stock-based compensation</v>
      </c>
      <c r="C11" s="49"/>
      <c r="D11" s="190">
        <f t="shared" si="1"/>
        <v>0</v>
      </c>
      <c r="E11" s="188">
        <f t="shared" si="2"/>
        <v>0</v>
      </c>
      <c r="F11" s="188">
        <f t="shared" si="3"/>
        <v>0</v>
      </c>
      <c r="G11" s="189">
        <f t="shared" si="4"/>
        <v>0</v>
      </c>
      <c r="H11" s="190">
        <f t="shared" si="5"/>
        <v>0</v>
      </c>
      <c r="I11" s="188">
        <f t="shared" si="6"/>
        <v>0</v>
      </c>
      <c r="J11" s="188">
        <f t="shared" si="7"/>
        <v>0</v>
      </c>
      <c r="K11" s="189">
        <f t="shared" si="8"/>
        <v>0</v>
      </c>
      <c r="L11" s="190">
        <f t="shared" si="9"/>
        <v>0</v>
      </c>
      <c r="M11" s="188">
        <f t="shared" si="10"/>
        <v>0</v>
      </c>
      <c r="N11" s="188">
        <f t="shared" si="11"/>
        <v>0</v>
      </c>
      <c r="O11" s="189">
        <f t="shared" si="12"/>
        <v>0</v>
      </c>
      <c r="P11" s="190">
        <f t="shared" si="13"/>
        <v>0</v>
      </c>
      <c r="Q11" s="188">
        <f t="shared" si="14"/>
        <v>0</v>
      </c>
      <c r="R11" s="188">
        <f t="shared" si="15"/>
        <v>0</v>
      </c>
      <c r="S11" s="189">
        <f t="shared" si="16"/>
        <v>0</v>
      </c>
      <c r="T11" s="190">
        <f t="shared" si="17"/>
        <v>0</v>
      </c>
      <c r="U11" s="188">
        <f t="shared" si="18"/>
        <v>0</v>
      </c>
      <c r="V11" s="188">
        <f t="shared" si="19"/>
        <v>0</v>
      </c>
      <c r="W11" s="189">
        <f t="shared" si="20"/>
        <v>0</v>
      </c>
      <c r="X11" s="190">
        <f t="shared" si="21"/>
        <v>0</v>
      </c>
      <c r="Y11" s="188">
        <f t="shared" si="22"/>
        <v>0</v>
      </c>
      <c r="Z11" s="188">
        <f t="shared" si="23"/>
        <v>0</v>
      </c>
      <c r="AA11" s="189">
        <f t="shared" si="24"/>
        <v>0</v>
      </c>
      <c r="AB11" s="190">
        <f t="shared" si="25"/>
        <v>0</v>
      </c>
      <c r="AC11" s="188">
        <f t="shared" si="26"/>
        <v>0</v>
      </c>
      <c r="AD11" s="188">
        <f t="shared" si="27"/>
        <v>0</v>
      </c>
      <c r="AE11" s="189">
        <f t="shared" si="28"/>
        <v>0</v>
      </c>
      <c r="AF11" s="190">
        <f t="shared" si="29"/>
        <v>0</v>
      </c>
      <c r="AG11" s="188">
        <f t="shared" si="30"/>
        <v>0</v>
      </c>
      <c r="AH11" s="188">
        <f t="shared" si="31"/>
        <v>0</v>
      </c>
      <c r="AI11" s="189">
        <f t="shared" si="32"/>
        <v>0</v>
      </c>
      <c r="AJ11" s="190">
        <f t="shared" si="33"/>
        <v>0</v>
      </c>
      <c r="AK11" s="188">
        <f t="shared" si="34"/>
        <v>0</v>
      </c>
      <c r="AL11" s="188">
        <f t="shared" si="35"/>
        <v>0</v>
      </c>
      <c r="AM11" s="189">
        <f t="shared" si="36"/>
        <v>0</v>
      </c>
      <c r="AN11" s="190">
        <f t="shared" si="37"/>
        <v>0</v>
      </c>
      <c r="AO11" s="188">
        <f t="shared" si="38"/>
        <v>0</v>
      </c>
      <c r="AP11" s="188">
        <f t="shared" si="39"/>
        <v>0</v>
      </c>
      <c r="AQ11" s="189">
        <f t="shared" si="40"/>
        <v>0</v>
      </c>
      <c r="AR11" s="190">
        <f t="shared" si="41"/>
        <v>0</v>
      </c>
      <c r="AS11" s="188">
        <f t="shared" si="42"/>
        <v>0</v>
      </c>
      <c r="AT11" s="188">
        <f t="shared" si="43"/>
        <v>0</v>
      </c>
      <c r="AU11" s="189">
        <f t="shared" si="44"/>
        <v>0</v>
      </c>
      <c r="AV11" s="190">
        <f t="shared" si="45"/>
        <v>3.8</v>
      </c>
      <c r="AW11" s="188">
        <f t="shared" si="46"/>
        <v>6.6000000000000005</v>
      </c>
      <c r="AX11" s="188">
        <f t="shared" si="47"/>
        <v>7.3999999999999995</v>
      </c>
      <c r="AY11" s="189">
        <f t="shared" si="48"/>
        <v>8.1999999999999993</v>
      </c>
      <c r="AZ11" s="190">
        <f t="shared" si="49"/>
        <v>10</v>
      </c>
      <c r="BA11" s="188">
        <f t="shared" si="50"/>
        <v>10</v>
      </c>
      <c r="BB11" s="188">
        <f t="shared" si="51"/>
        <v>10</v>
      </c>
      <c r="BC11" s="189">
        <f t="shared" si="52"/>
        <v>14</v>
      </c>
      <c r="BD11" s="190">
        <f t="shared" si="53"/>
        <v>13</v>
      </c>
      <c r="BE11" s="188">
        <f t="shared" si="54"/>
        <v>13</v>
      </c>
      <c r="BF11" s="188">
        <f t="shared" si="55"/>
        <v>14</v>
      </c>
      <c r="BG11" s="189">
        <f t="shared" si="56"/>
        <v>8</v>
      </c>
      <c r="BH11" s="190">
        <f t="shared" si="57"/>
        <v>0</v>
      </c>
      <c r="BI11" s="188">
        <f t="shared" si="58"/>
        <v>0</v>
      </c>
      <c r="BJ11" s="188">
        <f t="shared" si="59"/>
        <v>0</v>
      </c>
      <c r="BK11" s="189">
        <f t="shared" si="60"/>
        <v>0</v>
      </c>
      <c r="BL11" s="190">
        <f t="shared" si="61"/>
        <v>31</v>
      </c>
      <c r="BM11" s="188">
        <f t="shared" si="62"/>
        <v>22</v>
      </c>
      <c r="BN11" s="188">
        <f t="shared" si="63"/>
        <v>20</v>
      </c>
      <c r="BO11" s="189">
        <f t="shared" si="64"/>
        <v>20</v>
      </c>
      <c r="BP11" s="190">
        <f t="shared" ref="BP11:BP27" si="136">BP115</f>
        <v>19</v>
      </c>
      <c r="BQ11" s="188">
        <f t="shared" si="65"/>
        <v>19</v>
      </c>
      <c r="BR11" s="188">
        <f t="shared" si="66"/>
        <v>19</v>
      </c>
      <c r="BS11" s="189">
        <f t="shared" si="67"/>
        <v>19</v>
      </c>
      <c r="BT11" s="190">
        <f t="shared" si="68"/>
        <v>0</v>
      </c>
      <c r="BU11" s="188">
        <f t="shared" si="69"/>
        <v>0</v>
      </c>
      <c r="BV11" s="188">
        <f t="shared" si="70"/>
        <v>0</v>
      </c>
      <c r="BW11" s="189">
        <f t="shared" si="71"/>
        <v>0</v>
      </c>
      <c r="BX11" s="190">
        <f t="shared" si="72"/>
        <v>19</v>
      </c>
      <c r="BY11" s="188">
        <f t="shared" si="73"/>
        <v>21</v>
      </c>
      <c r="BZ11" s="188">
        <f t="shared" si="74"/>
        <v>21</v>
      </c>
      <c r="CA11" s="189">
        <f t="shared" si="75"/>
        <v>30</v>
      </c>
      <c r="CB11" s="190">
        <f t="shared" ref="CB11:CB26" si="137">CB115</f>
        <v>22</v>
      </c>
      <c r="CC11" s="188">
        <f t="shared" si="76"/>
        <v>27</v>
      </c>
      <c r="CD11" s="188">
        <f t="shared" si="77"/>
        <v>32</v>
      </c>
      <c r="CE11" s="189">
        <f t="shared" si="78"/>
        <v>34</v>
      </c>
      <c r="CF11" s="190">
        <f t="shared" ref="CF11:CF26" si="138">CF115</f>
        <v>35</v>
      </c>
      <c r="CG11" s="188">
        <f t="shared" si="79"/>
        <v>49</v>
      </c>
      <c r="CH11" s="188">
        <f t="shared" si="80"/>
        <v>43</v>
      </c>
      <c r="CI11" s="189">
        <f t="shared" ref="CI11:CI17" si="139">CI115-CH11-CG11-CF11</f>
        <v>41</v>
      </c>
      <c r="CJ11" s="190">
        <f t="shared" ref="CJ11:CJ26" si="140">CJ115</f>
        <v>46</v>
      </c>
      <c r="CK11" s="188">
        <f t="shared" si="81"/>
        <v>55</v>
      </c>
      <c r="CL11" s="188">
        <f t="shared" si="82"/>
        <v>47</v>
      </c>
      <c r="CM11" s="189">
        <f t="shared" ref="CM11:CM17" si="141">CM115-CL11-CK11-CJ11</f>
        <v>43</v>
      </c>
      <c r="CN11" s="190">
        <f t="shared" ref="CN11:CN26" si="142">CN115</f>
        <v>46</v>
      </c>
      <c r="CO11" s="188">
        <f t="shared" si="83"/>
        <v>55</v>
      </c>
      <c r="CP11" s="188">
        <f t="shared" si="84"/>
        <v>0</v>
      </c>
      <c r="CQ11" s="189">
        <f t="shared" ref="CQ11:CQ17" si="143">CQ115-CP11-CO11-CN11</f>
        <v>114</v>
      </c>
      <c r="CR11" s="190">
        <f t="shared" ref="CR11:CR26" si="144">CR115</f>
        <v>51</v>
      </c>
      <c r="CS11" s="188">
        <f t="shared" ref="CS11:CU11" si="145">+CR11</f>
        <v>51</v>
      </c>
      <c r="CT11" s="188">
        <f t="shared" si="145"/>
        <v>51</v>
      </c>
      <c r="CU11" s="189">
        <f t="shared" si="145"/>
        <v>51</v>
      </c>
      <c r="CV11" s="190">
        <f t="shared" ref="CV11" si="146">+CU11</f>
        <v>51</v>
      </c>
      <c r="CW11" s="188">
        <f t="shared" ref="CW11" si="147">+CV11</f>
        <v>51</v>
      </c>
      <c r="CX11" s="188">
        <f t="shared" ref="CX11" si="148">+CW11</f>
        <v>51</v>
      </c>
      <c r="CY11" s="189">
        <f t="shared" ref="CY11" si="149">+CX11</f>
        <v>51</v>
      </c>
      <c r="CZ11" s="190">
        <f t="shared" ref="CZ11" si="150">+CY11</f>
        <v>51</v>
      </c>
      <c r="DA11" s="188">
        <f t="shared" ref="DA11" si="151">+CZ11</f>
        <v>51</v>
      </c>
      <c r="DB11" s="188">
        <f t="shared" ref="DB11" si="152">+DA11</f>
        <v>51</v>
      </c>
      <c r="DC11" s="189">
        <f t="shared" ref="DC11" si="153">+DB11</f>
        <v>51</v>
      </c>
      <c r="DD11" s="895"/>
      <c r="DE11" s="190">
        <f t="shared" si="87"/>
        <v>0</v>
      </c>
      <c r="DF11" s="188">
        <f t="shared" si="88"/>
        <v>0</v>
      </c>
      <c r="DG11" s="188">
        <f t="shared" si="89"/>
        <v>0</v>
      </c>
      <c r="DH11" s="188">
        <f t="shared" si="90"/>
        <v>0</v>
      </c>
      <c r="DI11" s="188">
        <f t="shared" si="91"/>
        <v>0</v>
      </c>
      <c r="DJ11" s="188">
        <f t="shared" si="92"/>
        <v>0</v>
      </c>
      <c r="DK11" s="188">
        <f t="shared" si="93"/>
        <v>0</v>
      </c>
      <c r="DL11" s="188">
        <f t="shared" si="94"/>
        <v>0</v>
      </c>
      <c r="DM11" s="188">
        <f t="shared" si="95"/>
        <v>0</v>
      </c>
      <c r="DN11" s="188">
        <f t="shared" si="96"/>
        <v>0</v>
      </c>
      <c r="DO11" s="188">
        <f t="shared" si="97"/>
        <v>0</v>
      </c>
      <c r="DP11" s="188">
        <f t="shared" si="98"/>
        <v>26</v>
      </c>
      <c r="DQ11" s="188">
        <f t="shared" si="99"/>
        <v>44</v>
      </c>
      <c r="DR11" s="188">
        <f t="shared" si="100"/>
        <v>48</v>
      </c>
      <c r="DS11" s="188">
        <f t="shared" si="101"/>
        <v>0</v>
      </c>
      <c r="DT11" s="188">
        <f t="shared" si="102"/>
        <v>93</v>
      </c>
      <c r="DU11" s="188">
        <f t="shared" si="103"/>
        <v>76</v>
      </c>
      <c r="DV11" s="188">
        <f t="shared" si="104"/>
        <v>0</v>
      </c>
      <c r="DW11" s="188">
        <f t="shared" si="105"/>
        <v>91</v>
      </c>
      <c r="DX11" s="188">
        <f t="shared" si="106"/>
        <v>115</v>
      </c>
      <c r="DY11" s="188">
        <f t="shared" si="107"/>
        <v>168</v>
      </c>
      <c r="DZ11" s="188">
        <f t="shared" si="108"/>
        <v>191</v>
      </c>
      <c r="EA11" s="188">
        <f t="shared" si="109"/>
        <v>215</v>
      </c>
      <c r="EB11" s="188">
        <f t="shared" si="110"/>
        <v>204</v>
      </c>
      <c r="EC11" s="188">
        <f t="shared" si="111"/>
        <v>204</v>
      </c>
      <c r="ED11" s="188">
        <f t="shared" si="112"/>
        <v>204</v>
      </c>
      <c r="EE11" s="716"/>
      <c r="EF11" s="190"/>
      <c r="EG11" s="188"/>
      <c r="EH11" s="188">
        <f t="shared" si="113"/>
        <v>0</v>
      </c>
      <c r="EI11" s="188">
        <f t="shared" si="114"/>
        <v>0</v>
      </c>
      <c r="EJ11" s="188">
        <f t="shared" si="115"/>
        <v>0</v>
      </c>
      <c r="EK11" s="188">
        <f t="shared" si="116"/>
        <v>0</v>
      </c>
      <c r="EL11" s="188">
        <f t="shared" si="117"/>
        <v>0</v>
      </c>
      <c r="EM11" s="188">
        <f t="shared" si="118"/>
        <v>0</v>
      </c>
      <c r="EN11" s="188">
        <f t="shared" si="119"/>
        <v>0</v>
      </c>
      <c r="EO11" s="188">
        <f t="shared" si="120"/>
        <v>0</v>
      </c>
      <c r="EP11" s="338">
        <f t="shared" si="121"/>
        <v>3.8</v>
      </c>
      <c r="EQ11" s="338">
        <f t="shared" si="122"/>
        <v>32.200000000000003</v>
      </c>
      <c r="ER11" s="338">
        <f t="shared" si="123"/>
        <v>47</v>
      </c>
      <c r="ES11" s="338">
        <f t="shared" si="124"/>
        <v>35</v>
      </c>
      <c r="ET11" s="338">
        <f t="shared" si="125"/>
        <v>31</v>
      </c>
      <c r="EU11" s="338">
        <f t="shared" si="126"/>
        <v>81</v>
      </c>
      <c r="EV11" s="338">
        <f t="shared" si="127"/>
        <v>57</v>
      </c>
      <c r="EW11" s="338">
        <f t="shared" si="128"/>
        <v>19</v>
      </c>
      <c r="EX11" s="338">
        <f t="shared" si="129"/>
        <v>94</v>
      </c>
      <c r="EY11" s="338">
        <f t="shared" si="130"/>
        <v>128</v>
      </c>
      <c r="EZ11" s="338">
        <f t="shared" si="131"/>
        <v>179</v>
      </c>
      <c r="FA11" s="338">
        <f t="shared" si="132"/>
        <v>191</v>
      </c>
      <c r="FB11" s="338">
        <f t="shared" si="133"/>
        <v>220</v>
      </c>
      <c r="FC11" s="338">
        <f t="shared" si="134"/>
        <v>204</v>
      </c>
      <c r="FD11" s="339">
        <f t="shared" si="135"/>
        <v>204</v>
      </c>
      <c r="FO11" s="330"/>
      <c r="FP11" s="330"/>
    </row>
    <row r="12" spans="1:172" ht="14.25" customHeight="1">
      <c r="A12" s="7"/>
      <c r="B12" s="48" t="str">
        <f t="shared" si="0"/>
        <v>Tax effect from stock-based compensation</v>
      </c>
      <c r="C12" s="49"/>
      <c r="D12" s="190">
        <f t="shared" si="1"/>
        <v>0</v>
      </c>
      <c r="E12" s="188">
        <f t="shared" si="2"/>
        <v>0</v>
      </c>
      <c r="F12" s="188">
        <f t="shared" si="3"/>
        <v>0</v>
      </c>
      <c r="G12" s="189">
        <f t="shared" si="4"/>
        <v>0</v>
      </c>
      <c r="H12" s="190">
        <f t="shared" si="5"/>
        <v>0</v>
      </c>
      <c r="I12" s="188">
        <f t="shared" si="6"/>
        <v>0</v>
      </c>
      <c r="J12" s="188">
        <f t="shared" si="7"/>
        <v>0</v>
      </c>
      <c r="K12" s="189">
        <f t="shared" si="8"/>
        <v>0</v>
      </c>
      <c r="L12" s="190">
        <f t="shared" si="9"/>
        <v>0</v>
      </c>
      <c r="M12" s="188">
        <f t="shared" si="10"/>
        <v>0</v>
      </c>
      <c r="N12" s="188">
        <f t="shared" si="11"/>
        <v>0</v>
      </c>
      <c r="O12" s="189">
        <f t="shared" si="12"/>
        <v>0</v>
      </c>
      <c r="P12" s="190">
        <f t="shared" si="13"/>
        <v>0</v>
      </c>
      <c r="Q12" s="188">
        <f t="shared" si="14"/>
        <v>0</v>
      </c>
      <c r="R12" s="188">
        <f t="shared" si="15"/>
        <v>0</v>
      </c>
      <c r="S12" s="189">
        <f t="shared" si="16"/>
        <v>0</v>
      </c>
      <c r="T12" s="190">
        <f t="shared" si="17"/>
        <v>0</v>
      </c>
      <c r="U12" s="188">
        <f t="shared" si="18"/>
        <v>0</v>
      </c>
      <c r="V12" s="188">
        <f t="shared" si="19"/>
        <v>0</v>
      </c>
      <c r="W12" s="189">
        <f t="shared" si="20"/>
        <v>0</v>
      </c>
      <c r="X12" s="190">
        <f t="shared" si="21"/>
        <v>0</v>
      </c>
      <c r="Y12" s="188">
        <f t="shared" si="22"/>
        <v>0</v>
      </c>
      <c r="Z12" s="188">
        <f t="shared" si="23"/>
        <v>0</v>
      </c>
      <c r="AA12" s="189">
        <f t="shared" si="24"/>
        <v>0</v>
      </c>
      <c r="AB12" s="190">
        <f t="shared" si="25"/>
        <v>0</v>
      </c>
      <c r="AC12" s="188">
        <f t="shared" si="26"/>
        <v>0</v>
      </c>
      <c r="AD12" s="188">
        <f t="shared" si="27"/>
        <v>0</v>
      </c>
      <c r="AE12" s="189">
        <f t="shared" si="28"/>
        <v>0</v>
      </c>
      <c r="AF12" s="190">
        <f t="shared" si="29"/>
        <v>0</v>
      </c>
      <c r="AG12" s="188">
        <f t="shared" si="30"/>
        <v>0</v>
      </c>
      <c r="AH12" s="188">
        <f t="shared" si="31"/>
        <v>0</v>
      </c>
      <c r="AI12" s="189">
        <f t="shared" si="32"/>
        <v>0</v>
      </c>
      <c r="AJ12" s="190">
        <f t="shared" si="33"/>
        <v>0</v>
      </c>
      <c r="AK12" s="188">
        <f t="shared" si="34"/>
        <v>0</v>
      </c>
      <c r="AL12" s="188">
        <f t="shared" si="35"/>
        <v>0</v>
      </c>
      <c r="AM12" s="189">
        <f t="shared" si="36"/>
        <v>0</v>
      </c>
      <c r="AN12" s="190">
        <f t="shared" si="37"/>
        <v>0</v>
      </c>
      <c r="AO12" s="188">
        <f t="shared" si="38"/>
        <v>0</v>
      </c>
      <c r="AP12" s="188">
        <f t="shared" si="39"/>
        <v>0</v>
      </c>
      <c r="AQ12" s="189">
        <f t="shared" si="40"/>
        <v>0</v>
      </c>
      <c r="AR12" s="190">
        <f t="shared" si="41"/>
        <v>0</v>
      </c>
      <c r="AS12" s="188">
        <f t="shared" si="42"/>
        <v>0</v>
      </c>
      <c r="AT12" s="188">
        <f t="shared" si="43"/>
        <v>0</v>
      </c>
      <c r="AU12" s="189">
        <f t="shared" si="44"/>
        <v>0</v>
      </c>
      <c r="AV12" s="190">
        <f t="shared" si="45"/>
        <v>0</v>
      </c>
      <c r="AW12" s="188">
        <f t="shared" si="46"/>
        <v>0</v>
      </c>
      <c r="AX12" s="188">
        <f t="shared" si="47"/>
        <v>0</v>
      </c>
      <c r="AY12" s="189">
        <f t="shared" si="48"/>
        <v>0</v>
      </c>
      <c r="AZ12" s="190">
        <f t="shared" si="49"/>
        <v>0</v>
      </c>
      <c r="BA12" s="188">
        <f t="shared" si="50"/>
        <v>0</v>
      </c>
      <c r="BB12" s="188">
        <f t="shared" si="51"/>
        <v>0</v>
      </c>
      <c r="BC12" s="189">
        <f t="shared" si="52"/>
        <v>0</v>
      </c>
      <c r="BD12" s="190">
        <f t="shared" si="53"/>
        <v>0</v>
      </c>
      <c r="BE12" s="188">
        <f t="shared" si="54"/>
        <v>0</v>
      </c>
      <c r="BF12" s="188">
        <f t="shared" si="55"/>
        <v>0</v>
      </c>
      <c r="BG12" s="189">
        <f t="shared" si="56"/>
        <v>0</v>
      </c>
      <c r="BH12" s="190">
        <f t="shared" si="57"/>
        <v>0</v>
      </c>
      <c r="BI12" s="188">
        <f t="shared" si="58"/>
        <v>0</v>
      </c>
      <c r="BJ12" s="188">
        <f t="shared" si="59"/>
        <v>0</v>
      </c>
      <c r="BK12" s="189">
        <f t="shared" si="60"/>
        <v>0</v>
      </c>
      <c r="BL12" s="190">
        <f t="shared" si="61"/>
        <v>0</v>
      </c>
      <c r="BM12" s="188">
        <f t="shared" si="62"/>
        <v>0</v>
      </c>
      <c r="BN12" s="188">
        <f t="shared" si="63"/>
        <v>0</v>
      </c>
      <c r="BO12" s="189">
        <f t="shared" si="64"/>
        <v>0</v>
      </c>
      <c r="BP12" s="190">
        <f t="shared" si="136"/>
        <v>0</v>
      </c>
      <c r="BQ12" s="188">
        <f t="shared" si="65"/>
        <v>0</v>
      </c>
      <c r="BR12" s="188">
        <f t="shared" si="66"/>
        <v>0</v>
      </c>
      <c r="BS12" s="189">
        <f t="shared" si="67"/>
        <v>0</v>
      </c>
      <c r="BT12" s="190">
        <f t="shared" si="68"/>
        <v>0</v>
      </c>
      <c r="BU12" s="188">
        <f t="shared" si="69"/>
        <v>0</v>
      </c>
      <c r="BV12" s="188">
        <f t="shared" si="70"/>
        <v>0</v>
      </c>
      <c r="BW12" s="189">
        <f t="shared" si="71"/>
        <v>0</v>
      </c>
      <c r="BX12" s="190">
        <f t="shared" si="72"/>
        <v>0</v>
      </c>
      <c r="BY12" s="188">
        <f t="shared" si="73"/>
        <v>0</v>
      </c>
      <c r="BZ12" s="188">
        <f t="shared" si="74"/>
        <v>0</v>
      </c>
      <c r="CA12" s="189">
        <f t="shared" si="75"/>
        <v>0</v>
      </c>
      <c r="CB12" s="190">
        <f t="shared" si="137"/>
        <v>0</v>
      </c>
      <c r="CC12" s="188">
        <f t="shared" si="76"/>
        <v>0</v>
      </c>
      <c r="CD12" s="188">
        <f t="shared" si="77"/>
        <v>0</v>
      </c>
      <c r="CE12" s="189">
        <f t="shared" si="78"/>
        <v>0</v>
      </c>
      <c r="CF12" s="190">
        <f t="shared" si="138"/>
        <v>0</v>
      </c>
      <c r="CG12" s="188">
        <f t="shared" si="79"/>
        <v>0</v>
      </c>
      <c r="CH12" s="188">
        <f t="shared" si="80"/>
        <v>0</v>
      </c>
      <c r="CI12" s="189">
        <f t="shared" si="139"/>
        <v>0</v>
      </c>
      <c r="CJ12" s="190">
        <f t="shared" si="140"/>
        <v>0</v>
      </c>
      <c r="CK12" s="188">
        <f t="shared" si="81"/>
        <v>0</v>
      </c>
      <c r="CL12" s="188">
        <f t="shared" si="82"/>
        <v>0</v>
      </c>
      <c r="CM12" s="189">
        <f t="shared" si="141"/>
        <v>0</v>
      </c>
      <c r="CN12" s="190">
        <f t="shared" si="142"/>
        <v>0</v>
      </c>
      <c r="CO12" s="188">
        <f t="shared" si="83"/>
        <v>0</v>
      </c>
      <c r="CP12" s="188">
        <f t="shared" si="84"/>
        <v>0</v>
      </c>
      <c r="CQ12" s="189">
        <f t="shared" si="143"/>
        <v>0</v>
      </c>
      <c r="CR12" s="190">
        <f t="shared" si="144"/>
        <v>0</v>
      </c>
      <c r="CS12" s="188">
        <v>0</v>
      </c>
      <c r="CT12" s="188">
        <v>0</v>
      </c>
      <c r="CU12" s="192">
        <v>0</v>
      </c>
      <c r="CV12" s="190">
        <v>0</v>
      </c>
      <c r="CW12" s="188">
        <v>0</v>
      </c>
      <c r="CX12" s="188">
        <v>0</v>
      </c>
      <c r="CY12" s="192">
        <v>0</v>
      </c>
      <c r="CZ12" s="190">
        <v>0</v>
      </c>
      <c r="DA12" s="188">
        <v>0</v>
      </c>
      <c r="DB12" s="188">
        <v>0</v>
      </c>
      <c r="DC12" s="192">
        <v>0</v>
      </c>
      <c r="DD12" s="895"/>
      <c r="DE12" s="190">
        <f t="shared" si="87"/>
        <v>0</v>
      </c>
      <c r="DF12" s="188">
        <f t="shared" si="88"/>
        <v>0</v>
      </c>
      <c r="DG12" s="188">
        <f t="shared" si="89"/>
        <v>0</v>
      </c>
      <c r="DH12" s="188">
        <f t="shared" si="90"/>
        <v>0</v>
      </c>
      <c r="DI12" s="188">
        <f t="shared" si="91"/>
        <v>0</v>
      </c>
      <c r="DJ12" s="188">
        <f t="shared" si="92"/>
        <v>0</v>
      </c>
      <c r="DK12" s="188">
        <f t="shared" si="93"/>
        <v>0</v>
      </c>
      <c r="DL12" s="188">
        <f t="shared" si="94"/>
        <v>0</v>
      </c>
      <c r="DM12" s="188">
        <f t="shared" si="95"/>
        <v>0</v>
      </c>
      <c r="DN12" s="188">
        <f t="shared" si="96"/>
        <v>0</v>
      </c>
      <c r="DO12" s="188">
        <f t="shared" si="97"/>
        <v>0</v>
      </c>
      <c r="DP12" s="188">
        <f t="shared" si="98"/>
        <v>0</v>
      </c>
      <c r="DQ12" s="188">
        <f t="shared" si="99"/>
        <v>0</v>
      </c>
      <c r="DR12" s="188">
        <f t="shared" si="100"/>
        <v>0</v>
      </c>
      <c r="DS12" s="188">
        <f t="shared" si="101"/>
        <v>0</v>
      </c>
      <c r="DT12" s="188">
        <f t="shared" si="102"/>
        <v>0</v>
      </c>
      <c r="DU12" s="188">
        <f t="shared" si="103"/>
        <v>0</v>
      </c>
      <c r="DV12" s="188">
        <f t="shared" si="104"/>
        <v>0</v>
      </c>
      <c r="DW12" s="188">
        <f t="shared" si="105"/>
        <v>0</v>
      </c>
      <c r="DX12" s="188">
        <f t="shared" si="106"/>
        <v>0</v>
      </c>
      <c r="DY12" s="188">
        <f t="shared" si="107"/>
        <v>0</v>
      </c>
      <c r="DZ12" s="188">
        <f t="shared" si="108"/>
        <v>0</v>
      </c>
      <c r="EA12" s="188">
        <f t="shared" si="109"/>
        <v>0</v>
      </c>
      <c r="EB12" s="188">
        <f t="shared" si="110"/>
        <v>0</v>
      </c>
      <c r="EC12" s="188">
        <f t="shared" si="111"/>
        <v>0</v>
      </c>
      <c r="ED12" s="188">
        <f t="shared" si="112"/>
        <v>0</v>
      </c>
      <c r="EE12" s="716"/>
      <c r="EF12" s="190"/>
      <c r="EG12" s="188"/>
      <c r="EH12" s="188">
        <f t="shared" si="113"/>
        <v>0</v>
      </c>
      <c r="EI12" s="188">
        <f t="shared" si="114"/>
        <v>0</v>
      </c>
      <c r="EJ12" s="188">
        <f t="shared" si="115"/>
        <v>0</v>
      </c>
      <c r="EK12" s="188">
        <f t="shared" si="116"/>
        <v>0</v>
      </c>
      <c r="EL12" s="188">
        <f t="shared" si="117"/>
        <v>0</v>
      </c>
      <c r="EM12" s="188">
        <f t="shared" si="118"/>
        <v>0</v>
      </c>
      <c r="EN12" s="188">
        <f t="shared" si="119"/>
        <v>0</v>
      </c>
      <c r="EO12" s="188">
        <f t="shared" si="120"/>
        <v>0</v>
      </c>
      <c r="EP12" s="338">
        <f t="shared" si="121"/>
        <v>0</v>
      </c>
      <c r="EQ12" s="338">
        <f t="shared" si="122"/>
        <v>0</v>
      </c>
      <c r="ER12" s="338">
        <f t="shared" si="123"/>
        <v>0</v>
      </c>
      <c r="ES12" s="338">
        <f t="shared" si="124"/>
        <v>0</v>
      </c>
      <c r="ET12" s="338">
        <f t="shared" si="125"/>
        <v>0</v>
      </c>
      <c r="EU12" s="338">
        <f t="shared" si="126"/>
        <v>0</v>
      </c>
      <c r="EV12" s="338">
        <f t="shared" si="127"/>
        <v>0</v>
      </c>
      <c r="EW12" s="338">
        <f t="shared" si="128"/>
        <v>0</v>
      </c>
      <c r="EX12" s="338">
        <f t="shared" si="129"/>
        <v>0</v>
      </c>
      <c r="EY12" s="338">
        <f t="shared" si="130"/>
        <v>0</v>
      </c>
      <c r="EZ12" s="338">
        <f t="shared" si="131"/>
        <v>0</v>
      </c>
      <c r="FA12" s="338">
        <f t="shared" si="132"/>
        <v>0</v>
      </c>
      <c r="FB12" s="338">
        <f t="shared" si="133"/>
        <v>0</v>
      </c>
      <c r="FC12" s="338">
        <f t="shared" si="134"/>
        <v>0</v>
      </c>
      <c r="FD12" s="339">
        <f t="shared" si="135"/>
        <v>0</v>
      </c>
      <c r="FO12" s="330"/>
      <c r="FP12" s="330"/>
    </row>
    <row r="13" spans="1:172" ht="14.25" customHeight="1">
      <c r="A13" s="7"/>
      <c r="B13" s="48" t="str">
        <f t="shared" si="0"/>
        <v>Loss (gain) on equity investments, net</v>
      </c>
      <c r="C13" s="49"/>
      <c r="D13" s="190">
        <f t="shared" si="1"/>
        <v>0</v>
      </c>
      <c r="E13" s="188">
        <f t="shared" si="2"/>
        <v>0</v>
      </c>
      <c r="F13" s="188">
        <f t="shared" si="3"/>
        <v>0</v>
      </c>
      <c r="G13" s="189">
        <f t="shared" si="4"/>
        <v>0</v>
      </c>
      <c r="H13" s="190">
        <f t="shared" si="5"/>
        <v>0</v>
      </c>
      <c r="I13" s="188">
        <f t="shared" si="6"/>
        <v>0</v>
      </c>
      <c r="J13" s="188">
        <f t="shared" si="7"/>
        <v>0</v>
      </c>
      <c r="K13" s="189">
        <f t="shared" si="8"/>
        <v>0</v>
      </c>
      <c r="L13" s="190">
        <f t="shared" si="9"/>
        <v>-10.1</v>
      </c>
      <c r="M13" s="188">
        <f t="shared" si="10"/>
        <v>-204.20000000000002</v>
      </c>
      <c r="N13" s="188">
        <f t="shared" si="11"/>
        <v>0.10000000000002807</v>
      </c>
      <c r="O13" s="189">
        <f t="shared" si="12"/>
        <v>-1.6000000000000174</v>
      </c>
      <c r="P13" s="190">
        <f t="shared" si="13"/>
        <v>0</v>
      </c>
      <c r="Q13" s="188">
        <f t="shared" si="14"/>
        <v>-157.69999999999999</v>
      </c>
      <c r="R13" s="188">
        <f t="shared" si="15"/>
        <v>-0.20000000000001705</v>
      </c>
      <c r="S13" s="189">
        <f t="shared" si="16"/>
        <v>0.90000000000000568</v>
      </c>
      <c r="T13" s="190">
        <f t="shared" si="17"/>
        <v>0</v>
      </c>
      <c r="U13" s="188">
        <f t="shared" si="18"/>
        <v>0</v>
      </c>
      <c r="V13" s="188">
        <f t="shared" si="19"/>
        <v>0</v>
      </c>
      <c r="W13" s="189">
        <f t="shared" si="20"/>
        <v>0</v>
      </c>
      <c r="X13" s="190">
        <f t="shared" si="21"/>
        <v>0</v>
      </c>
      <c r="Y13" s="188">
        <f t="shared" si="22"/>
        <v>0</v>
      </c>
      <c r="Z13" s="188">
        <f t="shared" si="23"/>
        <v>0</v>
      </c>
      <c r="AA13" s="189">
        <f t="shared" si="24"/>
        <v>10.7</v>
      </c>
      <c r="AB13" s="190">
        <f t="shared" si="25"/>
        <v>0.1</v>
      </c>
      <c r="AC13" s="188">
        <f t="shared" si="26"/>
        <v>-0.2</v>
      </c>
      <c r="AD13" s="188">
        <f t="shared" si="27"/>
        <v>-0.19999999999999998</v>
      </c>
      <c r="AE13" s="189">
        <f t="shared" si="28"/>
        <v>234.6</v>
      </c>
      <c r="AF13" s="190">
        <f t="shared" si="29"/>
        <v>7.4</v>
      </c>
      <c r="AG13" s="188">
        <f t="shared" si="30"/>
        <v>2.1999999999999993</v>
      </c>
      <c r="AH13" s="188">
        <f t="shared" si="31"/>
        <v>9.9999999999999645E-2</v>
      </c>
      <c r="AI13" s="189">
        <f t="shared" si="32"/>
        <v>1.8000000000000007</v>
      </c>
      <c r="AJ13" s="190">
        <f t="shared" si="33"/>
        <v>0.4</v>
      </c>
      <c r="AK13" s="188">
        <f t="shared" si="34"/>
        <v>-1.1000000000000001</v>
      </c>
      <c r="AL13" s="188">
        <f t="shared" si="35"/>
        <v>0.10000000000000009</v>
      </c>
      <c r="AM13" s="189">
        <f t="shared" si="36"/>
        <v>0</v>
      </c>
      <c r="AN13" s="190">
        <f t="shared" si="37"/>
        <v>0.4</v>
      </c>
      <c r="AO13" s="188">
        <f t="shared" si="38"/>
        <v>9.9999999999999978E-2</v>
      </c>
      <c r="AP13" s="188">
        <f t="shared" si="39"/>
        <v>9.9999999999999978E-2</v>
      </c>
      <c r="AQ13" s="189">
        <f t="shared" si="40"/>
        <v>0</v>
      </c>
      <c r="AR13" s="190">
        <f t="shared" si="41"/>
        <v>0.6</v>
      </c>
      <c r="AS13" s="188">
        <f t="shared" si="42"/>
        <v>9.9999999999999978E-2</v>
      </c>
      <c r="AT13" s="188">
        <f t="shared" si="43"/>
        <v>0.10000000000000009</v>
      </c>
      <c r="AU13" s="189">
        <f t="shared" si="44"/>
        <v>0</v>
      </c>
      <c r="AV13" s="190">
        <f t="shared" si="45"/>
        <v>0.2</v>
      </c>
      <c r="AW13" s="188">
        <f t="shared" si="46"/>
        <v>0</v>
      </c>
      <c r="AX13" s="188">
        <f t="shared" si="47"/>
        <v>-0.5</v>
      </c>
      <c r="AY13" s="189">
        <f t="shared" si="48"/>
        <v>0.3</v>
      </c>
      <c r="AZ13" s="190">
        <f t="shared" si="49"/>
        <v>-30</v>
      </c>
      <c r="BA13" s="188">
        <f t="shared" si="50"/>
        <v>0</v>
      </c>
      <c r="BB13" s="188">
        <f t="shared" si="51"/>
        <v>30</v>
      </c>
      <c r="BC13" s="189">
        <f t="shared" si="52"/>
        <v>-30</v>
      </c>
      <c r="BD13" s="190">
        <f t="shared" si="53"/>
        <v>0</v>
      </c>
      <c r="BE13" s="188">
        <f t="shared" si="54"/>
        <v>0</v>
      </c>
      <c r="BF13" s="188">
        <f t="shared" si="55"/>
        <v>0</v>
      </c>
      <c r="BG13" s="189">
        <f t="shared" si="56"/>
        <v>0</v>
      </c>
      <c r="BH13" s="190">
        <f t="shared" si="57"/>
        <v>0</v>
      </c>
      <c r="BI13" s="188">
        <f t="shared" si="58"/>
        <v>0</v>
      </c>
      <c r="BJ13" s="188">
        <f t="shared" si="59"/>
        <v>0</v>
      </c>
      <c r="BK13" s="189">
        <f t="shared" si="60"/>
        <v>0</v>
      </c>
      <c r="BL13" s="190">
        <f t="shared" si="61"/>
        <v>17</v>
      </c>
      <c r="BM13" s="188">
        <f t="shared" si="62"/>
        <v>-13</v>
      </c>
      <c r="BN13" s="188">
        <f t="shared" si="63"/>
        <v>19</v>
      </c>
      <c r="BO13" s="189">
        <f t="shared" si="64"/>
        <v>16</v>
      </c>
      <c r="BP13" s="190">
        <f t="shared" si="136"/>
        <v>26</v>
      </c>
      <c r="BQ13" s="188">
        <f t="shared" si="65"/>
        <v>48</v>
      </c>
      <c r="BR13" s="188">
        <f t="shared" si="66"/>
        <v>44</v>
      </c>
      <c r="BS13" s="189">
        <f t="shared" si="67"/>
        <v>40</v>
      </c>
      <c r="BT13" s="190">
        <f t="shared" si="68"/>
        <v>74</v>
      </c>
      <c r="BU13" s="188">
        <f t="shared" si="69"/>
        <v>73</v>
      </c>
      <c r="BV13" s="188">
        <f t="shared" si="70"/>
        <v>115</v>
      </c>
      <c r="BW13" s="189">
        <f t="shared" si="71"/>
        <v>32</v>
      </c>
      <c r="BX13" s="190">
        <f t="shared" si="72"/>
        <v>52</v>
      </c>
      <c r="BY13" s="188">
        <f t="shared" si="73"/>
        <v>58</v>
      </c>
      <c r="BZ13" s="188">
        <f t="shared" si="74"/>
        <v>10</v>
      </c>
      <c r="CA13" s="189">
        <f t="shared" si="75"/>
        <v>-37</v>
      </c>
      <c r="CB13" s="190">
        <f t="shared" si="137"/>
        <v>-86</v>
      </c>
      <c r="CC13" s="188">
        <f t="shared" si="76"/>
        <v>-134</v>
      </c>
      <c r="CD13" s="188">
        <f t="shared" si="77"/>
        <v>-135</v>
      </c>
      <c r="CE13" s="189">
        <f t="shared" si="78"/>
        <v>-119</v>
      </c>
      <c r="CF13" s="190">
        <f t="shared" si="138"/>
        <v>-124</v>
      </c>
      <c r="CG13" s="188">
        <f t="shared" si="79"/>
        <v>-208</v>
      </c>
      <c r="CH13" s="188">
        <f t="shared" si="80"/>
        <v>-68</v>
      </c>
      <c r="CI13" s="189">
        <f t="shared" si="139"/>
        <v>-47</v>
      </c>
      <c r="CJ13" s="190">
        <f>CJ117</f>
        <v>-59</v>
      </c>
      <c r="CK13" s="188">
        <f t="shared" si="81"/>
        <v>-5</v>
      </c>
      <c r="CL13" s="188">
        <f t="shared" si="82"/>
        <v>40</v>
      </c>
      <c r="CM13" s="189">
        <f t="shared" si="141"/>
        <v>-1</v>
      </c>
      <c r="CN13" s="190">
        <f>CN117</f>
        <v>2</v>
      </c>
      <c r="CO13" s="188">
        <f t="shared" si="83"/>
        <v>-7</v>
      </c>
      <c r="CP13" s="188">
        <f t="shared" si="84"/>
        <v>0</v>
      </c>
      <c r="CQ13" s="189">
        <f t="shared" si="143"/>
        <v>-3</v>
      </c>
      <c r="CR13" s="190">
        <f>CR117</f>
        <v>0</v>
      </c>
      <c r="CS13" s="188">
        <f>-IS!CS88</f>
        <v>-1</v>
      </c>
      <c r="CT13" s="188">
        <f>-IS!CT88</f>
        <v>0</v>
      </c>
      <c r="CU13" s="189">
        <f>-IS!CU88</f>
        <v>0</v>
      </c>
      <c r="CV13" s="190">
        <f>-IS!CV88</f>
        <v>0</v>
      </c>
      <c r="CW13" s="188">
        <f>-IS!CW88</f>
        <v>0</v>
      </c>
      <c r="CX13" s="188">
        <f>-IS!CX88</f>
        <v>0</v>
      </c>
      <c r="CY13" s="189">
        <f>-IS!CY88</f>
        <v>0</v>
      </c>
      <c r="CZ13" s="190">
        <f>-IS!CZ88</f>
        <v>0</v>
      </c>
      <c r="DA13" s="188">
        <f>-IS!DA88</f>
        <v>0</v>
      </c>
      <c r="DB13" s="188">
        <f>-IS!DB88</f>
        <v>0</v>
      </c>
      <c r="DC13" s="189">
        <f>-IS!DC88</f>
        <v>0</v>
      </c>
      <c r="DD13" s="895"/>
      <c r="DE13" s="190">
        <f t="shared" si="87"/>
        <v>0</v>
      </c>
      <c r="DF13" s="188">
        <f t="shared" si="88"/>
        <v>0</v>
      </c>
      <c r="DG13" s="188">
        <f t="shared" si="89"/>
        <v>-215.8</v>
      </c>
      <c r="DH13" s="188">
        <f t="shared" si="90"/>
        <v>-157</v>
      </c>
      <c r="DI13" s="188">
        <f t="shared" si="91"/>
        <v>0</v>
      </c>
      <c r="DJ13" s="188">
        <f t="shared" si="92"/>
        <v>10.7</v>
      </c>
      <c r="DK13" s="188">
        <f t="shared" si="93"/>
        <v>234.29999999999998</v>
      </c>
      <c r="DL13" s="188">
        <f t="shared" si="94"/>
        <v>11.5</v>
      </c>
      <c r="DM13" s="188">
        <f t="shared" si="95"/>
        <v>-0.6</v>
      </c>
      <c r="DN13" s="188">
        <f t="shared" si="96"/>
        <v>0.6</v>
      </c>
      <c r="DO13" s="188">
        <f t="shared" si="97"/>
        <v>0.8</v>
      </c>
      <c r="DP13" s="188">
        <f t="shared" si="98"/>
        <v>0</v>
      </c>
      <c r="DQ13" s="188">
        <f t="shared" si="99"/>
        <v>-30</v>
      </c>
      <c r="DR13" s="188">
        <f t="shared" si="100"/>
        <v>0</v>
      </c>
      <c r="DS13" s="188">
        <f t="shared" si="101"/>
        <v>0</v>
      </c>
      <c r="DT13" s="188">
        <f t="shared" si="102"/>
        <v>39</v>
      </c>
      <c r="DU13" s="188">
        <f t="shared" si="103"/>
        <v>158</v>
      </c>
      <c r="DV13" s="188">
        <f t="shared" si="104"/>
        <v>294</v>
      </c>
      <c r="DW13" s="188">
        <f t="shared" si="105"/>
        <v>83</v>
      </c>
      <c r="DX13" s="188">
        <f t="shared" si="106"/>
        <v>-474</v>
      </c>
      <c r="DY13" s="188">
        <f t="shared" si="107"/>
        <v>-447</v>
      </c>
      <c r="DZ13" s="188">
        <f t="shared" si="108"/>
        <v>-25</v>
      </c>
      <c r="EA13" s="188">
        <f t="shared" si="109"/>
        <v>-8</v>
      </c>
      <c r="EB13" s="188">
        <f t="shared" si="110"/>
        <v>-1</v>
      </c>
      <c r="EC13" s="188">
        <f t="shared" si="111"/>
        <v>0</v>
      </c>
      <c r="ED13" s="188">
        <f t="shared" si="112"/>
        <v>0</v>
      </c>
      <c r="EE13" s="716"/>
      <c r="EF13" s="190"/>
      <c r="EG13" s="188"/>
      <c r="EH13" s="188">
        <f t="shared" si="113"/>
        <v>-205.70000000000002</v>
      </c>
      <c r="EI13" s="188">
        <f t="shared" si="114"/>
        <v>-157</v>
      </c>
      <c r="EJ13" s="188">
        <f t="shared" si="115"/>
        <v>0</v>
      </c>
      <c r="EK13" s="188">
        <f t="shared" si="116"/>
        <v>10.799999999999999</v>
      </c>
      <c r="EL13" s="188">
        <f t="shared" si="117"/>
        <v>241.6</v>
      </c>
      <c r="EM13" s="188">
        <f t="shared" si="118"/>
        <v>4.5</v>
      </c>
      <c r="EN13" s="188">
        <f t="shared" si="119"/>
        <v>-0.6</v>
      </c>
      <c r="EO13" s="188">
        <f t="shared" si="120"/>
        <v>0.79999999999999993</v>
      </c>
      <c r="EP13" s="338">
        <f t="shared" si="121"/>
        <v>0.40000000000000008</v>
      </c>
      <c r="EQ13" s="338">
        <f t="shared" si="122"/>
        <v>-30.2</v>
      </c>
      <c r="ER13" s="338">
        <f t="shared" si="123"/>
        <v>0</v>
      </c>
      <c r="ES13" s="338">
        <f t="shared" si="124"/>
        <v>0</v>
      </c>
      <c r="ET13" s="338">
        <f t="shared" si="125"/>
        <v>17</v>
      </c>
      <c r="EU13" s="338">
        <f t="shared" si="126"/>
        <v>48</v>
      </c>
      <c r="EV13" s="338">
        <f t="shared" si="127"/>
        <v>206</v>
      </c>
      <c r="EW13" s="338">
        <f t="shared" si="128"/>
        <v>272</v>
      </c>
      <c r="EX13" s="338">
        <f t="shared" si="129"/>
        <v>-55</v>
      </c>
      <c r="EY13" s="338">
        <f t="shared" si="130"/>
        <v>-512</v>
      </c>
      <c r="EZ13" s="338">
        <f t="shared" si="131"/>
        <v>-382</v>
      </c>
      <c r="FA13" s="338">
        <f t="shared" si="132"/>
        <v>36</v>
      </c>
      <c r="FB13" s="338">
        <f t="shared" si="133"/>
        <v>-10</v>
      </c>
      <c r="FC13" s="338">
        <f t="shared" si="134"/>
        <v>-1</v>
      </c>
      <c r="FD13" s="339">
        <f t="shared" si="135"/>
        <v>0</v>
      </c>
      <c r="FO13" s="330"/>
      <c r="FP13" s="330"/>
    </row>
    <row r="14" spans="1:172" ht="14.25" customHeight="1">
      <c r="A14" s="7"/>
      <c r="B14" s="48" t="str">
        <f t="shared" si="0"/>
        <v>Write-down of inventories</v>
      </c>
      <c r="C14" s="49"/>
      <c r="D14" s="190">
        <f t="shared" si="1"/>
        <v>0</v>
      </c>
      <c r="E14" s="188">
        <f t="shared" si="2"/>
        <v>0</v>
      </c>
      <c r="F14" s="188">
        <f t="shared" si="3"/>
        <v>0</v>
      </c>
      <c r="G14" s="189">
        <f t="shared" si="4"/>
        <v>0</v>
      </c>
      <c r="H14" s="190">
        <f t="shared" si="5"/>
        <v>0</v>
      </c>
      <c r="I14" s="188">
        <f t="shared" si="6"/>
        <v>0</v>
      </c>
      <c r="J14" s="188">
        <f t="shared" si="7"/>
        <v>0</v>
      </c>
      <c r="K14" s="189">
        <f t="shared" si="8"/>
        <v>0</v>
      </c>
      <c r="L14" s="190">
        <f t="shared" si="9"/>
        <v>0</v>
      </c>
      <c r="M14" s="188">
        <f t="shared" si="10"/>
        <v>0</v>
      </c>
      <c r="N14" s="188">
        <f t="shared" si="11"/>
        <v>0</v>
      </c>
      <c r="O14" s="189">
        <f t="shared" si="12"/>
        <v>0</v>
      </c>
      <c r="P14" s="190">
        <f t="shared" si="13"/>
        <v>0</v>
      </c>
      <c r="Q14" s="188">
        <f t="shared" si="14"/>
        <v>0</v>
      </c>
      <c r="R14" s="188">
        <f t="shared" si="15"/>
        <v>0</v>
      </c>
      <c r="S14" s="189">
        <f t="shared" si="16"/>
        <v>0</v>
      </c>
      <c r="T14" s="190">
        <f t="shared" si="17"/>
        <v>0</v>
      </c>
      <c r="U14" s="188">
        <f t="shared" si="18"/>
        <v>0</v>
      </c>
      <c r="V14" s="188">
        <f t="shared" si="19"/>
        <v>0</v>
      </c>
      <c r="W14" s="189">
        <f t="shared" si="20"/>
        <v>0</v>
      </c>
      <c r="X14" s="190">
        <f t="shared" si="21"/>
        <v>0</v>
      </c>
      <c r="Y14" s="188">
        <f t="shared" si="22"/>
        <v>0</v>
      </c>
      <c r="Z14" s="188">
        <f t="shared" si="23"/>
        <v>0</v>
      </c>
      <c r="AA14" s="189">
        <f t="shared" si="24"/>
        <v>0</v>
      </c>
      <c r="AB14" s="190">
        <f t="shared" si="25"/>
        <v>0</v>
      </c>
      <c r="AC14" s="188">
        <f t="shared" si="26"/>
        <v>0</v>
      </c>
      <c r="AD14" s="188">
        <f t="shared" si="27"/>
        <v>0</v>
      </c>
      <c r="AE14" s="189">
        <f t="shared" si="28"/>
        <v>0</v>
      </c>
      <c r="AF14" s="190">
        <f t="shared" si="29"/>
        <v>0</v>
      </c>
      <c r="AG14" s="188">
        <f t="shared" si="30"/>
        <v>0</v>
      </c>
      <c r="AH14" s="188">
        <f t="shared" si="31"/>
        <v>0</v>
      </c>
      <c r="AI14" s="189">
        <f t="shared" si="32"/>
        <v>0</v>
      </c>
      <c r="AJ14" s="190">
        <f t="shared" si="33"/>
        <v>90.8</v>
      </c>
      <c r="AK14" s="188">
        <f t="shared" si="34"/>
        <v>197.39999999999998</v>
      </c>
      <c r="AL14" s="188">
        <f t="shared" si="35"/>
        <v>14.600000000000037</v>
      </c>
      <c r="AM14" s="189">
        <f t="shared" si="36"/>
        <v>4.2000000000000028</v>
      </c>
      <c r="AN14" s="190">
        <f t="shared" si="37"/>
        <v>0</v>
      </c>
      <c r="AO14" s="188">
        <f t="shared" si="38"/>
        <v>0</v>
      </c>
      <c r="AP14" s="188">
        <f t="shared" si="39"/>
        <v>0</v>
      </c>
      <c r="AQ14" s="189">
        <f t="shared" si="40"/>
        <v>0</v>
      </c>
      <c r="AR14" s="190">
        <f t="shared" si="41"/>
        <v>0</v>
      </c>
      <c r="AS14" s="188">
        <f t="shared" si="42"/>
        <v>0</v>
      </c>
      <c r="AT14" s="188">
        <f t="shared" si="43"/>
        <v>0</v>
      </c>
      <c r="AU14" s="189">
        <f t="shared" si="44"/>
        <v>0</v>
      </c>
      <c r="AV14" s="190">
        <f t="shared" si="45"/>
        <v>0</v>
      </c>
      <c r="AW14" s="188">
        <f t="shared" si="46"/>
        <v>0</v>
      </c>
      <c r="AX14" s="188">
        <f t="shared" si="47"/>
        <v>0</v>
      </c>
      <c r="AY14" s="189">
        <f t="shared" si="48"/>
        <v>0</v>
      </c>
      <c r="AZ14" s="190">
        <f t="shared" si="49"/>
        <v>0</v>
      </c>
      <c r="BA14" s="188">
        <f t="shared" si="50"/>
        <v>0</v>
      </c>
      <c r="BB14" s="188">
        <f t="shared" si="51"/>
        <v>0</v>
      </c>
      <c r="BC14" s="189">
        <f t="shared" si="52"/>
        <v>0</v>
      </c>
      <c r="BD14" s="190">
        <f t="shared" si="53"/>
        <v>62</v>
      </c>
      <c r="BE14" s="188">
        <f t="shared" si="54"/>
        <v>15</v>
      </c>
      <c r="BF14" s="188">
        <f t="shared" si="55"/>
        <v>0</v>
      </c>
      <c r="BG14" s="189">
        <f t="shared" si="56"/>
        <v>205</v>
      </c>
      <c r="BH14" s="190">
        <f t="shared" si="57"/>
        <v>369</v>
      </c>
      <c r="BI14" s="188">
        <f t="shared" si="58"/>
        <v>234</v>
      </c>
      <c r="BJ14" s="188">
        <f t="shared" si="59"/>
        <v>0</v>
      </c>
      <c r="BK14" s="189">
        <f t="shared" si="60"/>
        <v>0</v>
      </c>
      <c r="BL14" s="190">
        <f t="shared" si="61"/>
        <v>0</v>
      </c>
      <c r="BM14" s="188">
        <f t="shared" si="62"/>
        <v>0</v>
      </c>
      <c r="BN14" s="188">
        <f t="shared" si="63"/>
        <v>0</v>
      </c>
      <c r="BO14" s="189">
        <f t="shared" si="64"/>
        <v>0</v>
      </c>
      <c r="BP14" s="190">
        <f t="shared" si="136"/>
        <v>0</v>
      </c>
      <c r="BQ14" s="188">
        <f t="shared" si="65"/>
        <v>0</v>
      </c>
      <c r="BR14" s="188">
        <f t="shared" si="66"/>
        <v>0</v>
      </c>
      <c r="BS14" s="189">
        <f t="shared" si="67"/>
        <v>0</v>
      </c>
      <c r="BT14" s="190">
        <f t="shared" si="68"/>
        <v>0</v>
      </c>
      <c r="BU14" s="188">
        <f t="shared" si="69"/>
        <v>0</v>
      </c>
      <c r="BV14" s="188">
        <f t="shared" si="70"/>
        <v>0</v>
      </c>
      <c r="BW14" s="189">
        <f t="shared" si="71"/>
        <v>0</v>
      </c>
      <c r="BX14" s="190">
        <f t="shared" si="72"/>
        <v>0</v>
      </c>
      <c r="BY14" s="188">
        <f t="shared" si="73"/>
        <v>0</v>
      </c>
      <c r="BZ14" s="188">
        <f t="shared" si="74"/>
        <v>0</v>
      </c>
      <c r="CA14" s="189">
        <f t="shared" si="75"/>
        <v>0</v>
      </c>
      <c r="CB14" s="190">
        <f t="shared" si="137"/>
        <v>0</v>
      </c>
      <c r="CC14" s="188">
        <f t="shared" si="76"/>
        <v>0</v>
      </c>
      <c r="CD14" s="188">
        <f t="shared" si="77"/>
        <v>0</v>
      </c>
      <c r="CE14" s="189">
        <f t="shared" si="78"/>
        <v>0</v>
      </c>
      <c r="CF14" s="190">
        <f t="shared" si="138"/>
        <v>0</v>
      </c>
      <c r="CG14" s="188">
        <f t="shared" si="79"/>
        <v>0</v>
      </c>
      <c r="CH14" s="188">
        <f t="shared" si="80"/>
        <v>0</v>
      </c>
      <c r="CI14" s="189">
        <f t="shared" si="139"/>
        <v>0</v>
      </c>
      <c r="CJ14" s="190">
        <f t="shared" si="140"/>
        <v>0</v>
      </c>
      <c r="CK14" s="188">
        <f t="shared" si="81"/>
        <v>0</v>
      </c>
      <c r="CL14" s="188">
        <f t="shared" si="82"/>
        <v>0</v>
      </c>
      <c r="CM14" s="189">
        <f t="shared" si="141"/>
        <v>0</v>
      </c>
      <c r="CN14" s="190">
        <f t="shared" si="142"/>
        <v>0</v>
      </c>
      <c r="CO14" s="188">
        <f t="shared" si="83"/>
        <v>0</v>
      </c>
      <c r="CP14" s="188">
        <f t="shared" si="84"/>
        <v>0</v>
      </c>
      <c r="CQ14" s="189">
        <f t="shared" si="143"/>
        <v>0</v>
      </c>
      <c r="CR14" s="190">
        <f t="shared" si="144"/>
        <v>0</v>
      </c>
      <c r="CS14" s="188">
        <v>0</v>
      </c>
      <c r="CT14" s="188">
        <v>0</v>
      </c>
      <c r="CU14" s="192">
        <v>0</v>
      </c>
      <c r="CV14" s="190">
        <v>0</v>
      </c>
      <c r="CW14" s="188">
        <v>0</v>
      </c>
      <c r="CX14" s="188">
        <v>0</v>
      </c>
      <c r="CY14" s="192">
        <v>0</v>
      </c>
      <c r="CZ14" s="190">
        <v>0</v>
      </c>
      <c r="DA14" s="188">
        <v>0</v>
      </c>
      <c r="DB14" s="188">
        <v>0</v>
      </c>
      <c r="DC14" s="192">
        <v>0</v>
      </c>
      <c r="DD14" s="895"/>
      <c r="DE14" s="190">
        <f t="shared" si="87"/>
        <v>0</v>
      </c>
      <c r="DF14" s="188">
        <f t="shared" si="88"/>
        <v>0</v>
      </c>
      <c r="DG14" s="188">
        <f t="shared" si="89"/>
        <v>0</v>
      </c>
      <c r="DH14" s="188">
        <f t="shared" si="90"/>
        <v>0</v>
      </c>
      <c r="DI14" s="188">
        <f t="shared" si="91"/>
        <v>0</v>
      </c>
      <c r="DJ14" s="188">
        <f t="shared" si="92"/>
        <v>0</v>
      </c>
      <c r="DK14" s="188">
        <f t="shared" si="93"/>
        <v>0</v>
      </c>
      <c r="DL14" s="188">
        <f t="shared" si="94"/>
        <v>0</v>
      </c>
      <c r="DM14" s="188">
        <f t="shared" si="95"/>
        <v>307</v>
      </c>
      <c r="DN14" s="188">
        <f t="shared" si="96"/>
        <v>0</v>
      </c>
      <c r="DO14" s="188">
        <f t="shared" si="97"/>
        <v>0</v>
      </c>
      <c r="DP14" s="188">
        <f t="shared" si="98"/>
        <v>0</v>
      </c>
      <c r="DQ14" s="188">
        <f t="shared" si="99"/>
        <v>0</v>
      </c>
      <c r="DR14" s="188">
        <f t="shared" si="100"/>
        <v>282</v>
      </c>
      <c r="DS14" s="188">
        <f t="shared" si="101"/>
        <v>603</v>
      </c>
      <c r="DT14" s="188">
        <f t="shared" si="102"/>
        <v>0</v>
      </c>
      <c r="DU14" s="188">
        <f t="shared" si="103"/>
        <v>0</v>
      </c>
      <c r="DV14" s="188">
        <f t="shared" si="104"/>
        <v>0</v>
      </c>
      <c r="DW14" s="188">
        <f t="shared" si="105"/>
        <v>0</v>
      </c>
      <c r="DX14" s="188">
        <f t="shared" si="106"/>
        <v>0</v>
      </c>
      <c r="DY14" s="188">
        <f t="shared" si="107"/>
        <v>0</v>
      </c>
      <c r="DZ14" s="188">
        <f t="shared" si="108"/>
        <v>0</v>
      </c>
      <c r="EA14" s="188">
        <f t="shared" si="109"/>
        <v>0</v>
      </c>
      <c r="EB14" s="188">
        <f t="shared" si="110"/>
        <v>0</v>
      </c>
      <c r="EC14" s="188">
        <f t="shared" si="111"/>
        <v>0</v>
      </c>
      <c r="ED14" s="188">
        <f t="shared" si="112"/>
        <v>0</v>
      </c>
      <c r="EE14" s="716"/>
      <c r="EF14" s="190"/>
      <c r="EG14" s="188"/>
      <c r="EH14" s="188">
        <f t="shared" si="113"/>
        <v>0</v>
      </c>
      <c r="EI14" s="188">
        <f t="shared" si="114"/>
        <v>0</v>
      </c>
      <c r="EJ14" s="188">
        <f t="shared" si="115"/>
        <v>0</v>
      </c>
      <c r="EK14" s="188">
        <f t="shared" si="116"/>
        <v>0</v>
      </c>
      <c r="EL14" s="188">
        <f t="shared" si="117"/>
        <v>0</v>
      </c>
      <c r="EM14" s="188">
        <f t="shared" si="118"/>
        <v>90.8</v>
      </c>
      <c r="EN14" s="188">
        <f t="shared" si="119"/>
        <v>216.2</v>
      </c>
      <c r="EO14" s="188">
        <f t="shared" si="120"/>
        <v>0</v>
      </c>
      <c r="EP14" s="338">
        <f t="shared" si="121"/>
        <v>0</v>
      </c>
      <c r="EQ14" s="338">
        <f t="shared" si="122"/>
        <v>0</v>
      </c>
      <c r="ER14" s="338">
        <f t="shared" si="123"/>
        <v>62</v>
      </c>
      <c r="ES14" s="338">
        <f t="shared" si="124"/>
        <v>589</v>
      </c>
      <c r="ET14" s="338">
        <f t="shared" si="125"/>
        <v>234</v>
      </c>
      <c r="EU14" s="338">
        <f t="shared" si="126"/>
        <v>0</v>
      </c>
      <c r="EV14" s="338">
        <f t="shared" si="127"/>
        <v>0</v>
      </c>
      <c r="EW14" s="338">
        <f t="shared" si="128"/>
        <v>0</v>
      </c>
      <c r="EX14" s="338">
        <f t="shared" si="129"/>
        <v>0</v>
      </c>
      <c r="EY14" s="338">
        <f t="shared" si="130"/>
        <v>0</v>
      </c>
      <c r="EZ14" s="338">
        <f t="shared" si="131"/>
        <v>0</v>
      </c>
      <c r="FA14" s="338">
        <f t="shared" si="132"/>
        <v>0</v>
      </c>
      <c r="FB14" s="338">
        <f t="shared" si="133"/>
        <v>0</v>
      </c>
      <c r="FC14" s="338">
        <f t="shared" si="134"/>
        <v>0</v>
      </c>
      <c r="FD14" s="339">
        <f t="shared" si="135"/>
        <v>0</v>
      </c>
      <c r="FO14" s="330"/>
      <c r="FP14" s="330"/>
    </row>
    <row r="15" spans="1:172" ht="14.25" customHeight="1">
      <c r="A15" s="7"/>
      <c r="B15" s="48" t="str">
        <f t="shared" si="0"/>
        <v>Gain/Loss on disposal of property, plant and equipment</v>
      </c>
      <c r="C15" s="49"/>
      <c r="D15" s="190">
        <f t="shared" si="1"/>
        <v>0</v>
      </c>
      <c r="E15" s="188">
        <f t="shared" si="2"/>
        <v>0</v>
      </c>
      <c r="F15" s="188">
        <f t="shared" si="3"/>
        <v>0</v>
      </c>
      <c r="G15" s="189">
        <f t="shared" si="4"/>
        <v>0</v>
      </c>
      <c r="H15" s="190">
        <f t="shared" si="5"/>
        <v>0</v>
      </c>
      <c r="I15" s="188">
        <f t="shared" si="6"/>
        <v>0</v>
      </c>
      <c r="J15" s="188">
        <f t="shared" si="7"/>
        <v>0</v>
      </c>
      <c r="K15" s="189">
        <f t="shared" si="8"/>
        <v>0</v>
      </c>
      <c r="L15" s="190">
        <f t="shared" si="9"/>
        <v>0</v>
      </c>
      <c r="M15" s="188">
        <f t="shared" si="10"/>
        <v>0</v>
      </c>
      <c r="N15" s="188">
        <f t="shared" si="11"/>
        <v>0</v>
      </c>
      <c r="O15" s="189">
        <f t="shared" si="12"/>
        <v>0</v>
      </c>
      <c r="P15" s="190">
        <f t="shared" si="13"/>
        <v>0</v>
      </c>
      <c r="Q15" s="188">
        <f t="shared" si="14"/>
        <v>0</v>
      </c>
      <c r="R15" s="188">
        <f t="shared" si="15"/>
        <v>0</v>
      </c>
      <c r="S15" s="189">
        <f t="shared" si="16"/>
        <v>0</v>
      </c>
      <c r="T15" s="190">
        <f t="shared" si="17"/>
        <v>0</v>
      </c>
      <c r="U15" s="188">
        <f t="shared" si="18"/>
        <v>0</v>
      </c>
      <c r="V15" s="188">
        <f t="shared" si="19"/>
        <v>0</v>
      </c>
      <c r="W15" s="189">
        <f t="shared" si="20"/>
        <v>0</v>
      </c>
      <c r="X15" s="190">
        <f t="shared" si="21"/>
        <v>0</v>
      </c>
      <c r="Y15" s="188">
        <f t="shared" si="22"/>
        <v>0</v>
      </c>
      <c r="Z15" s="188">
        <f t="shared" si="23"/>
        <v>0</v>
      </c>
      <c r="AA15" s="189">
        <f t="shared" si="24"/>
        <v>0</v>
      </c>
      <c r="AB15" s="190">
        <f t="shared" si="25"/>
        <v>-6</v>
      </c>
      <c r="AC15" s="188">
        <f t="shared" si="26"/>
        <v>-6.9</v>
      </c>
      <c r="AD15" s="188">
        <f t="shared" si="27"/>
        <v>22.700000000000003</v>
      </c>
      <c r="AE15" s="189">
        <f t="shared" si="28"/>
        <v>13.599999999999996</v>
      </c>
      <c r="AF15" s="190">
        <f t="shared" si="29"/>
        <v>10.7</v>
      </c>
      <c r="AG15" s="188">
        <f t="shared" si="30"/>
        <v>6.4000000000000021</v>
      </c>
      <c r="AH15" s="188">
        <f t="shared" si="31"/>
        <v>-6.6000000000000014</v>
      </c>
      <c r="AI15" s="189">
        <f t="shared" si="32"/>
        <v>17.899999999999999</v>
      </c>
      <c r="AJ15" s="190">
        <f t="shared" si="33"/>
        <v>6.7</v>
      </c>
      <c r="AK15" s="188">
        <f t="shared" si="34"/>
        <v>4.8999999999999995</v>
      </c>
      <c r="AL15" s="188">
        <f t="shared" si="35"/>
        <v>10.8</v>
      </c>
      <c r="AM15" s="189">
        <f t="shared" si="36"/>
        <v>25.999999999999996</v>
      </c>
      <c r="AN15" s="190">
        <f t="shared" si="37"/>
        <v>-3.1</v>
      </c>
      <c r="AO15" s="188">
        <f t="shared" si="38"/>
        <v>-4.9000000000000004</v>
      </c>
      <c r="AP15" s="188">
        <f t="shared" si="39"/>
        <v>4.4000000000000004</v>
      </c>
      <c r="AQ15" s="189">
        <f t="shared" si="40"/>
        <v>-0.30000000000000027</v>
      </c>
      <c r="AR15" s="190">
        <f t="shared" si="41"/>
        <v>5.2</v>
      </c>
      <c r="AS15" s="188">
        <f t="shared" si="42"/>
        <v>-3.8000000000000003</v>
      </c>
      <c r="AT15" s="188">
        <f t="shared" si="43"/>
        <v>-14.5</v>
      </c>
      <c r="AU15" s="189">
        <f t="shared" si="44"/>
        <v>0.40000000000000124</v>
      </c>
      <c r="AV15" s="190">
        <f t="shared" si="45"/>
        <v>-0.2</v>
      </c>
      <c r="AW15" s="188">
        <f t="shared" si="46"/>
        <v>9.1999999999999993</v>
      </c>
      <c r="AX15" s="188">
        <f t="shared" si="47"/>
        <v>-4.2999999999999989</v>
      </c>
      <c r="AY15" s="189">
        <f t="shared" si="48"/>
        <v>-4.7</v>
      </c>
      <c r="AZ15" s="190">
        <f t="shared" si="49"/>
        <v>-5</v>
      </c>
      <c r="BA15" s="188">
        <f t="shared" si="50"/>
        <v>-5</v>
      </c>
      <c r="BB15" s="188">
        <f t="shared" si="51"/>
        <v>-15</v>
      </c>
      <c r="BC15" s="189">
        <f t="shared" si="52"/>
        <v>-18</v>
      </c>
      <c r="BD15" s="190">
        <f t="shared" si="53"/>
        <v>-10</v>
      </c>
      <c r="BE15" s="188">
        <f t="shared" si="54"/>
        <v>-47</v>
      </c>
      <c r="BF15" s="188">
        <f t="shared" si="55"/>
        <v>-13</v>
      </c>
      <c r="BG15" s="189">
        <f t="shared" si="56"/>
        <v>4</v>
      </c>
      <c r="BH15" s="190">
        <f t="shared" si="57"/>
        <v>14</v>
      </c>
      <c r="BI15" s="188">
        <f t="shared" si="58"/>
        <v>29</v>
      </c>
      <c r="BJ15" s="188">
        <f t="shared" si="59"/>
        <v>12</v>
      </c>
      <c r="BK15" s="189">
        <f t="shared" si="60"/>
        <v>-1</v>
      </c>
      <c r="BL15" s="190">
        <f t="shared" si="61"/>
        <v>0</v>
      </c>
      <c r="BM15" s="188">
        <f t="shared" si="62"/>
        <v>0</v>
      </c>
      <c r="BN15" s="188">
        <f t="shared" si="63"/>
        <v>0</v>
      </c>
      <c r="BO15" s="189">
        <f t="shared" si="64"/>
        <v>0</v>
      </c>
      <c r="BP15" s="190">
        <f t="shared" si="136"/>
        <v>0</v>
      </c>
      <c r="BQ15" s="188">
        <f t="shared" si="65"/>
        <v>0</v>
      </c>
      <c r="BR15" s="188">
        <f t="shared" si="66"/>
        <v>0</v>
      </c>
      <c r="BS15" s="189">
        <f t="shared" si="67"/>
        <v>0</v>
      </c>
      <c r="BT15" s="190">
        <f t="shared" si="68"/>
        <v>0</v>
      </c>
      <c r="BU15" s="188">
        <f t="shared" si="69"/>
        <v>0</v>
      </c>
      <c r="BV15" s="188">
        <f t="shared" si="70"/>
        <v>0</v>
      </c>
      <c r="BW15" s="189">
        <f t="shared" si="71"/>
        <v>0</v>
      </c>
      <c r="BX15" s="190">
        <f t="shared" si="72"/>
        <v>0</v>
      </c>
      <c r="BY15" s="188">
        <f t="shared" si="73"/>
        <v>0</v>
      </c>
      <c r="BZ15" s="188">
        <f t="shared" si="74"/>
        <v>0</v>
      </c>
      <c r="CA15" s="189">
        <f t="shared" si="75"/>
        <v>0</v>
      </c>
      <c r="CB15" s="190">
        <f t="shared" si="137"/>
        <v>0</v>
      </c>
      <c r="CC15" s="188">
        <f t="shared" si="76"/>
        <v>0</v>
      </c>
      <c r="CD15" s="188">
        <f t="shared" si="77"/>
        <v>33</v>
      </c>
      <c r="CE15" s="189">
        <f t="shared" si="78"/>
        <v>0</v>
      </c>
      <c r="CF15" s="190">
        <f t="shared" si="138"/>
        <v>0</v>
      </c>
      <c r="CG15" s="188">
        <f t="shared" si="79"/>
        <v>0</v>
      </c>
      <c r="CH15" s="188">
        <f t="shared" si="80"/>
        <v>0</v>
      </c>
      <c r="CI15" s="189">
        <f t="shared" si="139"/>
        <v>0</v>
      </c>
      <c r="CJ15" s="190">
        <f t="shared" si="140"/>
        <v>0</v>
      </c>
      <c r="CK15" s="188">
        <f t="shared" si="81"/>
        <v>0</v>
      </c>
      <c r="CL15" s="188">
        <f t="shared" si="82"/>
        <v>0</v>
      </c>
      <c r="CM15" s="189">
        <f t="shared" si="141"/>
        <v>0</v>
      </c>
      <c r="CN15" s="190">
        <f t="shared" si="142"/>
        <v>0</v>
      </c>
      <c r="CO15" s="188">
        <f t="shared" si="83"/>
        <v>0</v>
      </c>
      <c r="CP15" s="188">
        <f t="shared" si="84"/>
        <v>0</v>
      </c>
      <c r="CQ15" s="189">
        <f t="shared" si="143"/>
        <v>0</v>
      </c>
      <c r="CR15" s="190">
        <f t="shared" si="144"/>
        <v>0</v>
      </c>
      <c r="CS15" s="188">
        <v>0</v>
      </c>
      <c r="CT15" s="188">
        <v>0</v>
      </c>
      <c r="CU15" s="192">
        <v>0</v>
      </c>
      <c r="CV15" s="190">
        <v>0</v>
      </c>
      <c r="CW15" s="188">
        <v>0</v>
      </c>
      <c r="CX15" s="188">
        <v>0</v>
      </c>
      <c r="CY15" s="192">
        <v>0</v>
      </c>
      <c r="CZ15" s="190">
        <v>0</v>
      </c>
      <c r="DA15" s="188">
        <v>0</v>
      </c>
      <c r="DB15" s="188">
        <v>0</v>
      </c>
      <c r="DC15" s="192">
        <v>0</v>
      </c>
      <c r="DD15" s="895"/>
      <c r="DE15" s="190">
        <f t="shared" si="87"/>
        <v>0</v>
      </c>
      <c r="DF15" s="188">
        <f t="shared" si="88"/>
        <v>0</v>
      </c>
      <c r="DG15" s="188">
        <f t="shared" si="89"/>
        <v>0</v>
      </c>
      <c r="DH15" s="188">
        <f t="shared" si="90"/>
        <v>0</v>
      </c>
      <c r="DI15" s="188">
        <f t="shared" si="91"/>
        <v>0</v>
      </c>
      <c r="DJ15" s="188">
        <f t="shared" si="92"/>
        <v>0</v>
      </c>
      <c r="DK15" s="188">
        <f t="shared" si="93"/>
        <v>23.4</v>
      </c>
      <c r="DL15" s="188">
        <f t="shared" si="94"/>
        <v>28.4</v>
      </c>
      <c r="DM15" s="188">
        <f t="shared" si="95"/>
        <v>48.399999999999991</v>
      </c>
      <c r="DN15" s="188">
        <f t="shared" si="96"/>
        <v>-3.9</v>
      </c>
      <c r="DO15" s="188">
        <f t="shared" si="97"/>
        <v>-12.7</v>
      </c>
      <c r="DP15" s="188">
        <f t="shared" si="98"/>
        <v>0</v>
      </c>
      <c r="DQ15" s="188">
        <f t="shared" si="99"/>
        <v>-43</v>
      </c>
      <c r="DR15" s="188">
        <f t="shared" si="100"/>
        <v>-66</v>
      </c>
      <c r="DS15" s="188">
        <f t="shared" si="101"/>
        <v>54</v>
      </c>
      <c r="DT15" s="188">
        <f t="shared" si="102"/>
        <v>0</v>
      </c>
      <c r="DU15" s="188">
        <f t="shared" si="103"/>
        <v>0</v>
      </c>
      <c r="DV15" s="188">
        <f t="shared" si="104"/>
        <v>0</v>
      </c>
      <c r="DW15" s="188">
        <f t="shared" si="105"/>
        <v>0</v>
      </c>
      <c r="DX15" s="188">
        <f t="shared" si="106"/>
        <v>33</v>
      </c>
      <c r="DY15" s="188">
        <f t="shared" si="107"/>
        <v>0</v>
      </c>
      <c r="DZ15" s="188">
        <f t="shared" si="108"/>
        <v>0</v>
      </c>
      <c r="EA15" s="188">
        <f t="shared" si="109"/>
        <v>0</v>
      </c>
      <c r="EB15" s="188">
        <f t="shared" si="110"/>
        <v>0</v>
      </c>
      <c r="EC15" s="188">
        <f t="shared" si="111"/>
        <v>0</v>
      </c>
      <c r="ED15" s="188">
        <f t="shared" si="112"/>
        <v>0</v>
      </c>
      <c r="EE15" s="716"/>
      <c r="EF15" s="190"/>
      <c r="EG15" s="188"/>
      <c r="EH15" s="188">
        <f t="shared" si="113"/>
        <v>0</v>
      </c>
      <c r="EI15" s="188">
        <f t="shared" si="114"/>
        <v>0</v>
      </c>
      <c r="EJ15" s="188">
        <f t="shared" si="115"/>
        <v>0</v>
      </c>
      <c r="EK15" s="188">
        <f t="shared" si="116"/>
        <v>-6</v>
      </c>
      <c r="EL15" s="188">
        <f t="shared" si="117"/>
        <v>40.099999999999994</v>
      </c>
      <c r="EM15" s="188">
        <f t="shared" si="118"/>
        <v>24.4</v>
      </c>
      <c r="EN15" s="188">
        <f t="shared" si="119"/>
        <v>38.599999999999994</v>
      </c>
      <c r="EO15" s="188">
        <f t="shared" si="120"/>
        <v>4.4000000000000004</v>
      </c>
      <c r="EP15" s="338">
        <f t="shared" si="121"/>
        <v>-18.099999999999998</v>
      </c>
      <c r="EQ15" s="338">
        <f t="shared" si="122"/>
        <v>-4.8</v>
      </c>
      <c r="ER15" s="338">
        <f t="shared" si="123"/>
        <v>-48</v>
      </c>
      <c r="ES15" s="338">
        <f t="shared" si="124"/>
        <v>-42</v>
      </c>
      <c r="ET15" s="338">
        <f t="shared" si="125"/>
        <v>40</v>
      </c>
      <c r="EU15" s="338">
        <f t="shared" si="126"/>
        <v>0</v>
      </c>
      <c r="EV15" s="338">
        <f t="shared" si="127"/>
        <v>0</v>
      </c>
      <c r="EW15" s="338">
        <f t="shared" si="128"/>
        <v>0</v>
      </c>
      <c r="EX15" s="338">
        <f t="shared" si="129"/>
        <v>0</v>
      </c>
      <c r="EY15" s="338">
        <f t="shared" si="130"/>
        <v>33</v>
      </c>
      <c r="EZ15" s="338">
        <f t="shared" si="131"/>
        <v>0</v>
      </c>
      <c r="FA15" s="338">
        <f t="shared" si="132"/>
        <v>0</v>
      </c>
      <c r="FB15" s="338">
        <f t="shared" si="133"/>
        <v>0</v>
      </c>
      <c r="FC15" s="338">
        <f t="shared" si="134"/>
        <v>0</v>
      </c>
      <c r="FD15" s="339">
        <f t="shared" si="135"/>
        <v>0</v>
      </c>
      <c r="FO15" s="330"/>
      <c r="FP15" s="330"/>
    </row>
    <row r="16" spans="1:172" ht="14.25" customHeight="1">
      <c r="A16" s="7"/>
      <c r="B16" s="48" t="str">
        <f t="shared" si="0"/>
        <v>Deferred income taxes</v>
      </c>
      <c r="C16" s="49"/>
      <c r="D16" s="190">
        <f t="shared" si="1"/>
        <v>0</v>
      </c>
      <c r="E16" s="188">
        <f t="shared" si="2"/>
        <v>0</v>
      </c>
      <c r="F16" s="188">
        <f t="shared" si="3"/>
        <v>0</v>
      </c>
      <c r="G16" s="189">
        <f t="shared" si="4"/>
        <v>0</v>
      </c>
      <c r="H16" s="190">
        <f t="shared" si="5"/>
        <v>0</v>
      </c>
      <c r="I16" s="188">
        <f t="shared" si="6"/>
        <v>0</v>
      </c>
      <c r="J16" s="188">
        <f t="shared" si="7"/>
        <v>0</v>
      </c>
      <c r="K16" s="189">
        <f t="shared" si="8"/>
        <v>0</v>
      </c>
      <c r="L16" s="190">
        <f t="shared" si="9"/>
        <v>0</v>
      </c>
      <c r="M16" s="188">
        <f t="shared" si="10"/>
        <v>0</v>
      </c>
      <c r="N16" s="188">
        <f t="shared" si="11"/>
        <v>0</v>
      </c>
      <c r="O16" s="189">
        <f t="shared" si="12"/>
        <v>0</v>
      </c>
      <c r="P16" s="190">
        <f t="shared" si="13"/>
        <v>0</v>
      </c>
      <c r="Q16" s="188">
        <f t="shared" si="14"/>
        <v>0</v>
      </c>
      <c r="R16" s="188">
        <f t="shared" si="15"/>
        <v>0</v>
      </c>
      <c r="S16" s="189">
        <f t="shared" si="16"/>
        <v>0</v>
      </c>
      <c r="T16" s="190">
        <f t="shared" si="17"/>
        <v>0</v>
      </c>
      <c r="U16" s="188">
        <f t="shared" si="18"/>
        <v>0</v>
      </c>
      <c r="V16" s="188">
        <f t="shared" si="19"/>
        <v>0</v>
      </c>
      <c r="W16" s="189">
        <f t="shared" si="20"/>
        <v>0</v>
      </c>
      <c r="X16" s="190">
        <f t="shared" si="21"/>
        <v>0</v>
      </c>
      <c r="Y16" s="188">
        <f t="shared" si="22"/>
        <v>0</v>
      </c>
      <c r="Z16" s="188">
        <f t="shared" si="23"/>
        <v>0</v>
      </c>
      <c r="AA16" s="189">
        <f t="shared" si="24"/>
        <v>0</v>
      </c>
      <c r="AB16" s="190">
        <f t="shared" si="25"/>
        <v>0</v>
      </c>
      <c r="AC16" s="188">
        <f t="shared" si="26"/>
        <v>0</v>
      </c>
      <c r="AD16" s="188">
        <f t="shared" si="27"/>
        <v>0</v>
      </c>
      <c r="AE16" s="189">
        <f t="shared" si="28"/>
        <v>0</v>
      </c>
      <c r="AF16" s="190">
        <f t="shared" si="29"/>
        <v>0</v>
      </c>
      <c r="AG16" s="188">
        <f t="shared" si="30"/>
        <v>0</v>
      </c>
      <c r="AH16" s="188">
        <f t="shared" si="31"/>
        <v>0</v>
      </c>
      <c r="AI16" s="189">
        <f t="shared" si="32"/>
        <v>0</v>
      </c>
      <c r="AJ16" s="190">
        <f t="shared" si="33"/>
        <v>0</v>
      </c>
      <c r="AK16" s="188">
        <f t="shared" si="34"/>
        <v>0</v>
      </c>
      <c r="AL16" s="188">
        <f t="shared" si="35"/>
        <v>0</v>
      </c>
      <c r="AM16" s="189">
        <f t="shared" si="36"/>
        <v>0</v>
      </c>
      <c r="AN16" s="190">
        <f t="shared" si="37"/>
        <v>0</v>
      </c>
      <c r="AO16" s="188">
        <f t="shared" si="38"/>
        <v>0</v>
      </c>
      <c r="AP16" s="188">
        <f t="shared" si="39"/>
        <v>0</v>
      </c>
      <c r="AQ16" s="189">
        <f t="shared" si="40"/>
        <v>0</v>
      </c>
      <c r="AR16" s="190">
        <f t="shared" si="41"/>
        <v>0</v>
      </c>
      <c r="AS16" s="188">
        <f t="shared" si="42"/>
        <v>0</v>
      </c>
      <c r="AT16" s="188">
        <f t="shared" si="43"/>
        <v>0</v>
      </c>
      <c r="AU16" s="189">
        <f t="shared" si="44"/>
        <v>0</v>
      </c>
      <c r="AV16" s="190">
        <f t="shared" si="45"/>
        <v>0</v>
      </c>
      <c r="AW16" s="188">
        <f t="shared" si="46"/>
        <v>0</v>
      </c>
      <c r="AX16" s="188">
        <f t="shared" si="47"/>
        <v>0</v>
      </c>
      <c r="AY16" s="189">
        <f t="shared" si="48"/>
        <v>0</v>
      </c>
      <c r="AZ16" s="190">
        <f t="shared" si="49"/>
        <v>0</v>
      </c>
      <c r="BA16" s="188">
        <f t="shared" si="50"/>
        <v>0</v>
      </c>
      <c r="BB16" s="188">
        <f t="shared" si="51"/>
        <v>0</v>
      </c>
      <c r="BC16" s="189">
        <f t="shared" si="52"/>
        <v>0</v>
      </c>
      <c r="BD16" s="190">
        <f t="shared" si="53"/>
        <v>0</v>
      </c>
      <c r="BE16" s="188">
        <f t="shared" si="54"/>
        <v>0</v>
      </c>
      <c r="BF16" s="188">
        <f t="shared" si="55"/>
        <v>0</v>
      </c>
      <c r="BG16" s="189">
        <f t="shared" si="56"/>
        <v>0</v>
      </c>
      <c r="BH16" s="190">
        <f t="shared" si="57"/>
        <v>0</v>
      </c>
      <c r="BI16" s="188">
        <f t="shared" si="58"/>
        <v>0</v>
      </c>
      <c r="BJ16" s="188">
        <f t="shared" si="59"/>
        <v>0</v>
      </c>
      <c r="BK16" s="189">
        <f t="shared" si="60"/>
        <v>0</v>
      </c>
      <c r="BL16" s="190">
        <f t="shared" si="61"/>
        <v>0</v>
      </c>
      <c r="BM16" s="188">
        <f t="shared" si="62"/>
        <v>0</v>
      </c>
      <c r="BN16" s="188">
        <f t="shared" si="63"/>
        <v>0</v>
      </c>
      <c r="BO16" s="189">
        <f t="shared" si="64"/>
        <v>0</v>
      </c>
      <c r="BP16" s="190">
        <f t="shared" si="136"/>
        <v>0</v>
      </c>
      <c r="BQ16" s="188">
        <f t="shared" si="65"/>
        <v>0</v>
      </c>
      <c r="BR16" s="188">
        <f t="shared" si="66"/>
        <v>0</v>
      </c>
      <c r="BS16" s="189">
        <f t="shared" si="67"/>
        <v>0</v>
      </c>
      <c r="BT16" s="190">
        <f t="shared" si="68"/>
        <v>0</v>
      </c>
      <c r="BU16" s="188">
        <f t="shared" si="69"/>
        <v>0</v>
      </c>
      <c r="BV16" s="188">
        <f t="shared" si="70"/>
        <v>0</v>
      </c>
      <c r="BW16" s="189">
        <f t="shared" si="71"/>
        <v>0</v>
      </c>
      <c r="BX16" s="190">
        <f t="shared" si="72"/>
        <v>0</v>
      </c>
      <c r="BY16" s="188">
        <f t="shared" si="73"/>
        <v>0</v>
      </c>
      <c r="BZ16" s="188">
        <f t="shared" si="74"/>
        <v>0</v>
      </c>
      <c r="CA16" s="189">
        <f t="shared" si="75"/>
        <v>0</v>
      </c>
      <c r="CB16" s="190">
        <f t="shared" si="137"/>
        <v>0</v>
      </c>
      <c r="CC16" s="188">
        <f t="shared" si="76"/>
        <v>0</v>
      </c>
      <c r="CD16" s="188">
        <f t="shared" si="77"/>
        <v>0</v>
      </c>
      <c r="CE16" s="189">
        <f t="shared" si="78"/>
        <v>0</v>
      </c>
      <c r="CF16" s="190">
        <f>CF120</f>
        <v>-84</v>
      </c>
      <c r="CG16" s="188">
        <f t="shared" si="79"/>
        <v>243</v>
      </c>
      <c r="CH16" s="188">
        <f t="shared" si="80"/>
        <v>89</v>
      </c>
      <c r="CI16" s="189">
        <f t="shared" si="139"/>
        <v>-80</v>
      </c>
      <c r="CJ16" s="190">
        <f>CJ120</f>
        <v>-1</v>
      </c>
      <c r="CK16" s="188">
        <f t="shared" si="81"/>
        <v>1</v>
      </c>
      <c r="CL16" s="188">
        <f t="shared" si="82"/>
        <v>0</v>
      </c>
      <c r="CM16" s="189">
        <f t="shared" si="141"/>
        <v>-15</v>
      </c>
      <c r="CN16" s="190">
        <f>CN120</f>
        <v>0</v>
      </c>
      <c r="CO16" s="188">
        <f t="shared" si="83"/>
        <v>0</v>
      </c>
      <c r="CP16" s="188">
        <f t="shared" si="84"/>
        <v>0</v>
      </c>
      <c r="CQ16" s="189">
        <f t="shared" si="143"/>
        <v>0</v>
      </c>
      <c r="CR16" s="190">
        <f>CR120</f>
        <v>0</v>
      </c>
      <c r="CS16" s="188">
        <v>0</v>
      </c>
      <c r="CT16" s="188">
        <v>0</v>
      </c>
      <c r="CU16" s="192">
        <v>0</v>
      </c>
      <c r="CV16" s="190">
        <v>0</v>
      </c>
      <c r="CW16" s="188">
        <v>0</v>
      </c>
      <c r="CX16" s="188">
        <v>0</v>
      </c>
      <c r="CY16" s="192">
        <v>0</v>
      </c>
      <c r="CZ16" s="190">
        <v>0</v>
      </c>
      <c r="DA16" s="188">
        <v>0</v>
      </c>
      <c r="DB16" s="188">
        <v>0</v>
      </c>
      <c r="DC16" s="192">
        <v>0</v>
      </c>
      <c r="DD16" s="895"/>
      <c r="DE16" s="190">
        <f t="shared" si="87"/>
        <v>0</v>
      </c>
      <c r="DF16" s="188">
        <f t="shared" si="88"/>
        <v>0</v>
      </c>
      <c r="DG16" s="188">
        <f t="shared" si="89"/>
        <v>0</v>
      </c>
      <c r="DH16" s="188">
        <f t="shared" si="90"/>
        <v>0</v>
      </c>
      <c r="DI16" s="188">
        <f t="shared" si="91"/>
        <v>0</v>
      </c>
      <c r="DJ16" s="188">
        <f t="shared" si="92"/>
        <v>0</v>
      </c>
      <c r="DK16" s="188">
        <f t="shared" si="93"/>
        <v>0</v>
      </c>
      <c r="DL16" s="188">
        <f t="shared" si="94"/>
        <v>0</v>
      </c>
      <c r="DM16" s="188">
        <f t="shared" si="95"/>
        <v>0</v>
      </c>
      <c r="DN16" s="188">
        <f t="shared" si="96"/>
        <v>0</v>
      </c>
      <c r="DO16" s="188">
        <f t="shared" si="97"/>
        <v>0</v>
      </c>
      <c r="DP16" s="188">
        <f t="shared" si="98"/>
        <v>0</v>
      </c>
      <c r="DQ16" s="188">
        <f t="shared" si="99"/>
        <v>0</v>
      </c>
      <c r="DR16" s="188">
        <f t="shared" si="100"/>
        <v>0</v>
      </c>
      <c r="DS16" s="188">
        <f t="shared" si="101"/>
        <v>0</v>
      </c>
      <c r="DT16" s="188">
        <f t="shared" si="102"/>
        <v>0</v>
      </c>
      <c r="DU16" s="188">
        <f t="shared" si="103"/>
        <v>0</v>
      </c>
      <c r="DV16" s="188">
        <f t="shared" si="104"/>
        <v>0</v>
      </c>
      <c r="DW16" s="188">
        <f t="shared" si="105"/>
        <v>0</v>
      </c>
      <c r="DX16" s="188">
        <f t="shared" si="106"/>
        <v>0</v>
      </c>
      <c r="DY16" s="188">
        <f t="shared" si="107"/>
        <v>168</v>
      </c>
      <c r="DZ16" s="188">
        <f t="shared" si="108"/>
        <v>-15</v>
      </c>
      <c r="EA16" s="188">
        <f t="shared" si="109"/>
        <v>0</v>
      </c>
      <c r="EB16" s="188">
        <f t="shared" si="110"/>
        <v>0</v>
      </c>
      <c r="EC16" s="188">
        <f t="shared" si="111"/>
        <v>0</v>
      </c>
      <c r="ED16" s="188">
        <f t="shared" si="112"/>
        <v>0</v>
      </c>
      <c r="EE16" s="716"/>
      <c r="EF16" s="190"/>
      <c r="EG16" s="188"/>
      <c r="EH16" s="188">
        <f t="shared" si="113"/>
        <v>0</v>
      </c>
      <c r="EI16" s="188">
        <f t="shared" si="114"/>
        <v>0</v>
      </c>
      <c r="EJ16" s="188">
        <f t="shared" si="115"/>
        <v>0</v>
      </c>
      <c r="EK16" s="188">
        <f t="shared" si="116"/>
        <v>0</v>
      </c>
      <c r="EL16" s="188">
        <f t="shared" si="117"/>
        <v>0</v>
      </c>
      <c r="EM16" s="188">
        <f t="shared" si="118"/>
        <v>0</v>
      </c>
      <c r="EN16" s="188">
        <f t="shared" si="119"/>
        <v>0</v>
      </c>
      <c r="EO16" s="188">
        <f t="shared" si="120"/>
        <v>0</v>
      </c>
      <c r="EP16" s="338">
        <f t="shared" si="121"/>
        <v>0</v>
      </c>
      <c r="EQ16" s="338">
        <f t="shared" si="122"/>
        <v>0</v>
      </c>
      <c r="ER16" s="338">
        <f t="shared" si="123"/>
        <v>0</v>
      </c>
      <c r="ES16" s="338">
        <f t="shared" si="124"/>
        <v>0</v>
      </c>
      <c r="ET16" s="338">
        <f t="shared" si="125"/>
        <v>0</v>
      </c>
      <c r="EU16" s="338">
        <f t="shared" si="126"/>
        <v>0</v>
      </c>
      <c r="EV16" s="338">
        <f t="shared" si="127"/>
        <v>0</v>
      </c>
      <c r="EW16" s="338">
        <f t="shared" si="128"/>
        <v>0</v>
      </c>
      <c r="EX16" s="338">
        <f t="shared" si="129"/>
        <v>0</v>
      </c>
      <c r="EY16" s="338">
        <f t="shared" si="130"/>
        <v>-84</v>
      </c>
      <c r="EZ16" s="338">
        <f t="shared" si="131"/>
        <v>251</v>
      </c>
      <c r="FA16" s="338">
        <f t="shared" si="132"/>
        <v>-14</v>
      </c>
      <c r="FB16" s="338">
        <f t="shared" si="133"/>
        <v>0</v>
      </c>
      <c r="FC16" s="338">
        <f t="shared" si="134"/>
        <v>0</v>
      </c>
      <c r="FD16" s="339">
        <f t="shared" si="135"/>
        <v>0</v>
      </c>
      <c r="FO16" s="330"/>
      <c r="FP16" s="330"/>
    </row>
    <row r="17" spans="1:172" ht="14.25" customHeight="1">
      <c r="A17" s="7"/>
      <c r="B17" s="48" t="s">
        <v>222</v>
      </c>
      <c r="C17" s="49"/>
      <c r="D17" s="190">
        <f t="shared" si="1"/>
        <v>0</v>
      </c>
      <c r="E17" s="188">
        <f t="shared" si="2"/>
        <v>0</v>
      </c>
      <c r="F17" s="188">
        <f t="shared" si="3"/>
        <v>0</v>
      </c>
      <c r="G17" s="189">
        <f t="shared" si="4"/>
        <v>0</v>
      </c>
      <c r="H17" s="190">
        <f t="shared" si="5"/>
        <v>0</v>
      </c>
      <c r="I17" s="188">
        <f t="shared" si="6"/>
        <v>0</v>
      </c>
      <c r="J17" s="188">
        <f t="shared" si="7"/>
        <v>0</v>
      </c>
      <c r="K17" s="189">
        <f t="shared" si="8"/>
        <v>0</v>
      </c>
      <c r="L17" s="190">
        <f t="shared" si="9"/>
        <v>0</v>
      </c>
      <c r="M17" s="188">
        <f t="shared" si="10"/>
        <v>0</v>
      </c>
      <c r="N17" s="188">
        <f t="shared" si="11"/>
        <v>0</v>
      </c>
      <c r="O17" s="189">
        <f t="shared" si="12"/>
        <v>0</v>
      </c>
      <c r="P17" s="190">
        <f t="shared" si="13"/>
        <v>0</v>
      </c>
      <c r="Q17" s="188">
        <f t="shared" si="14"/>
        <v>0</v>
      </c>
      <c r="R17" s="188">
        <f t="shared" si="15"/>
        <v>0</v>
      </c>
      <c r="S17" s="189">
        <f t="shared" si="16"/>
        <v>0</v>
      </c>
      <c r="T17" s="190">
        <f t="shared" si="17"/>
        <v>0</v>
      </c>
      <c r="U17" s="188">
        <f t="shared" si="18"/>
        <v>0</v>
      </c>
      <c r="V17" s="188">
        <f t="shared" si="19"/>
        <v>0</v>
      </c>
      <c r="W17" s="189">
        <f t="shared" si="20"/>
        <v>54.9</v>
      </c>
      <c r="X17" s="190">
        <f t="shared" si="21"/>
        <v>33.6</v>
      </c>
      <c r="Y17" s="188">
        <f t="shared" si="22"/>
        <v>73.699999999999989</v>
      </c>
      <c r="Z17" s="188">
        <f t="shared" si="23"/>
        <v>74.400000000000006</v>
      </c>
      <c r="AA17" s="189">
        <f t="shared" si="24"/>
        <v>66.900000000000006</v>
      </c>
      <c r="AB17" s="190">
        <f t="shared" si="25"/>
        <v>13.6</v>
      </c>
      <c r="AC17" s="188">
        <f t="shared" si="26"/>
        <v>101.4</v>
      </c>
      <c r="AD17" s="188">
        <f t="shared" si="27"/>
        <v>287.20000000000005</v>
      </c>
      <c r="AE17" s="189">
        <f t="shared" si="28"/>
        <v>428.49999999999989</v>
      </c>
      <c r="AF17" s="190">
        <f t="shared" si="29"/>
        <v>175.8</v>
      </c>
      <c r="AG17" s="188">
        <f t="shared" si="30"/>
        <v>8.9999999999999716</v>
      </c>
      <c r="AH17" s="188">
        <f t="shared" si="31"/>
        <v>29.900000000000006</v>
      </c>
      <c r="AI17" s="189">
        <f t="shared" si="32"/>
        <v>161.40000000000003</v>
      </c>
      <c r="AJ17" s="190">
        <f t="shared" si="33"/>
        <v>0</v>
      </c>
      <c r="AK17" s="188">
        <f t="shared" si="34"/>
        <v>115.7</v>
      </c>
      <c r="AL17" s="188">
        <f t="shared" si="35"/>
        <v>-33.5</v>
      </c>
      <c r="AM17" s="189">
        <f t="shared" si="36"/>
        <v>3</v>
      </c>
      <c r="AN17" s="190">
        <f t="shared" si="37"/>
        <v>-23.2</v>
      </c>
      <c r="AO17" s="188">
        <f t="shared" si="38"/>
        <v>-7.6999999999999993</v>
      </c>
      <c r="AP17" s="188">
        <f t="shared" si="39"/>
        <v>-3.8999999999999986</v>
      </c>
      <c r="AQ17" s="189">
        <f t="shared" si="40"/>
        <v>-2.2000000000000028</v>
      </c>
      <c r="AR17" s="190">
        <f t="shared" si="41"/>
        <v>-1.7</v>
      </c>
      <c r="AS17" s="188">
        <f t="shared" si="42"/>
        <v>9.9999999999999867E-2</v>
      </c>
      <c r="AT17" s="188">
        <f t="shared" si="43"/>
        <v>0</v>
      </c>
      <c r="AU17" s="189">
        <f t="shared" si="44"/>
        <v>0</v>
      </c>
      <c r="AV17" s="190">
        <f t="shared" si="45"/>
        <v>0</v>
      </c>
      <c r="AW17" s="188">
        <f t="shared" si="46"/>
        <v>0</v>
      </c>
      <c r="AX17" s="188">
        <f t="shared" si="47"/>
        <v>0</v>
      </c>
      <c r="AY17" s="189">
        <f t="shared" si="48"/>
        <v>23</v>
      </c>
      <c r="AZ17" s="190">
        <f t="shared" si="49"/>
        <v>0</v>
      </c>
      <c r="BA17" s="188">
        <f t="shared" si="50"/>
        <v>0</v>
      </c>
      <c r="BB17" s="188">
        <f t="shared" si="51"/>
        <v>0</v>
      </c>
      <c r="BC17" s="189">
        <f t="shared" si="52"/>
        <v>25</v>
      </c>
      <c r="BD17" s="190">
        <f t="shared" si="53"/>
        <v>6</v>
      </c>
      <c r="BE17" s="188">
        <f t="shared" si="54"/>
        <v>463</v>
      </c>
      <c r="BF17" s="188">
        <f t="shared" si="55"/>
        <v>1</v>
      </c>
      <c r="BG17" s="189">
        <f t="shared" si="56"/>
        <v>0</v>
      </c>
      <c r="BH17" s="190">
        <f t="shared" si="57"/>
        <v>-83</v>
      </c>
      <c r="BI17" s="188">
        <f t="shared" si="58"/>
        <v>351</v>
      </c>
      <c r="BJ17" s="188">
        <f t="shared" si="59"/>
        <v>9</v>
      </c>
      <c r="BK17" s="189">
        <f t="shared" si="60"/>
        <v>7</v>
      </c>
      <c r="BL17" s="190">
        <f t="shared" si="61"/>
        <v>-56</v>
      </c>
      <c r="BM17" s="188">
        <f t="shared" si="62"/>
        <v>41</v>
      </c>
      <c r="BN17" s="188">
        <f t="shared" si="63"/>
        <v>-417</v>
      </c>
      <c r="BO17" s="189">
        <f t="shared" si="64"/>
        <v>35</v>
      </c>
      <c r="BP17" s="190">
        <f t="shared" si="136"/>
        <v>111</v>
      </c>
      <c r="BQ17" s="188">
        <f t="shared" si="65"/>
        <v>0</v>
      </c>
      <c r="BR17" s="188">
        <f t="shared" si="66"/>
        <v>-52</v>
      </c>
      <c r="BS17" s="189">
        <f t="shared" si="67"/>
        <v>-40</v>
      </c>
      <c r="BT17" s="190">
        <f t="shared" si="68"/>
        <v>20</v>
      </c>
      <c r="BU17" s="188">
        <f t="shared" si="69"/>
        <v>30</v>
      </c>
      <c r="BV17" s="188">
        <f t="shared" si="70"/>
        <v>21</v>
      </c>
      <c r="BW17" s="189">
        <f t="shared" si="71"/>
        <v>16</v>
      </c>
      <c r="BX17" s="190">
        <f t="shared" si="72"/>
        <v>0</v>
      </c>
      <c r="BY17" s="188">
        <f t="shared" si="73"/>
        <v>266</v>
      </c>
      <c r="BZ17" s="188">
        <f t="shared" si="74"/>
        <v>82</v>
      </c>
      <c r="CA17" s="189">
        <f t="shared" si="75"/>
        <v>-1465</v>
      </c>
      <c r="CB17" s="190">
        <f t="shared" si="137"/>
        <v>92</v>
      </c>
      <c r="CC17" s="188">
        <f t="shared" si="76"/>
        <v>128</v>
      </c>
      <c r="CD17" s="188">
        <f t="shared" si="77"/>
        <v>-36</v>
      </c>
      <c r="CE17" s="189">
        <f t="shared" si="78"/>
        <v>-195</v>
      </c>
      <c r="CF17" s="190">
        <f t="shared" si="138"/>
        <v>30</v>
      </c>
      <c r="CG17" s="188">
        <f t="shared" si="79"/>
        <v>0</v>
      </c>
      <c r="CH17" s="188">
        <f t="shared" si="80"/>
        <v>18</v>
      </c>
      <c r="CI17" s="189">
        <f t="shared" si="139"/>
        <v>62</v>
      </c>
      <c r="CJ17" s="190">
        <f t="shared" si="140"/>
        <v>1</v>
      </c>
      <c r="CK17" s="188">
        <f t="shared" si="81"/>
        <v>0</v>
      </c>
      <c r="CL17" s="188">
        <f t="shared" si="82"/>
        <v>3</v>
      </c>
      <c r="CM17" s="189">
        <f t="shared" si="141"/>
        <v>-183</v>
      </c>
      <c r="CN17" s="190">
        <f t="shared" si="142"/>
        <v>0</v>
      </c>
      <c r="CO17" s="188">
        <f t="shared" si="83"/>
        <v>-71</v>
      </c>
      <c r="CP17" s="188">
        <f t="shared" si="84"/>
        <v>0</v>
      </c>
      <c r="CQ17" s="189">
        <f t="shared" si="143"/>
        <v>99</v>
      </c>
      <c r="CR17" s="190">
        <f t="shared" si="144"/>
        <v>195</v>
      </c>
      <c r="CS17" s="188">
        <v>0</v>
      </c>
      <c r="CT17" s="188">
        <v>0</v>
      </c>
      <c r="CU17" s="189">
        <v>0</v>
      </c>
      <c r="CV17" s="190">
        <v>0</v>
      </c>
      <c r="CW17" s="188">
        <v>0</v>
      </c>
      <c r="CX17" s="188">
        <v>0</v>
      </c>
      <c r="CY17" s="189">
        <v>0</v>
      </c>
      <c r="CZ17" s="190">
        <v>0</v>
      </c>
      <c r="DA17" s="188">
        <v>0</v>
      </c>
      <c r="DB17" s="188">
        <v>0</v>
      </c>
      <c r="DC17" s="189">
        <v>0</v>
      </c>
      <c r="DD17" s="895"/>
      <c r="DE17" s="190">
        <f t="shared" si="87"/>
        <v>0</v>
      </c>
      <c r="DF17" s="188">
        <f t="shared" si="88"/>
        <v>0</v>
      </c>
      <c r="DG17" s="188">
        <f t="shared" si="89"/>
        <v>0</v>
      </c>
      <c r="DH17" s="188">
        <f t="shared" si="90"/>
        <v>0</v>
      </c>
      <c r="DI17" s="188">
        <f t="shared" si="91"/>
        <v>54.9</v>
      </c>
      <c r="DJ17" s="188">
        <f t="shared" si="92"/>
        <v>248.6</v>
      </c>
      <c r="DK17" s="188">
        <f t="shared" si="93"/>
        <v>830.69999999999993</v>
      </c>
      <c r="DL17" s="188">
        <f t="shared" si="94"/>
        <v>376.1</v>
      </c>
      <c r="DM17" s="188">
        <f t="shared" si="95"/>
        <v>85.2</v>
      </c>
      <c r="DN17" s="188">
        <f t="shared" si="96"/>
        <v>-37</v>
      </c>
      <c r="DO17" s="188">
        <f t="shared" si="97"/>
        <v>-1.6</v>
      </c>
      <c r="DP17" s="188">
        <f t="shared" si="98"/>
        <v>23</v>
      </c>
      <c r="DQ17" s="188">
        <f t="shared" si="99"/>
        <v>25</v>
      </c>
      <c r="DR17" s="188">
        <f t="shared" si="100"/>
        <v>470</v>
      </c>
      <c r="DS17" s="188">
        <f t="shared" si="101"/>
        <v>284</v>
      </c>
      <c r="DT17" s="188">
        <f t="shared" si="102"/>
        <v>-397</v>
      </c>
      <c r="DU17" s="188">
        <f t="shared" si="103"/>
        <v>19</v>
      </c>
      <c r="DV17" s="188">
        <f t="shared" si="104"/>
        <v>87</v>
      </c>
      <c r="DW17" s="188">
        <f t="shared" si="105"/>
        <v>-1117</v>
      </c>
      <c r="DX17" s="188">
        <f t="shared" si="106"/>
        <v>-11</v>
      </c>
      <c r="DY17" s="188">
        <f t="shared" si="107"/>
        <v>110</v>
      </c>
      <c r="DZ17" s="188">
        <f t="shared" si="108"/>
        <v>-179</v>
      </c>
      <c r="EA17" s="188">
        <f t="shared" si="109"/>
        <v>28</v>
      </c>
      <c r="EB17" s="188">
        <f t="shared" si="110"/>
        <v>195</v>
      </c>
      <c r="EC17" s="188">
        <f t="shared" si="111"/>
        <v>0</v>
      </c>
      <c r="ED17" s="188">
        <f t="shared" si="112"/>
        <v>0</v>
      </c>
      <c r="EE17" s="716"/>
      <c r="EF17" s="190"/>
      <c r="EG17" s="188"/>
      <c r="EH17" s="188">
        <f t="shared" si="113"/>
        <v>0</v>
      </c>
      <c r="EI17" s="188">
        <f t="shared" si="114"/>
        <v>0</v>
      </c>
      <c r="EJ17" s="188">
        <f t="shared" si="115"/>
        <v>88.5</v>
      </c>
      <c r="EK17" s="188">
        <f t="shared" si="116"/>
        <v>228.6</v>
      </c>
      <c r="EL17" s="188">
        <f t="shared" si="117"/>
        <v>992.89999999999986</v>
      </c>
      <c r="EM17" s="188">
        <f t="shared" si="118"/>
        <v>200.3</v>
      </c>
      <c r="EN17" s="188">
        <f t="shared" si="119"/>
        <v>62</v>
      </c>
      <c r="EO17" s="188">
        <f t="shared" si="120"/>
        <v>-15.5</v>
      </c>
      <c r="EP17" s="338">
        <f t="shared" si="121"/>
        <v>9.9999999999999867E-2</v>
      </c>
      <c r="EQ17" s="338">
        <f t="shared" si="122"/>
        <v>23</v>
      </c>
      <c r="ER17" s="338">
        <f t="shared" si="123"/>
        <v>31</v>
      </c>
      <c r="ES17" s="338">
        <f t="shared" si="124"/>
        <v>381</v>
      </c>
      <c r="ET17" s="338">
        <f t="shared" si="125"/>
        <v>311</v>
      </c>
      <c r="EU17" s="338">
        <f t="shared" si="126"/>
        <v>-230</v>
      </c>
      <c r="EV17" s="338">
        <f t="shared" si="127"/>
        <v>-72</v>
      </c>
      <c r="EW17" s="338">
        <f t="shared" si="128"/>
        <v>67</v>
      </c>
      <c r="EX17" s="338">
        <f t="shared" si="129"/>
        <v>-1025</v>
      </c>
      <c r="EY17" s="338">
        <f t="shared" si="130"/>
        <v>-73</v>
      </c>
      <c r="EZ17" s="338">
        <f t="shared" si="131"/>
        <v>81</v>
      </c>
      <c r="FA17" s="338">
        <f t="shared" si="132"/>
        <v>-180</v>
      </c>
      <c r="FB17" s="338">
        <f t="shared" si="133"/>
        <v>223</v>
      </c>
      <c r="FC17" s="338">
        <f t="shared" si="134"/>
        <v>0</v>
      </c>
      <c r="FD17" s="339">
        <f t="shared" si="135"/>
        <v>0</v>
      </c>
      <c r="FO17" s="330"/>
      <c r="FP17" s="330"/>
    </row>
    <row r="18" spans="1:172" ht="14.25" customHeight="1">
      <c r="A18" s="7"/>
      <c r="B18" s="24" t="str">
        <f t="shared" si="0"/>
        <v>Changes in current assets and liabilities:</v>
      </c>
      <c r="C18" s="25"/>
      <c r="D18" s="193"/>
      <c r="E18" s="188"/>
      <c r="F18" s="188"/>
      <c r="G18" s="189"/>
      <c r="H18" s="193"/>
      <c r="I18" s="188"/>
      <c r="J18" s="188"/>
      <c r="K18" s="189"/>
      <c r="L18" s="193"/>
      <c r="M18" s="188"/>
      <c r="N18" s="188"/>
      <c r="O18" s="189"/>
      <c r="P18" s="193"/>
      <c r="Q18" s="188"/>
      <c r="R18" s="188"/>
      <c r="S18" s="189"/>
      <c r="T18" s="193"/>
      <c r="U18" s="188"/>
      <c r="V18" s="188"/>
      <c r="W18" s="189"/>
      <c r="X18" s="193"/>
      <c r="Y18" s="188"/>
      <c r="Z18" s="188"/>
      <c r="AA18" s="189"/>
      <c r="AB18" s="193"/>
      <c r="AC18" s="188"/>
      <c r="AD18" s="188"/>
      <c r="AE18" s="189"/>
      <c r="AF18" s="193"/>
      <c r="AG18" s="188"/>
      <c r="AH18" s="188"/>
      <c r="AI18" s="189"/>
      <c r="AJ18" s="193"/>
      <c r="AK18" s="188"/>
      <c r="AL18" s="188"/>
      <c r="AM18" s="189"/>
      <c r="AN18" s="193"/>
      <c r="AO18" s="188"/>
      <c r="AP18" s="188"/>
      <c r="AQ18" s="189"/>
      <c r="AR18" s="193"/>
      <c r="AS18" s="188"/>
      <c r="AT18" s="188"/>
      <c r="AU18" s="189"/>
      <c r="AV18" s="193"/>
      <c r="AW18" s="188"/>
      <c r="AX18" s="188"/>
      <c r="AY18" s="189"/>
      <c r="AZ18" s="193"/>
      <c r="BA18" s="188"/>
      <c r="BB18" s="188"/>
      <c r="BC18" s="189"/>
      <c r="BD18" s="193"/>
      <c r="BE18" s="188"/>
      <c r="BF18" s="188"/>
      <c r="BG18" s="189"/>
      <c r="BH18" s="193"/>
      <c r="BI18" s="188"/>
      <c r="BJ18" s="188"/>
      <c r="BK18" s="189"/>
      <c r="BL18" s="193"/>
      <c r="BM18" s="188"/>
      <c r="BN18" s="188"/>
      <c r="BO18" s="189"/>
      <c r="BP18" s="193"/>
      <c r="BQ18" s="188"/>
      <c r="BR18" s="188"/>
      <c r="BS18" s="189"/>
      <c r="BT18" s="193"/>
      <c r="BU18" s="188"/>
      <c r="BV18" s="188"/>
      <c r="BW18" s="189"/>
      <c r="BX18" s="193"/>
      <c r="BY18" s="188"/>
      <c r="BZ18" s="188"/>
      <c r="CA18" s="189"/>
      <c r="CB18" s="193"/>
      <c r="CC18" s="188"/>
      <c r="CD18" s="188"/>
      <c r="CE18" s="189"/>
      <c r="CF18" s="193"/>
      <c r="CG18" s="188"/>
      <c r="CH18" s="188"/>
      <c r="CI18" s="189"/>
      <c r="CJ18" s="193"/>
      <c r="CK18" s="188"/>
      <c r="CL18" s="188"/>
      <c r="CM18" s="189"/>
      <c r="CN18" s="193"/>
      <c r="CO18" s="188"/>
      <c r="CP18" s="188"/>
      <c r="CQ18" s="189"/>
      <c r="CR18" s="193"/>
      <c r="CS18" s="188"/>
      <c r="CT18" s="188"/>
      <c r="CU18" s="192"/>
      <c r="CV18" s="193"/>
      <c r="CW18" s="188"/>
      <c r="CX18" s="188"/>
      <c r="CY18" s="192"/>
      <c r="CZ18" s="193"/>
      <c r="DA18" s="188"/>
      <c r="DB18" s="188"/>
      <c r="DC18" s="192"/>
      <c r="DD18" s="895"/>
      <c r="DE18" s="190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  <c r="EB18" s="188"/>
      <c r="EC18" s="188"/>
      <c r="ED18" s="188">
        <f t="shared" si="112"/>
        <v>0</v>
      </c>
      <c r="EE18" s="716"/>
      <c r="EF18" s="190"/>
      <c r="EG18" s="188"/>
      <c r="EH18" s="188"/>
      <c r="EI18" s="188"/>
      <c r="EJ18" s="188"/>
      <c r="EK18" s="188"/>
      <c r="EL18" s="188"/>
      <c r="EM18" s="188"/>
      <c r="EN18" s="188"/>
      <c r="EO18" s="188"/>
      <c r="EP18" s="188"/>
      <c r="EQ18" s="188"/>
      <c r="ER18" s="188"/>
      <c r="ES18" s="188"/>
      <c r="ET18" s="188"/>
      <c r="EU18" s="188"/>
      <c r="EV18" s="188"/>
      <c r="EW18" s="188"/>
      <c r="EX18" s="188"/>
      <c r="EY18" s="188"/>
      <c r="EZ18" s="188"/>
      <c r="FA18" s="188"/>
      <c r="FB18" s="188"/>
      <c r="FC18" s="188"/>
      <c r="FD18" s="189">
        <f t="shared" si="135"/>
        <v>0</v>
      </c>
      <c r="FO18" s="330"/>
      <c r="FP18" s="330"/>
    </row>
    <row r="19" spans="1:172" ht="14.25" customHeight="1">
      <c r="A19" s="7"/>
      <c r="B19" s="48" t="str">
        <f t="shared" si="0"/>
        <v>Accounts receivable</v>
      </c>
      <c r="C19" s="49"/>
      <c r="D19" s="190">
        <f t="shared" ref="D19:D27" si="154">D123</f>
        <v>0</v>
      </c>
      <c r="E19" s="188">
        <f t="shared" ref="E19:E27" si="155">E123-D19</f>
        <v>0</v>
      </c>
      <c r="F19" s="188">
        <f t="shared" ref="F19:F27" si="156">F123-E19-D19</f>
        <v>0</v>
      </c>
      <c r="G19" s="189">
        <f t="shared" ref="G19:G27" si="157">G123-F19-E19-D19</f>
        <v>0</v>
      </c>
      <c r="H19" s="190">
        <f t="shared" ref="H19:H27" si="158">H123</f>
        <v>0</v>
      </c>
      <c r="I19" s="188">
        <f t="shared" ref="I19:I27" si="159">I123-H19</f>
        <v>0</v>
      </c>
      <c r="J19" s="188">
        <f t="shared" ref="J19:J27" si="160">J123-I19-H19</f>
        <v>0</v>
      </c>
      <c r="K19" s="189">
        <f t="shared" ref="K19:K27" si="161">K123-J19-I19-H19</f>
        <v>0</v>
      </c>
      <c r="L19" s="190">
        <f t="shared" ref="L19:L27" si="162">L123</f>
        <v>32</v>
      </c>
      <c r="M19" s="188">
        <f t="shared" ref="M19:M27" si="163">M123-L19</f>
        <v>11.799999999999997</v>
      </c>
      <c r="N19" s="188">
        <f t="shared" ref="N19:N27" si="164">N123-M19-L19</f>
        <v>-63.4</v>
      </c>
      <c r="O19" s="189">
        <f t="shared" ref="O19:O27" si="165">O123-N19-M19-L19</f>
        <v>-78.099999999999994</v>
      </c>
      <c r="P19" s="190">
        <f t="shared" ref="P19:P27" si="166">P123</f>
        <v>22.3</v>
      </c>
      <c r="Q19" s="188">
        <f t="shared" ref="Q19:Q27" si="167">Q123-P19</f>
        <v>39.799999999999997</v>
      </c>
      <c r="R19" s="188">
        <f t="shared" ref="R19:R27" si="168">R123-Q19-P19</f>
        <v>-44.2</v>
      </c>
      <c r="S19" s="189">
        <f t="shared" ref="S19:S27" si="169">S123-R19-Q19-P19</f>
        <v>-91.699999999999989</v>
      </c>
      <c r="T19" s="190">
        <f t="shared" ref="T19:T27" si="170">T123</f>
        <v>112.3</v>
      </c>
      <c r="U19" s="188">
        <f t="shared" ref="U19:U27" si="171">U123-T19</f>
        <v>-110.3</v>
      </c>
      <c r="V19" s="188">
        <f t="shared" ref="V19:V27" si="172">V123-U19-T19</f>
        <v>30.399999999999991</v>
      </c>
      <c r="W19" s="189">
        <f t="shared" ref="W19:W27" si="173">W123-V19-U19-T19</f>
        <v>-131.30000000000001</v>
      </c>
      <c r="X19" s="190">
        <f t="shared" ref="X19:X26" si="174">X123</f>
        <v>-212.7</v>
      </c>
      <c r="Y19" s="188">
        <f t="shared" ref="Y19:Y27" si="175">Y123-X19</f>
        <v>15.699999999999989</v>
      </c>
      <c r="Z19" s="188">
        <f t="shared" ref="Z19:Z27" si="176">Z123-Y19-X19</f>
        <v>-212.2</v>
      </c>
      <c r="AA19" s="189">
        <f t="shared" ref="AA19:AA27" si="177">AA123-Z19-Y19-X19</f>
        <v>-375.3</v>
      </c>
      <c r="AB19" s="190">
        <f t="shared" ref="AB19:AB27" si="178">AB123</f>
        <v>572.1</v>
      </c>
      <c r="AC19" s="188">
        <f t="shared" ref="AC19:AC27" si="179">AC123-AB19</f>
        <v>261.19999999999993</v>
      </c>
      <c r="AD19" s="188">
        <f t="shared" ref="AD19:AD27" si="180">AD123-AC19-AB19</f>
        <v>-65.599999999999909</v>
      </c>
      <c r="AE19" s="189">
        <f t="shared" ref="AE19:AE27" si="181">AE123-AD19-AC19-AB19</f>
        <v>-161.90000000000009</v>
      </c>
      <c r="AF19" s="190">
        <f t="shared" ref="AF19:AF27" si="182">AF123</f>
        <v>496.9</v>
      </c>
      <c r="AG19" s="188">
        <f t="shared" ref="AG19:AG27" si="183">AG123-AF19</f>
        <v>-166.39999999999998</v>
      </c>
      <c r="AH19" s="188">
        <f t="shared" ref="AH19:AH27" si="184">AH123-AG19-AF19</f>
        <v>-139.39999999999998</v>
      </c>
      <c r="AI19" s="189">
        <f t="shared" ref="AI19:AI27" si="185">AI123-AH19-AG19-AF19</f>
        <v>47.899999999999977</v>
      </c>
      <c r="AJ19" s="190">
        <f t="shared" ref="AJ19:AJ27" si="186">AJ123</f>
        <v>94.1</v>
      </c>
      <c r="AK19" s="188">
        <f t="shared" ref="AK19:AK27" si="187">AK123-AJ19</f>
        <v>-39.099999999999994</v>
      </c>
      <c r="AL19" s="188">
        <f t="shared" ref="AL19:AL27" si="188">AL123-AK19-AJ19</f>
        <v>-11.900000000000006</v>
      </c>
      <c r="AM19" s="189">
        <f t="shared" ref="AM19:AM27" si="189">AM123-AL19-AK19-AJ19</f>
        <v>-146.89999999999998</v>
      </c>
      <c r="AN19" s="190">
        <f t="shared" ref="AN19:AN27" si="190">AN123</f>
        <v>-81.2</v>
      </c>
      <c r="AO19" s="188">
        <f t="shared" ref="AO19:AO27" si="191">AO123-AN19</f>
        <v>13.100000000000009</v>
      </c>
      <c r="AP19" s="188">
        <f t="shared" ref="AP19:AP27" si="192">AP123-AO19-AN19</f>
        <v>-59.3</v>
      </c>
      <c r="AQ19" s="189">
        <f t="shared" ref="AQ19:AQ27" si="193">AQ123-AP19-AO19-AN19</f>
        <v>-3.5000000000000142</v>
      </c>
      <c r="AR19" s="190">
        <f t="shared" ref="AR19:AR27" si="194">AR123</f>
        <v>-89.3</v>
      </c>
      <c r="AS19" s="188">
        <f t="shared" ref="AS19:AS27" si="195">AS123-AR19</f>
        <v>-75.000000000000014</v>
      </c>
      <c r="AT19" s="188">
        <f t="shared" ref="AT19:AT27" si="196">AT123-AS19-AR19</f>
        <v>203</v>
      </c>
      <c r="AU19" s="189">
        <f t="shared" ref="AU19:AU27" si="197">AU123-AT19-AS19-AR19</f>
        <v>-61.09999999999998</v>
      </c>
      <c r="AV19" s="190">
        <f t="shared" ref="AV19:AV27" si="198">AV123</f>
        <v>-10.9</v>
      </c>
      <c r="AW19" s="188">
        <f t="shared" ref="AW19:AW27" si="199">AW123-AV19</f>
        <v>49.8</v>
      </c>
      <c r="AX19" s="188">
        <f t="shared" ref="AX19:AX27" si="200">AX123-AW19-AV19</f>
        <v>-73.199999999999989</v>
      </c>
      <c r="AY19" s="189">
        <f t="shared" ref="AY19:AY27" si="201">AY123-AX19-AW19-AV19</f>
        <v>-27.70000000000001</v>
      </c>
      <c r="AZ19" s="190">
        <f t="shared" si="49"/>
        <v>-2</v>
      </c>
      <c r="BA19" s="188">
        <f t="shared" ref="BA19:BA27" si="202">BA123-AZ19</f>
        <v>61</v>
      </c>
      <c r="BB19" s="188">
        <f t="shared" ref="BB19:BB27" si="203">BB123-BA19-AZ19</f>
        <v>99</v>
      </c>
      <c r="BC19" s="189">
        <f t="shared" ref="BC19:BC27" si="204">BC123-BB19-BA19-AZ19</f>
        <v>-153</v>
      </c>
      <c r="BD19" s="190">
        <f t="shared" si="53"/>
        <v>-80</v>
      </c>
      <c r="BE19" s="188">
        <f t="shared" ref="BE19:BE27" si="205">BE123-BD19</f>
        <v>187</v>
      </c>
      <c r="BF19" s="188">
        <f t="shared" ref="BF19:BF27" si="206">BF123-BE19-BD19</f>
        <v>-96</v>
      </c>
      <c r="BG19" s="189">
        <f t="shared" ref="BG19:BG27" si="207">BG123-BF19-BE19-BD19</f>
        <v>-37</v>
      </c>
      <c r="BH19" s="190">
        <f t="shared" si="57"/>
        <v>138</v>
      </c>
      <c r="BI19" s="188">
        <f t="shared" ref="BI19:BI27" si="208">BI123-BH19</f>
        <v>236</v>
      </c>
      <c r="BJ19" s="188">
        <f t="shared" ref="BJ19:BJ27" si="209">BJ123-BI19-BH19</f>
        <v>-150</v>
      </c>
      <c r="BK19" s="189">
        <f t="shared" ref="BK19:BK27" si="210">BK123-BJ19-BI19-BH19</f>
        <v>-98</v>
      </c>
      <c r="BL19" s="190">
        <f t="shared" si="61"/>
        <v>-324</v>
      </c>
      <c r="BM19" s="188">
        <f t="shared" ref="BM19:BM27" si="211">BM123-BL19</f>
        <v>14</v>
      </c>
      <c r="BN19" s="188">
        <f t="shared" ref="BN19:BN27" si="212">BN123-BM19-BL19</f>
        <v>-246</v>
      </c>
      <c r="BO19" s="189">
        <f t="shared" ref="BO19:BO27" si="213">BO123-BN19-BM19-BL19</f>
        <v>40</v>
      </c>
      <c r="BP19" s="190">
        <f t="shared" si="136"/>
        <v>173</v>
      </c>
      <c r="BQ19" s="188">
        <f t="shared" ref="BQ19:BQ27" si="214">BQ123-BP19</f>
        <v>-19</v>
      </c>
      <c r="BR19" s="188">
        <f t="shared" ref="BR19:BR27" si="215">BR123-BQ19-BP19</f>
        <v>-44</v>
      </c>
      <c r="BS19" s="189">
        <f t="shared" ref="BS19:BS27" si="216">BS123-BR19-BQ19-BP19</f>
        <v>-56</v>
      </c>
      <c r="BT19" s="190">
        <f t="shared" si="68"/>
        <v>101</v>
      </c>
      <c r="BU19" s="188">
        <f t="shared" ref="BU19:BU27" si="217">BU123-BT19</f>
        <v>124</v>
      </c>
      <c r="BV19" s="188">
        <f t="shared" ref="BV19:BV27" si="218">BV123-BU19-BT19</f>
        <v>-91</v>
      </c>
      <c r="BW19" s="189">
        <f t="shared" ref="BW19:BW27" si="219">BW123-BV19-BU19-BT19</f>
        <v>104</v>
      </c>
      <c r="BX19" s="190">
        <f t="shared" si="72"/>
        <v>98</v>
      </c>
      <c r="BY19" s="188">
        <f t="shared" ref="BY19:BY27" si="220">BY123-BX19</f>
        <v>-101</v>
      </c>
      <c r="BZ19" s="188">
        <f t="shared" ref="BZ19:BZ27" si="221">BZ123-BY19-BX19</f>
        <v>-277</v>
      </c>
      <c r="CA19" s="189">
        <f t="shared" ref="CA19:CA27" si="222">CA123-BZ19-BY19-BX19</f>
        <v>-129</v>
      </c>
      <c r="CB19" s="190">
        <f t="shared" si="137"/>
        <v>-494</v>
      </c>
      <c r="CC19" s="188">
        <f t="shared" ref="CC19:CC27" si="223">CC123-CB19</f>
        <v>36</v>
      </c>
      <c r="CD19" s="188">
        <f t="shared" ref="CD19:CD27" si="224">CD123-CC19-CB19</f>
        <v>128</v>
      </c>
      <c r="CE19" s="189">
        <f t="shared" ref="CE19:CE27" si="225">CE123-CD19-CC19-CB19</f>
        <v>-188</v>
      </c>
      <c r="CF19" s="190">
        <f t="shared" si="138"/>
        <v>252</v>
      </c>
      <c r="CG19" s="188">
        <f t="shared" ref="CG19:CG27" si="226">CG123-CF19</f>
        <v>-99</v>
      </c>
      <c r="CH19" s="188">
        <f t="shared" ref="CH19:CH27" si="227">CH123-CG19-CF19</f>
        <v>184</v>
      </c>
      <c r="CI19" s="189">
        <f t="shared" ref="CI19:CI27" si="228">CI123-CH19-CG19-CF19</f>
        <v>56</v>
      </c>
      <c r="CJ19" s="190">
        <f t="shared" si="140"/>
        <v>297</v>
      </c>
      <c r="CK19" s="188">
        <f t="shared" ref="CK19:CK27" si="229">CK123-CJ19</f>
        <v>245</v>
      </c>
      <c r="CL19" s="188">
        <f t="shared" ref="CL19:CL27" si="230">CL123-CK19-CJ19</f>
        <v>-74</v>
      </c>
      <c r="CM19" s="189">
        <f t="shared" ref="CM19:CM27" si="231">CM123-CL19-CK19-CJ19</f>
        <v>-3</v>
      </c>
      <c r="CN19" s="190">
        <f t="shared" si="142"/>
        <v>-401</v>
      </c>
      <c r="CO19" s="188">
        <f t="shared" ref="CO19:CO27" si="232">CO123-CN19</f>
        <v>-372</v>
      </c>
      <c r="CP19" s="188">
        <f t="shared" ref="CP19:CP27" si="233">CP123-CO19-CN19</f>
        <v>0</v>
      </c>
      <c r="CQ19" s="189">
        <f t="shared" ref="CQ19:CQ27" si="234">CQ123-CP19-CO19-CN19</f>
        <v>-878</v>
      </c>
      <c r="CR19" s="190">
        <f t="shared" si="144"/>
        <v>-121</v>
      </c>
      <c r="CS19" s="188">
        <f>BS!CR11-BS!CS11</f>
        <v>-561</v>
      </c>
      <c r="CT19" s="188">
        <f>BS!CS11-BS!CT11</f>
        <v>-802.18533036981353</v>
      </c>
      <c r="CU19" s="189">
        <f>BS!CT11-BS!CU11</f>
        <v>-51.309158636842767</v>
      </c>
      <c r="CV19" s="190">
        <f>BS!CU11-BS!CV11</f>
        <v>324.98368148147165</v>
      </c>
      <c r="CW19" s="188">
        <f>BS!CV11-BS!CW11</f>
        <v>291.39993756386502</v>
      </c>
      <c r="CX19" s="188">
        <f>BS!CW11-BS!CX11</f>
        <v>86.616157970222957</v>
      </c>
      <c r="CY19" s="189">
        <f>BS!CX11-BS!CY11</f>
        <v>-10.698772498774815</v>
      </c>
      <c r="CZ19" s="190">
        <f>BS!CY11-BS!CZ11</f>
        <v>220.14320982091158</v>
      </c>
      <c r="DA19" s="188">
        <f>BS!CZ11-BS!DA11</f>
        <v>-140.03164758102048</v>
      </c>
      <c r="DB19" s="188">
        <f>BS!DA11-BS!DB11</f>
        <v>-19.608396870016804</v>
      </c>
      <c r="DC19" s="189">
        <f>BS!DB11-BS!DC11</f>
        <v>-56.871089724299964</v>
      </c>
      <c r="DD19" s="895"/>
      <c r="DE19" s="190">
        <f t="shared" ref="DE19:DE27" si="235">SUM(D19:G19)</f>
        <v>0</v>
      </c>
      <c r="DF19" s="188">
        <f t="shared" ref="DF19:DF27" si="236">SUM(H19:K19)</f>
        <v>0</v>
      </c>
      <c r="DG19" s="188">
        <f t="shared" ref="DG19:DG27" si="237">SUM(L19:O19)</f>
        <v>-97.699999999999989</v>
      </c>
      <c r="DH19" s="188">
        <f t="shared" ref="DH19:DH27" si="238">SUM(P19:S19)</f>
        <v>-73.8</v>
      </c>
      <c r="DI19" s="188">
        <f t="shared" ref="DI19:DI27" si="239">SUM(T19:W19)</f>
        <v>-98.90000000000002</v>
      </c>
      <c r="DJ19" s="188">
        <f t="shared" ref="DJ19:DJ27" si="240">SUM(X19:AA19)</f>
        <v>-784.5</v>
      </c>
      <c r="DK19" s="188">
        <f t="shared" ref="DK19:DK27" si="241">SUM(AB19:AE19)</f>
        <v>605.79999999999995</v>
      </c>
      <c r="DL19" s="188">
        <f t="shared" ref="DL19:DL27" si="242">SUM(AF19:AI19)</f>
        <v>239</v>
      </c>
      <c r="DM19" s="188">
        <f t="shared" ref="DM19:DM27" si="243">SUM(AJ19:AM19)</f>
        <v>-103.79999999999998</v>
      </c>
      <c r="DN19" s="188">
        <f t="shared" ref="DN19:DN27" si="244">SUM(AN19:AQ19)</f>
        <v>-130.9</v>
      </c>
      <c r="DO19" s="188">
        <f t="shared" ref="DO19:DO27" si="245">SUM(AR19:AU19)</f>
        <v>-22.399999999999991</v>
      </c>
      <c r="DP19" s="188">
        <f t="shared" ref="DP19:DP27" si="246">SUM(AV19:AY19)</f>
        <v>-62</v>
      </c>
      <c r="DQ19" s="188">
        <f t="shared" ref="DQ19:DQ27" si="247">SUM(AZ19:BC19)</f>
        <v>5</v>
      </c>
      <c r="DR19" s="188">
        <f t="shared" ref="DR19:DR27" si="248">SUM(BD19:BG19)</f>
        <v>-26</v>
      </c>
      <c r="DS19" s="188">
        <f t="shared" ref="DS19:DS27" si="249">SUM(BH19:BK19)</f>
        <v>126</v>
      </c>
      <c r="DT19" s="188">
        <f t="shared" ref="DT19:DT27" si="250">SUM(BL19:BO19)</f>
        <v>-516</v>
      </c>
      <c r="DU19" s="188">
        <f t="shared" ref="DU19:DU27" si="251">SUM(BP19:BS19)</f>
        <v>54</v>
      </c>
      <c r="DV19" s="188">
        <f t="shared" ref="DV19:DV27" si="252">SUM(BT19:BW19)</f>
        <v>238</v>
      </c>
      <c r="DW19" s="188">
        <f t="shared" ref="DW19:DW27" si="253">SUM(BX19:CA19)</f>
        <v>-409</v>
      </c>
      <c r="DX19" s="188">
        <f t="shared" ref="DX19:DX27" si="254">SUM(CB19:CE19)</f>
        <v>-518</v>
      </c>
      <c r="DY19" s="188">
        <f t="shared" ref="DY19:DY27" si="255">SUM(CF19:CI19)</f>
        <v>393</v>
      </c>
      <c r="DZ19" s="188">
        <f t="shared" ref="DZ19:DZ27" si="256">SUM(CJ19:CM19)</f>
        <v>465</v>
      </c>
      <c r="EA19" s="188">
        <f t="shared" ref="EA19:EA27" si="257">SUM(CN19:CQ19)</f>
        <v>-1651</v>
      </c>
      <c r="EB19" s="188">
        <f t="shared" ref="EB19:EB27" si="258">SUM(CR19:CU19)</f>
        <v>-1535.4944890066563</v>
      </c>
      <c r="EC19" s="188">
        <f t="shared" si="111"/>
        <v>692.30100451678481</v>
      </c>
      <c r="ED19" s="188">
        <f t="shared" si="112"/>
        <v>3.6320756455743322</v>
      </c>
      <c r="EE19" s="716"/>
      <c r="EF19" s="190"/>
      <c r="EG19" s="188"/>
      <c r="EH19" s="188">
        <f t="shared" ref="EH19:EH27" si="259">SUM(M19:P19)</f>
        <v>-107.39999999999999</v>
      </c>
      <c r="EI19" s="188">
        <f t="shared" ref="EI19:EI27" si="260">SUM(Q19:T19)</f>
        <v>16.200000000000003</v>
      </c>
      <c r="EJ19" s="188">
        <f t="shared" ref="EJ19:EJ27" si="261">SUM(U19:X19)</f>
        <v>-423.9</v>
      </c>
      <c r="EK19" s="188">
        <f t="shared" ref="EK19:EK27" si="262">SUM(Y19:AB19)</f>
        <v>0.30000000000006821</v>
      </c>
      <c r="EL19" s="188">
        <f t="shared" ref="EL19:EL27" si="263">SUM(AC19:AF19)</f>
        <v>530.59999999999991</v>
      </c>
      <c r="EM19" s="188">
        <f t="shared" ref="EM19:EM27" si="264">SUM(AG19:AJ19)</f>
        <v>-163.79999999999998</v>
      </c>
      <c r="EN19" s="188">
        <f t="shared" ref="EN19:EN27" si="265">SUM(AK19:AN19)</f>
        <v>-279.09999999999997</v>
      </c>
      <c r="EO19" s="188">
        <f t="shared" ref="EO19:EO27" si="266">SUM(AO19:AR19)</f>
        <v>-139</v>
      </c>
      <c r="EP19" s="338">
        <f t="shared" ref="EP19:EP27" si="267">SUM(AS19:AV19)</f>
        <v>56.000000000000007</v>
      </c>
      <c r="EQ19" s="338">
        <f t="shared" ref="EQ19:EQ27" si="268">SUM(AW19:AZ19)</f>
        <v>-53.1</v>
      </c>
      <c r="ER19" s="338">
        <f t="shared" ref="ER19:ER27" si="269">SUM(BA19:BD19)</f>
        <v>-73</v>
      </c>
      <c r="ES19" s="338">
        <f t="shared" ref="ES19:ES27" si="270">SUM(BE19:BH19)</f>
        <v>192</v>
      </c>
      <c r="ET19" s="338">
        <f t="shared" ref="ET19:ET27" si="271">SUM(BI19:BL19)</f>
        <v>-336</v>
      </c>
      <c r="EU19" s="338">
        <f t="shared" ref="EU19:EU27" si="272">SUM(BM19:BP19)</f>
        <v>-19</v>
      </c>
      <c r="EV19" s="338">
        <f t="shared" ref="EV19:EV27" si="273">SUM(BQ19:BT19)</f>
        <v>-18</v>
      </c>
      <c r="EW19" s="338">
        <f t="shared" ref="EW19:EW27" si="274">SUM(BU19:BX19)</f>
        <v>235</v>
      </c>
      <c r="EX19" s="338">
        <f t="shared" ref="EX19:EX27" si="275">SUM(BY19:CB19)</f>
        <v>-1001</v>
      </c>
      <c r="EY19" s="338">
        <f t="shared" ref="EY19:EY27" si="276">SUM(CC19:CF19)</f>
        <v>228</v>
      </c>
      <c r="EZ19" s="338">
        <f t="shared" ref="EZ19:EZ28" si="277">SUM(CG19:CJ19)</f>
        <v>438</v>
      </c>
      <c r="FA19" s="338">
        <f t="shared" ref="FA19:FA28" si="278">SUM(CK19:CN19)</f>
        <v>-233</v>
      </c>
      <c r="FB19" s="338">
        <f t="shared" ref="FB19:FB28" si="279">SUM(CO19:CR19)</f>
        <v>-1371</v>
      </c>
      <c r="FC19" s="338">
        <f t="shared" ref="FC19:FC27" si="280">SUM(CS19:CV19)</f>
        <v>-1089.5108075251846</v>
      </c>
      <c r="FD19" s="339">
        <f t="shared" si="135"/>
        <v>587.46053285622475</v>
      </c>
      <c r="FO19" s="330"/>
      <c r="FP19" s="330"/>
    </row>
    <row r="20" spans="1:172" ht="14.25" customHeight="1">
      <c r="A20" s="7"/>
      <c r="B20" s="48" t="str">
        <f t="shared" si="0"/>
        <v>Inventory</v>
      </c>
      <c r="C20" s="49"/>
      <c r="D20" s="190">
        <f t="shared" si="154"/>
        <v>0</v>
      </c>
      <c r="E20" s="188">
        <f t="shared" si="155"/>
        <v>0</v>
      </c>
      <c r="F20" s="188">
        <f t="shared" si="156"/>
        <v>0</v>
      </c>
      <c r="G20" s="189">
        <f t="shared" si="157"/>
        <v>0</v>
      </c>
      <c r="H20" s="190">
        <f t="shared" si="158"/>
        <v>0</v>
      </c>
      <c r="I20" s="188">
        <f t="shared" si="159"/>
        <v>0</v>
      </c>
      <c r="J20" s="188">
        <f t="shared" si="160"/>
        <v>0</v>
      </c>
      <c r="K20" s="189">
        <f t="shared" si="161"/>
        <v>0</v>
      </c>
      <c r="L20" s="190">
        <f t="shared" si="162"/>
        <v>-52.7</v>
      </c>
      <c r="M20" s="188">
        <f t="shared" si="163"/>
        <v>-27.599999999999994</v>
      </c>
      <c r="N20" s="188">
        <f t="shared" si="164"/>
        <v>-44.900000000000006</v>
      </c>
      <c r="O20" s="189">
        <f t="shared" si="165"/>
        <v>-68.999999999999986</v>
      </c>
      <c r="P20" s="190">
        <f t="shared" si="166"/>
        <v>-27.2</v>
      </c>
      <c r="Q20" s="188">
        <f t="shared" si="167"/>
        <v>10.3</v>
      </c>
      <c r="R20" s="188">
        <f t="shared" si="168"/>
        <v>69.3</v>
      </c>
      <c r="S20" s="189">
        <f t="shared" si="169"/>
        <v>87.600000000000009</v>
      </c>
      <c r="T20" s="190">
        <f t="shared" si="170"/>
        <v>-36.4</v>
      </c>
      <c r="U20" s="188">
        <f t="shared" si="171"/>
        <v>-4.5</v>
      </c>
      <c r="V20" s="188">
        <f t="shared" si="172"/>
        <v>-76.800000000000011</v>
      </c>
      <c r="W20" s="189">
        <f t="shared" si="173"/>
        <v>74.900000000000006</v>
      </c>
      <c r="X20" s="190">
        <f>X124</f>
        <v>-138.5</v>
      </c>
      <c r="Y20" s="188">
        <f t="shared" si="175"/>
        <v>-177.8</v>
      </c>
      <c r="Z20" s="188">
        <f t="shared" si="176"/>
        <v>51.100000000000023</v>
      </c>
      <c r="AA20" s="189">
        <f t="shared" si="177"/>
        <v>-66.400000000000034</v>
      </c>
      <c r="AB20" s="190">
        <f t="shared" si="178"/>
        <v>-312.39999999999998</v>
      </c>
      <c r="AC20" s="188">
        <f t="shared" si="179"/>
        <v>-140.10000000000002</v>
      </c>
      <c r="AD20" s="188">
        <f t="shared" si="180"/>
        <v>90.100000000000023</v>
      </c>
      <c r="AE20" s="189">
        <f t="shared" si="181"/>
        <v>-120.40000000000009</v>
      </c>
      <c r="AF20" s="190">
        <f t="shared" si="182"/>
        <v>-131.80000000000001</v>
      </c>
      <c r="AG20" s="188">
        <f t="shared" si="183"/>
        <v>-100.39999999999998</v>
      </c>
      <c r="AH20" s="188">
        <f t="shared" si="184"/>
        <v>-114.19999999999999</v>
      </c>
      <c r="AI20" s="189">
        <f t="shared" si="185"/>
        <v>-32.5</v>
      </c>
      <c r="AJ20" s="190">
        <f t="shared" si="186"/>
        <v>-119.4</v>
      </c>
      <c r="AK20" s="188">
        <f t="shared" si="187"/>
        <v>-5.7999999999999972</v>
      </c>
      <c r="AL20" s="188">
        <f t="shared" si="188"/>
        <v>-79.200000000000017</v>
      </c>
      <c r="AM20" s="189">
        <f t="shared" si="189"/>
        <v>8.2000000000000313</v>
      </c>
      <c r="AN20" s="190">
        <f t="shared" si="190"/>
        <v>10.8</v>
      </c>
      <c r="AO20" s="188">
        <f t="shared" si="191"/>
        <v>-38.1</v>
      </c>
      <c r="AP20" s="188">
        <f t="shared" si="192"/>
        <v>-86.8</v>
      </c>
      <c r="AQ20" s="189">
        <f t="shared" si="193"/>
        <v>-46.400000000000006</v>
      </c>
      <c r="AR20" s="190">
        <f t="shared" si="194"/>
        <v>-127.2</v>
      </c>
      <c r="AS20" s="188">
        <f t="shared" si="195"/>
        <v>-47.3</v>
      </c>
      <c r="AT20" s="188">
        <f t="shared" si="196"/>
        <v>-73.999999999999986</v>
      </c>
      <c r="AU20" s="189">
        <f t="shared" si="197"/>
        <v>55.199999999999974</v>
      </c>
      <c r="AV20" s="190">
        <f t="shared" si="198"/>
        <v>89.1</v>
      </c>
      <c r="AW20" s="188">
        <f t="shared" si="199"/>
        <v>-3.2999999999999972</v>
      </c>
      <c r="AX20" s="188">
        <f t="shared" si="200"/>
        <v>-9.8999999999999915</v>
      </c>
      <c r="AY20" s="189">
        <f t="shared" si="201"/>
        <v>-87.9</v>
      </c>
      <c r="AZ20" s="190">
        <f t="shared" si="49"/>
        <v>-151</v>
      </c>
      <c r="BA20" s="188">
        <f t="shared" si="202"/>
        <v>-180</v>
      </c>
      <c r="BB20" s="188">
        <f t="shared" si="203"/>
        <v>-156</v>
      </c>
      <c r="BC20" s="189">
        <f t="shared" si="204"/>
        <v>-104</v>
      </c>
      <c r="BD20" s="190">
        <f t="shared" si="53"/>
        <v>27</v>
      </c>
      <c r="BE20" s="188">
        <f t="shared" si="205"/>
        <v>-21</v>
      </c>
      <c r="BF20" s="188">
        <f t="shared" si="206"/>
        <v>-4</v>
      </c>
      <c r="BG20" s="189">
        <f t="shared" si="207"/>
        <v>-42</v>
      </c>
      <c r="BH20" s="190">
        <f t="shared" si="57"/>
        <v>39</v>
      </c>
      <c r="BI20" s="188">
        <f t="shared" si="208"/>
        <v>-210</v>
      </c>
      <c r="BJ20" s="188">
        <f t="shared" si="209"/>
        <v>-140</v>
      </c>
      <c r="BK20" s="189">
        <f t="shared" si="210"/>
        <v>-45</v>
      </c>
      <c r="BL20" s="190">
        <f t="shared" si="61"/>
        <v>-59</v>
      </c>
      <c r="BM20" s="188">
        <f t="shared" si="211"/>
        <v>-43</v>
      </c>
      <c r="BN20" s="188">
        <f t="shared" si="212"/>
        <v>14</v>
      </c>
      <c r="BO20" s="189">
        <f t="shared" si="213"/>
        <v>-33</v>
      </c>
      <c r="BP20" s="190">
        <f t="shared" si="136"/>
        <v>-128</v>
      </c>
      <c r="BQ20" s="188">
        <f t="shared" si="214"/>
        <v>-68</v>
      </c>
      <c r="BR20" s="188">
        <f t="shared" si="215"/>
        <v>-149</v>
      </c>
      <c r="BS20" s="189">
        <f t="shared" si="216"/>
        <v>-12</v>
      </c>
      <c r="BT20" s="190">
        <f t="shared" si="68"/>
        <v>-17</v>
      </c>
      <c r="BU20" s="188">
        <f t="shared" si="217"/>
        <v>16</v>
      </c>
      <c r="BV20" s="188">
        <f t="shared" si="218"/>
        <v>183</v>
      </c>
      <c r="BW20" s="189">
        <f t="shared" si="219"/>
        <v>76</v>
      </c>
      <c r="BX20" s="190">
        <f t="shared" si="72"/>
        <v>-26</v>
      </c>
      <c r="BY20" s="188">
        <f t="shared" si="220"/>
        <v>53</v>
      </c>
      <c r="BZ20" s="188">
        <f t="shared" si="221"/>
        <v>11</v>
      </c>
      <c r="CA20" s="189">
        <f t="shared" si="222"/>
        <v>45</v>
      </c>
      <c r="CB20" s="190">
        <f t="shared" si="137"/>
        <v>190</v>
      </c>
      <c r="CC20" s="188">
        <f t="shared" si="223"/>
        <v>-2</v>
      </c>
      <c r="CD20" s="188">
        <f t="shared" si="224"/>
        <v>-71</v>
      </c>
      <c r="CE20" s="189">
        <f t="shared" si="225"/>
        <v>77</v>
      </c>
      <c r="CF20" s="190">
        <f t="shared" si="138"/>
        <v>7</v>
      </c>
      <c r="CG20" s="188">
        <f t="shared" si="226"/>
        <v>71</v>
      </c>
      <c r="CH20" s="188">
        <f t="shared" si="227"/>
        <v>-3</v>
      </c>
      <c r="CI20" s="189">
        <f t="shared" si="228"/>
        <v>41</v>
      </c>
      <c r="CJ20" s="190">
        <f t="shared" si="140"/>
        <v>-95</v>
      </c>
      <c r="CK20" s="188">
        <f t="shared" si="229"/>
        <v>-173</v>
      </c>
      <c r="CL20" s="188">
        <f t="shared" si="230"/>
        <v>-312</v>
      </c>
      <c r="CM20" s="189">
        <f t="shared" si="231"/>
        <v>31</v>
      </c>
      <c r="CN20" s="190">
        <f t="shared" si="142"/>
        <v>139</v>
      </c>
      <c r="CO20" s="188">
        <f t="shared" si="232"/>
        <v>35</v>
      </c>
      <c r="CP20" s="188">
        <f t="shared" si="233"/>
        <v>0</v>
      </c>
      <c r="CQ20" s="189">
        <f t="shared" si="234"/>
        <v>-124</v>
      </c>
      <c r="CR20" s="190">
        <f t="shared" si="144"/>
        <v>-37</v>
      </c>
      <c r="CS20" s="188">
        <f>BS!CR12-BS!CS12</f>
        <v>-24</v>
      </c>
      <c r="CT20" s="188">
        <f>BS!CS12-BS!CT12</f>
        <v>228.54934921951462</v>
      </c>
      <c r="CU20" s="189">
        <f>BS!CT12-BS!CU12</f>
        <v>-191.49142361111126</v>
      </c>
      <c r="CV20" s="190">
        <f>BS!CU12-BS!CV12</f>
        <v>-196.35675830253058</v>
      </c>
      <c r="CW20" s="188">
        <f>BS!CV12-BS!CW12</f>
        <v>147.69112900201526</v>
      </c>
      <c r="CX20" s="188">
        <f>BS!CW12-BS!CX12</f>
        <v>-355.2485734629272</v>
      </c>
      <c r="CY20" s="189">
        <f>BS!CX12-BS!CY12</f>
        <v>-259.22786171284133</v>
      </c>
      <c r="CZ20" s="190">
        <f>BS!CY12-BS!CZ12</f>
        <v>-96.787825722752586</v>
      </c>
      <c r="DA20" s="188">
        <f>BS!CZ12-BS!DA12</f>
        <v>-125.42569169075205</v>
      </c>
      <c r="DB20" s="188">
        <f>BS!DA12-BS!DB12</f>
        <v>-88.040821631697781</v>
      </c>
      <c r="DC20" s="189">
        <f>BS!DB12-BS!DC12</f>
        <v>-111.35490338145792</v>
      </c>
      <c r="DD20" s="895"/>
      <c r="DE20" s="190">
        <f t="shared" si="235"/>
        <v>0</v>
      </c>
      <c r="DF20" s="188">
        <f t="shared" si="236"/>
        <v>0</v>
      </c>
      <c r="DG20" s="188">
        <f t="shared" si="237"/>
        <v>-194.2</v>
      </c>
      <c r="DH20" s="188">
        <f t="shared" si="238"/>
        <v>140</v>
      </c>
      <c r="DI20" s="188">
        <f t="shared" si="239"/>
        <v>-42.800000000000011</v>
      </c>
      <c r="DJ20" s="188">
        <f t="shared" si="240"/>
        <v>-331.6</v>
      </c>
      <c r="DK20" s="188">
        <f t="shared" si="241"/>
        <v>-482.80000000000007</v>
      </c>
      <c r="DL20" s="188">
        <f t="shared" si="242"/>
        <v>-378.9</v>
      </c>
      <c r="DM20" s="188">
        <f t="shared" si="243"/>
        <v>-196.2</v>
      </c>
      <c r="DN20" s="188">
        <f t="shared" si="244"/>
        <v>-160.5</v>
      </c>
      <c r="DO20" s="188">
        <f t="shared" si="245"/>
        <v>-193.3</v>
      </c>
      <c r="DP20" s="188">
        <f t="shared" si="246"/>
        <v>-12</v>
      </c>
      <c r="DQ20" s="188">
        <f t="shared" si="247"/>
        <v>-591</v>
      </c>
      <c r="DR20" s="188">
        <f t="shared" si="248"/>
        <v>-40</v>
      </c>
      <c r="DS20" s="188">
        <f t="shared" si="249"/>
        <v>-356</v>
      </c>
      <c r="DT20" s="188">
        <f t="shared" si="250"/>
        <v>-121</v>
      </c>
      <c r="DU20" s="188">
        <f t="shared" si="251"/>
        <v>-357</v>
      </c>
      <c r="DV20" s="188">
        <f t="shared" si="252"/>
        <v>258</v>
      </c>
      <c r="DW20" s="188">
        <f t="shared" si="253"/>
        <v>83</v>
      </c>
      <c r="DX20" s="188">
        <f t="shared" si="254"/>
        <v>194</v>
      </c>
      <c r="DY20" s="188">
        <f t="shared" si="255"/>
        <v>116</v>
      </c>
      <c r="DZ20" s="188">
        <f t="shared" si="256"/>
        <v>-549</v>
      </c>
      <c r="EA20" s="188">
        <f t="shared" si="257"/>
        <v>50</v>
      </c>
      <c r="EB20" s="188">
        <f t="shared" si="258"/>
        <v>-23.942074391596634</v>
      </c>
      <c r="EC20" s="188">
        <f t="shared" si="111"/>
        <v>-663.14206447628385</v>
      </c>
      <c r="ED20" s="188">
        <f t="shared" si="112"/>
        <v>-421.60924242666033</v>
      </c>
      <c r="EE20" s="716"/>
      <c r="EF20" s="190"/>
      <c r="EG20" s="188"/>
      <c r="EH20" s="188">
        <f t="shared" si="259"/>
        <v>-168.7</v>
      </c>
      <c r="EI20" s="188">
        <f t="shared" si="260"/>
        <v>130.79999999999998</v>
      </c>
      <c r="EJ20" s="188">
        <f t="shared" si="261"/>
        <v>-144.9</v>
      </c>
      <c r="EK20" s="188">
        <f t="shared" si="262"/>
        <v>-505.5</v>
      </c>
      <c r="EL20" s="188">
        <f t="shared" si="263"/>
        <v>-302.2000000000001</v>
      </c>
      <c r="EM20" s="188">
        <f t="shared" si="264"/>
        <v>-366.5</v>
      </c>
      <c r="EN20" s="188">
        <f t="shared" si="265"/>
        <v>-65.999999999999986</v>
      </c>
      <c r="EO20" s="188">
        <f t="shared" si="266"/>
        <v>-298.5</v>
      </c>
      <c r="EP20" s="338">
        <f t="shared" si="267"/>
        <v>22.999999999999986</v>
      </c>
      <c r="EQ20" s="338">
        <f t="shared" si="268"/>
        <v>-252.1</v>
      </c>
      <c r="ER20" s="338">
        <f t="shared" si="269"/>
        <v>-413</v>
      </c>
      <c r="ES20" s="338">
        <f t="shared" si="270"/>
        <v>-28</v>
      </c>
      <c r="ET20" s="338">
        <f t="shared" si="271"/>
        <v>-454</v>
      </c>
      <c r="EU20" s="338">
        <f t="shared" si="272"/>
        <v>-190</v>
      </c>
      <c r="EV20" s="338">
        <f t="shared" si="273"/>
        <v>-246</v>
      </c>
      <c r="EW20" s="338">
        <f t="shared" si="274"/>
        <v>249</v>
      </c>
      <c r="EX20" s="338">
        <f t="shared" si="275"/>
        <v>299</v>
      </c>
      <c r="EY20" s="338">
        <f t="shared" si="276"/>
        <v>11</v>
      </c>
      <c r="EZ20" s="338">
        <f t="shared" si="277"/>
        <v>14</v>
      </c>
      <c r="FA20" s="338">
        <f t="shared" si="278"/>
        <v>-315</v>
      </c>
      <c r="FB20" s="338">
        <f t="shared" si="279"/>
        <v>-126</v>
      </c>
      <c r="FC20" s="338">
        <f t="shared" si="280"/>
        <v>-183.29883269412721</v>
      </c>
      <c r="FD20" s="339">
        <f t="shared" si="135"/>
        <v>-563.57313189650586</v>
      </c>
      <c r="FO20" s="330"/>
      <c r="FP20" s="330"/>
    </row>
    <row r="21" spans="1:172" ht="14.25" customHeight="1">
      <c r="A21" s="7"/>
      <c r="B21" s="48" t="str">
        <f t="shared" si="0"/>
        <v>Prepaid and deferred income taxes</v>
      </c>
      <c r="C21" s="49"/>
      <c r="D21" s="190">
        <f t="shared" si="154"/>
        <v>0</v>
      </c>
      <c r="E21" s="188">
        <f t="shared" si="155"/>
        <v>0</v>
      </c>
      <c r="F21" s="188">
        <f t="shared" si="156"/>
        <v>0</v>
      </c>
      <c r="G21" s="189">
        <f t="shared" si="157"/>
        <v>0</v>
      </c>
      <c r="H21" s="190">
        <f t="shared" si="158"/>
        <v>0</v>
      </c>
      <c r="I21" s="188">
        <f t="shared" si="159"/>
        <v>0</v>
      </c>
      <c r="J21" s="188">
        <f t="shared" si="160"/>
        <v>0</v>
      </c>
      <c r="K21" s="189">
        <f t="shared" si="161"/>
        <v>0</v>
      </c>
      <c r="L21" s="190">
        <f t="shared" si="162"/>
        <v>0</v>
      </c>
      <c r="M21" s="188">
        <f t="shared" si="163"/>
        <v>0</v>
      </c>
      <c r="N21" s="188">
        <f t="shared" si="164"/>
        <v>0</v>
      </c>
      <c r="O21" s="189">
        <f t="shared" si="165"/>
        <v>0</v>
      </c>
      <c r="P21" s="190">
        <f t="shared" si="166"/>
        <v>0</v>
      </c>
      <c r="Q21" s="188">
        <f t="shared" si="167"/>
        <v>0</v>
      </c>
      <c r="R21" s="188">
        <f t="shared" si="168"/>
        <v>0</v>
      </c>
      <c r="S21" s="189">
        <f t="shared" si="169"/>
        <v>0</v>
      </c>
      <c r="T21" s="190">
        <f t="shared" si="170"/>
        <v>0</v>
      </c>
      <c r="U21" s="188">
        <f t="shared" si="171"/>
        <v>0</v>
      </c>
      <c r="V21" s="188">
        <f t="shared" si="172"/>
        <v>0</v>
      </c>
      <c r="W21" s="189">
        <f t="shared" si="173"/>
        <v>0</v>
      </c>
      <c r="X21" s="190">
        <f>X125</f>
        <v>0</v>
      </c>
      <c r="Y21" s="188">
        <f t="shared" si="175"/>
        <v>0</v>
      </c>
      <c r="Z21" s="188">
        <f t="shared" si="176"/>
        <v>0</v>
      </c>
      <c r="AA21" s="189">
        <f t="shared" si="177"/>
        <v>0</v>
      </c>
      <c r="AB21" s="190">
        <f t="shared" si="178"/>
        <v>0</v>
      </c>
      <c r="AC21" s="188">
        <f t="shared" si="179"/>
        <v>0</v>
      </c>
      <c r="AD21" s="188">
        <f t="shared" si="180"/>
        <v>0</v>
      </c>
      <c r="AE21" s="189">
        <f t="shared" si="181"/>
        <v>0</v>
      </c>
      <c r="AF21" s="190">
        <f t="shared" si="182"/>
        <v>0</v>
      </c>
      <c r="AG21" s="188">
        <f t="shared" si="183"/>
        <v>0</v>
      </c>
      <c r="AH21" s="188">
        <f t="shared" si="184"/>
        <v>0</v>
      </c>
      <c r="AI21" s="189">
        <f t="shared" si="185"/>
        <v>0</v>
      </c>
      <c r="AJ21" s="190">
        <f t="shared" si="186"/>
        <v>0</v>
      </c>
      <c r="AK21" s="188">
        <f t="shared" si="187"/>
        <v>0</v>
      </c>
      <c r="AL21" s="188">
        <f t="shared" si="188"/>
        <v>0</v>
      </c>
      <c r="AM21" s="189">
        <f t="shared" si="189"/>
        <v>0</v>
      </c>
      <c r="AN21" s="190">
        <f t="shared" si="190"/>
        <v>0</v>
      </c>
      <c r="AO21" s="188">
        <f t="shared" si="191"/>
        <v>0</v>
      </c>
      <c r="AP21" s="188">
        <f t="shared" si="192"/>
        <v>0</v>
      </c>
      <c r="AQ21" s="189">
        <f t="shared" si="193"/>
        <v>0</v>
      </c>
      <c r="AR21" s="190">
        <f t="shared" si="194"/>
        <v>0</v>
      </c>
      <c r="AS21" s="188">
        <f t="shared" si="195"/>
        <v>0</v>
      </c>
      <c r="AT21" s="188">
        <f t="shared" si="196"/>
        <v>0</v>
      </c>
      <c r="AU21" s="189">
        <f t="shared" si="197"/>
        <v>0</v>
      </c>
      <c r="AV21" s="190">
        <f t="shared" si="198"/>
        <v>0</v>
      </c>
      <c r="AW21" s="188">
        <f t="shared" si="199"/>
        <v>0</v>
      </c>
      <c r="AX21" s="188">
        <f t="shared" si="200"/>
        <v>0</v>
      </c>
      <c r="AY21" s="189">
        <f t="shared" si="201"/>
        <v>0</v>
      </c>
      <c r="AZ21" s="190">
        <f t="shared" si="49"/>
        <v>0</v>
      </c>
      <c r="BA21" s="188">
        <f t="shared" si="202"/>
        <v>0</v>
      </c>
      <c r="BB21" s="188">
        <f t="shared" si="203"/>
        <v>0</v>
      </c>
      <c r="BC21" s="189">
        <f t="shared" si="204"/>
        <v>0</v>
      </c>
      <c r="BD21" s="190">
        <f t="shared" si="53"/>
        <v>0</v>
      </c>
      <c r="BE21" s="188">
        <f t="shared" si="205"/>
        <v>0</v>
      </c>
      <c r="BF21" s="188">
        <f t="shared" si="206"/>
        <v>0</v>
      </c>
      <c r="BG21" s="189">
        <f t="shared" si="207"/>
        <v>0</v>
      </c>
      <c r="BH21" s="190">
        <f t="shared" si="57"/>
        <v>0</v>
      </c>
      <c r="BI21" s="188">
        <f t="shared" si="208"/>
        <v>0</v>
      </c>
      <c r="BJ21" s="188">
        <f t="shared" si="209"/>
        <v>0</v>
      </c>
      <c r="BK21" s="189">
        <f t="shared" si="210"/>
        <v>0</v>
      </c>
      <c r="BL21" s="190">
        <f t="shared" si="61"/>
        <v>0</v>
      </c>
      <c r="BM21" s="188">
        <f t="shared" si="211"/>
        <v>0</v>
      </c>
      <c r="BN21" s="188">
        <f t="shared" si="212"/>
        <v>-44</v>
      </c>
      <c r="BO21" s="189">
        <f t="shared" si="213"/>
        <v>-1</v>
      </c>
      <c r="BP21" s="190">
        <f t="shared" si="136"/>
        <v>0</v>
      </c>
      <c r="BQ21" s="188">
        <f t="shared" si="214"/>
        <v>0</v>
      </c>
      <c r="BR21" s="188">
        <f t="shared" si="215"/>
        <v>101</v>
      </c>
      <c r="BS21" s="189">
        <f t="shared" si="216"/>
        <v>2</v>
      </c>
      <c r="BT21" s="190">
        <f t="shared" si="68"/>
        <v>0</v>
      </c>
      <c r="BU21" s="188">
        <f t="shared" si="217"/>
        <v>0</v>
      </c>
      <c r="BV21" s="188">
        <f t="shared" si="218"/>
        <v>0</v>
      </c>
      <c r="BW21" s="189">
        <f t="shared" si="219"/>
        <v>0</v>
      </c>
      <c r="BX21" s="190">
        <f t="shared" si="72"/>
        <v>0</v>
      </c>
      <c r="BY21" s="188">
        <f t="shared" si="220"/>
        <v>0</v>
      </c>
      <c r="BZ21" s="188">
        <f t="shared" si="221"/>
        <v>0</v>
      </c>
      <c r="CA21" s="189">
        <f t="shared" si="222"/>
        <v>0</v>
      </c>
      <c r="CB21" s="190">
        <f t="shared" si="137"/>
        <v>0</v>
      </c>
      <c r="CC21" s="188">
        <f t="shared" si="223"/>
        <v>0</v>
      </c>
      <c r="CD21" s="188">
        <f t="shared" si="224"/>
        <v>0</v>
      </c>
      <c r="CE21" s="189">
        <f t="shared" si="225"/>
        <v>0</v>
      </c>
      <c r="CF21" s="190">
        <f t="shared" si="138"/>
        <v>0</v>
      </c>
      <c r="CG21" s="188">
        <f t="shared" si="226"/>
        <v>0</v>
      </c>
      <c r="CH21" s="188">
        <f t="shared" si="227"/>
        <v>0</v>
      </c>
      <c r="CI21" s="189">
        <f t="shared" si="228"/>
        <v>0</v>
      </c>
      <c r="CJ21" s="190">
        <f t="shared" si="140"/>
        <v>0</v>
      </c>
      <c r="CK21" s="188">
        <f t="shared" si="229"/>
        <v>0</v>
      </c>
      <c r="CL21" s="188">
        <f t="shared" si="230"/>
        <v>0</v>
      </c>
      <c r="CM21" s="189">
        <f t="shared" si="231"/>
        <v>0</v>
      </c>
      <c r="CN21" s="190">
        <f t="shared" si="142"/>
        <v>0</v>
      </c>
      <c r="CO21" s="188">
        <f t="shared" si="232"/>
        <v>0</v>
      </c>
      <c r="CP21" s="188">
        <f t="shared" si="233"/>
        <v>0</v>
      </c>
      <c r="CQ21" s="189">
        <f t="shared" si="234"/>
        <v>0</v>
      </c>
      <c r="CR21" s="190">
        <f t="shared" si="144"/>
        <v>0</v>
      </c>
      <c r="CS21" s="188">
        <f>BS!CR13-BS!CS13</f>
        <v>0</v>
      </c>
      <c r="CT21" s="188">
        <f>BS!CS13-BS!CT13</f>
        <v>0</v>
      </c>
      <c r="CU21" s="189">
        <f>BS!CT13-BS!CU13</f>
        <v>0</v>
      </c>
      <c r="CV21" s="190">
        <f>BS!CU13-BS!CV13</f>
        <v>0</v>
      </c>
      <c r="CW21" s="188">
        <f>BS!CV13-BS!CW13</f>
        <v>0</v>
      </c>
      <c r="CX21" s="188">
        <f>BS!CW13-BS!CX13</f>
        <v>0</v>
      </c>
      <c r="CY21" s="189">
        <f>BS!CX13-BS!CY13</f>
        <v>0</v>
      </c>
      <c r="CZ21" s="190">
        <f>BS!CY13-BS!CZ13</f>
        <v>0</v>
      </c>
      <c r="DA21" s="188">
        <f>BS!CZ13-BS!DA13</f>
        <v>0</v>
      </c>
      <c r="DB21" s="188">
        <f>BS!DA13-BS!DB13</f>
        <v>0</v>
      </c>
      <c r="DC21" s="189">
        <f>BS!DB13-BS!DC13</f>
        <v>0</v>
      </c>
      <c r="DD21" s="895"/>
      <c r="DE21" s="190">
        <f t="shared" si="235"/>
        <v>0</v>
      </c>
      <c r="DF21" s="188">
        <f t="shared" si="236"/>
        <v>0</v>
      </c>
      <c r="DG21" s="188">
        <f t="shared" si="237"/>
        <v>0</v>
      </c>
      <c r="DH21" s="188">
        <f t="shared" si="238"/>
        <v>0</v>
      </c>
      <c r="DI21" s="188">
        <f t="shared" si="239"/>
        <v>0</v>
      </c>
      <c r="DJ21" s="188">
        <f t="shared" si="240"/>
        <v>0</v>
      </c>
      <c r="DK21" s="188">
        <f t="shared" si="241"/>
        <v>0</v>
      </c>
      <c r="DL21" s="188">
        <f t="shared" si="242"/>
        <v>0</v>
      </c>
      <c r="DM21" s="188">
        <f t="shared" si="243"/>
        <v>0</v>
      </c>
      <c r="DN21" s="188">
        <f t="shared" si="244"/>
        <v>0</v>
      </c>
      <c r="DO21" s="188">
        <f t="shared" si="245"/>
        <v>0</v>
      </c>
      <c r="DP21" s="188">
        <f t="shared" si="246"/>
        <v>0</v>
      </c>
      <c r="DQ21" s="188">
        <f t="shared" si="247"/>
        <v>0</v>
      </c>
      <c r="DR21" s="188">
        <f t="shared" si="248"/>
        <v>0</v>
      </c>
      <c r="DS21" s="188">
        <f t="shared" si="249"/>
        <v>0</v>
      </c>
      <c r="DT21" s="188">
        <f t="shared" si="250"/>
        <v>-45</v>
      </c>
      <c r="DU21" s="188">
        <f t="shared" si="251"/>
        <v>103</v>
      </c>
      <c r="DV21" s="188">
        <f t="shared" si="252"/>
        <v>0</v>
      </c>
      <c r="DW21" s="188">
        <f t="shared" si="253"/>
        <v>0</v>
      </c>
      <c r="DX21" s="188">
        <f t="shared" si="254"/>
        <v>0</v>
      </c>
      <c r="DY21" s="188">
        <f t="shared" si="255"/>
        <v>0</v>
      </c>
      <c r="DZ21" s="188">
        <f t="shared" si="256"/>
        <v>0</v>
      </c>
      <c r="EA21" s="188">
        <f t="shared" si="257"/>
        <v>0</v>
      </c>
      <c r="EB21" s="188">
        <f t="shared" si="258"/>
        <v>0</v>
      </c>
      <c r="EC21" s="188">
        <f t="shared" si="111"/>
        <v>0</v>
      </c>
      <c r="ED21" s="188">
        <f t="shared" si="112"/>
        <v>0</v>
      </c>
      <c r="EE21" s="716"/>
      <c r="EF21" s="190"/>
      <c r="EG21" s="188"/>
      <c r="EH21" s="188">
        <f t="shared" si="259"/>
        <v>0</v>
      </c>
      <c r="EI21" s="188">
        <f t="shared" si="260"/>
        <v>0</v>
      </c>
      <c r="EJ21" s="188">
        <f t="shared" si="261"/>
        <v>0</v>
      </c>
      <c r="EK21" s="188">
        <f t="shared" si="262"/>
        <v>0</v>
      </c>
      <c r="EL21" s="188">
        <f t="shared" si="263"/>
        <v>0</v>
      </c>
      <c r="EM21" s="188">
        <f t="shared" si="264"/>
        <v>0</v>
      </c>
      <c r="EN21" s="188">
        <f t="shared" si="265"/>
        <v>0</v>
      </c>
      <c r="EO21" s="188">
        <f t="shared" si="266"/>
        <v>0</v>
      </c>
      <c r="EP21" s="338">
        <f t="shared" si="267"/>
        <v>0</v>
      </c>
      <c r="EQ21" s="338">
        <f t="shared" si="268"/>
        <v>0</v>
      </c>
      <c r="ER21" s="338">
        <f t="shared" si="269"/>
        <v>0</v>
      </c>
      <c r="ES21" s="338">
        <f t="shared" si="270"/>
        <v>0</v>
      </c>
      <c r="ET21" s="338">
        <f t="shared" si="271"/>
        <v>0</v>
      </c>
      <c r="EU21" s="338">
        <f t="shared" si="272"/>
        <v>-45</v>
      </c>
      <c r="EV21" s="338">
        <f t="shared" si="273"/>
        <v>103</v>
      </c>
      <c r="EW21" s="338">
        <f t="shared" si="274"/>
        <v>0</v>
      </c>
      <c r="EX21" s="338">
        <f t="shared" si="275"/>
        <v>0</v>
      </c>
      <c r="EY21" s="338">
        <f t="shared" si="276"/>
        <v>0</v>
      </c>
      <c r="EZ21" s="338">
        <f t="shared" si="277"/>
        <v>0</v>
      </c>
      <c r="FA21" s="338">
        <f t="shared" si="278"/>
        <v>0</v>
      </c>
      <c r="FB21" s="338">
        <f t="shared" si="279"/>
        <v>0</v>
      </c>
      <c r="FC21" s="338">
        <f t="shared" si="280"/>
        <v>0</v>
      </c>
      <c r="FD21" s="339">
        <f t="shared" si="135"/>
        <v>0</v>
      </c>
      <c r="FO21" s="330"/>
      <c r="FP21" s="330"/>
    </row>
    <row r="22" spans="1:172" ht="14.25" customHeight="1">
      <c r="A22" s="7"/>
      <c r="B22" s="48" t="str">
        <f t="shared" si="0"/>
        <v>Prepaid expenses and other assets</v>
      </c>
      <c r="C22" s="49"/>
      <c r="D22" s="190">
        <f t="shared" si="154"/>
        <v>0</v>
      </c>
      <c r="E22" s="188">
        <f t="shared" si="155"/>
        <v>0</v>
      </c>
      <c r="F22" s="188">
        <f t="shared" si="156"/>
        <v>0</v>
      </c>
      <c r="G22" s="189">
        <f t="shared" si="157"/>
        <v>0</v>
      </c>
      <c r="H22" s="190">
        <f t="shared" si="158"/>
        <v>0</v>
      </c>
      <c r="I22" s="188">
        <f t="shared" si="159"/>
        <v>0</v>
      </c>
      <c r="J22" s="188">
        <f t="shared" si="160"/>
        <v>0</v>
      </c>
      <c r="K22" s="189">
        <f t="shared" si="161"/>
        <v>0</v>
      </c>
      <c r="L22" s="190">
        <f t="shared" si="162"/>
        <v>0</v>
      </c>
      <c r="M22" s="188">
        <f t="shared" si="163"/>
        <v>0</v>
      </c>
      <c r="N22" s="188">
        <f t="shared" si="164"/>
        <v>0</v>
      </c>
      <c r="O22" s="189">
        <f t="shared" si="165"/>
        <v>0</v>
      </c>
      <c r="P22" s="190">
        <f t="shared" si="166"/>
        <v>0</v>
      </c>
      <c r="Q22" s="188">
        <f t="shared" si="167"/>
        <v>0</v>
      </c>
      <c r="R22" s="188">
        <f t="shared" si="168"/>
        <v>0</v>
      </c>
      <c r="S22" s="189">
        <f t="shared" si="169"/>
        <v>0</v>
      </c>
      <c r="T22" s="190">
        <f t="shared" si="170"/>
        <v>0</v>
      </c>
      <c r="U22" s="188">
        <f t="shared" si="171"/>
        <v>0</v>
      </c>
      <c r="V22" s="188">
        <f t="shared" si="172"/>
        <v>0</v>
      </c>
      <c r="W22" s="189">
        <f t="shared" si="173"/>
        <v>0</v>
      </c>
      <c r="X22" s="190">
        <f t="shared" si="174"/>
        <v>0</v>
      </c>
      <c r="Y22" s="188">
        <f t="shared" si="175"/>
        <v>0</v>
      </c>
      <c r="Z22" s="188">
        <f t="shared" si="176"/>
        <v>0</v>
      </c>
      <c r="AA22" s="189">
        <f t="shared" si="177"/>
        <v>0</v>
      </c>
      <c r="AB22" s="190">
        <f t="shared" si="178"/>
        <v>0</v>
      </c>
      <c r="AC22" s="188">
        <f t="shared" si="179"/>
        <v>0</v>
      </c>
      <c r="AD22" s="188">
        <f t="shared" si="180"/>
        <v>0</v>
      </c>
      <c r="AE22" s="189">
        <f t="shared" si="181"/>
        <v>0</v>
      </c>
      <c r="AF22" s="190">
        <f t="shared" si="182"/>
        <v>0</v>
      </c>
      <c r="AG22" s="188">
        <f t="shared" si="183"/>
        <v>0</v>
      </c>
      <c r="AH22" s="188">
        <f t="shared" si="184"/>
        <v>0</v>
      </c>
      <c r="AI22" s="189">
        <f t="shared" si="185"/>
        <v>0</v>
      </c>
      <c r="AJ22" s="190">
        <f t="shared" si="186"/>
        <v>0</v>
      </c>
      <c r="AK22" s="188">
        <f t="shared" si="187"/>
        <v>0</v>
      </c>
      <c r="AL22" s="188">
        <f t="shared" si="188"/>
        <v>0</v>
      </c>
      <c r="AM22" s="189">
        <f t="shared" si="189"/>
        <v>0</v>
      </c>
      <c r="AN22" s="190">
        <f t="shared" si="190"/>
        <v>0</v>
      </c>
      <c r="AO22" s="188">
        <f t="shared" si="191"/>
        <v>0</v>
      </c>
      <c r="AP22" s="188">
        <f t="shared" si="192"/>
        <v>0</v>
      </c>
      <c r="AQ22" s="189">
        <f t="shared" si="193"/>
        <v>0</v>
      </c>
      <c r="AR22" s="190">
        <f t="shared" si="194"/>
        <v>0</v>
      </c>
      <c r="AS22" s="188">
        <f t="shared" si="195"/>
        <v>0</v>
      </c>
      <c r="AT22" s="188">
        <f t="shared" si="196"/>
        <v>0</v>
      </c>
      <c r="AU22" s="189">
        <f t="shared" si="197"/>
        <v>0</v>
      </c>
      <c r="AV22" s="190">
        <f t="shared" si="198"/>
        <v>0</v>
      </c>
      <c r="AW22" s="188">
        <f t="shared" si="199"/>
        <v>0</v>
      </c>
      <c r="AX22" s="188">
        <f t="shared" si="200"/>
        <v>0</v>
      </c>
      <c r="AY22" s="189">
        <f t="shared" si="201"/>
        <v>0</v>
      </c>
      <c r="AZ22" s="190">
        <f t="shared" si="49"/>
        <v>0</v>
      </c>
      <c r="BA22" s="188">
        <f t="shared" si="202"/>
        <v>0</v>
      </c>
      <c r="BB22" s="188">
        <f t="shared" si="203"/>
        <v>0</v>
      </c>
      <c r="BC22" s="189">
        <f t="shared" si="204"/>
        <v>0</v>
      </c>
      <c r="BD22" s="190">
        <f t="shared" si="53"/>
        <v>0</v>
      </c>
      <c r="BE22" s="188">
        <f t="shared" si="205"/>
        <v>0</v>
      </c>
      <c r="BF22" s="188">
        <f t="shared" si="206"/>
        <v>0</v>
      </c>
      <c r="BG22" s="189">
        <f t="shared" si="207"/>
        <v>0</v>
      </c>
      <c r="BH22" s="190">
        <f t="shared" si="57"/>
        <v>0</v>
      </c>
      <c r="BI22" s="188">
        <f t="shared" si="208"/>
        <v>0</v>
      </c>
      <c r="BJ22" s="188">
        <f t="shared" si="209"/>
        <v>0</v>
      </c>
      <c r="BK22" s="189">
        <f t="shared" si="210"/>
        <v>0</v>
      </c>
      <c r="BL22" s="190">
        <f t="shared" si="61"/>
        <v>0</v>
      </c>
      <c r="BM22" s="188">
        <f t="shared" si="211"/>
        <v>0</v>
      </c>
      <c r="BN22" s="188">
        <f t="shared" si="212"/>
        <v>0</v>
      </c>
      <c r="BO22" s="189">
        <f t="shared" si="213"/>
        <v>0</v>
      </c>
      <c r="BP22" s="190">
        <f t="shared" si="136"/>
        <v>0</v>
      </c>
      <c r="BQ22" s="188">
        <f t="shared" si="214"/>
        <v>0</v>
      </c>
      <c r="BR22" s="188">
        <f t="shared" si="215"/>
        <v>0</v>
      </c>
      <c r="BS22" s="189">
        <f t="shared" si="216"/>
        <v>0</v>
      </c>
      <c r="BT22" s="190">
        <f t="shared" si="68"/>
        <v>0</v>
      </c>
      <c r="BU22" s="188">
        <f t="shared" si="217"/>
        <v>0</v>
      </c>
      <c r="BV22" s="188">
        <f t="shared" si="218"/>
        <v>0</v>
      </c>
      <c r="BW22" s="189">
        <f t="shared" si="219"/>
        <v>0</v>
      </c>
      <c r="BX22" s="190">
        <f t="shared" si="72"/>
        <v>0</v>
      </c>
      <c r="BY22" s="188">
        <f t="shared" si="220"/>
        <v>0</v>
      </c>
      <c r="BZ22" s="188">
        <f t="shared" si="221"/>
        <v>0</v>
      </c>
      <c r="CA22" s="189">
        <f t="shared" si="222"/>
        <v>0</v>
      </c>
      <c r="CB22" s="190">
        <f t="shared" si="137"/>
        <v>0</v>
      </c>
      <c r="CC22" s="188">
        <f t="shared" si="223"/>
        <v>0</v>
      </c>
      <c r="CD22" s="188">
        <f t="shared" si="224"/>
        <v>0</v>
      </c>
      <c r="CE22" s="189">
        <f t="shared" si="225"/>
        <v>0</v>
      </c>
      <c r="CF22" s="190">
        <f t="shared" si="138"/>
        <v>0</v>
      </c>
      <c r="CG22" s="188">
        <f t="shared" si="226"/>
        <v>0</v>
      </c>
      <c r="CH22" s="188">
        <f t="shared" si="227"/>
        <v>0</v>
      </c>
      <c r="CI22" s="189">
        <f t="shared" si="228"/>
        <v>0</v>
      </c>
      <c r="CJ22" s="190">
        <f t="shared" si="140"/>
        <v>0</v>
      </c>
      <c r="CK22" s="188">
        <f t="shared" si="229"/>
        <v>0</v>
      </c>
      <c r="CL22" s="188">
        <f t="shared" si="230"/>
        <v>0</v>
      </c>
      <c r="CM22" s="189">
        <f t="shared" si="231"/>
        <v>0</v>
      </c>
      <c r="CN22" s="190">
        <f t="shared" si="142"/>
        <v>0</v>
      </c>
      <c r="CO22" s="188">
        <f t="shared" si="232"/>
        <v>0</v>
      </c>
      <c r="CP22" s="188">
        <f t="shared" si="233"/>
        <v>0</v>
      </c>
      <c r="CQ22" s="189">
        <f t="shared" si="234"/>
        <v>0</v>
      </c>
      <c r="CR22" s="190">
        <f t="shared" si="144"/>
        <v>0</v>
      </c>
      <c r="CS22" s="188">
        <f>BS!CR14-BS!CS14+BS!CR23-BS!CS23</f>
        <v>-272</v>
      </c>
      <c r="CT22" s="188">
        <f>BS!CS14-BS!CT14+BS!CS23-BS!CT23</f>
        <v>0</v>
      </c>
      <c r="CU22" s="189">
        <f>BS!CT14-BS!CU14+BS!CT23-BS!CU23</f>
        <v>0</v>
      </c>
      <c r="CV22" s="190">
        <f>BS!CU14-BS!CV14+BS!CU23-BS!CV23</f>
        <v>0</v>
      </c>
      <c r="CW22" s="188">
        <f>BS!CV14-BS!CW14+BS!CV23-BS!CW23</f>
        <v>0</v>
      </c>
      <c r="CX22" s="188">
        <f>BS!CW14-BS!CX14+BS!CW23-BS!CX23</f>
        <v>0</v>
      </c>
      <c r="CY22" s="189">
        <f>BS!CX14-BS!CY14+BS!CX23-BS!CY23</f>
        <v>0</v>
      </c>
      <c r="CZ22" s="190">
        <f>BS!CY14-BS!CZ14+BS!CY23-BS!CZ23</f>
        <v>0</v>
      </c>
      <c r="DA22" s="188">
        <f>BS!CZ14-BS!DA14+BS!CZ23-BS!DA23</f>
        <v>0</v>
      </c>
      <c r="DB22" s="188">
        <f>BS!DA14-BS!DB14+BS!DA23-BS!DB23</f>
        <v>0</v>
      </c>
      <c r="DC22" s="189">
        <f>BS!DB14-BS!DC14+BS!DB23-BS!DC23</f>
        <v>0</v>
      </c>
      <c r="DD22" s="895"/>
      <c r="DE22" s="190">
        <f t="shared" si="235"/>
        <v>0</v>
      </c>
      <c r="DF22" s="188">
        <f t="shared" si="236"/>
        <v>0</v>
      </c>
      <c r="DG22" s="188">
        <f t="shared" si="237"/>
        <v>0</v>
      </c>
      <c r="DH22" s="188">
        <f t="shared" si="238"/>
        <v>0</v>
      </c>
      <c r="DI22" s="188">
        <f t="shared" si="239"/>
        <v>0</v>
      </c>
      <c r="DJ22" s="188">
        <f t="shared" si="240"/>
        <v>0</v>
      </c>
      <c r="DK22" s="188">
        <f t="shared" si="241"/>
        <v>0</v>
      </c>
      <c r="DL22" s="188">
        <f t="shared" si="242"/>
        <v>0</v>
      </c>
      <c r="DM22" s="188">
        <f t="shared" si="243"/>
        <v>0</v>
      </c>
      <c r="DN22" s="188">
        <f t="shared" si="244"/>
        <v>0</v>
      </c>
      <c r="DO22" s="188">
        <f t="shared" si="245"/>
        <v>0</v>
      </c>
      <c r="DP22" s="188">
        <f t="shared" si="246"/>
        <v>0</v>
      </c>
      <c r="DQ22" s="188">
        <f t="shared" si="247"/>
        <v>0</v>
      </c>
      <c r="DR22" s="188">
        <f t="shared" si="248"/>
        <v>0</v>
      </c>
      <c r="DS22" s="188">
        <f t="shared" si="249"/>
        <v>0</v>
      </c>
      <c r="DT22" s="188">
        <f t="shared" si="250"/>
        <v>0</v>
      </c>
      <c r="DU22" s="188">
        <f t="shared" si="251"/>
        <v>0</v>
      </c>
      <c r="DV22" s="188">
        <f t="shared" si="252"/>
        <v>0</v>
      </c>
      <c r="DW22" s="188">
        <f t="shared" si="253"/>
        <v>0</v>
      </c>
      <c r="DX22" s="188">
        <f t="shared" si="254"/>
        <v>0</v>
      </c>
      <c r="DY22" s="188">
        <f t="shared" si="255"/>
        <v>0</v>
      </c>
      <c r="DZ22" s="188">
        <f t="shared" si="256"/>
        <v>0</v>
      </c>
      <c r="EA22" s="188">
        <f t="shared" si="257"/>
        <v>0</v>
      </c>
      <c r="EB22" s="188">
        <f t="shared" si="258"/>
        <v>-272</v>
      </c>
      <c r="EC22" s="188">
        <f t="shared" si="111"/>
        <v>0</v>
      </c>
      <c r="ED22" s="188">
        <f t="shared" si="112"/>
        <v>0</v>
      </c>
      <c r="EE22" s="716"/>
      <c r="EF22" s="190"/>
      <c r="EG22" s="188"/>
      <c r="EH22" s="188">
        <f t="shared" si="259"/>
        <v>0</v>
      </c>
      <c r="EI22" s="188">
        <f t="shared" si="260"/>
        <v>0</v>
      </c>
      <c r="EJ22" s="188">
        <f t="shared" si="261"/>
        <v>0</v>
      </c>
      <c r="EK22" s="188">
        <f t="shared" si="262"/>
        <v>0</v>
      </c>
      <c r="EL22" s="188">
        <f t="shared" si="263"/>
        <v>0</v>
      </c>
      <c r="EM22" s="188">
        <f t="shared" si="264"/>
        <v>0</v>
      </c>
      <c r="EN22" s="188">
        <f t="shared" si="265"/>
        <v>0</v>
      </c>
      <c r="EO22" s="188">
        <f t="shared" si="266"/>
        <v>0</v>
      </c>
      <c r="EP22" s="338">
        <f t="shared" si="267"/>
        <v>0</v>
      </c>
      <c r="EQ22" s="338">
        <f t="shared" si="268"/>
        <v>0</v>
      </c>
      <c r="ER22" s="338">
        <f t="shared" si="269"/>
        <v>0</v>
      </c>
      <c r="ES22" s="338">
        <f t="shared" si="270"/>
        <v>0</v>
      </c>
      <c r="ET22" s="338">
        <f t="shared" si="271"/>
        <v>0</v>
      </c>
      <c r="EU22" s="338">
        <f t="shared" si="272"/>
        <v>0</v>
      </c>
      <c r="EV22" s="338">
        <f t="shared" si="273"/>
        <v>0</v>
      </c>
      <c r="EW22" s="338">
        <f t="shared" si="274"/>
        <v>0</v>
      </c>
      <c r="EX22" s="338">
        <f t="shared" si="275"/>
        <v>0</v>
      </c>
      <c r="EY22" s="338">
        <f t="shared" si="276"/>
        <v>0</v>
      </c>
      <c r="EZ22" s="338">
        <f t="shared" si="277"/>
        <v>0</v>
      </c>
      <c r="FA22" s="338">
        <f t="shared" si="278"/>
        <v>0</v>
      </c>
      <c r="FB22" s="338">
        <f t="shared" si="279"/>
        <v>0</v>
      </c>
      <c r="FC22" s="338">
        <f t="shared" si="280"/>
        <v>-272</v>
      </c>
      <c r="FD22" s="339">
        <f t="shared" si="135"/>
        <v>0</v>
      </c>
      <c r="FO22" s="330"/>
      <c r="FP22" s="330"/>
    </row>
    <row r="23" spans="1:172" ht="14.25" customHeight="1">
      <c r="A23" s="7"/>
      <c r="B23" s="48" t="str">
        <f t="shared" ref="B23:B28" si="281">B127</f>
        <v>Accounts payable</v>
      </c>
      <c r="C23" s="49"/>
      <c r="D23" s="190">
        <f t="shared" si="154"/>
        <v>0</v>
      </c>
      <c r="E23" s="188">
        <f t="shared" si="155"/>
        <v>0</v>
      </c>
      <c r="F23" s="188">
        <f t="shared" si="156"/>
        <v>0</v>
      </c>
      <c r="G23" s="189">
        <f t="shared" si="157"/>
        <v>0</v>
      </c>
      <c r="H23" s="190">
        <f t="shared" si="158"/>
        <v>0</v>
      </c>
      <c r="I23" s="188">
        <f t="shared" si="159"/>
        <v>0</v>
      </c>
      <c r="J23" s="188">
        <f t="shared" si="160"/>
        <v>0</v>
      </c>
      <c r="K23" s="189">
        <f t="shared" si="161"/>
        <v>0</v>
      </c>
      <c r="L23" s="190">
        <f t="shared" si="162"/>
        <v>3.4</v>
      </c>
      <c r="M23" s="188">
        <f t="shared" si="163"/>
        <v>94.5</v>
      </c>
      <c r="N23" s="188">
        <f t="shared" si="164"/>
        <v>-55.5</v>
      </c>
      <c r="O23" s="189">
        <f t="shared" si="165"/>
        <v>77.900000000000006</v>
      </c>
      <c r="P23" s="190">
        <f t="shared" si="166"/>
        <v>59.1</v>
      </c>
      <c r="Q23" s="188">
        <f t="shared" si="167"/>
        <v>-28.1</v>
      </c>
      <c r="R23" s="188">
        <f t="shared" si="168"/>
        <v>-76</v>
      </c>
      <c r="S23" s="189">
        <f t="shared" si="169"/>
        <v>-41.099999999999994</v>
      </c>
      <c r="T23" s="190">
        <f t="shared" si="170"/>
        <v>65.8</v>
      </c>
      <c r="U23" s="188">
        <f t="shared" si="171"/>
        <v>-50.3</v>
      </c>
      <c r="V23" s="188">
        <f t="shared" si="172"/>
        <v>26.399999999999991</v>
      </c>
      <c r="W23" s="189">
        <f t="shared" si="173"/>
        <v>100.50000000000001</v>
      </c>
      <c r="X23" s="190">
        <f t="shared" si="174"/>
        <v>219.7</v>
      </c>
      <c r="Y23" s="188">
        <f t="shared" si="175"/>
        <v>-103.89999999999999</v>
      </c>
      <c r="Z23" s="188">
        <f t="shared" si="176"/>
        <v>18.199999999999989</v>
      </c>
      <c r="AA23" s="189">
        <f t="shared" si="177"/>
        <v>462.7</v>
      </c>
      <c r="AB23" s="190">
        <f t="shared" si="178"/>
        <v>-124.4</v>
      </c>
      <c r="AC23" s="188">
        <f t="shared" si="179"/>
        <v>-355.6</v>
      </c>
      <c r="AD23" s="188">
        <f t="shared" si="180"/>
        <v>-184.1</v>
      </c>
      <c r="AE23" s="189">
        <f t="shared" si="181"/>
        <v>-38.299999999999926</v>
      </c>
      <c r="AF23" s="190">
        <f t="shared" si="182"/>
        <v>-9.5</v>
      </c>
      <c r="AG23" s="188">
        <f t="shared" si="183"/>
        <v>-52.9</v>
      </c>
      <c r="AH23" s="188">
        <f t="shared" si="184"/>
        <v>55.699999999999996</v>
      </c>
      <c r="AI23" s="189">
        <f t="shared" si="185"/>
        <v>46.6</v>
      </c>
      <c r="AJ23" s="190">
        <f t="shared" si="186"/>
        <v>35.200000000000003</v>
      </c>
      <c r="AK23" s="188">
        <f t="shared" si="187"/>
        <v>29.599999999999994</v>
      </c>
      <c r="AL23" s="188">
        <f t="shared" si="188"/>
        <v>6.6000000000000085</v>
      </c>
      <c r="AM23" s="189">
        <f t="shared" si="189"/>
        <v>27.399999999999991</v>
      </c>
      <c r="AN23" s="190">
        <f t="shared" si="190"/>
        <v>14.7</v>
      </c>
      <c r="AO23" s="188">
        <f t="shared" si="191"/>
        <v>-19.5</v>
      </c>
      <c r="AP23" s="188">
        <f t="shared" si="192"/>
        <v>-14.8</v>
      </c>
      <c r="AQ23" s="189">
        <f t="shared" si="193"/>
        <v>49.7</v>
      </c>
      <c r="AR23" s="190">
        <f t="shared" si="194"/>
        <v>26.6</v>
      </c>
      <c r="AS23" s="188">
        <f t="shared" si="195"/>
        <v>0.19999999999999929</v>
      </c>
      <c r="AT23" s="188">
        <f t="shared" si="196"/>
        <v>32.300000000000004</v>
      </c>
      <c r="AU23" s="189">
        <f t="shared" si="197"/>
        <v>-48</v>
      </c>
      <c r="AV23" s="190">
        <f t="shared" si="198"/>
        <v>16</v>
      </c>
      <c r="AW23" s="188">
        <f t="shared" si="199"/>
        <v>111.5</v>
      </c>
      <c r="AX23" s="188">
        <f t="shared" si="200"/>
        <v>-47.599999999999994</v>
      </c>
      <c r="AY23" s="189">
        <f t="shared" si="201"/>
        <v>50.099999999999994</v>
      </c>
      <c r="AZ23" s="190">
        <f t="shared" si="49"/>
        <v>72</v>
      </c>
      <c r="BA23" s="188">
        <f t="shared" si="202"/>
        <v>-10</v>
      </c>
      <c r="BB23" s="188">
        <f t="shared" si="203"/>
        <v>-118</v>
      </c>
      <c r="BC23" s="189">
        <f t="shared" si="204"/>
        <v>55</v>
      </c>
      <c r="BD23" s="190">
        <f t="shared" si="53"/>
        <v>-6</v>
      </c>
      <c r="BE23" s="188">
        <f t="shared" si="205"/>
        <v>-62</v>
      </c>
      <c r="BF23" s="188">
        <f t="shared" si="206"/>
        <v>20</v>
      </c>
      <c r="BG23" s="189">
        <f t="shared" si="207"/>
        <v>-44</v>
      </c>
      <c r="BH23" s="190">
        <f t="shared" si="57"/>
        <v>-67</v>
      </c>
      <c r="BI23" s="188">
        <f t="shared" si="208"/>
        <v>-35</v>
      </c>
      <c r="BJ23" s="188">
        <f t="shared" si="209"/>
        <v>96</v>
      </c>
      <c r="BK23" s="189">
        <f t="shared" si="210"/>
        <v>113</v>
      </c>
      <c r="BL23" s="190">
        <f t="shared" si="61"/>
        <v>66</v>
      </c>
      <c r="BM23" s="188">
        <f t="shared" si="211"/>
        <v>0</v>
      </c>
      <c r="BN23" s="188">
        <f t="shared" si="212"/>
        <v>99</v>
      </c>
      <c r="BO23" s="189">
        <f t="shared" si="213"/>
        <v>-111</v>
      </c>
      <c r="BP23" s="190">
        <f t="shared" si="136"/>
        <v>-192</v>
      </c>
      <c r="BQ23" s="188">
        <f t="shared" si="214"/>
        <v>286</v>
      </c>
      <c r="BR23" s="188">
        <f t="shared" si="215"/>
        <v>-54</v>
      </c>
      <c r="BS23" s="189">
        <f t="shared" si="216"/>
        <v>-124</v>
      </c>
      <c r="BT23" s="190">
        <f t="shared" si="68"/>
        <v>-97</v>
      </c>
      <c r="BU23" s="188">
        <f t="shared" si="217"/>
        <v>57</v>
      </c>
      <c r="BV23" s="188">
        <f t="shared" si="218"/>
        <v>-61</v>
      </c>
      <c r="BW23" s="189">
        <f t="shared" si="219"/>
        <v>18</v>
      </c>
      <c r="BX23" s="190">
        <f t="shared" si="72"/>
        <v>-109</v>
      </c>
      <c r="BY23" s="188">
        <f t="shared" si="220"/>
        <v>-80</v>
      </c>
      <c r="BZ23" s="188">
        <f t="shared" si="221"/>
        <v>231</v>
      </c>
      <c r="CA23" s="189">
        <f t="shared" si="222"/>
        <v>101</v>
      </c>
      <c r="CB23" s="190">
        <f t="shared" si="137"/>
        <v>408</v>
      </c>
      <c r="CC23" s="188">
        <f t="shared" si="223"/>
        <v>81</v>
      </c>
      <c r="CD23" s="188">
        <f t="shared" si="224"/>
        <v>86</v>
      </c>
      <c r="CE23" s="189">
        <f t="shared" si="225"/>
        <v>96</v>
      </c>
      <c r="CF23" s="190">
        <f t="shared" si="138"/>
        <v>-321</v>
      </c>
      <c r="CG23" s="188">
        <f t="shared" si="226"/>
        <v>-167</v>
      </c>
      <c r="CH23" s="188">
        <f t="shared" si="227"/>
        <v>-45</v>
      </c>
      <c r="CI23" s="189">
        <f t="shared" si="228"/>
        <v>-158</v>
      </c>
      <c r="CJ23" s="190">
        <f t="shared" si="140"/>
        <v>2</v>
      </c>
      <c r="CK23" s="188">
        <f t="shared" si="229"/>
        <v>-69</v>
      </c>
      <c r="CL23" s="188">
        <f t="shared" si="230"/>
        <v>70</v>
      </c>
      <c r="CM23" s="189">
        <f t="shared" si="231"/>
        <v>269</v>
      </c>
      <c r="CN23" s="190">
        <f t="shared" si="142"/>
        <v>299</v>
      </c>
      <c r="CO23" s="188">
        <f t="shared" si="232"/>
        <v>100</v>
      </c>
      <c r="CP23" s="188">
        <f t="shared" si="233"/>
        <v>0</v>
      </c>
      <c r="CQ23" s="189">
        <f t="shared" si="234"/>
        <v>165</v>
      </c>
      <c r="CR23" s="190">
        <f t="shared" si="144"/>
        <v>-261</v>
      </c>
      <c r="CS23" s="188">
        <f>BS!CS27-BS!CR27</f>
        <v>428</v>
      </c>
      <c r="CT23" s="188">
        <f>BS!CT27-BS!CS27</f>
        <v>-337.66937336180399</v>
      </c>
      <c r="CU23" s="189">
        <f>BS!CU27-BS!CT27</f>
        <v>249.86180750981657</v>
      </c>
      <c r="CV23" s="190">
        <f>BS!CV27-BS!CU27</f>
        <v>141.76372974570222</v>
      </c>
      <c r="CW23" s="188">
        <f>BS!CW27-BS!CV27</f>
        <v>-187.65461096726676</v>
      </c>
      <c r="CX23" s="188">
        <f>BS!CX27-BS!CW27</f>
        <v>451.37465804701378</v>
      </c>
      <c r="CY23" s="189">
        <f>BS!CY27-BS!CX27</f>
        <v>329.371871352786</v>
      </c>
      <c r="CZ23" s="190">
        <f>BS!CZ27-BS!CY27</f>
        <v>122.97747268302646</v>
      </c>
      <c r="DA23" s="188">
        <f>BS!DA27-BS!CZ27</f>
        <v>159.36440826589751</v>
      </c>
      <c r="DB23" s="188">
        <f>BS!DB27-BS!DA27</f>
        <v>111.86363219086252</v>
      </c>
      <c r="DC23" s="189">
        <f>BS!DC27-BS!DB27</f>
        <v>141.48623017879345</v>
      </c>
      <c r="DD23" s="895"/>
      <c r="DE23" s="190">
        <f t="shared" si="235"/>
        <v>0</v>
      </c>
      <c r="DF23" s="188">
        <f t="shared" si="236"/>
        <v>0</v>
      </c>
      <c r="DG23" s="188">
        <f t="shared" si="237"/>
        <v>120.30000000000001</v>
      </c>
      <c r="DH23" s="188">
        <f t="shared" si="238"/>
        <v>-86.1</v>
      </c>
      <c r="DI23" s="188">
        <f t="shared" si="239"/>
        <v>142.4</v>
      </c>
      <c r="DJ23" s="188">
        <f t="shared" si="240"/>
        <v>596.70000000000005</v>
      </c>
      <c r="DK23" s="188">
        <f t="shared" si="241"/>
        <v>-702.4</v>
      </c>
      <c r="DL23" s="188">
        <f t="shared" si="242"/>
        <v>39.9</v>
      </c>
      <c r="DM23" s="188">
        <f t="shared" si="243"/>
        <v>98.8</v>
      </c>
      <c r="DN23" s="188">
        <f t="shared" si="244"/>
        <v>30.1</v>
      </c>
      <c r="DO23" s="188">
        <f t="shared" si="245"/>
        <v>11.100000000000009</v>
      </c>
      <c r="DP23" s="188">
        <f t="shared" si="246"/>
        <v>130</v>
      </c>
      <c r="DQ23" s="188">
        <f t="shared" si="247"/>
        <v>-1</v>
      </c>
      <c r="DR23" s="188">
        <f t="shared" si="248"/>
        <v>-92</v>
      </c>
      <c r="DS23" s="188">
        <f t="shared" si="249"/>
        <v>107</v>
      </c>
      <c r="DT23" s="188">
        <f t="shared" si="250"/>
        <v>54</v>
      </c>
      <c r="DU23" s="188">
        <f t="shared" si="251"/>
        <v>-84</v>
      </c>
      <c r="DV23" s="188">
        <f t="shared" si="252"/>
        <v>-83</v>
      </c>
      <c r="DW23" s="188">
        <f t="shared" si="253"/>
        <v>143</v>
      </c>
      <c r="DX23" s="188">
        <f t="shared" si="254"/>
        <v>671</v>
      </c>
      <c r="DY23" s="188">
        <f t="shared" si="255"/>
        <v>-691</v>
      </c>
      <c r="DZ23" s="188">
        <f t="shared" si="256"/>
        <v>272</v>
      </c>
      <c r="EA23" s="188">
        <f t="shared" si="257"/>
        <v>564</v>
      </c>
      <c r="EB23" s="188">
        <f t="shared" si="258"/>
        <v>79.19243414801258</v>
      </c>
      <c r="EC23" s="188">
        <f t="shared" si="111"/>
        <v>734.85564817823524</v>
      </c>
      <c r="ED23" s="188">
        <f t="shared" si="112"/>
        <v>535.69174331857994</v>
      </c>
      <c r="EE23" s="716"/>
      <c r="EF23" s="190"/>
      <c r="EG23" s="188"/>
      <c r="EH23" s="188">
        <f t="shared" si="259"/>
        <v>176</v>
      </c>
      <c r="EI23" s="188">
        <f t="shared" si="260"/>
        <v>-79.399999999999991</v>
      </c>
      <c r="EJ23" s="188">
        <f t="shared" si="261"/>
        <v>296.3</v>
      </c>
      <c r="EK23" s="188">
        <f t="shared" si="262"/>
        <v>252.6</v>
      </c>
      <c r="EL23" s="188">
        <f t="shared" si="263"/>
        <v>-587.5</v>
      </c>
      <c r="EM23" s="188">
        <f t="shared" si="264"/>
        <v>84.6</v>
      </c>
      <c r="EN23" s="188">
        <f t="shared" si="265"/>
        <v>78.3</v>
      </c>
      <c r="EO23" s="188">
        <f t="shared" si="266"/>
        <v>42.000000000000007</v>
      </c>
      <c r="EP23" s="338">
        <f t="shared" si="267"/>
        <v>0.5</v>
      </c>
      <c r="EQ23" s="338">
        <f t="shared" si="268"/>
        <v>186</v>
      </c>
      <c r="ER23" s="338">
        <f t="shared" si="269"/>
        <v>-79</v>
      </c>
      <c r="ES23" s="338">
        <f t="shared" si="270"/>
        <v>-153</v>
      </c>
      <c r="ET23" s="338">
        <f t="shared" si="271"/>
        <v>240</v>
      </c>
      <c r="EU23" s="338">
        <f t="shared" si="272"/>
        <v>-204</v>
      </c>
      <c r="EV23" s="338">
        <f t="shared" si="273"/>
        <v>11</v>
      </c>
      <c r="EW23" s="338">
        <f t="shared" si="274"/>
        <v>-95</v>
      </c>
      <c r="EX23" s="338">
        <f t="shared" si="275"/>
        <v>660</v>
      </c>
      <c r="EY23" s="338">
        <f t="shared" si="276"/>
        <v>-58</v>
      </c>
      <c r="EZ23" s="338">
        <f t="shared" si="277"/>
        <v>-368</v>
      </c>
      <c r="FA23" s="338">
        <f t="shared" si="278"/>
        <v>569</v>
      </c>
      <c r="FB23" s="338">
        <f t="shared" si="279"/>
        <v>4</v>
      </c>
      <c r="FC23" s="338">
        <f t="shared" si="280"/>
        <v>481.9561638937148</v>
      </c>
      <c r="FD23" s="339">
        <f t="shared" si="135"/>
        <v>716.06939111555948</v>
      </c>
      <c r="FO23" s="330"/>
      <c r="FP23" s="330"/>
    </row>
    <row r="24" spans="1:172" ht="14.25" customHeight="1">
      <c r="A24" s="7"/>
      <c r="B24" s="48" t="str">
        <f t="shared" si="281"/>
        <v>Accrued expenses and other current liabilities</v>
      </c>
      <c r="C24" s="49"/>
      <c r="D24" s="190">
        <f t="shared" si="154"/>
        <v>0</v>
      </c>
      <c r="E24" s="188">
        <f t="shared" si="155"/>
        <v>0</v>
      </c>
      <c r="F24" s="188">
        <f t="shared" si="156"/>
        <v>0</v>
      </c>
      <c r="G24" s="189">
        <f t="shared" si="157"/>
        <v>0</v>
      </c>
      <c r="H24" s="190">
        <f t="shared" si="158"/>
        <v>0</v>
      </c>
      <c r="I24" s="188">
        <f t="shared" si="159"/>
        <v>0</v>
      </c>
      <c r="J24" s="188">
        <f t="shared" si="160"/>
        <v>0</v>
      </c>
      <c r="K24" s="189">
        <f t="shared" si="161"/>
        <v>0</v>
      </c>
      <c r="L24" s="190">
        <f t="shared" si="162"/>
        <v>0</v>
      </c>
      <c r="M24" s="188">
        <f t="shared" si="163"/>
        <v>0</v>
      </c>
      <c r="N24" s="188">
        <f t="shared" si="164"/>
        <v>0</v>
      </c>
      <c r="O24" s="189">
        <f t="shared" si="165"/>
        <v>0</v>
      </c>
      <c r="P24" s="190">
        <f t="shared" si="166"/>
        <v>0</v>
      </c>
      <c r="Q24" s="188">
        <f t="shared" si="167"/>
        <v>0</v>
      </c>
      <c r="R24" s="188">
        <f t="shared" si="168"/>
        <v>0</v>
      </c>
      <c r="S24" s="189">
        <f t="shared" si="169"/>
        <v>0</v>
      </c>
      <c r="T24" s="190">
        <f t="shared" si="170"/>
        <v>0</v>
      </c>
      <c r="U24" s="188">
        <f t="shared" si="171"/>
        <v>0</v>
      </c>
      <c r="V24" s="188">
        <f t="shared" si="172"/>
        <v>0</v>
      </c>
      <c r="W24" s="189">
        <f t="shared" si="173"/>
        <v>0</v>
      </c>
      <c r="X24" s="190">
        <f t="shared" si="174"/>
        <v>0</v>
      </c>
      <c r="Y24" s="188">
        <f t="shared" si="175"/>
        <v>0</v>
      </c>
      <c r="Z24" s="188">
        <f t="shared" si="176"/>
        <v>0</v>
      </c>
      <c r="AA24" s="189">
        <f t="shared" si="177"/>
        <v>0</v>
      </c>
      <c r="AB24" s="190">
        <f t="shared" si="178"/>
        <v>0</v>
      </c>
      <c r="AC24" s="188">
        <f t="shared" si="179"/>
        <v>0</v>
      </c>
      <c r="AD24" s="188">
        <f t="shared" si="180"/>
        <v>0</v>
      </c>
      <c r="AE24" s="189">
        <f t="shared" si="181"/>
        <v>0</v>
      </c>
      <c r="AF24" s="190">
        <f t="shared" si="182"/>
        <v>0</v>
      </c>
      <c r="AG24" s="188">
        <f t="shared" si="183"/>
        <v>0</v>
      </c>
      <c r="AH24" s="188">
        <f t="shared" si="184"/>
        <v>0</v>
      </c>
      <c r="AI24" s="189">
        <f t="shared" si="185"/>
        <v>0</v>
      </c>
      <c r="AJ24" s="190">
        <f t="shared" si="186"/>
        <v>0</v>
      </c>
      <c r="AK24" s="188">
        <f t="shared" si="187"/>
        <v>0</v>
      </c>
      <c r="AL24" s="188">
        <f t="shared" si="188"/>
        <v>0</v>
      </c>
      <c r="AM24" s="189">
        <f t="shared" si="189"/>
        <v>0</v>
      </c>
      <c r="AN24" s="190">
        <f t="shared" si="190"/>
        <v>0</v>
      </c>
      <c r="AO24" s="188">
        <f t="shared" si="191"/>
        <v>0</v>
      </c>
      <c r="AP24" s="188">
        <f t="shared" si="192"/>
        <v>0</v>
      </c>
      <c r="AQ24" s="189">
        <f t="shared" si="193"/>
        <v>0</v>
      </c>
      <c r="AR24" s="190">
        <f t="shared" si="194"/>
        <v>0</v>
      </c>
      <c r="AS24" s="188">
        <f t="shared" si="195"/>
        <v>0</v>
      </c>
      <c r="AT24" s="188">
        <f t="shared" si="196"/>
        <v>0</v>
      </c>
      <c r="AU24" s="189">
        <f t="shared" si="197"/>
        <v>0</v>
      </c>
      <c r="AV24" s="190">
        <f t="shared" si="198"/>
        <v>0</v>
      </c>
      <c r="AW24" s="188">
        <f t="shared" si="199"/>
        <v>0</v>
      </c>
      <c r="AX24" s="188">
        <f t="shared" si="200"/>
        <v>0</v>
      </c>
      <c r="AY24" s="189">
        <f t="shared" si="201"/>
        <v>0</v>
      </c>
      <c r="AZ24" s="190">
        <f t="shared" si="49"/>
        <v>0</v>
      </c>
      <c r="BA24" s="188">
        <f t="shared" si="202"/>
        <v>0</v>
      </c>
      <c r="BB24" s="188">
        <f t="shared" si="203"/>
        <v>0</v>
      </c>
      <c r="BC24" s="189">
        <f t="shared" si="204"/>
        <v>0</v>
      </c>
      <c r="BD24" s="190">
        <f t="shared" si="53"/>
        <v>0</v>
      </c>
      <c r="BE24" s="188">
        <f t="shared" si="205"/>
        <v>0</v>
      </c>
      <c r="BF24" s="188">
        <f t="shared" si="206"/>
        <v>0</v>
      </c>
      <c r="BG24" s="189">
        <f t="shared" si="207"/>
        <v>0</v>
      </c>
      <c r="BH24" s="190">
        <f t="shared" si="57"/>
        <v>0</v>
      </c>
      <c r="BI24" s="188">
        <f t="shared" si="208"/>
        <v>0</v>
      </c>
      <c r="BJ24" s="188">
        <f t="shared" si="209"/>
        <v>0</v>
      </c>
      <c r="BK24" s="189">
        <f t="shared" si="210"/>
        <v>0</v>
      </c>
      <c r="BL24" s="190">
        <f t="shared" si="61"/>
        <v>0</v>
      </c>
      <c r="BM24" s="188">
        <f t="shared" si="211"/>
        <v>0</v>
      </c>
      <c r="BN24" s="188">
        <f t="shared" si="212"/>
        <v>0</v>
      </c>
      <c r="BO24" s="189">
        <f t="shared" si="213"/>
        <v>0</v>
      </c>
      <c r="BP24" s="190">
        <f t="shared" si="136"/>
        <v>0</v>
      </c>
      <c r="BQ24" s="188">
        <f t="shared" si="214"/>
        <v>0</v>
      </c>
      <c r="BR24" s="188">
        <f t="shared" si="215"/>
        <v>0</v>
      </c>
      <c r="BS24" s="189">
        <f t="shared" si="216"/>
        <v>0</v>
      </c>
      <c r="BT24" s="190">
        <f t="shared" si="68"/>
        <v>0</v>
      </c>
      <c r="BU24" s="188">
        <f t="shared" si="217"/>
        <v>0</v>
      </c>
      <c r="BV24" s="188">
        <f t="shared" si="218"/>
        <v>296</v>
      </c>
      <c r="BW24" s="189">
        <f t="shared" si="219"/>
        <v>-42</v>
      </c>
      <c r="BX24" s="190">
        <f t="shared" si="72"/>
        <v>0</v>
      </c>
      <c r="BY24" s="188">
        <f t="shared" si="220"/>
        <v>-36</v>
      </c>
      <c r="BZ24" s="188">
        <f t="shared" si="221"/>
        <v>-59</v>
      </c>
      <c r="CA24" s="189">
        <f t="shared" si="222"/>
        <v>-28</v>
      </c>
      <c r="CB24" s="190">
        <f t="shared" si="137"/>
        <v>212</v>
      </c>
      <c r="CC24" s="188">
        <f t="shared" si="223"/>
        <v>-212</v>
      </c>
      <c r="CD24" s="188">
        <f t="shared" si="224"/>
        <v>71</v>
      </c>
      <c r="CE24" s="189">
        <f t="shared" si="225"/>
        <v>-3</v>
      </c>
      <c r="CF24" s="190">
        <f t="shared" si="138"/>
        <v>0</v>
      </c>
      <c r="CG24" s="188">
        <f t="shared" si="226"/>
        <v>0</v>
      </c>
      <c r="CH24" s="188">
        <f t="shared" si="227"/>
        <v>0</v>
      </c>
      <c r="CI24" s="189">
        <f t="shared" si="228"/>
        <v>0</v>
      </c>
      <c r="CJ24" s="190">
        <f t="shared" si="140"/>
        <v>0</v>
      </c>
      <c r="CK24" s="188">
        <f t="shared" si="229"/>
        <v>0</v>
      </c>
      <c r="CL24" s="188">
        <f t="shared" si="230"/>
        <v>0</v>
      </c>
      <c r="CM24" s="189">
        <f t="shared" si="231"/>
        <v>0</v>
      </c>
      <c r="CN24" s="190">
        <f t="shared" si="142"/>
        <v>0</v>
      </c>
      <c r="CO24" s="188">
        <f t="shared" si="232"/>
        <v>0</v>
      </c>
      <c r="CP24" s="188">
        <f t="shared" si="233"/>
        <v>0</v>
      </c>
      <c r="CQ24" s="189">
        <f t="shared" si="234"/>
        <v>0</v>
      </c>
      <c r="CR24" s="190">
        <f t="shared" si="144"/>
        <v>0</v>
      </c>
      <c r="CS24" s="188">
        <f>BS!CS28-BS!CR28</f>
        <v>0</v>
      </c>
      <c r="CT24" s="188">
        <f>BS!CT28-BS!CS28</f>
        <v>0</v>
      </c>
      <c r="CU24" s="189">
        <f>BS!CU28-BS!CT28</f>
        <v>0</v>
      </c>
      <c r="CV24" s="190">
        <f>BS!CV28-BS!CU28</f>
        <v>0</v>
      </c>
      <c r="CW24" s="188">
        <f>BS!CW28-BS!CV28</f>
        <v>0</v>
      </c>
      <c r="CX24" s="188">
        <f>BS!CX28-BS!CW28</f>
        <v>0</v>
      </c>
      <c r="CY24" s="189">
        <f>BS!CY28-BS!CX28</f>
        <v>0</v>
      </c>
      <c r="CZ24" s="190">
        <f>BS!CZ28-BS!CY28</f>
        <v>0</v>
      </c>
      <c r="DA24" s="188">
        <f>BS!DA28-BS!CZ28</f>
        <v>0</v>
      </c>
      <c r="DB24" s="188">
        <f>BS!DB28-BS!DA28</f>
        <v>0</v>
      </c>
      <c r="DC24" s="189">
        <f>BS!DC28-BS!DB28</f>
        <v>0</v>
      </c>
      <c r="DD24" s="895"/>
      <c r="DE24" s="190">
        <f t="shared" si="235"/>
        <v>0</v>
      </c>
      <c r="DF24" s="188">
        <f t="shared" si="236"/>
        <v>0</v>
      </c>
      <c r="DG24" s="188">
        <f t="shared" si="237"/>
        <v>0</v>
      </c>
      <c r="DH24" s="188">
        <f t="shared" si="238"/>
        <v>0</v>
      </c>
      <c r="DI24" s="188">
        <f t="shared" si="239"/>
        <v>0</v>
      </c>
      <c r="DJ24" s="188">
        <f t="shared" si="240"/>
        <v>0</v>
      </c>
      <c r="DK24" s="188">
        <f t="shared" si="241"/>
        <v>0</v>
      </c>
      <c r="DL24" s="188">
        <f t="shared" si="242"/>
        <v>0</v>
      </c>
      <c r="DM24" s="188">
        <f t="shared" si="243"/>
        <v>0</v>
      </c>
      <c r="DN24" s="188">
        <f t="shared" si="244"/>
        <v>0</v>
      </c>
      <c r="DO24" s="188">
        <f t="shared" si="245"/>
        <v>0</v>
      </c>
      <c r="DP24" s="188">
        <f t="shared" si="246"/>
        <v>0</v>
      </c>
      <c r="DQ24" s="188">
        <f t="shared" si="247"/>
        <v>0</v>
      </c>
      <c r="DR24" s="188">
        <f t="shared" si="248"/>
        <v>0</v>
      </c>
      <c r="DS24" s="188">
        <f t="shared" si="249"/>
        <v>0</v>
      </c>
      <c r="DT24" s="188">
        <f t="shared" si="250"/>
        <v>0</v>
      </c>
      <c r="DU24" s="188">
        <f t="shared" si="251"/>
        <v>0</v>
      </c>
      <c r="DV24" s="188">
        <f t="shared" si="252"/>
        <v>254</v>
      </c>
      <c r="DW24" s="188">
        <f t="shared" si="253"/>
        <v>-123</v>
      </c>
      <c r="DX24" s="188">
        <f t="shared" si="254"/>
        <v>68</v>
      </c>
      <c r="DY24" s="188">
        <f t="shared" si="255"/>
        <v>0</v>
      </c>
      <c r="DZ24" s="188">
        <f t="shared" si="256"/>
        <v>0</v>
      </c>
      <c r="EA24" s="188">
        <f t="shared" si="257"/>
        <v>0</v>
      </c>
      <c r="EB24" s="188">
        <f t="shared" si="258"/>
        <v>0</v>
      </c>
      <c r="EC24" s="188">
        <f t="shared" si="111"/>
        <v>0</v>
      </c>
      <c r="ED24" s="188">
        <f t="shared" si="112"/>
        <v>0</v>
      </c>
      <c r="EE24" s="716"/>
      <c r="EF24" s="190"/>
      <c r="EG24" s="188"/>
      <c r="EH24" s="188">
        <f t="shared" si="259"/>
        <v>0</v>
      </c>
      <c r="EI24" s="188">
        <f t="shared" si="260"/>
        <v>0</v>
      </c>
      <c r="EJ24" s="188">
        <f t="shared" si="261"/>
        <v>0</v>
      </c>
      <c r="EK24" s="188">
        <f t="shared" si="262"/>
        <v>0</v>
      </c>
      <c r="EL24" s="188">
        <f t="shared" si="263"/>
        <v>0</v>
      </c>
      <c r="EM24" s="188">
        <f t="shared" si="264"/>
        <v>0</v>
      </c>
      <c r="EN24" s="188">
        <f t="shared" si="265"/>
        <v>0</v>
      </c>
      <c r="EO24" s="188">
        <f t="shared" si="266"/>
        <v>0</v>
      </c>
      <c r="EP24" s="338">
        <f t="shared" si="267"/>
        <v>0</v>
      </c>
      <c r="EQ24" s="338">
        <f t="shared" si="268"/>
        <v>0</v>
      </c>
      <c r="ER24" s="338">
        <f t="shared" si="269"/>
        <v>0</v>
      </c>
      <c r="ES24" s="338">
        <f t="shared" si="270"/>
        <v>0</v>
      </c>
      <c r="ET24" s="338">
        <f t="shared" si="271"/>
        <v>0</v>
      </c>
      <c r="EU24" s="338">
        <f t="shared" si="272"/>
        <v>0</v>
      </c>
      <c r="EV24" s="338">
        <f t="shared" si="273"/>
        <v>0</v>
      </c>
      <c r="EW24" s="338">
        <f t="shared" si="274"/>
        <v>254</v>
      </c>
      <c r="EX24" s="338">
        <f t="shared" si="275"/>
        <v>89</v>
      </c>
      <c r="EY24" s="338">
        <f t="shared" si="276"/>
        <v>-144</v>
      </c>
      <c r="EZ24" s="338">
        <f t="shared" si="277"/>
        <v>0</v>
      </c>
      <c r="FA24" s="338">
        <f t="shared" si="278"/>
        <v>0</v>
      </c>
      <c r="FB24" s="338">
        <f t="shared" si="279"/>
        <v>0</v>
      </c>
      <c r="FC24" s="338">
        <f t="shared" si="280"/>
        <v>0</v>
      </c>
      <c r="FD24" s="339">
        <f t="shared" si="135"/>
        <v>0</v>
      </c>
      <c r="FO24" s="330"/>
      <c r="FP24" s="330"/>
    </row>
    <row r="25" spans="1:172" ht="14.25" customHeight="1">
      <c r="A25" s="7"/>
      <c r="B25" s="48" t="str">
        <f t="shared" si="281"/>
        <v>Income taxes payable</v>
      </c>
      <c r="C25" s="49"/>
      <c r="D25" s="190">
        <f t="shared" si="154"/>
        <v>0</v>
      </c>
      <c r="E25" s="188">
        <f t="shared" si="155"/>
        <v>0</v>
      </c>
      <c r="F25" s="188">
        <f t="shared" si="156"/>
        <v>0</v>
      </c>
      <c r="G25" s="189">
        <f t="shared" si="157"/>
        <v>0</v>
      </c>
      <c r="H25" s="190">
        <f t="shared" si="158"/>
        <v>0</v>
      </c>
      <c r="I25" s="188">
        <f t="shared" si="159"/>
        <v>0</v>
      </c>
      <c r="J25" s="188">
        <f t="shared" si="160"/>
        <v>0</v>
      </c>
      <c r="K25" s="189">
        <f t="shared" si="161"/>
        <v>0</v>
      </c>
      <c r="L25" s="190">
        <f t="shared" si="162"/>
        <v>0</v>
      </c>
      <c r="M25" s="188">
        <f t="shared" si="163"/>
        <v>0</v>
      </c>
      <c r="N25" s="188">
        <f t="shared" si="164"/>
        <v>0</v>
      </c>
      <c r="O25" s="189">
        <f t="shared" si="165"/>
        <v>0</v>
      </c>
      <c r="P25" s="190">
        <f t="shared" si="166"/>
        <v>0</v>
      </c>
      <c r="Q25" s="188">
        <f t="shared" si="167"/>
        <v>0</v>
      </c>
      <c r="R25" s="188">
        <f t="shared" si="168"/>
        <v>0</v>
      </c>
      <c r="S25" s="189">
        <f t="shared" si="169"/>
        <v>0</v>
      </c>
      <c r="T25" s="190">
        <f t="shared" si="170"/>
        <v>0</v>
      </c>
      <c r="U25" s="188">
        <f t="shared" si="171"/>
        <v>0</v>
      </c>
      <c r="V25" s="188">
        <f t="shared" si="172"/>
        <v>0</v>
      </c>
      <c r="W25" s="189">
        <f t="shared" si="173"/>
        <v>0</v>
      </c>
      <c r="X25" s="190">
        <f t="shared" si="174"/>
        <v>0</v>
      </c>
      <c r="Y25" s="188">
        <f t="shared" si="175"/>
        <v>0</v>
      </c>
      <c r="Z25" s="188">
        <f t="shared" si="176"/>
        <v>0</v>
      </c>
      <c r="AA25" s="189">
        <f t="shared" si="177"/>
        <v>0</v>
      </c>
      <c r="AB25" s="190">
        <f t="shared" si="178"/>
        <v>0</v>
      </c>
      <c r="AC25" s="188">
        <f t="shared" si="179"/>
        <v>0</v>
      </c>
      <c r="AD25" s="188">
        <f t="shared" si="180"/>
        <v>0</v>
      </c>
      <c r="AE25" s="189">
        <f t="shared" si="181"/>
        <v>0</v>
      </c>
      <c r="AF25" s="190">
        <f t="shared" si="182"/>
        <v>0</v>
      </c>
      <c r="AG25" s="188">
        <f t="shared" si="183"/>
        <v>0</v>
      </c>
      <c r="AH25" s="188">
        <f t="shared" si="184"/>
        <v>0</v>
      </c>
      <c r="AI25" s="189">
        <f t="shared" si="185"/>
        <v>0</v>
      </c>
      <c r="AJ25" s="190">
        <f t="shared" si="186"/>
        <v>0</v>
      </c>
      <c r="AK25" s="188">
        <f t="shared" si="187"/>
        <v>0</v>
      </c>
      <c r="AL25" s="188">
        <f t="shared" si="188"/>
        <v>0</v>
      </c>
      <c r="AM25" s="189">
        <f t="shared" si="189"/>
        <v>0</v>
      </c>
      <c r="AN25" s="190">
        <f t="shared" si="190"/>
        <v>0</v>
      </c>
      <c r="AO25" s="188">
        <f t="shared" si="191"/>
        <v>0</v>
      </c>
      <c r="AP25" s="188">
        <f t="shared" si="192"/>
        <v>0</v>
      </c>
      <c r="AQ25" s="189">
        <f t="shared" si="193"/>
        <v>0</v>
      </c>
      <c r="AR25" s="190">
        <f t="shared" si="194"/>
        <v>0</v>
      </c>
      <c r="AS25" s="188">
        <f t="shared" si="195"/>
        <v>0</v>
      </c>
      <c r="AT25" s="188">
        <f t="shared" si="196"/>
        <v>0</v>
      </c>
      <c r="AU25" s="189">
        <f t="shared" si="197"/>
        <v>0</v>
      </c>
      <c r="AV25" s="190">
        <f t="shared" si="198"/>
        <v>0</v>
      </c>
      <c r="AW25" s="188">
        <f t="shared" si="199"/>
        <v>0</v>
      </c>
      <c r="AX25" s="188">
        <f t="shared" si="200"/>
        <v>0</v>
      </c>
      <c r="AY25" s="189">
        <f t="shared" si="201"/>
        <v>0</v>
      </c>
      <c r="AZ25" s="190">
        <f t="shared" si="49"/>
        <v>0</v>
      </c>
      <c r="BA25" s="188">
        <f t="shared" si="202"/>
        <v>0</v>
      </c>
      <c r="BB25" s="188">
        <f t="shared" si="203"/>
        <v>0</v>
      </c>
      <c r="BC25" s="189">
        <f t="shared" si="204"/>
        <v>0</v>
      </c>
      <c r="BD25" s="190">
        <f t="shared" si="53"/>
        <v>0</v>
      </c>
      <c r="BE25" s="188">
        <f t="shared" si="205"/>
        <v>0</v>
      </c>
      <c r="BF25" s="188">
        <f t="shared" si="206"/>
        <v>0</v>
      </c>
      <c r="BG25" s="189">
        <f t="shared" si="207"/>
        <v>0</v>
      </c>
      <c r="BH25" s="190">
        <f t="shared" si="57"/>
        <v>0</v>
      </c>
      <c r="BI25" s="188">
        <f t="shared" si="208"/>
        <v>0</v>
      </c>
      <c r="BJ25" s="188">
        <f t="shared" si="209"/>
        <v>0</v>
      </c>
      <c r="BK25" s="189">
        <f t="shared" si="210"/>
        <v>0</v>
      </c>
      <c r="BL25" s="190">
        <f t="shared" si="61"/>
        <v>0</v>
      </c>
      <c r="BM25" s="188">
        <f t="shared" si="211"/>
        <v>0</v>
      </c>
      <c r="BN25" s="188">
        <f t="shared" si="212"/>
        <v>0</v>
      </c>
      <c r="BO25" s="189">
        <f t="shared" si="213"/>
        <v>0</v>
      </c>
      <c r="BP25" s="190">
        <f t="shared" si="136"/>
        <v>0</v>
      </c>
      <c r="BQ25" s="188">
        <f t="shared" si="214"/>
        <v>0</v>
      </c>
      <c r="BR25" s="188">
        <f t="shared" si="215"/>
        <v>0</v>
      </c>
      <c r="BS25" s="189">
        <f t="shared" si="216"/>
        <v>0</v>
      </c>
      <c r="BT25" s="190">
        <f t="shared" si="68"/>
        <v>0</v>
      </c>
      <c r="BU25" s="188">
        <f t="shared" si="217"/>
        <v>0</v>
      </c>
      <c r="BV25" s="188">
        <f t="shared" si="218"/>
        <v>-8</v>
      </c>
      <c r="BW25" s="189">
        <f t="shared" si="219"/>
        <v>11</v>
      </c>
      <c r="BX25" s="190">
        <f t="shared" si="72"/>
        <v>0</v>
      </c>
      <c r="BY25" s="188">
        <f t="shared" si="220"/>
        <v>0</v>
      </c>
      <c r="BZ25" s="188">
        <f t="shared" si="221"/>
        <v>0</v>
      </c>
      <c r="CA25" s="189">
        <f t="shared" si="222"/>
        <v>-7</v>
      </c>
      <c r="CB25" s="190">
        <f t="shared" si="137"/>
        <v>0</v>
      </c>
      <c r="CC25" s="188">
        <f t="shared" si="223"/>
        <v>127</v>
      </c>
      <c r="CD25" s="188">
        <f t="shared" si="224"/>
        <v>57</v>
      </c>
      <c r="CE25" s="189">
        <f t="shared" si="225"/>
        <v>59</v>
      </c>
      <c r="CF25" s="190">
        <f t="shared" si="138"/>
        <v>0</v>
      </c>
      <c r="CG25" s="188">
        <f t="shared" si="226"/>
        <v>0</v>
      </c>
      <c r="CH25" s="188">
        <f t="shared" si="227"/>
        <v>0</v>
      </c>
      <c r="CI25" s="189">
        <f t="shared" si="228"/>
        <v>0</v>
      </c>
      <c r="CJ25" s="190">
        <f t="shared" si="140"/>
        <v>0</v>
      </c>
      <c r="CK25" s="188">
        <f t="shared" si="229"/>
        <v>0</v>
      </c>
      <c r="CL25" s="188">
        <f t="shared" si="230"/>
        <v>0</v>
      </c>
      <c r="CM25" s="189">
        <f t="shared" si="231"/>
        <v>0</v>
      </c>
      <c r="CN25" s="190">
        <f t="shared" si="142"/>
        <v>0</v>
      </c>
      <c r="CO25" s="188">
        <f t="shared" si="232"/>
        <v>0</v>
      </c>
      <c r="CP25" s="188">
        <f t="shared" si="233"/>
        <v>0</v>
      </c>
      <c r="CQ25" s="189">
        <f t="shared" si="234"/>
        <v>0</v>
      </c>
      <c r="CR25" s="190">
        <f t="shared" si="144"/>
        <v>0</v>
      </c>
      <c r="CS25" s="188">
        <f>BS!CS30-BS!CR30+BS!CS37-BS!CR37</f>
        <v>0</v>
      </c>
      <c r="CT25" s="188">
        <f>BS!CT30-BS!CS30+BS!CT37-BS!CS37</f>
        <v>0</v>
      </c>
      <c r="CU25" s="189">
        <f>BS!CU30-BS!CT30+BS!CU37-BS!CT37</f>
        <v>0</v>
      </c>
      <c r="CV25" s="190">
        <f>BS!CV30-BS!CU30+BS!CV37-BS!CU37</f>
        <v>0</v>
      </c>
      <c r="CW25" s="188">
        <f>BS!CW30-BS!CV30+BS!CW37-BS!CV37</f>
        <v>0</v>
      </c>
      <c r="CX25" s="188">
        <f>BS!CX30-BS!CW30+BS!CX37-BS!CW37</f>
        <v>0</v>
      </c>
      <c r="CY25" s="189">
        <f>BS!CY30-BS!CX30+BS!CY37-BS!CX37</f>
        <v>0</v>
      </c>
      <c r="CZ25" s="190">
        <f>BS!CZ30-BS!CY30+BS!CZ37-BS!CY37</f>
        <v>0</v>
      </c>
      <c r="DA25" s="188">
        <f>BS!DA30-BS!CZ30+BS!DA37-BS!CZ37</f>
        <v>0</v>
      </c>
      <c r="DB25" s="188">
        <f>BS!DB30-BS!DA30+BS!DB37-BS!DA37</f>
        <v>0</v>
      </c>
      <c r="DC25" s="189">
        <f>BS!DC30-BS!DB30+BS!DC37-BS!DB37</f>
        <v>0</v>
      </c>
      <c r="DD25" s="895"/>
      <c r="DE25" s="190">
        <f t="shared" si="235"/>
        <v>0</v>
      </c>
      <c r="DF25" s="188">
        <f t="shared" si="236"/>
        <v>0</v>
      </c>
      <c r="DG25" s="188">
        <f t="shared" si="237"/>
        <v>0</v>
      </c>
      <c r="DH25" s="188">
        <f t="shared" si="238"/>
        <v>0</v>
      </c>
      <c r="DI25" s="188">
        <f t="shared" si="239"/>
        <v>0</v>
      </c>
      <c r="DJ25" s="188">
        <f t="shared" si="240"/>
        <v>0</v>
      </c>
      <c r="DK25" s="188">
        <f t="shared" si="241"/>
        <v>0</v>
      </c>
      <c r="DL25" s="188">
        <f t="shared" si="242"/>
        <v>0</v>
      </c>
      <c r="DM25" s="188">
        <f t="shared" si="243"/>
        <v>0</v>
      </c>
      <c r="DN25" s="188">
        <f t="shared" si="244"/>
        <v>0</v>
      </c>
      <c r="DO25" s="188">
        <f t="shared" si="245"/>
        <v>0</v>
      </c>
      <c r="DP25" s="188">
        <f t="shared" si="246"/>
        <v>0</v>
      </c>
      <c r="DQ25" s="188">
        <f t="shared" si="247"/>
        <v>0</v>
      </c>
      <c r="DR25" s="188">
        <f t="shared" si="248"/>
        <v>0</v>
      </c>
      <c r="DS25" s="188">
        <f t="shared" si="249"/>
        <v>0</v>
      </c>
      <c r="DT25" s="188">
        <f t="shared" si="250"/>
        <v>0</v>
      </c>
      <c r="DU25" s="188">
        <f t="shared" si="251"/>
        <v>0</v>
      </c>
      <c r="DV25" s="188">
        <f t="shared" si="252"/>
        <v>3</v>
      </c>
      <c r="DW25" s="188">
        <f t="shared" si="253"/>
        <v>-7</v>
      </c>
      <c r="DX25" s="188">
        <f t="shared" si="254"/>
        <v>243</v>
      </c>
      <c r="DY25" s="188">
        <f t="shared" si="255"/>
        <v>0</v>
      </c>
      <c r="DZ25" s="188">
        <f t="shared" si="256"/>
        <v>0</v>
      </c>
      <c r="EA25" s="188">
        <f t="shared" si="257"/>
        <v>0</v>
      </c>
      <c r="EB25" s="188">
        <f t="shared" si="258"/>
        <v>0</v>
      </c>
      <c r="EC25" s="188">
        <f t="shared" si="111"/>
        <v>0</v>
      </c>
      <c r="ED25" s="188">
        <f t="shared" si="112"/>
        <v>0</v>
      </c>
      <c r="EE25" s="716"/>
      <c r="EF25" s="190"/>
      <c r="EG25" s="188"/>
      <c r="EH25" s="188">
        <f t="shared" si="259"/>
        <v>0</v>
      </c>
      <c r="EI25" s="188">
        <f t="shared" si="260"/>
        <v>0</v>
      </c>
      <c r="EJ25" s="188">
        <f t="shared" si="261"/>
        <v>0</v>
      </c>
      <c r="EK25" s="188">
        <f t="shared" si="262"/>
        <v>0</v>
      </c>
      <c r="EL25" s="188">
        <f t="shared" si="263"/>
        <v>0</v>
      </c>
      <c r="EM25" s="188">
        <f t="shared" si="264"/>
        <v>0</v>
      </c>
      <c r="EN25" s="188">
        <f t="shared" si="265"/>
        <v>0</v>
      </c>
      <c r="EO25" s="188">
        <f t="shared" si="266"/>
        <v>0</v>
      </c>
      <c r="EP25" s="338">
        <f t="shared" si="267"/>
        <v>0</v>
      </c>
      <c r="EQ25" s="338">
        <f t="shared" si="268"/>
        <v>0</v>
      </c>
      <c r="ER25" s="338">
        <f t="shared" si="269"/>
        <v>0</v>
      </c>
      <c r="ES25" s="338">
        <f t="shared" si="270"/>
        <v>0</v>
      </c>
      <c r="ET25" s="338">
        <f t="shared" si="271"/>
        <v>0</v>
      </c>
      <c r="EU25" s="338">
        <f t="shared" si="272"/>
        <v>0</v>
      </c>
      <c r="EV25" s="338">
        <f t="shared" si="273"/>
        <v>0</v>
      </c>
      <c r="EW25" s="338">
        <f t="shared" si="274"/>
        <v>3</v>
      </c>
      <c r="EX25" s="338">
        <f t="shared" si="275"/>
        <v>-7</v>
      </c>
      <c r="EY25" s="338">
        <f t="shared" si="276"/>
        <v>243</v>
      </c>
      <c r="EZ25" s="338">
        <f t="shared" si="277"/>
        <v>0</v>
      </c>
      <c r="FA25" s="338">
        <f t="shared" si="278"/>
        <v>0</v>
      </c>
      <c r="FB25" s="338">
        <f t="shared" si="279"/>
        <v>0</v>
      </c>
      <c r="FC25" s="338">
        <f t="shared" si="280"/>
        <v>0</v>
      </c>
      <c r="FD25" s="339">
        <f t="shared" si="135"/>
        <v>0</v>
      </c>
      <c r="FO25" s="330"/>
      <c r="FP25" s="330"/>
    </row>
    <row r="26" spans="1:172" ht="14.25" customHeight="1">
      <c r="A26" s="7"/>
      <c r="B26" s="48" t="str">
        <f t="shared" si="281"/>
        <v>Deferred revenues</v>
      </c>
      <c r="C26" s="49"/>
      <c r="D26" s="190">
        <f t="shared" si="154"/>
        <v>0</v>
      </c>
      <c r="E26" s="188">
        <f t="shared" si="155"/>
        <v>0</v>
      </c>
      <c r="F26" s="188">
        <f t="shared" si="156"/>
        <v>0</v>
      </c>
      <c r="G26" s="189">
        <f t="shared" si="157"/>
        <v>0</v>
      </c>
      <c r="H26" s="190">
        <f t="shared" si="158"/>
        <v>0</v>
      </c>
      <c r="I26" s="188">
        <f t="shared" si="159"/>
        <v>0</v>
      </c>
      <c r="J26" s="188">
        <f t="shared" si="160"/>
        <v>0</v>
      </c>
      <c r="K26" s="189">
        <f t="shared" si="161"/>
        <v>0</v>
      </c>
      <c r="L26" s="190">
        <f t="shared" si="162"/>
        <v>0</v>
      </c>
      <c r="M26" s="188">
        <f t="shared" si="163"/>
        <v>0</v>
      </c>
      <c r="N26" s="188">
        <f t="shared" si="164"/>
        <v>0</v>
      </c>
      <c r="O26" s="189">
        <f t="shared" si="165"/>
        <v>0</v>
      </c>
      <c r="P26" s="190">
        <f t="shared" si="166"/>
        <v>0</v>
      </c>
      <c r="Q26" s="188">
        <f t="shared" si="167"/>
        <v>0</v>
      </c>
      <c r="R26" s="188">
        <f t="shared" si="168"/>
        <v>0</v>
      </c>
      <c r="S26" s="189">
        <f t="shared" si="169"/>
        <v>0</v>
      </c>
      <c r="T26" s="190">
        <f t="shared" si="170"/>
        <v>0</v>
      </c>
      <c r="U26" s="188">
        <f t="shared" si="171"/>
        <v>0</v>
      </c>
      <c r="V26" s="188">
        <f t="shared" si="172"/>
        <v>0</v>
      </c>
      <c r="W26" s="189">
        <f t="shared" si="173"/>
        <v>0</v>
      </c>
      <c r="X26" s="190">
        <f t="shared" si="174"/>
        <v>0</v>
      </c>
      <c r="Y26" s="188">
        <f t="shared" si="175"/>
        <v>0</v>
      </c>
      <c r="Z26" s="188">
        <f t="shared" si="176"/>
        <v>0</v>
      </c>
      <c r="AA26" s="189">
        <f t="shared" si="177"/>
        <v>0</v>
      </c>
      <c r="AB26" s="190">
        <f t="shared" si="178"/>
        <v>-58.4</v>
      </c>
      <c r="AC26" s="188">
        <f t="shared" si="179"/>
        <v>42.599999999999994</v>
      </c>
      <c r="AD26" s="188">
        <f t="shared" si="180"/>
        <v>46.300000000000004</v>
      </c>
      <c r="AE26" s="189">
        <f t="shared" si="181"/>
        <v>-160.80000000000001</v>
      </c>
      <c r="AF26" s="190">
        <f t="shared" si="182"/>
        <v>-164.5</v>
      </c>
      <c r="AG26" s="188">
        <f t="shared" si="183"/>
        <v>-34.199999999999989</v>
      </c>
      <c r="AH26" s="188">
        <f t="shared" si="184"/>
        <v>76.099999999999994</v>
      </c>
      <c r="AI26" s="189">
        <f t="shared" si="185"/>
        <v>134</v>
      </c>
      <c r="AJ26" s="190">
        <f t="shared" si="186"/>
        <v>20.5</v>
      </c>
      <c r="AK26" s="188">
        <f t="shared" si="187"/>
        <v>16.5</v>
      </c>
      <c r="AL26" s="188">
        <f t="shared" si="188"/>
        <v>26</v>
      </c>
      <c r="AM26" s="189">
        <f t="shared" si="189"/>
        <v>7.5</v>
      </c>
      <c r="AN26" s="190">
        <f t="shared" si="190"/>
        <v>11.4</v>
      </c>
      <c r="AO26" s="188">
        <f t="shared" si="191"/>
        <v>14.299999999999999</v>
      </c>
      <c r="AP26" s="188">
        <f t="shared" si="192"/>
        <v>12.1</v>
      </c>
      <c r="AQ26" s="189">
        <f t="shared" si="193"/>
        <v>20</v>
      </c>
      <c r="AR26" s="190">
        <f t="shared" si="194"/>
        <v>6.2</v>
      </c>
      <c r="AS26" s="188">
        <f t="shared" si="195"/>
        <v>-4.5999999999999996</v>
      </c>
      <c r="AT26" s="188">
        <f t="shared" si="196"/>
        <v>-6.0000000000000009</v>
      </c>
      <c r="AU26" s="189">
        <f t="shared" si="197"/>
        <v>-5.2999999999999989</v>
      </c>
      <c r="AV26" s="190">
        <f t="shared" si="198"/>
        <v>-4.3</v>
      </c>
      <c r="AW26" s="188">
        <f t="shared" si="199"/>
        <v>-8.1999999999999993</v>
      </c>
      <c r="AX26" s="188">
        <f t="shared" si="200"/>
        <v>-4.1000000000000023</v>
      </c>
      <c r="AY26" s="189">
        <f t="shared" si="201"/>
        <v>-7.3999999999999995</v>
      </c>
      <c r="AZ26" s="190">
        <f t="shared" si="49"/>
        <v>-1</v>
      </c>
      <c r="BA26" s="188">
        <f t="shared" si="202"/>
        <v>-5</v>
      </c>
      <c r="BB26" s="188">
        <f t="shared" si="203"/>
        <v>4</v>
      </c>
      <c r="BC26" s="189">
        <f t="shared" si="204"/>
        <v>-9</v>
      </c>
      <c r="BD26" s="190">
        <f t="shared" si="53"/>
        <v>0</v>
      </c>
      <c r="BE26" s="188">
        <f t="shared" si="205"/>
        <v>-3</v>
      </c>
      <c r="BF26" s="188">
        <f t="shared" si="206"/>
        <v>0</v>
      </c>
      <c r="BG26" s="189">
        <f t="shared" si="207"/>
        <v>-52</v>
      </c>
      <c r="BH26" s="190">
        <f t="shared" si="57"/>
        <v>78</v>
      </c>
      <c r="BI26" s="188">
        <f t="shared" si="208"/>
        <v>5</v>
      </c>
      <c r="BJ26" s="188">
        <f t="shared" si="209"/>
        <v>-12</v>
      </c>
      <c r="BK26" s="189">
        <f t="shared" si="210"/>
        <v>10</v>
      </c>
      <c r="BL26" s="190">
        <f t="shared" si="61"/>
        <v>0</v>
      </c>
      <c r="BM26" s="188">
        <f t="shared" si="211"/>
        <v>5</v>
      </c>
      <c r="BN26" s="188">
        <f t="shared" si="212"/>
        <v>23</v>
      </c>
      <c r="BO26" s="189">
        <f t="shared" si="213"/>
        <v>56</v>
      </c>
      <c r="BP26" s="190">
        <f t="shared" si="136"/>
        <v>29</v>
      </c>
      <c r="BQ26" s="188">
        <f t="shared" si="214"/>
        <v>-40</v>
      </c>
      <c r="BR26" s="188">
        <f t="shared" si="215"/>
        <v>126</v>
      </c>
      <c r="BS26" s="189">
        <f t="shared" si="216"/>
        <v>31</v>
      </c>
      <c r="BT26" s="190">
        <f t="shared" si="68"/>
        <v>-37</v>
      </c>
      <c r="BU26" s="188">
        <f t="shared" si="217"/>
        <v>-37</v>
      </c>
      <c r="BV26" s="188">
        <f t="shared" si="218"/>
        <v>13</v>
      </c>
      <c r="BW26" s="189">
        <f t="shared" si="219"/>
        <v>5</v>
      </c>
      <c r="BX26" s="190">
        <f t="shared" si="72"/>
        <v>-21</v>
      </c>
      <c r="BY26" s="188">
        <f t="shared" si="220"/>
        <v>-42</v>
      </c>
      <c r="BZ26" s="188">
        <f t="shared" si="221"/>
        <v>41</v>
      </c>
      <c r="CA26" s="189">
        <f t="shared" si="222"/>
        <v>15</v>
      </c>
      <c r="CB26" s="190">
        <f t="shared" si="137"/>
        <v>59</v>
      </c>
      <c r="CC26" s="188">
        <f t="shared" si="223"/>
        <v>94</v>
      </c>
      <c r="CD26" s="188">
        <f t="shared" si="224"/>
        <v>-153</v>
      </c>
      <c r="CE26" s="189">
        <f t="shared" si="225"/>
        <v>0</v>
      </c>
      <c r="CF26" s="190">
        <f t="shared" si="138"/>
        <v>0</v>
      </c>
      <c r="CG26" s="188">
        <f t="shared" si="226"/>
        <v>0</v>
      </c>
      <c r="CH26" s="188">
        <f t="shared" si="227"/>
        <v>0</v>
      </c>
      <c r="CI26" s="189">
        <f t="shared" si="228"/>
        <v>0</v>
      </c>
      <c r="CJ26" s="190">
        <f t="shared" si="140"/>
        <v>0</v>
      </c>
      <c r="CK26" s="188">
        <f t="shared" si="229"/>
        <v>0</v>
      </c>
      <c r="CL26" s="188">
        <f t="shared" si="230"/>
        <v>0</v>
      </c>
      <c r="CM26" s="189">
        <f t="shared" si="231"/>
        <v>0</v>
      </c>
      <c r="CN26" s="190">
        <f t="shared" si="142"/>
        <v>0</v>
      </c>
      <c r="CO26" s="188">
        <f t="shared" si="232"/>
        <v>0</v>
      </c>
      <c r="CP26" s="188">
        <f t="shared" si="233"/>
        <v>0</v>
      </c>
      <c r="CQ26" s="189">
        <f t="shared" si="234"/>
        <v>0</v>
      </c>
      <c r="CR26" s="190">
        <f t="shared" si="144"/>
        <v>0</v>
      </c>
      <c r="CS26" s="188">
        <f>BS!CS29-BS!CR29+BS!CS36-BS!CR36</f>
        <v>11</v>
      </c>
      <c r="CT26" s="188">
        <f>BS!CT29-BS!CS29+BS!CT36-BS!CS36</f>
        <v>0</v>
      </c>
      <c r="CU26" s="189">
        <f>BS!CU29-BS!CT29+BS!CU36-BS!CT36</f>
        <v>0</v>
      </c>
      <c r="CV26" s="190">
        <f>BS!CV29-BS!CU29+BS!CV36-BS!CU36</f>
        <v>0</v>
      </c>
      <c r="CW26" s="188">
        <f>BS!CW29-BS!CV29+BS!CW36-BS!CV36</f>
        <v>0</v>
      </c>
      <c r="CX26" s="188">
        <f>BS!CX29-BS!CW29+BS!CX36-BS!CW36</f>
        <v>0</v>
      </c>
      <c r="CY26" s="189">
        <f>BS!CY29-BS!CX29+BS!CY36-BS!CX36</f>
        <v>0</v>
      </c>
      <c r="CZ26" s="190">
        <f>BS!CZ29-BS!CY29+BS!CZ36-BS!CY36</f>
        <v>0</v>
      </c>
      <c r="DA26" s="188">
        <f>BS!DA29-BS!CZ29+BS!DA36-BS!CZ36</f>
        <v>0</v>
      </c>
      <c r="DB26" s="188">
        <f>BS!DB29-BS!DA29+BS!DB36-BS!DA36</f>
        <v>0</v>
      </c>
      <c r="DC26" s="189">
        <f>BS!DC29-BS!DB29+BS!DC36-BS!DB36</f>
        <v>0</v>
      </c>
      <c r="DD26" s="895"/>
      <c r="DE26" s="190">
        <f t="shared" si="235"/>
        <v>0</v>
      </c>
      <c r="DF26" s="188">
        <f t="shared" si="236"/>
        <v>0</v>
      </c>
      <c r="DG26" s="188">
        <f t="shared" si="237"/>
        <v>0</v>
      </c>
      <c r="DH26" s="188">
        <f t="shared" si="238"/>
        <v>0</v>
      </c>
      <c r="DI26" s="188">
        <f t="shared" si="239"/>
        <v>0</v>
      </c>
      <c r="DJ26" s="188">
        <f t="shared" si="240"/>
        <v>0</v>
      </c>
      <c r="DK26" s="188">
        <f t="shared" si="241"/>
        <v>-130.30000000000001</v>
      </c>
      <c r="DL26" s="188">
        <f t="shared" si="242"/>
        <v>11.400000000000006</v>
      </c>
      <c r="DM26" s="188">
        <f t="shared" si="243"/>
        <v>70.5</v>
      </c>
      <c r="DN26" s="188">
        <f t="shared" si="244"/>
        <v>57.8</v>
      </c>
      <c r="DO26" s="188">
        <f t="shared" si="245"/>
        <v>-9.6999999999999993</v>
      </c>
      <c r="DP26" s="188">
        <f t="shared" si="246"/>
        <v>-24</v>
      </c>
      <c r="DQ26" s="188">
        <f t="shared" si="247"/>
        <v>-11</v>
      </c>
      <c r="DR26" s="188">
        <f t="shared" si="248"/>
        <v>-55</v>
      </c>
      <c r="DS26" s="188">
        <f t="shared" si="249"/>
        <v>81</v>
      </c>
      <c r="DT26" s="188">
        <f t="shared" si="250"/>
        <v>84</v>
      </c>
      <c r="DU26" s="188">
        <f t="shared" si="251"/>
        <v>146</v>
      </c>
      <c r="DV26" s="188">
        <f t="shared" si="252"/>
        <v>-56</v>
      </c>
      <c r="DW26" s="188">
        <f t="shared" si="253"/>
        <v>-7</v>
      </c>
      <c r="DX26" s="188">
        <f t="shared" si="254"/>
        <v>0</v>
      </c>
      <c r="DY26" s="188">
        <f t="shared" si="255"/>
        <v>0</v>
      </c>
      <c r="DZ26" s="188">
        <f t="shared" si="256"/>
        <v>0</v>
      </c>
      <c r="EA26" s="188">
        <f t="shared" si="257"/>
        <v>0</v>
      </c>
      <c r="EB26" s="188">
        <f t="shared" si="258"/>
        <v>11</v>
      </c>
      <c r="EC26" s="188">
        <f t="shared" si="111"/>
        <v>0</v>
      </c>
      <c r="ED26" s="188">
        <f t="shared" si="112"/>
        <v>0</v>
      </c>
      <c r="EE26" s="716"/>
      <c r="EF26" s="190"/>
      <c r="EG26" s="188"/>
      <c r="EH26" s="188">
        <f t="shared" si="259"/>
        <v>0</v>
      </c>
      <c r="EI26" s="188">
        <f t="shared" si="260"/>
        <v>0</v>
      </c>
      <c r="EJ26" s="188">
        <f t="shared" si="261"/>
        <v>0</v>
      </c>
      <c r="EK26" s="188">
        <f t="shared" si="262"/>
        <v>-58.4</v>
      </c>
      <c r="EL26" s="188">
        <f t="shared" si="263"/>
        <v>-236.4</v>
      </c>
      <c r="EM26" s="188">
        <f t="shared" si="264"/>
        <v>196.4</v>
      </c>
      <c r="EN26" s="188">
        <f t="shared" si="265"/>
        <v>61.4</v>
      </c>
      <c r="EO26" s="188">
        <f t="shared" si="266"/>
        <v>52.6</v>
      </c>
      <c r="EP26" s="338">
        <f t="shared" si="267"/>
        <v>-20.2</v>
      </c>
      <c r="EQ26" s="338">
        <f t="shared" si="268"/>
        <v>-20.7</v>
      </c>
      <c r="ER26" s="338">
        <f t="shared" si="269"/>
        <v>-10</v>
      </c>
      <c r="ES26" s="338">
        <f t="shared" si="270"/>
        <v>23</v>
      </c>
      <c r="ET26" s="338">
        <f t="shared" si="271"/>
        <v>3</v>
      </c>
      <c r="EU26" s="338">
        <f t="shared" si="272"/>
        <v>113</v>
      </c>
      <c r="EV26" s="338">
        <f t="shared" si="273"/>
        <v>80</v>
      </c>
      <c r="EW26" s="338">
        <f t="shared" si="274"/>
        <v>-40</v>
      </c>
      <c r="EX26" s="338">
        <f t="shared" si="275"/>
        <v>73</v>
      </c>
      <c r="EY26" s="338">
        <f t="shared" si="276"/>
        <v>-59</v>
      </c>
      <c r="EZ26" s="338">
        <f t="shared" si="277"/>
        <v>0</v>
      </c>
      <c r="FA26" s="338">
        <f t="shared" si="278"/>
        <v>0</v>
      </c>
      <c r="FB26" s="338">
        <f t="shared" si="279"/>
        <v>0</v>
      </c>
      <c r="FC26" s="338">
        <f t="shared" si="280"/>
        <v>11</v>
      </c>
      <c r="FD26" s="339">
        <f t="shared" si="135"/>
        <v>0</v>
      </c>
      <c r="FO26" s="330"/>
      <c r="FP26" s="330"/>
    </row>
    <row r="27" spans="1:172" ht="14.25" customHeight="1">
      <c r="A27" s="7"/>
      <c r="B27" s="48" t="str">
        <f t="shared" si="281"/>
        <v>Other changes in assets and liabilities</v>
      </c>
      <c r="C27" s="49"/>
      <c r="D27" s="190">
        <f t="shared" si="154"/>
        <v>0</v>
      </c>
      <c r="E27" s="188">
        <f t="shared" si="155"/>
        <v>0</v>
      </c>
      <c r="F27" s="188">
        <f t="shared" si="156"/>
        <v>0</v>
      </c>
      <c r="G27" s="189">
        <f t="shared" si="157"/>
        <v>0</v>
      </c>
      <c r="H27" s="190">
        <f t="shared" si="158"/>
        <v>0</v>
      </c>
      <c r="I27" s="188">
        <f t="shared" si="159"/>
        <v>0</v>
      </c>
      <c r="J27" s="188">
        <f t="shared" si="160"/>
        <v>0</v>
      </c>
      <c r="K27" s="189">
        <f t="shared" si="161"/>
        <v>0</v>
      </c>
      <c r="L27" s="190">
        <f t="shared" si="162"/>
        <v>44.400000000000006</v>
      </c>
      <c r="M27" s="188">
        <f t="shared" si="163"/>
        <v>65.699999999999989</v>
      </c>
      <c r="N27" s="188">
        <f t="shared" si="164"/>
        <v>32.400000000000006</v>
      </c>
      <c r="O27" s="189">
        <f t="shared" si="165"/>
        <v>54.600000000000023</v>
      </c>
      <c r="P27" s="190">
        <f t="shared" si="166"/>
        <v>-14.9</v>
      </c>
      <c r="Q27" s="188">
        <f t="shared" si="167"/>
        <v>-30.1</v>
      </c>
      <c r="R27" s="188">
        <f t="shared" si="168"/>
        <v>2.0000000000000018</v>
      </c>
      <c r="S27" s="189">
        <f t="shared" si="169"/>
        <v>25.799999999999997</v>
      </c>
      <c r="T27" s="190">
        <f t="shared" si="170"/>
        <v>-29.4</v>
      </c>
      <c r="U27" s="188">
        <f t="shared" si="171"/>
        <v>45.5</v>
      </c>
      <c r="V27" s="188">
        <f t="shared" si="172"/>
        <v>29.799999999999997</v>
      </c>
      <c r="W27" s="189">
        <f t="shared" si="173"/>
        <v>-28</v>
      </c>
      <c r="X27" s="190">
        <f>X131</f>
        <v>83.3</v>
      </c>
      <c r="Y27" s="188">
        <f t="shared" si="175"/>
        <v>-61.9</v>
      </c>
      <c r="Z27" s="188">
        <f t="shared" si="176"/>
        <v>-28.4</v>
      </c>
      <c r="AA27" s="189">
        <f t="shared" si="177"/>
        <v>-209.3</v>
      </c>
      <c r="AB27" s="190">
        <f t="shared" si="178"/>
        <v>-90.8</v>
      </c>
      <c r="AC27" s="188">
        <f t="shared" si="179"/>
        <v>-54.500000000000014</v>
      </c>
      <c r="AD27" s="188">
        <f t="shared" si="180"/>
        <v>37.400000000000006</v>
      </c>
      <c r="AE27" s="189">
        <f t="shared" si="181"/>
        <v>28.900000000000006</v>
      </c>
      <c r="AF27" s="190">
        <f t="shared" si="182"/>
        <v>-19.399999999999999</v>
      </c>
      <c r="AG27" s="188">
        <f t="shared" si="183"/>
        <v>-5.5</v>
      </c>
      <c r="AH27" s="188">
        <f t="shared" si="184"/>
        <v>6</v>
      </c>
      <c r="AI27" s="189">
        <f t="shared" si="185"/>
        <v>-0.80000000000000071</v>
      </c>
      <c r="AJ27" s="190">
        <f t="shared" si="186"/>
        <v>-12.6</v>
      </c>
      <c r="AK27" s="188">
        <f t="shared" si="187"/>
        <v>16.5</v>
      </c>
      <c r="AL27" s="188">
        <f t="shared" si="188"/>
        <v>27.4</v>
      </c>
      <c r="AM27" s="189">
        <f t="shared" si="189"/>
        <v>6.9000000000000039</v>
      </c>
      <c r="AN27" s="190">
        <f t="shared" si="190"/>
        <v>11.8</v>
      </c>
      <c r="AO27" s="188">
        <f t="shared" si="191"/>
        <v>6.5</v>
      </c>
      <c r="AP27" s="188">
        <f t="shared" si="192"/>
        <v>14.499999999999996</v>
      </c>
      <c r="AQ27" s="189">
        <f t="shared" si="193"/>
        <v>-4.8999999999999986</v>
      </c>
      <c r="AR27" s="190">
        <f t="shared" si="194"/>
        <v>2.4</v>
      </c>
      <c r="AS27" s="188">
        <f t="shared" si="195"/>
        <v>3.6</v>
      </c>
      <c r="AT27" s="188">
        <f t="shared" si="196"/>
        <v>1.9000000000000008</v>
      </c>
      <c r="AU27" s="189">
        <f t="shared" si="197"/>
        <v>5.1999999999999993</v>
      </c>
      <c r="AV27" s="190">
        <f t="shared" si="198"/>
        <v>-34.5</v>
      </c>
      <c r="AW27" s="188">
        <f t="shared" si="199"/>
        <v>229.9</v>
      </c>
      <c r="AX27" s="188">
        <f t="shared" si="200"/>
        <v>85.700000000000017</v>
      </c>
      <c r="AY27" s="189">
        <f t="shared" si="201"/>
        <v>-32.100000000000023</v>
      </c>
      <c r="AZ27" s="190">
        <f t="shared" si="49"/>
        <v>41</v>
      </c>
      <c r="BA27" s="188">
        <f t="shared" si="202"/>
        <v>48</v>
      </c>
      <c r="BB27" s="188">
        <f t="shared" si="203"/>
        <v>4</v>
      </c>
      <c r="BC27" s="189">
        <f t="shared" si="204"/>
        <v>48</v>
      </c>
      <c r="BD27" s="190">
        <f t="shared" si="53"/>
        <v>22</v>
      </c>
      <c r="BE27" s="188">
        <f t="shared" si="205"/>
        <v>3</v>
      </c>
      <c r="BF27" s="188">
        <f t="shared" si="206"/>
        <v>18</v>
      </c>
      <c r="BG27" s="189">
        <f t="shared" si="207"/>
        <v>13</v>
      </c>
      <c r="BH27" s="190">
        <f t="shared" si="57"/>
        <v>-17</v>
      </c>
      <c r="BI27" s="188">
        <f t="shared" si="208"/>
        <v>-60</v>
      </c>
      <c r="BJ27" s="188">
        <f t="shared" si="209"/>
        <v>112</v>
      </c>
      <c r="BK27" s="189">
        <f t="shared" si="210"/>
        <v>-32</v>
      </c>
      <c r="BL27" s="190">
        <f t="shared" si="61"/>
        <v>-42</v>
      </c>
      <c r="BM27" s="188">
        <f t="shared" si="211"/>
        <v>-47</v>
      </c>
      <c r="BN27" s="188">
        <f t="shared" si="212"/>
        <v>-15</v>
      </c>
      <c r="BO27" s="189">
        <f t="shared" si="213"/>
        <v>187</v>
      </c>
      <c r="BP27" s="190">
        <f t="shared" si="136"/>
        <v>5</v>
      </c>
      <c r="BQ27" s="188">
        <f t="shared" si="214"/>
        <v>-8</v>
      </c>
      <c r="BR27" s="188">
        <f t="shared" si="215"/>
        <v>-38</v>
      </c>
      <c r="BS27" s="189">
        <f t="shared" si="216"/>
        <v>58</v>
      </c>
      <c r="BT27" s="190">
        <f t="shared" si="68"/>
        <v>-34</v>
      </c>
      <c r="BU27" s="188">
        <f t="shared" si="217"/>
        <v>7</v>
      </c>
      <c r="BV27" s="188">
        <f t="shared" si="218"/>
        <v>-8</v>
      </c>
      <c r="BW27" s="189">
        <f t="shared" si="219"/>
        <v>-37</v>
      </c>
      <c r="BX27" s="190">
        <f t="shared" si="72"/>
        <v>13</v>
      </c>
      <c r="BY27" s="188">
        <f t="shared" si="220"/>
        <v>-106</v>
      </c>
      <c r="BZ27" s="188">
        <f t="shared" si="221"/>
        <v>51</v>
      </c>
      <c r="CA27" s="189">
        <f t="shared" si="222"/>
        <v>-4</v>
      </c>
      <c r="CB27" s="190">
        <f>CB131</f>
        <v>182</v>
      </c>
      <c r="CC27" s="188">
        <f t="shared" si="223"/>
        <v>-57</v>
      </c>
      <c r="CD27" s="188">
        <f t="shared" si="224"/>
        <v>59</v>
      </c>
      <c r="CE27" s="189">
        <f t="shared" si="225"/>
        <v>-155</v>
      </c>
      <c r="CF27" s="190">
        <f>CF131</f>
        <v>114</v>
      </c>
      <c r="CG27" s="188">
        <f t="shared" si="226"/>
        <v>-247</v>
      </c>
      <c r="CH27" s="188">
        <f t="shared" si="227"/>
        <v>-81</v>
      </c>
      <c r="CI27" s="189">
        <f t="shared" si="228"/>
        <v>-99</v>
      </c>
      <c r="CJ27" s="190">
        <f>CJ131</f>
        <v>-47</v>
      </c>
      <c r="CK27" s="188">
        <f t="shared" si="229"/>
        <v>0</v>
      </c>
      <c r="CL27" s="188">
        <f t="shared" si="230"/>
        <v>45</v>
      </c>
      <c r="CM27" s="189">
        <f t="shared" si="231"/>
        <v>179</v>
      </c>
      <c r="CN27" s="190">
        <f>CN131</f>
        <v>70</v>
      </c>
      <c r="CO27" s="188">
        <f t="shared" si="232"/>
        <v>-263</v>
      </c>
      <c r="CP27" s="188">
        <f t="shared" si="233"/>
        <v>-291</v>
      </c>
      <c r="CQ27" s="189">
        <f t="shared" si="234"/>
        <v>363</v>
      </c>
      <c r="CR27" s="190">
        <f>CR131</f>
        <v>12</v>
      </c>
      <c r="CS27" s="188">
        <f t="shared" ref="CS27" si="282">CS131-CR27</f>
        <v>235</v>
      </c>
      <c r="CT27" s="188">
        <f>-BS!CT19+BS!CS19+BS!CT38-BS!CS38+BS!CT32-BS!CS32+BS!CS20-BS!CT20+BS!CT62-BS!CS62</f>
        <v>0</v>
      </c>
      <c r="CU27" s="189">
        <f>-BS!CU19+BS!CT19+BS!CU38-BS!CT38+BS!CU32-BS!CT32+BS!CT20-BS!CU20+BS!CU62-BS!CT62</f>
        <v>0</v>
      </c>
      <c r="CV27" s="190">
        <f>-BS!CV19+BS!CU19+BS!CV38-BS!CU38+BS!CV32-BS!CU32+BS!CU20-BS!CV20+BS!CV62-BS!CU62</f>
        <v>0</v>
      </c>
      <c r="CW27" s="188">
        <f>-BS!CW19+BS!CV19+BS!CW38-BS!CV38+BS!CW32-BS!CV32+BS!CV20-BS!CW20+BS!CW62-BS!CV62</f>
        <v>0</v>
      </c>
      <c r="CX27" s="188">
        <f>-BS!CX19+BS!CW19+BS!CX38-BS!CW38+BS!CX32-BS!CW32+BS!CW20-BS!CX20+BS!CX62-BS!CW62</f>
        <v>0</v>
      </c>
      <c r="CY27" s="189">
        <f>-BS!CY19+BS!CX19+BS!CY38-BS!CX38+BS!CY32-BS!CX32+BS!CX20-BS!CY20+BS!CY62-BS!CX62</f>
        <v>0</v>
      </c>
      <c r="CZ27" s="190">
        <f>-BS!CZ19+BS!CY19+BS!CZ38-BS!CY38+BS!CZ32-BS!CY32+BS!CY20-BS!CZ20+BS!CZ62-BS!CY62</f>
        <v>0</v>
      </c>
      <c r="DA27" s="188">
        <f>-BS!DA19+BS!CZ19+BS!DA38-BS!CZ38+BS!DA32-BS!CZ32+BS!CZ20-BS!DA20+BS!DA62-BS!CZ62</f>
        <v>0</v>
      </c>
      <c r="DB27" s="188">
        <f>-BS!DB19+BS!DA19+BS!DB38-BS!DA38+BS!DB32-BS!DA32+BS!DA20-BS!DB20+BS!DB62-BS!DA62</f>
        <v>0</v>
      </c>
      <c r="DC27" s="189">
        <f>-BS!DC19+BS!DB19+BS!DC38-BS!DB38+BS!DC32-BS!DB32+BS!DB20-BS!DC20+BS!DC62-BS!DB62</f>
        <v>0</v>
      </c>
      <c r="DD27" s="895"/>
      <c r="DE27" s="190">
        <f t="shared" si="235"/>
        <v>0</v>
      </c>
      <c r="DF27" s="188">
        <f t="shared" si="236"/>
        <v>0</v>
      </c>
      <c r="DG27" s="188">
        <f t="shared" si="237"/>
        <v>197.10000000000002</v>
      </c>
      <c r="DH27" s="188">
        <f t="shared" si="238"/>
        <v>-17.200000000000003</v>
      </c>
      <c r="DI27" s="188">
        <f t="shared" si="239"/>
        <v>17.899999999999999</v>
      </c>
      <c r="DJ27" s="188">
        <f t="shared" si="240"/>
        <v>-216.3</v>
      </c>
      <c r="DK27" s="188">
        <f t="shared" si="241"/>
        <v>-79</v>
      </c>
      <c r="DL27" s="188">
        <f t="shared" si="242"/>
        <v>-19.7</v>
      </c>
      <c r="DM27" s="188">
        <f t="shared" si="243"/>
        <v>38.200000000000003</v>
      </c>
      <c r="DN27" s="188">
        <f t="shared" si="244"/>
        <v>27.9</v>
      </c>
      <c r="DO27" s="188">
        <f t="shared" si="245"/>
        <v>13.1</v>
      </c>
      <c r="DP27" s="188">
        <f t="shared" si="246"/>
        <v>249</v>
      </c>
      <c r="DQ27" s="188">
        <f t="shared" si="247"/>
        <v>141</v>
      </c>
      <c r="DR27" s="188">
        <f t="shared" si="248"/>
        <v>56</v>
      </c>
      <c r="DS27" s="188">
        <f t="shared" si="249"/>
        <v>3</v>
      </c>
      <c r="DT27" s="188">
        <f t="shared" si="250"/>
        <v>83</v>
      </c>
      <c r="DU27" s="188">
        <f t="shared" si="251"/>
        <v>17</v>
      </c>
      <c r="DV27" s="188">
        <f t="shared" si="252"/>
        <v>-72</v>
      </c>
      <c r="DW27" s="188">
        <f t="shared" si="253"/>
        <v>-46</v>
      </c>
      <c r="DX27" s="188">
        <f t="shared" si="254"/>
        <v>29</v>
      </c>
      <c r="DY27" s="188">
        <f t="shared" si="255"/>
        <v>-313</v>
      </c>
      <c r="DZ27" s="188">
        <f t="shared" si="256"/>
        <v>177</v>
      </c>
      <c r="EA27" s="188">
        <f t="shared" si="257"/>
        <v>-121</v>
      </c>
      <c r="EB27" s="188">
        <f t="shared" si="258"/>
        <v>247</v>
      </c>
      <c r="EC27" s="188">
        <f t="shared" si="111"/>
        <v>0</v>
      </c>
      <c r="ED27" s="188">
        <f t="shared" si="112"/>
        <v>0</v>
      </c>
      <c r="EE27" s="716"/>
      <c r="EF27" s="190"/>
      <c r="EG27" s="188"/>
      <c r="EH27" s="188">
        <f t="shared" si="259"/>
        <v>137.80000000000001</v>
      </c>
      <c r="EI27" s="188">
        <f t="shared" si="260"/>
        <v>-31.700000000000003</v>
      </c>
      <c r="EJ27" s="188">
        <f t="shared" si="261"/>
        <v>130.6</v>
      </c>
      <c r="EK27" s="188">
        <f t="shared" si="262"/>
        <v>-390.40000000000003</v>
      </c>
      <c r="EL27" s="188">
        <f t="shared" si="263"/>
        <v>-7.6000000000000014</v>
      </c>
      <c r="EM27" s="188">
        <f t="shared" si="264"/>
        <v>-12.9</v>
      </c>
      <c r="EN27" s="188">
        <f t="shared" si="265"/>
        <v>62.600000000000009</v>
      </c>
      <c r="EO27" s="188">
        <f t="shared" si="266"/>
        <v>18.499999999999996</v>
      </c>
      <c r="EP27" s="338">
        <f t="shared" si="267"/>
        <v>-23.8</v>
      </c>
      <c r="EQ27" s="338">
        <f t="shared" si="268"/>
        <v>324.5</v>
      </c>
      <c r="ER27" s="338">
        <f t="shared" si="269"/>
        <v>122</v>
      </c>
      <c r="ES27" s="338">
        <f t="shared" si="270"/>
        <v>17</v>
      </c>
      <c r="ET27" s="338">
        <f t="shared" si="271"/>
        <v>-22</v>
      </c>
      <c r="EU27" s="338">
        <f t="shared" si="272"/>
        <v>130</v>
      </c>
      <c r="EV27" s="338">
        <f t="shared" si="273"/>
        <v>-22</v>
      </c>
      <c r="EW27" s="338">
        <f t="shared" si="274"/>
        <v>-25</v>
      </c>
      <c r="EX27" s="338">
        <f t="shared" si="275"/>
        <v>123</v>
      </c>
      <c r="EY27" s="338">
        <f t="shared" si="276"/>
        <v>-39</v>
      </c>
      <c r="EZ27" s="338">
        <f t="shared" si="277"/>
        <v>-474</v>
      </c>
      <c r="FA27" s="338">
        <f t="shared" si="278"/>
        <v>294</v>
      </c>
      <c r="FB27" s="338">
        <f t="shared" si="279"/>
        <v>-179</v>
      </c>
      <c r="FC27" s="338">
        <f t="shared" si="280"/>
        <v>235</v>
      </c>
      <c r="FD27" s="339">
        <f t="shared" si="135"/>
        <v>0</v>
      </c>
      <c r="FO27" s="330"/>
      <c r="FP27" s="330"/>
    </row>
    <row r="28" spans="1:172" ht="14.25" customHeight="1" thickBot="1">
      <c r="A28" s="7"/>
      <c r="B28" s="194" t="str">
        <f t="shared" si="281"/>
        <v>Net cash provided by operating activities</v>
      </c>
      <c r="C28" s="195"/>
      <c r="D28" s="197">
        <f t="shared" ref="D28:AY28" si="283">D8+SUM(D10:D17)+SUM(D19:D27)</f>
        <v>159.30000000000001</v>
      </c>
      <c r="E28" s="196">
        <f t="shared" si="283"/>
        <v>183.50000000000003</v>
      </c>
      <c r="F28" s="196">
        <f t="shared" si="283"/>
        <v>220.20000000000005</v>
      </c>
      <c r="G28" s="198">
        <f t="shared" si="283"/>
        <v>281.10000000000002</v>
      </c>
      <c r="H28" s="197">
        <f t="shared" si="283"/>
        <v>328.49999999999989</v>
      </c>
      <c r="I28" s="196">
        <f t="shared" si="283"/>
        <v>188.19999999999993</v>
      </c>
      <c r="J28" s="196">
        <f t="shared" si="283"/>
        <v>58.199999999999982</v>
      </c>
      <c r="K28" s="198">
        <f t="shared" si="283"/>
        <v>18.599999999999941</v>
      </c>
      <c r="L28" s="197">
        <f t="shared" si="283"/>
        <v>147.90000000000003</v>
      </c>
      <c r="M28" s="196">
        <f t="shared" si="283"/>
        <v>200.5</v>
      </c>
      <c r="N28" s="196">
        <f t="shared" si="283"/>
        <v>87.9</v>
      </c>
      <c r="O28" s="198">
        <f t="shared" si="283"/>
        <v>167.30000000000013</v>
      </c>
      <c r="P28" s="197">
        <f t="shared" si="283"/>
        <v>182.09999999999997</v>
      </c>
      <c r="Q28" s="196">
        <f t="shared" si="283"/>
        <v>-69.39999999999992</v>
      </c>
      <c r="R28" s="196">
        <f t="shared" si="283"/>
        <v>-7.4000000000000483</v>
      </c>
      <c r="S28" s="198">
        <f t="shared" si="283"/>
        <v>60.100000000000136</v>
      </c>
      <c r="T28" s="197">
        <f t="shared" si="283"/>
        <v>255.59999999999997</v>
      </c>
      <c r="U28" s="196">
        <f t="shared" si="283"/>
        <v>122.1999999999999</v>
      </c>
      <c r="V28" s="196">
        <f t="shared" si="283"/>
        <v>186.09999999999997</v>
      </c>
      <c r="W28" s="198">
        <f t="shared" ref="W28:AB28" si="284">W8+SUM(W10:W17)+SUM(W19:W27)</f>
        <v>284</v>
      </c>
      <c r="X28" s="197">
        <f t="shared" si="284"/>
        <v>556.20000000000005</v>
      </c>
      <c r="Y28" s="196">
        <f t="shared" si="284"/>
        <v>140.69999999999993</v>
      </c>
      <c r="Z28" s="196">
        <f t="shared" si="284"/>
        <v>428.09999999999991</v>
      </c>
      <c r="AA28" s="198">
        <f t="shared" si="284"/>
        <v>877.20000000000016</v>
      </c>
      <c r="AB28" s="197">
        <f t="shared" si="284"/>
        <v>614.19999999999993</v>
      </c>
      <c r="AC28" s="196">
        <f t="shared" si="283"/>
        <v>31.799999999999898</v>
      </c>
      <c r="AD28" s="196">
        <f t="shared" si="283"/>
        <v>199.20000000000022</v>
      </c>
      <c r="AE28" s="198">
        <f t="shared" si="283"/>
        <v>-56.099999999999454</v>
      </c>
      <c r="AF28" s="197">
        <f t="shared" si="283"/>
        <v>397.29999999999995</v>
      </c>
      <c r="AG28" s="196">
        <f t="shared" si="283"/>
        <v>-81.300000000000011</v>
      </c>
      <c r="AH28" s="196">
        <f t="shared" si="283"/>
        <v>176.19999999999996</v>
      </c>
      <c r="AI28" s="198">
        <f t="shared" si="283"/>
        <v>83.800000000000097</v>
      </c>
      <c r="AJ28" s="197">
        <f t="shared" si="283"/>
        <v>98.200000000000017</v>
      </c>
      <c r="AK28" s="196">
        <f t="shared" si="283"/>
        <v>24.000000000000071</v>
      </c>
      <c r="AL28" s="196">
        <f t="shared" si="283"/>
        <v>45.400000000000041</v>
      </c>
      <c r="AM28" s="198">
        <f t="shared" si="283"/>
        <v>110.30000000000011</v>
      </c>
      <c r="AN28" s="197">
        <f t="shared" si="283"/>
        <v>254.69999999999993</v>
      </c>
      <c r="AO28" s="196">
        <f t="shared" si="283"/>
        <v>231.10000000000016</v>
      </c>
      <c r="AP28" s="196">
        <f t="shared" si="283"/>
        <v>260.7</v>
      </c>
      <c r="AQ28" s="198">
        <f t="shared" si="283"/>
        <v>418.59999999999997</v>
      </c>
      <c r="AR28" s="197">
        <f t="shared" si="283"/>
        <v>294.8</v>
      </c>
      <c r="AS28" s="196">
        <f t="shared" si="283"/>
        <v>311.80000000000007</v>
      </c>
      <c r="AT28" s="196">
        <f t="shared" si="283"/>
        <v>333.60000000000014</v>
      </c>
      <c r="AU28" s="198">
        <f t="shared" si="283"/>
        <v>304.39999999999981</v>
      </c>
      <c r="AV28" s="197">
        <f t="shared" si="283"/>
        <v>425.19999999999987</v>
      </c>
      <c r="AW28" s="196">
        <f t="shared" si="283"/>
        <v>879.90000000000009</v>
      </c>
      <c r="AX28" s="196">
        <f t="shared" si="283"/>
        <v>383.6</v>
      </c>
      <c r="AY28" s="198">
        <f t="shared" si="283"/>
        <v>330.09999999999991</v>
      </c>
      <c r="AZ28" s="197">
        <f t="shared" ref="AZ28:CC28" si="285">AZ8+SUM(AZ10:AZ17)+SUM(AZ19:AZ27)</f>
        <v>429</v>
      </c>
      <c r="BA28" s="196">
        <f t="shared" si="285"/>
        <v>287</v>
      </c>
      <c r="BB28" s="196">
        <f t="shared" si="285"/>
        <v>77</v>
      </c>
      <c r="BC28" s="198">
        <f t="shared" si="285"/>
        <v>144</v>
      </c>
      <c r="BD28" s="197">
        <f t="shared" si="285"/>
        <v>276</v>
      </c>
      <c r="BE28" s="196">
        <f t="shared" si="285"/>
        <v>282</v>
      </c>
      <c r="BF28" s="196">
        <f t="shared" si="285"/>
        <v>217</v>
      </c>
      <c r="BG28" s="198">
        <f t="shared" si="285"/>
        <v>243</v>
      </c>
      <c r="BH28" s="197">
        <f t="shared" si="285"/>
        <v>359</v>
      </c>
      <c r="BI28" s="196">
        <f t="shared" si="285"/>
        <v>339</v>
      </c>
      <c r="BJ28" s="196">
        <f t="shared" si="285"/>
        <v>151</v>
      </c>
      <c r="BK28" s="198">
        <f t="shared" si="285"/>
        <v>357</v>
      </c>
      <c r="BL28" s="197">
        <f t="shared" si="285"/>
        <v>326</v>
      </c>
      <c r="BM28" s="196">
        <f t="shared" si="285"/>
        <v>804</v>
      </c>
      <c r="BN28" s="196">
        <f t="shared" si="285"/>
        <v>889</v>
      </c>
      <c r="BO28" s="198">
        <f t="shared" si="285"/>
        <v>1077</v>
      </c>
      <c r="BP28" s="197">
        <f>BP8+SUM(BP10:BP17)+SUM(BP19:BP27)</f>
        <v>732</v>
      </c>
      <c r="BQ28" s="196">
        <f>BQ8+SUM(BQ10:BQ17)+SUM(BQ19:BQ27)</f>
        <v>809</v>
      </c>
      <c r="BR28" s="196">
        <f>BR8+SUM(BR10:BR17)+SUM(BR19:BR27)</f>
        <v>589</v>
      </c>
      <c r="BS28" s="198">
        <f t="shared" si="285"/>
        <v>354</v>
      </c>
      <c r="BT28" s="197">
        <f t="shared" si="285"/>
        <v>404</v>
      </c>
      <c r="BU28" s="196">
        <f t="shared" si="285"/>
        <v>574</v>
      </c>
      <c r="BV28" s="196">
        <f t="shared" si="285"/>
        <v>686</v>
      </c>
      <c r="BW28" s="198">
        <f t="shared" si="285"/>
        <v>450</v>
      </c>
      <c r="BX28" s="197">
        <f t="shared" si="285"/>
        <v>236</v>
      </c>
      <c r="BY28" s="196">
        <f t="shared" si="285"/>
        <v>234</v>
      </c>
      <c r="BZ28" s="196">
        <f t="shared" si="285"/>
        <v>624</v>
      </c>
      <c r="CA28" s="198">
        <f t="shared" si="285"/>
        <v>717</v>
      </c>
      <c r="CB28" s="197">
        <f t="shared" si="285"/>
        <v>1507</v>
      </c>
      <c r="CC28" s="196">
        <f t="shared" si="285"/>
        <v>1390</v>
      </c>
      <c r="CD28" s="196">
        <f t="shared" ref="CD28:CI28" si="286">CD8+SUM(CD10:CD17)+SUM(CD19:CD27)</f>
        <v>1455</v>
      </c>
      <c r="CE28" s="198">
        <f t="shared" si="286"/>
        <v>1347</v>
      </c>
      <c r="CF28" s="197">
        <f t="shared" si="286"/>
        <v>1592</v>
      </c>
      <c r="CG28" s="196">
        <f t="shared" si="286"/>
        <v>1251</v>
      </c>
      <c r="CH28" s="196">
        <f t="shared" si="286"/>
        <v>1335</v>
      </c>
      <c r="CI28" s="198">
        <f t="shared" si="286"/>
        <v>1030</v>
      </c>
      <c r="CJ28" s="197">
        <f t="shared" ref="CJ28:CM28" si="287">CJ8+SUM(CJ10:CJ17)+SUM(CJ19:CJ27)</f>
        <v>1120</v>
      </c>
      <c r="CK28" s="196">
        <f t="shared" si="287"/>
        <v>763</v>
      </c>
      <c r="CL28" s="196">
        <f t="shared" si="287"/>
        <v>389</v>
      </c>
      <c r="CM28" s="198">
        <f t="shared" si="287"/>
        <v>896</v>
      </c>
      <c r="CN28" s="197">
        <f t="shared" ref="CN28:CQ28" si="288">CN8+SUM(CN10:CN17)+SUM(CN19:CN27)</f>
        <v>1138</v>
      </c>
      <c r="CO28" s="196">
        <f t="shared" si="288"/>
        <v>1405</v>
      </c>
      <c r="CP28" s="196">
        <f t="shared" si="288"/>
        <v>2407</v>
      </c>
      <c r="CQ28" s="198">
        <f t="shared" si="288"/>
        <v>3203</v>
      </c>
      <c r="CR28" s="197">
        <f t="shared" ref="CR28" si="289">CR8+SUM(CR10:CR17)+SUM(CR19:CR27)</f>
        <v>3636</v>
      </c>
      <c r="CS28" s="196">
        <f t="shared" ref="CS28:CU28" si="290">CS8+SUM(CS10:CS17)+SUM(CS19:CS27)</f>
        <v>4348</v>
      </c>
      <c r="CT28" s="196">
        <f t="shared" si="290"/>
        <v>3880.3197009587266</v>
      </c>
      <c r="CU28" s="198">
        <f t="shared" si="290"/>
        <v>4755.7435147365795</v>
      </c>
      <c r="CV28" s="197">
        <f t="shared" ref="CV28:CY28" si="291">CV8+SUM(CV10:CV17)+SUM(CV19:CV27)</f>
        <v>4338.3770653358297</v>
      </c>
      <c r="CW28" s="196">
        <f t="shared" si="291"/>
        <v>3873.3616754031405</v>
      </c>
      <c r="CX28" s="196">
        <f t="shared" si="291"/>
        <v>3371.8142231580964</v>
      </c>
      <c r="CY28" s="198">
        <f t="shared" si="291"/>
        <v>3020.6446644825305</v>
      </c>
      <c r="CZ28" s="197">
        <f t="shared" ref="CZ28:DC28" si="292">CZ8+SUM(CZ10:CZ17)+SUM(CZ19:CZ27)</f>
        <v>3158.1138123374108</v>
      </c>
      <c r="DA28" s="196">
        <f t="shared" si="292"/>
        <v>2672.4797234880066</v>
      </c>
      <c r="DB28" s="196">
        <f t="shared" si="292"/>
        <v>2721.4018835888487</v>
      </c>
      <c r="DC28" s="198">
        <f t="shared" si="292"/>
        <v>2650.539368919543</v>
      </c>
      <c r="DD28" s="895"/>
      <c r="DE28" s="197">
        <f t="shared" ref="DE28:DN28" si="293">DE8+SUM(DE10:DE17)+SUM(DE19:DE27)</f>
        <v>844.10000000000014</v>
      </c>
      <c r="DF28" s="196">
        <f t="shared" si="293"/>
        <v>593.49999999999966</v>
      </c>
      <c r="DG28" s="196">
        <f t="shared" si="293"/>
        <v>603.60000000000014</v>
      </c>
      <c r="DH28" s="196">
        <f t="shared" si="293"/>
        <v>165.40000000000012</v>
      </c>
      <c r="DI28" s="196">
        <f t="shared" si="293"/>
        <v>847.89999999999975</v>
      </c>
      <c r="DJ28" s="196">
        <f t="shared" si="293"/>
        <v>2002.2000000000007</v>
      </c>
      <c r="DK28" s="196">
        <f t="shared" si="293"/>
        <v>789.10000000000082</v>
      </c>
      <c r="DL28" s="196">
        <f t="shared" si="293"/>
        <v>576.00000000000011</v>
      </c>
      <c r="DM28" s="196">
        <f t="shared" si="293"/>
        <v>277.90000000000055</v>
      </c>
      <c r="DN28" s="196">
        <f t="shared" si="293"/>
        <v>1165.0999999999999</v>
      </c>
      <c r="DO28" s="196">
        <f t="shared" ref="DO28:EB28" si="294">DO8+SUM(DO10:DO17)+SUM(DO19:DO27)</f>
        <v>1244.6000000000001</v>
      </c>
      <c r="DP28" s="196">
        <f t="shared" si="294"/>
        <v>2018.7999999999997</v>
      </c>
      <c r="DQ28" s="196">
        <f t="shared" si="294"/>
        <v>937</v>
      </c>
      <c r="DR28" s="196">
        <f t="shared" si="294"/>
        <v>1018</v>
      </c>
      <c r="DS28" s="196">
        <f t="shared" si="294"/>
        <v>1206</v>
      </c>
      <c r="DT28" s="196">
        <f t="shared" si="294"/>
        <v>3096</v>
      </c>
      <c r="DU28" s="196">
        <f t="shared" si="294"/>
        <v>2484</v>
      </c>
      <c r="DV28" s="196">
        <f t="shared" si="294"/>
        <v>2114</v>
      </c>
      <c r="DW28" s="196">
        <f t="shared" si="294"/>
        <v>1811</v>
      </c>
      <c r="DX28" s="196">
        <f t="shared" si="294"/>
        <v>5699</v>
      </c>
      <c r="DY28" s="196">
        <f t="shared" si="294"/>
        <v>5208</v>
      </c>
      <c r="DZ28" s="196">
        <f>DZ8+SUM(DZ10:DZ17)+SUM(DZ19:DZ27)</f>
        <v>3168</v>
      </c>
      <c r="EA28" s="196">
        <f t="shared" si="294"/>
        <v>8153</v>
      </c>
      <c r="EB28" s="196">
        <f t="shared" si="294"/>
        <v>16620.063215695303</v>
      </c>
      <c r="EC28" s="196">
        <f t="shared" ref="EC28:ED28" si="295">EC8+SUM(EC10:EC17)+SUM(EC19:EC27)</f>
        <v>14604.197628379596</v>
      </c>
      <c r="ED28" s="196">
        <f t="shared" si="295"/>
        <v>11202.534788333809</v>
      </c>
      <c r="EE28" s="716"/>
      <c r="EF28" s="197"/>
      <c r="EG28" s="196"/>
      <c r="EH28" s="196">
        <f t="shared" ref="EH28:EO28" si="296">EH8+SUM(EH10:EH17)+SUM(EH19:EH27)</f>
        <v>637.80000000000018</v>
      </c>
      <c r="EI28" s="196">
        <f t="shared" si="296"/>
        <v>238.90000000000006</v>
      </c>
      <c r="EJ28" s="196">
        <f t="shared" si="296"/>
        <v>1148.5000000000002</v>
      </c>
      <c r="EK28" s="196">
        <f t="shared" si="296"/>
        <v>2060.1999999999994</v>
      </c>
      <c r="EL28" s="196">
        <f t="shared" si="296"/>
        <v>572.20000000000016</v>
      </c>
      <c r="EM28" s="196">
        <f t="shared" si="296"/>
        <v>276.9000000000002</v>
      </c>
      <c r="EN28" s="196">
        <f t="shared" si="296"/>
        <v>434.4000000000002</v>
      </c>
      <c r="EO28" s="196">
        <f t="shared" si="296"/>
        <v>1205.2000000000003</v>
      </c>
      <c r="EP28" s="196">
        <f t="shared" ref="EP28:EY28" si="297">EP8+SUM(EP10:EP17)+SUM(EP19:EP27)</f>
        <v>1374.9999999999998</v>
      </c>
      <c r="EQ28" s="196">
        <f t="shared" si="297"/>
        <v>2022.6</v>
      </c>
      <c r="ER28" s="196">
        <f t="shared" si="297"/>
        <v>784</v>
      </c>
      <c r="ES28" s="196">
        <f t="shared" si="297"/>
        <v>1101</v>
      </c>
      <c r="ET28" s="196">
        <f t="shared" si="297"/>
        <v>1173</v>
      </c>
      <c r="EU28" s="196">
        <f t="shared" si="297"/>
        <v>3502</v>
      </c>
      <c r="EV28" s="196">
        <f t="shared" si="297"/>
        <v>2156</v>
      </c>
      <c r="EW28" s="196">
        <f t="shared" si="297"/>
        <v>1946</v>
      </c>
      <c r="EX28" s="196">
        <f t="shared" si="297"/>
        <v>3082</v>
      </c>
      <c r="EY28" s="196">
        <f t="shared" si="297"/>
        <v>5784</v>
      </c>
      <c r="EZ28" s="196">
        <f t="shared" si="277"/>
        <v>4736</v>
      </c>
      <c r="FA28" s="196">
        <f t="shared" si="278"/>
        <v>3186</v>
      </c>
      <c r="FB28" s="196">
        <f t="shared" si="279"/>
        <v>10651</v>
      </c>
      <c r="FC28" s="196">
        <f>SUM(CP28:CS28)</f>
        <v>13594</v>
      </c>
      <c r="FD28" s="198">
        <f>SUM(CQ28:CT28)</f>
        <v>15067.319700958727</v>
      </c>
      <c r="FO28" s="330"/>
      <c r="FP28" s="330"/>
    </row>
    <row r="29" spans="1:172" ht="14.25" customHeight="1" thickTop="1">
      <c r="A29" s="7"/>
      <c r="B29" s="22"/>
      <c r="C29" s="23"/>
      <c r="D29" s="193"/>
      <c r="E29" s="191"/>
      <c r="F29" s="191"/>
      <c r="G29" s="192"/>
      <c r="H29" s="193"/>
      <c r="I29" s="191"/>
      <c r="J29" s="191"/>
      <c r="K29" s="192"/>
      <c r="L29" s="193"/>
      <c r="M29" s="191"/>
      <c r="N29" s="191"/>
      <c r="O29" s="192"/>
      <c r="P29" s="193"/>
      <c r="Q29" s="191"/>
      <c r="R29" s="191"/>
      <c r="S29" s="192"/>
      <c r="T29" s="193"/>
      <c r="U29" s="191"/>
      <c r="V29" s="191"/>
      <c r="W29" s="192"/>
      <c r="X29" s="193"/>
      <c r="Y29" s="191"/>
      <c r="Z29" s="191"/>
      <c r="AA29" s="192"/>
      <c r="AB29" s="193"/>
      <c r="AC29" s="191"/>
      <c r="AD29" s="191"/>
      <c r="AE29" s="192"/>
      <c r="AF29" s="193"/>
      <c r="AG29" s="191"/>
      <c r="AH29" s="191"/>
      <c r="AI29" s="192"/>
      <c r="AJ29" s="193"/>
      <c r="AK29" s="191"/>
      <c r="AL29" s="191"/>
      <c r="AM29" s="192"/>
      <c r="AN29" s="193"/>
      <c r="AO29" s="191"/>
      <c r="AP29" s="191"/>
      <c r="AQ29" s="192"/>
      <c r="AR29" s="193"/>
      <c r="AS29" s="191"/>
      <c r="AT29" s="191"/>
      <c r="AU29" s="192"/>
      <c r="AV29" s="193"/>
      <c r="AW29" s="191"/>
      <c r="AX29" s="191"/>
      <c r="AY29" s="192"/>
      <c r="AZ29" s="193"/>
      <c r="BA29" s="191"/>
      <c r="BB29" s="191"/>
      <c r="BC29" s="192"/>
      <c r="BD29" s="193"/>
      <c r="BE29" s="191"/>
      <c r="BF29" s="191"/>
      <c r="BG29" s="192"/>
      <c r="BH29" s="193"/>
      <c r="BI29" s="191"/>
      <c r="BJ29" s="191"/>
      <c r="BK29" s="192"/>
      <c r="BL29" s="193"/>
      <c r="BM29" s="191"/>
      <c r="BN29" s="191"/>
      <c r="BO29" s="192"/>
      <c r="BP29" s="193"/>
      <c r="BQ29" s="191"/>
      <c r="BR29" s="191"/>
      <c r="BS29" s="192"/>
      <c r="BT29" s="193"/>
      <c r="BU29" s="188"/>
      <c r="BV29" s="191"/>
      <c r="BW29" s="189"/>
      <c r="BX29" s="193"/>
      <c r="BY29" s="188"/>
      <c r="BZ29" s="191"/>
      <c r="CA29" s="189"/>
      <c r="CB29" s="193"/>
      <c r="CC29" s="188"/>
      <c r="CD29" s="191"/>
      <c r="CE29" s="189"/>
      <c r="CF29" s="193"/>
      <c r="CG29" s="188"/>
      <c r="CH29" s="191"/>
      <c r="CI29" s="189"/>
      <c r="CJ29" s="193"/>
      <c r="CK29" s="188"/>
      <c r="CL29" s="191"/>
      <c r="CM29" s="189"/>
      <c r="CN29" s="193"/>
      <c r="CO29" s="188"/>
      <c r="CP29" s="191"/>
      <c r="CQ29" s="189"/>
      <c r="CR29" s="193"/>
      <c r="CS29" s="188"/>
      <c r="CT29" s="191"/>
      <c r="CU29" s="1117"/>
      <c r="CV29" s="193"/>
      <c r="CW29" s="188"/>
      <c r="CX29" s="191"/>
      <c r="CY29" s="1117"/>
      <c r="CZ29" s="193"/>
      <c r="DA29" s="188"/>
      <c r="DB29" s="191"/>
      <c r="DC29" s="1117"/>
      <c r="DD29" s="895"/>
      <c r="DE29" s="193"/>
      <c r="DF29" s="191"/>
      <c r="DG29" s="191"/>
      <c r="DH29" s="191"/>
      <c r="DI29" s="191"/>
      <c r="DJ29" s="191"/>
      <c r="DK29" s="191"/>
      <c r="DL29" s="191"/>
      <c r="DM29" s="191"/>
      <c r="DN29" s="191"/>
      <c r="DO29" s="191"/>
      <c r="DP29" s="191"/>
      <c r="DQ29" s="191"/>
      <c r="DR29" s="191"/>
      <c r="DS29" s="191"/>
      <c r="DT29" s="191"/>
      <c r="DU29" s="191"/>
      <c r="DV29" s="191"/>
      <c r="DW29" s="191"/>
      <c r="DX29" s="191"/>
      <c r="DY29" s="191"/>
      <c r="DZ29" s="191"/>
      <c r="EA29" s="191"/>
      <c r="EB29" s="191"/>
      <c r="EC29" s="191"/>
      <c r="ED29" s="191"/>
      <c r="EE29" s="716"/>
      <c r="EF29" s="193"/>
      <c r="EG29" s="191"/>
      <c r="EH29" s="191"/>
      <c r="EI29" s="191"/>
      <c r="EJ29" s="191"/>
      <c r="EK29" s="191"/>
      <c r="EL29" s="191"/>
      <c r="EM29" s="191"/>
      <c r="EN29" s="191"/>
      <c r="EO29" s="191"/>
      <c r="EP29" s="191"/>
      <c r="EQ29" s="191"/>
      <c r="ER29" s="191"/>
      <c r="ES29" s="191"/>
      <c r="ET29" s="191"/>
      <c r="EU29" s="191"/>
      <c r="EV29" s="191"/>
      <c r="EW29" s="191"/>
      <c r="EX29" s="191"/>
      <c r="EY29" s="191"/>
      <c r="EZ29" s="191"/>
      <c r="FA29" s="191"/>
      <c r="FB29" s="191"/>
      <c r="FC29" s="191"/>
      <c r="FD29" s="192"/>
      <c r="FO29" s="330"/>
      <c r="FP29" s="330"/>
    </row>
    <row r="30" spans="1:172" ht="14.25" customHeight="1">
      <c r="A30" s="7"/>
      <c r="B30" s="43" t="str">
        <f>B134</f>
        <v>Cash flows from investing activities:</v>
      </c>
      <c r="C30" s="44"/>
      <c r="D30" s="193"/>
      <c r="E30" s="191"/>
      <c r="F30" s="191"/>
      <c r="G30" s="192"/>
      <c r="H30" s="193"/>
      <c r="I30" s="191"/>
      <c r="J30" s="191"/>
      <c r="K30" s="192"/>
      <c r="L30" s="193"/>
      <c r="M30" s="191"/>
      <c r="N30" s="191"/>
      <c r="O30" s="192"/>
      <c r="P30" s="193"/>
      <c r="Q30" s="191"/>
      <c r="R30" s="191"/>
      <c r="S30" s="192"/>
      <c r="T30" s="193"/>
      <c r="U30" s="191"/>
      <c r="V30" s="191"/>
      <c r="W30" s="192"/>
      <c r="X30" s="193"/>
      <c r="Y30" s="191"/>
      <c r="Z30" s="191"/>
      <c r="AA30" s="192"/>
      <c r="AB30" s="193"/>
      <c r="AC30" s="191"/>
      <c r="AD30" s="191"/>
      <c r="AE30" s="192"/>
      <c r="AF30" s="193"/>
      <c r="AG30" s="191"/>
      <c r="AH30" s="191"/>
      <c r="AI30" s="192"/>
      <c r="AJ30" s="193"/>
      <c r="AK30" s="191"/>
      <c r="AL30" s="191"/>
      <c r="AM30" s="192"/>
      <c r="AN30" s="193"/>
      <c r="AO30" s="191"/>
      <c r="AP30" s="191"/>
      <c r="AQ30" s="192"/>
      <c r="AR30" s="193"/>
      <c r="AS30" s="191"/>
      <c r="AT30" s="191"/>
      <c r="AU30" s="192"/>
      <c r="AV30" s="193"/>
      <c r="AW30" s="191"/>
      <c r="AX30" s="191"/>
      <c r="AY30" s="192"/>
      <c r="AZ30" s="193"/>
      <c r="BA30" s="191"/>
      <c r="BB30" s="191"/>
      <c r="BC30" s="192"/>
      <c r="BD30" s="193"/>
      <c r="BE30" s="191"/>
      <c r="BF30" s="191"/>
      <c r="BG30" s="192"/>
      <c r="BH30" s="193"/>
      <c r="BI30" s="191"/>
      <c r="BJ30" s="191"/>
      <c r="BK30" s="192"/>
      <c r="BL30" s="193"/>
      <c r="BM30" s="191"/>
      <c r="BN30" s="191"/>
      <c r="BO30" s="192"/>
      <c r="BP30" s="193"/>
      <c r="BQ30" s="191"/>
      <c r="BR30" s="191"/>
      <c r="BS30" s="192"/>
      <c r="BT30" s="193"/>
      <c r="BU30" s="188"/>
      <c r="BV30" s="191"/>
      <c r="BW30" s="189"/>
      <c r="BX30" s="193"/>
      <c r="BY30" s="188"/>
      <c r="BZ30" s="191"/>
      <c r="CA30" s="189"/>
      <c r="CB30" s="193"/>
      <c r="CC30" s="188"/>
      <c r="CD30" s="191"/>
      <c r="CE30" s="189"/>
      <c r="CF30" s="193"/>
      <c r="CG30" s="188"/>
      <c r="CH30" s="191"/>
      <c r="CI30" s="189"/>
      <c r="CJ30" s="193"/>
      <c r="CK30" s="188"/>
      <c r="CL30" s="191"/>
      <c r="CM30" s="189"/>
      <c r="CN30" s="193"/>
      <c r="CO30" s="188"/>
      <c r="CP30" s="191"/>
      <c r="CQ30" s="189"/>
      <c r="CR30" s="193"/>
      <c r="CS30" s="188"/>
      <c r="CT30" s="191"/>
      <c r="CU30" s="192"/>
      <c r="CV30" s="193"/>
      <c r="CW30" s="188"/>
      <c r="CX30" s="191"/>
      <c r="CY30" s="192"/>
      <c r="CZ30" s="193"/>
      <c r="DA30" s="188"/>
      <c r="DB30" s="191"/>
      <c r="DC30" s="192"/>
      <c r="DD30" s="895"/>
      <c r="DE30" s="193"/>
      <c r="DF30" s="191"/>
      <c r="DG30" s="191"/>
      <c r="DH30" s="191"/>
      <c r="DI30" s="191"/>
      <c r="DJ30" s="191"/>
      <c r="DK30" s="191"/>
      <c r="DL30" s="191"/>
      <c r="DM30" s="191"/>
      <c r="DN30" s="191"/>
      <c r="DO30" s="191"/>
      <c r="DP30" s="191"/>
      <c r="DQ30" s="191"/>
      <c r="DR30" s="191"/>
      <c r="DS30" s="191"/>
      <c r="DT30" s="191"/>
      <c r="DU30" s="191"/>
      <c r="DV30" s="191"/>
      <c r="DW30" s="191"/>
      <c r="DX30" s="191"/>
      <c r="DY30" s="191"/>
      <c r="DZ30" s="191"/>
      <c r="EA30" s="191"/>
      <c r="EB30" s="191"/>
      <c r="EC30" s="191"/>
      <c r="ED30" s="191"/>
      <c r="EE30" s="716"/>
      <c r="EF30" s="193"/>
      <c r="EG30" s="191"/>
      <c r="EH30" s="191"/>
      <c r="EI30" s="191"/>
      <c r="EJ30" s="191"/>
      <c r="EK30" s="191"/>
      <c r="EL30" s="191"/>
      <c r="EM30" s="191"/>
      <c r="EN30" s="191"/>
      <c r="EO30" s="191"/>
      <c r="EP30" s="191"/>
      <c r="EQ30" s="191"/>
      <c r="ER30" s="191"/>
      <c r="ES30" s="191"/>
      <c r="ET30" s="191"/>
      <c r="EU30" s="191"/>
      <c r="EV30" s="191"/>
      <c r="EW30" s="191"/>
      <c r="EX30" s="191"/>
      <c r="EY30" s="191"/>
      <c r="EZ30" s="191"/>
      <c r="FA30" s="191"/>
      <c r="FB30" s="191"/>
      <c r="FC30" s="191"/>
      <c r="FD30" s="192"/>
      <c r="FO30" s="330"/>
      <c r="FP30" s="330"/>
    </row>
    <row r="31" spans="1:172" ht="14.25" customHeight="1">
      <c r="A31" s="7"/>
      <c r="B31" s="24" t="str">
        <f>B135</f>
        <v>Capital expenditures, net</v>
      </c>
      <c r="C31" s="25"/>
      <c r="D31" s="190">
        <f>D135</f>
        <v>0</v>
      </c>
      <c r="E31" s="188">
        <f>E135-D31</f>
        <v>0</v>
      </c>
      <c r="F31" s="188">
        <f>F135-E31-D31</f>
        <v>0</v>
      </c>
      <c r="G31" s="189">
        <f>G135-F31-E31-D31</f>
        <v>0</v>
      </c>
      <c r="H31" s="190">
        <f>H135</f>
        <v>0</v>
      </c>
      <c r="I31" s="188">
        <f>I135-H31</f>
        <v>0</v>
      </c>
      <c r="J31" s="188">
        <f>J135-I31-H31</f>
        <v>0</v>
      </c>
      <c r="K31" s="189">
        <f>K135-J31-I31-H31</f>
        <v>0</v>
      </c>
      <c r="L31" s="190">
        <f>L135</f>
        <v>-82.8</v>
      </c>
      <c r="M31" s="188">
        <f>M135-L31</f>
        <v>-67.8</v>
      </c>
      <c r="N31" s="188">
        <f>N135-M31-L31</f>
        <v>-209.29999999999995</v>
      </c>
      <c r="O31" s="189">
        <f>O135-N31-M31-L31</f>
        <v>-141.5</v>
      </c>
      <c r="P31" s="190">
        <f>P135</f>
        <v>-187.9</v>
      </c>
      <c r="Q31" s="188">
        <f>Q135-P31</f>
        <v>-162.4</v>
      </c>
      <c r="R31" s="188">
        <f>R135-Q31-P31</f>
        <v>-213.90000000000006</v>
      </c>
      <c r="S31" s="189">
        <f>S135-R31-Q31-P31</f>
        <v>-109.49999999999997</v>
      </c>
      <c r="T31" s="190">
        <f>T135</f>
        <v>-117.5</v>
      </c>
      <c r="U31" s="188">
        <f>U135-T31</f>
        <v>-170.09999999999997</v>
      </c>
      <c r="V31" s="188">
        <f>V135-U31-T31</f>
        <v>-226.2</v>
      </c>
      <c r="W31" s="189">
        <f>W135-V31-U31-T31</f>
        <v>-248.90000000000003</v>
      </c>
      <c r="X31" s="190">
        <f>X135</f>
        <v>-219.8</v>
      </c>
      <c r="Y31" s="188">
        <f>Y135-X31</f>
        <v>-229.3</v>
      </c>
      <c r="Z31" s="188">
        <f>Z135-Y31-X31</f>
        <v>-264.79999999999995</v>
      </c>
      <c r="AA31" s="189">
        <f>AA135-Z31-Y31-X31</f>
        <v>-262.30000000000007</v>
      </c>
      <c r="AB31" s="190">
        <f>AB135</f>
        <v>-489.5</v>
      </c>
      <c r="AC31" s="188">
        <f>AC135-AB31</f>
        <v>-385.19999999999993</v>
      </c>
      <c r="AD31" s="188">
        <f>AD135-AC31-AB31</f>
        <v>-331.00000000000011</v>
      </c>
      <c r="AE31" s="189">
        <f>AE135-AD31-AC31-AB31</f>
        <v>-259.1999999999997</v>
      </c>
      <c r="AF31" s="190">
        <f>AF135</f>
        <v>-182.6</v>
      </c>
      <c r="AG31" s="188">
        <f>AG135-AF31</f>
        <v>-139.50000000000003</v>
      </c>
      <c r="AH31" s="188">
        <f>AH135-AG31-AF31</f>
        <v>-150.99999999999991</v>
      </c>
      <c r="AI31" s="189">
        <f>AI135-AH31-AG31-AF31</f>
        <v>-282.30000000000007</v>
      </c>
      <c r="AJ31" s="190">
        <f>AJ135</f>
        <v>-326.39999999999998</v>
      </c>
      <c r="AK31" s="188">
        <f>AK135-AJ31</f>
        <v>-214.50000000000011</v>
      </c>
      <c r="AL31" s="188">
        <f>AL135-AK31-AJ31</f>
        <v>-124.09999999999991</v>
      </c>
      <c r="AM31" s="189">
        <f>AM135-AL31-AK31-AJ31</f>
        <v>-136.5</v>
      </c>
      <c r="AN31" s="190">
        <f>AN135</f>
        <v>-238.60000000000002</v>
      </c>
      <c r="AO31" s="188">
        <f>AO135-AN31</f>
        <v>-160</v>
      </c>
      <c r="AP31" s="188">
        <f>AP135-AO31-AN31</f>
        <v>-261.39999999999998</v>
      </c>
      <c r="AQ31" s="189">
        <f>AQ135-AP31-AO31-AN31</f>
        <v>-328</v>
      </c>
      <c r="AR31" s="190">
        <f>AR135</f>
        <v>-355.59999999999997</v>
      </c>
      <c r="AS31" s="188">
        <f>AS135-AR31</f>
        <v>-301.90000000000003</v>
      </c>
      <c r="AT31" s="188">
        <f>AT135-AS31-AR31</f>
        <v>-225.49999999999994</v>
      </c>
      <c r="AU31" s="189">
        <f>AU135-AT31-AS31-AR31</f>
        <v>-134.59999999999991</v>
      </c>
      <c r="AV31" s="190">
        <f>AV135</f>
        <v>-263.3</v>
      </c>
      <c r="AW31" s="188">
        <f>AW135-AV31</f>
        <v>-174.7</v>
      </c>
      <c r="AX31" s="188">
        <f>AX135-AW31-AV31</f>
        <v>-319.90000000000003</v>
      </c>
      <c r="AY31" s="189">
        <f>AY135-AX31-AW31-AV31</f>
        <v>-552.09999999999991</v>
      </c>
      <c r="AZ31" s="190">
        <f>AZ135</f>
        <v>-1088</v>
      </c>
      <c r="BA31" s="188">
        <f>BA135-AZ31</f>
        <v>-1068</v>
      </c>
      <c r="BB31" s="188">
        <f>BB135-BA31-AZ31</f>
        <v>-646</v>
      </c>
      <c r="BC31" s="189">
        <f>BC135-BB31-BA31-AZ31</f>
        <v>-707</v>
      </c>
      <c r="BD31" s="190">
        <f>BD135</f>
        <v>-701</v>
      </c>
      <c r="BE31" s="188">
        <f>BE135-BD31</f>
        <v>-605</v>
      </c>
      <c r="BF31" s="188">
        <f>BF135-BE31-BD31</f>
        <v>-328</v>
      </c>
      <c r="BG31" s="189">
        <f>BG135-BF31-BE31-BD31</f>
        <v>-708</v>
      </c>
      <c r="BH31" s="190">
        <f>BH135</f>
        <v>-270</v>
      </c>
      <c r="BI31" s="188">
        <f>BI135-BH31</f>
        <v>-105</v>
      </c>
      <c r="BJ31" s="188">
        <f>BJ135-BI31-BH31</f>
        <v>-51</v>
      </c>
      <c r="BK31" s="189">
        <f>BK135-BJ31-BI31-BH31</f>
        <v>-36</v>
      </c>
      <c r="BL31" s="190">
        <f t="shared" ref="BL31:BL38" si="298">BL135</f>
        <v>-62</v>
      </c>
      <c r="BM31" s="188">
        <f t="shared" ref="BM31:BM38" si="299">BM135-BL31</f>
        <v>-93</v>
      </c>
      <c r="BN31" s="188">
        <f t="shared" ref="BN31:BN38" si="300">BN135-BM31-BL31</f>
        <v>-114</v>
      </c>
      <c r="BO31" s="189">
        <f t="shared" ref="BO31:BO38" si="301">BO135-BN31-BM31-BL31</f>
        <v>-347</v>
      </c>
      <c r="BP31" s="190">
        <f t="shared" ref="BP31:BP38" si="302">BP135</f>
        <v>-465</v>
      </c>
      <c r="BQ31" s="188">
        <f t="shared" ref="BQ31:BQ38" si="303">BQ135-BP31</f>
        <v>-724</v>
      </c>
      <c r="BR31" s="188">
        <f t="shared" ref="BR31:BR38" si="304">BR135-BQ31-BP31</f>
        <v>-493</v>
      </c>
      <c r="BS31" s="189">
        <f t="shared" ref="BS31:BS38" si="305">BS135-BR31-BQ31-BP31</f>
        <v>-868</v>
      </c>
      <c r="BT31" s="190">
        <f t="shared" ref="BT31:BT38" si="306">BT135</f>
        <v>-697</v>
      </c>
      <c r="BU31" s="188">
        <f t="shared" ref="BU31:BU38" si="307">BU135-BT31</f>
        <v>-392</v>
      </c>
      <c r="BV31" s="188">
        <f t="shared" ref="BV31:BV38" si="308">BV135-BU31-BT31</f>
        <v>-278</v>
      </c>
      <c r="BW31" s="189">
        <f t="shared" ref="BW31:BW38" si="309">BW135-BV31-BU31-BT31</f>
        <v>-332</v>
      </c>
      <c r="BX31" s="190">
        <f t="shared" ref="BX31:BX38" si="310">BX135</f>
        <v>-434</v>
      </c>
      <c r="BY31" s="188">
        <f t="shared" ref="BY31:BY38" si="311">BY135-BX31</f>
        <v>-327</v>
      </c>
      <c r="BZ31" s="188">
        <f t="shared" ref="BZ31:BZ38" si="312">BZ135-BY31-BX31</f>
        <v>-203</v>
      </c>
      <c r="CA31" s="189">
        <f t="shared" ref="CA31:CA38" si="313">CA135-BZ31-BY31-BX31</f>
        <v>-280</v>
      </c>
      <c r="CB31" s="190">
        <f t="shared" ref="CB31:CB37" si="314">CB135</f>
        <v>-526</v>
      </c>
      <c r="CC31" s="188">
        <f t="shared" ref="CC31:CC38" si="315">CC135-CB31</f>
        <v>-505</v>
      </c>
      <c r="CD31" s="188">
        <f t="shared" ref="CD31:CD38" si="316">CD135-CC31-CB31</f>
        <v>-487</v>
      </c>
      <c r="CE31" s="189">
        <f t="shared" ref="CE31:CE38" si="317">CE135-CD31-CC31-CB31</f>
        <v>-1140</v>
      </c>
      <c r="CF31" s="190">
        <f>CF135</f>
        <v>-669</v>
      </c>
      <c r="CG31" s="188">
        <f t="shared" ref="CG31:CG38" si="318">CG135-CF31</f>
        <v>-853</v>
      </c>
      <c r="CH31" s="188">
        <f t="shared" ref="CH31:CH38" si="319">CH135-CG31-CF31</f>
        <v>-734</v>
      </c>
      <c r="CI31" s="189">
        <f t="shared" ref="CI31:CI38" si="320">CI135-CH31-CG31-CF31</f>
        <v>-1765</v>
      </c>
      <c r="CJ31" s="190">
        <f>CJ135</f>
        <v>-990</v>
      </c>
      <c r="CK31" s="188">
        <f>CK135-CJ31</f>
        <v>-1219</v>
      </c>
      <c r="CL31" s="188">
        <f t="shared" ref="CL31:CL38" si="321">CL135-CK31-CJ31</f>
        <v>-1685</v>
      </c>
      <c r="CM31" s="189">
        <f t="shared" ref="CM31:CM38" si="322">CM135-CL31-CK31-CJ31</f>
        <v>-1923</v>
      </c>
      <c r="CN31" s="190">
        <f>CN135</f>
        <v>-1264</v>
      </c>
      <c r="CO31" s="188">
        <f>CO135-CN31</f>
        <v>-1164</v>
      </c>
      <c r="CP31" s="188">
        <f t="shared" ref="CP31:CP38" si="323">CP135-CO31-CN31</f>
        <v>-1302</v>
      </c>
      <c r="CQ31" s="189">
        <f t="shared" ref="CQ31:CQ38" si="324">CQ135-CP31-CO31-CN31</f>
        <v>-1004</v>
      </c>
      <c r="CR31" s="190">
        <f>CR135</f>
        <v>-1956</v>
      </c>
      <c r="CS31" s="188">
        <f>CS135-CR31</f>
        <v>-2414</v>
      </c>
      <c r="CT31" s="188">
        <f t="shared" ref="CT31:CU31" si="325">-CT66-CT67</f>
        <v>-1800</v>
      </c>
      <c r="CU31" s="189">
        <f t="shared" si="325"/>
        <v>-1800</v>
      </c>
      <c r="CV31" s="190">
        <f>-CV66-CV67</f>
        <v>-2500</v>
      </c>
      <c r="CW31" s="188">
        <f t="shared" ref="CW31:CY31" si="326">-CW66-CW67</f>
        <v>-2350</v>
      </c>
      <c r="CX31" s="188">
        <f t="shared" si="326"/>
        <v>-2350</v>
      </c>
      <c r="CY31" s="189">
        <f t="shared" si="326"/>
        <v>-2350</v>
      </c>
      <c r="CZ31" s="190">
        <f>-CZ66-CZ67</f>
        <v>-2400</v>
      </c>
      <c r="DA31" s="188">
        <f t="shared" ref="DA31:DC31" si="327">-DA66-DA67</f>
        <v>-2400</v>
      </c>
      <c r="DB31" s="188">
        <f t="shared" si="327"/>
        <v>-2400</v>
      </c>
      <c r="DC31" s="189">
        <f t="shared" si="327"/>
        <v>-2400</v>
      </c>
      <c r="DD31" s="895"/>
      <c r="DE31" s="190">
        <f t="shared" ref="DE31:DE38" si="328">SUM(D31:G31)</f>
        <v>0</v>
      </c>
      <c r="DF31" s="188">
        <f t="shared" ref="DF31:DF38" si="329">SUM(H31:K31)</f>
        <v>0</v>
      </c>
      <c r="DG31" s="188">
        <f t="shared" ref="DG31:DG38" si="330">SUM(L31:O31)</f>
        <v>-501.4</v>
      </c>
      <c r="DH31" s="188">
        <f t="shared" ref="DH31:DH38" si="331">SUM(P31:S31)</f>
        <v>-673.7</v>
      </c>
      <c r="DI31" s="188">
        <f t="shared" ref="DI31:DI38" si="332">SUM(T31:W31)</f>
        <v>-762.7</v>
      </c>
      <c r="DJ31" s="188">
        <f t="shared" ref="DJ31:DJ38" si="333">SUM(X31:AA31)</f>
        <v>-976.2</v>
      </c>
      <c r="DK31" s="188">
        <f t="shared" ref="DK31:DK38" si="334">SUM(AB31:AE31)</f>
        <v>-1464.8999999999996</v>
      </c>
      <c r="DL31" s="188">
        <f t="shared" ref="DL31:DL38" si="335">SUM(AF31:AI31)</f>
        <v>-755.4</v>
      </c>
      <c r="DM31" s="188">
        <f t="shared" ref="DM31:DM38" si="336">SUM(AJ31:AM31)</f>
        <v>-801.5</v>
      </c>
      <c r="DN31" s="188">
        <f t="shared" ref="DN31:DN38" si="337">SUM(AN31:AQ31)</f>
        <v>-988</v>
      </c>
      <c r="DO31" s="188">
        <f t="shared" ref="DO31:DO38" si="338">SUM(AR31:AU31)</f>
        <v>-1017.5999999999999</v>
      </c>
      <c r="DP31" s="188">
        <f t="shared" ref="DP31:DP38" si="339">SUM(AV31:AY31)</f>
        <v>-1310</v>
      </c>
      <c r="DQ31" s="188">
        <f t="shared" ref="DQ31:DQ38" si="340">SUM(AZ31:BC31)</f>
        <v>-3509</v>
      </c>
      <c r="DR31" s="188">
        <f t="shared" ref="DR31:DR38" si="341">SUM(BD31:BG31)</f>
        <v>-2342</v>
      </c>
      <c r="DS31" s="188">
        <f t="shared" ref="DS31:DS38" si="342">SUM(BH31:BK31)</f>
        <v>-462</v>
      </c>
      <c r="DT31" s="188">
        <f t="shared" ref="DT31:DT38" si="343">SUM(BL31:BO31)</f>
        <v>-616</v>
      </c>
      <c r="DU31" s="188">
        <f t="shared" ref="DU31:DU38" si="344">SUM(BP31:BS31)</f>
        <v>-2550</v>
      </c>
      <c r="DV31" s="188">
        <f t="shared" ref="DV31:DV38" si="345">SUM(BT31:BW31)</f>
        <v>-1699</v>
      </c>
      <c r="DW31" s="188">
        <f t="shared" ref="DW31:DW38" si="346">SUM(BX31:CA31)</f>
        <v>-1244</v>
      </c>
      <c r="DX31" s="188">
        <f t="shared" ref="DX31:DX38" si="347">SUM(CB31:CE31)</f>
        <v>-2658</v>
      </c>
      <c r="DY31" s="188">
        <f>SUM(CF31:CI31)</f>
        <v>-4021</v>
      </c>
      <c r="DZ31" s="188">
        <f t="shared" ref="DZ31:DZ38" si="348">SUM(CJ31:CM31)</f>
        <v>-5817</v>
      </c>
      <c r="EA31" s="188">
        <f t="shared" ref="EA31:EA38" si="349">SUM(CN31:CQ31)</f>
        <v>-4734</v>
      </c>
      <c r="EB31" s="188">
        <f t="shared" ref="EB31:EB38" si="350">SUM(CR31:CU31)</f>
        <v>-7970</v>
      </c>
      <c r="EC31" s="188">
        <f t="shared" ref="EC31:EC38" si="351">SUM(CV31:CY31)</f>
        <v>-9550</v>
      </c>
      <c r="ED31" s="188">
        <f t="shared" ref="ED31:ED38" si="352">SUM(CZ31:DC31)</f>
        <v>-9600</v>
      </c>
      <c r="EE31" s="716"/>
      <c r="EF31" s="190"/>
      <c r="EG31" s="188"/>
      <c r="EH31" s="188">
        <f t="shared" ref="EH31:EH38" si="353">SUM(M31:P31)</f>
        <v>-606.5</v>
      </c>
      <c r="EI31" s="188">
        <f t="shared" ref="EI31:EI38" si="354">SUM(Q31:T31)</f>
        <v>-603.30000000000007</v>
      </c>
      <c r="EJ31" s="188">
        <f t="shared" ref="EJ31:EJ38" si="355">SUM(U31:X31)</f>
        <v>-865</v>
      </c>
      <c r="EK31" s="188">
        <f t="shared" ref="EK31:EK38" si="356">SUM(Y31:AB31)</f>
        <v>-1245.9000000000001</v>
      </c>
      <c r="EL31" s="188">
        <f t="shared" ref="EL31:EL38" si="357">SUM(AC31:AF31)</f>
        <v>-1157.9999999999998</v>
      </c>
      <c r="EM31" s="188">
        <f t="shared" ref="EM31:EM38" si="358">SUM(AG31:AJ31)</f>
        <v>-899.19999999999993</v>
      </c>
      <c r="EN31" s="188">
        <f t="shared" ref="EN31:EN38" si="359">SUM(AK31:AN31)</f>
        <v>-713.7</v>
      </c>
      <c r="EO31" s="188">
        <f t="shared" ref="EO31:EO38" si="360">SUM(AO31:AR31)</f>
        <v>-1105</v>
      </c>
      <c r="EP31" s="338">
        <f t="shared" ref="EP31:EP38" si="361">SUM(AS31:AV31)</f>
        <v>-925.3</v>
      </c>
      <c r="EQ31" s="338">
        <f t="shared" ref="EQ31:EQ38" si="362">SUM(AW31:AZ31)</f>
        <v>-2134.6999999999998</v>
      </c>
      <c r="ER31" s="338">
        <f t="shared" ref="ER31:ER38" si="363">SUM(BA31:BD31)</f>
        <v>-3122</v>
      </c>
      <c r="ES31" s="338">
        <f t="shared" ref="ES31:ES38" si="364">SUM(BE31:BH31)</f>
        <v>-1911</v>
      </c>
      <c r="ET31" s="338">
        <f t="shared" ref="ET31:ET38" si="365">SUM(BI31:BL31)</f>
        <v>-254</v>
      </c>
      <c r="EU31" s="338">
        <f t="shared" ref="EU31:EU38" si="366">SUM(BM31:BP31)</f>
        <v>-1019</v>
      </c>
      <c r="EV31" s="338">
        <f t="shared" ref="EV31:EV38" si="367">SUM(BQ31:BT31)</f>
        <v>-2782</v>
      </c>
      <c r="EW31" s="338">
        <f t="shared" ref="EW31:EW38" si="368">SUM(BU31:BX31)</f>
        <v>-1436</v>
      </c>
      <c r="EX31" s="338">
        <f t="shared" ref="EX31:EX38" si="369">SUM(BY31:CB31)</f>
        <v>-1336</v>
      </c>
      <c r="EY31" s="338">
        <f t="shared" ref="EY31:EY38" si="370">SUM(CC31:CF31)</f>
        <v>-2801</v>
      </c>
      <c r="EZ31" s="338">
        <f t="shared" ref="EZ31:EZ39" si="371">SUM(CG31:CJ31)</f>
        <v>-4342</v>
      </c>
      <c r="FA31" s="338">
        <f t="shared" ref="FA31:FA39" si="372">SUM(CK31:CN31)</f>
        <v>-6091</v>
      </c>
      <c r="FB31" s="338">
        <f t="shared" ref="FB31:FB39" si="373">SUM(CO31:CR31)</f>
        <v>-5426</v>
      </c>
      <c r="FC31" s="338">
        <f t="shared" ref="FC31:FC38" si="374">SUM(CS31:CV31)</f>
        <v>-8514</v>
      </c>
      <c r="FD31" s="339">
        <f t="shared" ref="FD31:FD38" si="375">SUM(CW31:CZ31)</f>
        <v>-9450</v>
      </c>
      <c r="FF31">
        <f>7500*1.05</f>
        <v>7875</v>
      </c>
      <c r="FO31" s="330"/>
      <c r="FP31" s="330"/>
    </row>
    <row r="32" spans="1:172" ht="14.25" customHeight="1">
      <c r="A32" s="7"/>
      <c r="B32" s="24" t="s">
        <v>204</v>
      </c>
      <c r="C32" s="25"/>
      <c r="D32" s="190"/>
      <c r="E32" s="188"/>
      <c r="F32" s="188"/>
      <c r="G32" s="189"/>
      <c r="H32" s="190"/>
      <c r="I32" s="188"/>
      <c r="J32" s="188"/>
      <c r="K32" s="189"/>
      <c r="L32" s="190"/>
      <c r="M32" s="188"/>
      <c r="N32" s="188"/>
      <c r="O32" s="189"/>
      <c r="P32" s="190"/>
      <c r="Q32" s="188"/>
      <c r="R32" s="188"/>
      <c r="S32" s="189"/>
      <c r="T32" s="190"/>
      <c r="U32" s="188"/>
      <c r="V32" s="188"/>
      <c r="W32" s="189"/>
      <c r="X32" s="190"/>
      <c r="Y32" s="188"/>
      <c r="Z32" s="188"/>
      <c r="AA32" s="189"/>
      <c r="AB32" s="190"/>
      <c r="AC32" s="188"/>
      <c r="AD32" s="188"/>
      <c r="AE32" s="189"/>
      <c r="AF32" s="190"/>
      <c r="AG32" s="188"/>
      <c r="AH32" s="188"/>
      <c r="AI32" s="189"/>
      <c r="AJ32" s="190"/>
      <c r="AK32" s="188"/>
      <c r="AL32" s="188"/>
      <c r="AM32" s="189"/>
      <c r="AN32" s="190"/>
      <c r="AO32" s="188"/>
      <c r="AP32" s="188"/>
      <c r="AQ32" s="189"/>
      <c r="AR32" s="190"/>
      <c r="AS32" s="188"/>
      <c r="AT32" s="188"/>
      <c r="AU32" s="189"/>
      <c r="AV32" s="190"/>
      <c r="AW32" s="188"/>
      <c r="AX32" s="188"/>
      <c r="AY32" s="189"/>
      <c r="AZ32" s="190"/>
      <c r="BA32" s="188"/>
      <c r="BB32" s="188"/>
      <c r="BC32" s="189"/>
      <c r="BD32" s="190"/>
      <c r="BE32" s="188"/>
      <c r="BF32" s="188"/>
      <c r="BG32" s="189"/>
      <c r="BH32" s="190"/>
      <c r="BI32" s="188"/>
      <c r="BJ32" s="188"/>
      <c r="BK32" s="189"/>
      <c r="BL32" s="190">
        <f t="shared" si="298"/>
        <v>0</v>
      </c>
      <c r="BM32" s="188">
        <f t="shared" si="299"/>
        <v>-143</v>
      </c>
      <c r="BN32" s="188">
        <f t="shared" si="300"/>
        <v>-8</v>
      </c>
      <c r="BO32" s="189">
        <f t="shared" si="301"/>
        <v>-14</v>
      </c>
      <c r="BP32" s="190">
        <f t="shared" si="302"/>
        <v>0</v>
      </c>
      <c r="BQ32" s="188">
        <f t="shared" si="303"/>
        <v>-11</v>
      </c>
      <c r="BR32" s="188">
        <f t="shared" si="304"/>
        <v>-11</v>
      </c>
      <c r="BS32" s="189">
        <f t="shared" si="305"/>
        <v>-9</v>
      </c>
      <c r="BT32" s="190">
        <f t="shared" si="306"/>
        <v>0</v>
      </c>
      <c r="BU32" s="188">
        <f t="shared" si="307"/>
        <v>-7</v>
      </c>
      <c r="BV32" s="188">
        <f t="shared" si="308"/>
        <v>-173</v>
      </c>
      <c r="BW32" s="189">
        <f t="shared" si="309"/>
        <v>-7</v>
      </c>
      <c r="BX32" s="190">
        <f t="shared" si="310"/>
        <v>0</v>
      </c>
      <c r="BY32" s="188">
        <f t="shared" si="311"/>
        <v>0</v>
      </c>
      <c r="BZ32" s="188">
        <f t="shared" si="312"/>
        <v>0</v>
      </c>
      <c r="CA32" s="189">
        <f t="shared" si="313"/>
        <v>0</v>
      </c>
      <c r="CB32" s="190">
        <f t="shared" si="314"/>
        <v>0</v>
      </c>
      <c r="CC32" s="188">
        <f t="shared" si="315"/>
        <v>0</v>
      </c>
      <c r="CD32" s="188">
        <f t="shared" si="316"/>
        <v>0</v>
      </c>
      <c r="CE32" s="189">
        <f t="shared" si="317"/>
        <v>0</v>
      </c>
      <c r="CF32" s="190">
        <f t="shared" ref="CF32:CF37" si="376">CF136</f>
        <v>0</v>
      </c>
      <c r="CG32" s="188">
        <f t="shared" si="318"/>
        <v>0</v>
      </c>
      <c r="CH32" s="188">
        <f t="shared" si="319"/>
        <v>0</v>
      </c>
      <c r="CI32" s="189">
        <f t="shared" si="320"/>
        <v>0</v>
      </c>
      <c r="CJ32" s="190">
        <f t="shared" ref="CJ32:CJ37" si="377">CJ136</f>
        <v>0</v>
      </c>
      <c r="CK32" s="188">
        <f t="shared" ref="CK32:CK38" si="378">CK136-CJ32</f>
        <v>0</v>
      </c>
      <c r="CL32" s="188">
        <f t="shared" si="321"/>
        <v>0</v>
      </c>
      <c r="CM32" s="189">
        <f t="shared" si="322"/>
        <v>0</v>
      </c>
      <c r="CN32" s="190">
        <f t="shared" ref="CN32:CN37" si="379">CN136</f>
        <v>0</v>
      </c>
      <c r="CO32" s="188">
        <f t="shared" ref="CO32:CO38" si="380">CO136-CN32</f>
        <v>0</v>
      </c>
      <c r="CP32" s="188">
        <f t="shared" si="323"/>
        <v>0</v>
      </c>
      <c r="CQ32" s="189">
        <f t="shared" si="324"/>
        <v>0</v>
      </c>
      <c r="CR32" s="190">
        <f t="shared" ref="CR32:CR37" si="381">CR136</f>
        <v>0</v>
      </c>
      <c r="CS32" s="188">
        <v>0</v>
      </c>
      <c r="CT32" s="188">
        <v>0</v>
      </c>
      <c r="CU32" s="192">
        <v>0</v>
      </c>
      <c r="CV32" s="190">
        <v>0</v>
      </c>
      <c r="CW32" s="188">
        <v>0</v>
      </c>
      <c r="CX32" s="188">
        <v>0</v>
      </c>
      <c r="CY32" s="192">
        <v>0</v>
      </c>
      <c r="CZ32" s="190">
        <v>0</v>
      </c>
      <c r="DA32" s="188">
        <v>0</v>
      </c>
      <c r="DB32" s="188">
        <v>0</v>
      </c>
      <c r="DC32" s="192">
        <v>0</v>
      </c>
      <c r="DD32" s="895"/>
      <c r="DE32" s="190">
        <f t="shared" si="328"/>
        <v>0</v>
      </c>
      <c r="DF32" s="188">
        <f t="shared" si="329"/>
        <v>0</v>
      </c>
      <c r="DG32" s="188">
        <f t="shared" si="330"/>
        <v>0</v>
      </c>
      <c r="DH32" s="188">
        <f t="shared" si="331"/>
        <v>0</v>
      </c>
      <c r="DI32" s="188">
        <f t="shared" si="332"/>
        <v>0</v>
      </c>
      <c r="DJ32" s="188">
        <f t="shared" si="333"/>
        <v>0</v>
      </c>
      <c r="DK32" s="188">
        <f t="shared" si="334"/>
        <v>0</v>
      </c>
      <c r="DL32" s="188">
        <f t="shared" si="335"/>
        <v>0</v>
      </c>
      <c r="DM32" s="188">
        <f t="shared" si="336"/>
        <v>0</v>
      </c>
      <c r="DN32" s="188">
        <f t="shared" si="337"/>
        <v>0</v>
      </c>
      <c r="DO32" s="188">
        <f t="shared" si="338"/>
        <v>0</v>
      </c>
      <c r="DP32" s="188">
        <f t="shared" si="339"/>
        <v>0</v>
      </c>
      <c r="DQ32" s="188">
        <f t="shared" si="340"/>
        <v>0</v>
      </c>
      <c r="DR32" s="188">
        <f t="shared" si="341"/>
        <v>0</v>
      </c>
      <c r="DS32" s="188">
        <f t="shared" si="342"/>
        <v>0</v>
      </c>
      <c r="DT32" s="188">
        <f t="shared" si="343"/>
        <v>-165</v>
      </c>
      <c r="DU32" s="188">
        <f t="shared" si="344"/>
        <v>-31</v>
      </c>
      <c r="DV32" s="188">
        <f t="shared" si="345"/>
        <v>-187</v>
      </c>
      <c r="DW32" s="188">
        <f t="shared" si="346"/>
        <v>0</v>
      </c>
      <c r="DX32" s="188">
        <f t="shared" si="347"/>
        <v>0</v>
      </c>
      <c r="DY32" s="188">
        <f t="shared" ref="DY32:DY38" si="382">SUM(CF32:CI32)</f>
        <v>0</v>
      </c>
      <c r="DZ32" s="188">
        <f t="shared" si="348"/>
        <v>0</v>
      </c>
      <c r="EA32" s="188">
        <f t="shared" si="349"/>
        <v>0</v>
      </c>
      <c r="EB32" s="188">
        <f t="shared" si="350"/>
        <v>0</v>
      </c>
      <c r="EC32" s="188">
        <f t="shared" si="351"/>
        <v>0</v>
      </c>
      <c r="ED32" s="188">
        <f t="shared" si="352"/>
        <v>0</v>
      </c>
      <c r="EE32" s="716"/>
      <c r="EF32" s="190"/>
      <c r="EG32" s="188"/>
      <c r="EH32" s="188">
        <f t="shared" si="353"/>
        <v>0</v>
      </c>
      <c r="EI32" s="188">
        <f t="shared" si="354"/>
        <v>0</v>
      </c>
      <c r="EJ32" s="188">
        <f t="shared" si="355"/>
        <v>0</v>
      </c>
      <c r="EK32" s="188">
        <f t="shared" si="356"/>
        <v>0</v>
      </c>
      <c r="EL32" s="188">
        <f t="shared" si="357"/>
        <v>0</v>
      </c>
      <c r="EM32" s="188">
        <f t="shared" si="358"/>
        <v>0</v>
      </c>
      <c r="EN32" s="188">
        <f t="shared" si="359"/>
        <v>0</v>
      </c>
      <c r="EO32" s="188">
        <f t="shared" si="360"/>
        <v>0</v>
      </c>
      <c r="EP32" s="338">
        <f t="shared" si="361"/>
        <v>0</v>
      </c>
      <c r="EQ32" s="338">
        <f t="shared" si="362"/>
        <v>0</v>
      </c>
      <c r="ER32" s="338">
        <f t="shared" si="363"/>
        <v>0</v>
      </c>
      <c r="ES32" s="338">
        <f t="shared" si="364"/>
        <v>0</v>
      </c>
      <c r="ET32" s="338">
        <f t="shared" si="365"/>
        <v>0</v>
      </c>
      <c r="EU32" s="338">
        <f t="shared" si="366"/>
        <v>-165</v>
      </c>
      <c r="EV32" s="338">
        <f t="shared" si="367"/>
        <v>-31</v>
      </c>
      <c r="EW32" s="338">
        <f t="shared" si="368"/>
        <v>-187</v>
      </c>
      <c r="EX32" s="338">
        <f t="shared" si="369"/>
        <v>0</v>
      </c>
      <c r="EY32" s="338">
        <f t="shared" si="370"/>
        <v>0</v>
      </c>
      <c r="EZ32" s="338">
        <f t="shared" si="371"/>
        <v>0</v>
      </c>
      <c r="FA32" s="338">
        <f t="shared" si="372"/>
        <v>0</v>
      </c>
      <c r="FB32" s="338">
        <f t="shared" si="373"/>
        <v>0</v>
      </c>
      <c r="FC32" s="338">
        <f t="shared" si="374"/>
        <v>0</v>
      </c>
      <c r="FD32" s="339">
        <f t="shared" si="375"/>
        <v>0</v>
      </c>
      <c r="FO32" s="330"/>
      <c r="FP32" s="330"/>
    </row>
    <row r="33" spans="1:172" ht="14.25" customHeight="1">
      <c r="A33" s="7"/>
      <c r="B33" s="24" t="s">
        <v>205</v>
      </c>
      <c r="C33" s="25"/>
      <c r="D33" s="190"/>
      <c r="E33" s="188"/>
      <c r="F33" s="188"/>
      <c r="G33" s="189"/>
      <c r="H33" s="190"/>
      <c r="I33" s="188"/>
      <c r="J33" s="188"/>
      <c r="K33" s="189"/>
      <c r="L33" s="190"/>
      <c r="M33" s="188"/>
      <c r="N33" s="188"/>
      <c r="O33" s="189"/>
      <c r="P33" s="190"/>
      <c r="Q33" s="188"/>
      <c r="R33" s="188"/>
      <c r="S33" s="189"/>
      <c r="T33" s="190"/>
      <c r="U33" s="188"/>
      <c r="V33" s="188"/>
      <c r="W33" s="189"/>
      <c r="X33" s="190"/>
      <c r="Y33" s="188"/>
      <c r="Z33" s="188"/>
      <c r="AA33" s="189"/>
      <c r="AB33" s="190"/>
      <c r="AC33" s="188"/>
      <c r="AD33" s="188"/>
      <c r="AE33" s="189"/>
      <c r="AF33" s="190"/>
      <c r="AG33" s="188"/>
      <c r="AH33" s="188"/>
      <c r="AI33" s="189"/>
      <c r="AJ33" s="190"/>
      <c r="AK33" s="188"/>
      <c r="AL33" s="188"/>
      <c r="AM33" s="189"/>
      <c r="AN33" s="190"/>
      <c r="AO33" s="188"/>
      <c r="AP33" s="188"/>
      <c r="AQ33" s="189"/>
      <c r="AR33" s="190"/>
      <c r="AS33" s="188"/>
      <c r="AT33" s="188"/>
      <c r="AU33" s="189"/>
      <c r="AV33" s="190"/>
      <c r="AW33" s="188"/>
      <c r="AX33" s="188"/>
      <c r="AY33" s="189"/>
      <c r="AZ33" s="190"/>
      <c r="BA33" s="188"/>
      <c r="BB33" s="188"/>
      <c r="BC33" s="189"/>
      <c r="BD33" s="190"/>
      <c r="BE33" s="188"/>
      <c r="BF33" s="188"/>
      <c r="BG33" s="189"/>
      <c r="BH33" s="190"/>
      <c r="BI33" s="188"/>
      <c r="BJ33" s="188"/>
      <c r="BK33" s="189"/>
      <c r="BL33" s="190">
        <f t="shared" si="298"/>
        <v>0</v>
      </c>
      <c r="BM33" s="188">
        <f t="shared" si="299"/>
        <v>0</v>
      </c>
      <c r="BN33" s="188">
        <f t="shared" si="300"/>
        <v>0</v>
      </c>
      <c r="BO33" s="189">
        <f t="shared" si="301"/>
        <v>0</v>
      </c>
      <c r="BP33" s="190">
        <f t="shared" si="302"/>
        <v>0</v>
      </c>
      <c r="BQ33" s="188">
        <f t="shared" si="303"/>
        <v>48</v>
      </c>
      <c r="BR33" s="188">
        <f t="shared" si="304"/>
        <v>0</v>
      </c>
      <c r="BS33" s="189">
        <f t="shared" si="305"/>
        <v>0</v>
      </c>
      <c r="BT33" s="190">
        <f t="shared" si="306"/>
        <v>0</v>
      </c>
      <c r="BU33" s="188">
        <f t="shared" si="307"/>
        <v>0</v>
      </c>
      <c r="BV33" s="188">
        <f t="shared" si="308"/>
        <v>1</v>
      </c>
      <c r="BW33" s="189">
        <f t="shared" si="309"/>
        <v>0</v>
      </c>
      <c r="BX33" s="190">
        <f t="shared" si="310"/>
        <v>0</v>
      </c>
      <c r="BY33" s="188">
        <f t="shared" si="311"/>
        <v>0</v>
      </c>
      <c r="BZ33" s="188">
        <f t="shared" si="312"/>
        <v>0</v>
      </c>
      <c r="CA33" s="189">
        <f t="shared" si="313"/>
        <v>0</v>
      </c>
      <c r="CB33" s="190">
        <f t="shared" si="314"/>
        <v>0</v>
      </c>
      <c r="CC33" s="188">
        <f t="shared" si="315"/>
        <v>0</v>
      </c>
      <c r="CD33" s="188">
        <f t="shared" si="316"/>
        <v>0</v>
      </c>
      <c r="CE33" s="189">
        <f t="shared" si="317"/>
        <v>0</v>
      </c>
      <c r="CF33" s="190">
        <f t="shared" si="376"/>
        <v>0</v>
      </c>
      <c r="CG33" s="188">
        <f t="shared" si="318"/>
        <v>0</v>
      </c>
      <c r="CH33" s="188">
        <f t="shared" si="319"/>
        <v>0</v>
      </c>
      <c r="CI33" s="189">
        <f t="shared" si="320"/>
        <v>0</v>
      </c>
      <c r="CJ33" s="190">
        <f t="shared" si="377"/>
        <v>0</v>
      </c>
      <c r="CK33" s="188">
        <f t="shared" si="378"/>
        <v>0</v>
      </c>
      <c r="CL33" s="188">
        <f t="shared" si="321"/>
        <v>0</v>
      </c>
      <c r="CM33" s="189">
        <f t="shared" si="322"/>
        <v>0</v>
      </c>
      <c r="CN33" s="190">
        <f t="shared" si="379"/>
        <v>0</v>
      </c>
      <c r="CO33" s="188">
        <f t="shared" si="380"/>
        <v>0</v>
      </c>
      <c r="CP33" s="188">
        <f t="shared" si="323"/>
        <v>0</v>
      </c>
      <c r="CQ33" s="189">
        <f t="shared" si="324"/>
        <v>0</v>
      </c>
      <c r="CR33" s="190">
        <f t="shared" si="381"/>
        <v>0</v>
      </c>
      <c r="CS33" s="188">
        <v>0</v>
      </c>
      <c r="CT33" s="188">
        <v>0</v>
      </c>
      <c r="CU33" s="192">
        <v>0</v>
      </c>
      <c r="CV33" s="190">
        <v>0</v>
      </c>
      <c r="CW33" s="188">
        <v>0</v>
      </c>
      <c r="CX33" s="188">
        <v>0</v>
      </c>
      <c r="CY33" s="192">
        <v>0</v>
      </c>
      <c r="CZ33" s="190">
        <v>0</v>
      </c>
      <c r="DA33" s="188">
        <v>0</v>
      </c>
      <c r="DB33" s="188">
        <v>0</v>
      </c>
      <c r="DC33" s="192">
        <v>0</v>
      </c>
      <c r="DD33" s="895"/>
      <c r="DE33" s="190">
        <f t="shared" si="328"/>
        <v>0</v>
      </c>
      <c r="DF33" s="188">
        <f t="shared" si="329"/>
        <v>0</v>
      </c>
      <c r="DG33" s="188">
        <f t="shared" si="330"/>
        <v>0</v>
      </c>
      <c r="DH33" s="188">
        <f t="shared" si="331"/>
        <v>0</v>
      </c>
      <c r="DI33" s="188">
        <f t="shared" si="332"/>
        <v>0</v>
      </c>
      <c r="DJ33" s="188">
        <f t="shared" si="333"/>
        <v>0</v>
      </c>
      <c r="DK33" s="188">
        <f t="shared" si="334"/>
        <v>0</v>
      </c>
      <c r="DL33" s="188">
        <f t="shared" si="335"/>
        <v>0</v>
      </c>
      <c r="DM33" s="188">
        <f t="shared" si="336"/>
        <v>0</v>
      </c>
      <c r="DN33" s="188">
        <f t="shared" si="337"/>
        <v>0</v>
      </c>
      <c r="DO33" s="188">
        <f t="shared" si="338"/>
        <v>0</v>
      </c>
      <c r="DP33" s="188">
        <f t="shared" si="339"/>
        <v>0</v>
      </c>
      <c r="DQ33" s="188">
        <f t="shared" si="340"/>
        <v>0</v>
      </c>
      <c r="DR33" s="188">
        <f t="shared" si="341"/>
        <v>0</v>
      </c>
      <c r="DS33" s="188">
        <f t="shared" si="342"/>
        <v>0</v>
      </c>
      <c r="DT33" s="188">
        <f t="shared" si="343"/>
        <v>0</v>
      </c>
      <c r="DU33" s="188">
        <f t="shared" si="344"/>
        <v>48</v>
      </c>
      <c r="DV33" s="188">
        <f t="shared" si="345"/>
        <v>1</v>
      </c>
      <c r="DW33" s="188">
        <f t="shared" si="346"/>
        <v>0</v>
      </c>
      <c r="DX33" s="188">
        <f t="shared" si="347"/>
        <v>0</v>
      </c>
      <c r="DY33" s="188">
        <f t="shared" si="382"/>
        <v>0</v>
      </c>
      <c r="DZ33" s="188">
        <f t="shared" si="348"/>
        <v>0</v>
      </c>
      <c r="EA33" s="188">
        <f t="shared" si="349"/>
        <v>0</v>
      </c>
      <c r="EB33" s="188">
        <f t="shared" si="350"/>
        <v>0</v>
      </c>
      <c r="EC33" s="188">
        <f t="shared" si="351"/>
        <v>0</v>
      </c>
      <c r="ED33" s="188">
        <f t="shared" si="352"/>
        <v>0</v>
      </c>
      <c r="EE33" s="716"/>
      <c r="EF33" s="190"/>
      <c r="EG33" s="188"/>
      <c r="EH33" s="188">
        <f t="shared" si="353"/>
        <v>0</v>
      </c>
      <c r="EI33" s="188">
        <f t="shared" si="354"/>
        <v>0</v>
      </c>
      <c r="EJ33" s="188">
        <f t="shared" si="355"/>
        <v>0</v>
      </c>
      <c r="EK33" s="188">
        <f t="shared" si="356"/>
        <v>0</v>
      </c>
      <c r="EL33" s="188">
        <f t="shared" si="357"/>
        <v>0</v>
      </c>
      <c r="EM33" s="188">
        <f t="shared" si="358"/>
        <v>0</v>
      </c>
      <c r="EN33" s="188">
        <f t="shared" si="359"/>
        <v>0</v>
      </c>
      <c r="EO33" s="188">
        <f t="shared" si="360"/>
        <v>0</v>
      </c>
      <c r="EP33" s="338">
        <f t="shared" si="361"/>
        <v>0</v>
      </c>
      <c r="EQ33" s="338">
        <f t="shared" si="362"/>
        <v>0</v>
      </c>
      <c r="ER33" s="338">
        <f t="shared" si="363"/>
        <v>0</v>
      </c>
      <c r="ES33" s="338">
        <f t="shared" si="364"/>
        <v>0</v>
      </c>
      <c r="ET33" s="338">
        <f t="shared" si="365"/>
        <v>0</v>
      </c>
      <c r="EU33" s="338">
        <f t="shared" si="366"/>
        <v>0</v>
      </c>
      <c r="EV33" s="338">
        <f t="shared" si="367"/>
        <v>48</v>
      </c>
      <c r="EW33" s="338">
        <f t="shared" si="368"/>
        <v>1</v>
      </c>
      <c r="EX33" s="338">
        <f t="shared" si="369"/>
        <v>0</v>
      </c>
      <c r="EY33" s="338">
        <f t="shared" si="370"/>
        <v>0</v>
      </c>
      <c r="EZ33" s="338">
        <f t="shared" si="371"/>
        <v>0</v>
      </c>
      <c r="FA33" s="338">
        <f t="shared" si="372"/>
        <v>0</v>
      </c>
      <c r="FB33" s="338">
        <f t="shared" si="373"/>
        <v>0</v>
      </c>
      <c r="FC33" s="338">
        <f t="shared" si="374"/>
        <v>0</v>
      </c>
      <c r="FD33" s="339">
        <f t="shared" si="375"/>
        <v>0</v>
      </c>
      <c r="FO33" s="330"/>
      <c r="FP33" s="330"/>
    </row>
    <row r="34" spans="1:172" ht="14.25" customHeight="1">
      <c r="A34" s="7"/>
      <c r="B34" s="24" t="s">
        <v>206</v>
      </c>
      <c r="C34" s="25"/>
      <c r="D34" s="190"/>
      <c r="E34" s="188"/>
      <c r="F34" s="188"/>
      <c r="G34" s="189"/>
      <c r="H34" s="190"/>
      <c r="I34" s="188"/>
      <c r="J34" s="188"/>
      <c r="K34" s="189"/>
      <c r="L34" s="190"/>
      <c r="M34" s="188"/>
      <c r="N34" s="188"/>
      <c r="O34" s="189"/>
      <c r="P34" s="190"/>
      <c r="Q34" s="188"/>
      <c r="R34" s="188"/>
      <c r="S34" s="189"/>
      <c r="T34" s="190"/>
      <c r="U34" s="188"/>
      <c r="V34" s="188"/>
      <c r="W34" s="189"/>
      <c r="X34" s="190"/>
      <c r="Y34" s="188"/>
      <c r="Z34" s="188"/>
      <c r="AA34" s="189"/>
      <c r="AB34" s="190"/>
      <c r="AC34" s="188"/>
      <c r="AD34" s="188"/>
      <c r="AE34" s="189"/>
      <c r="AF34" s="190"/>
      <c r="AG34" s="188"/>
      <c r="AH34" s="188"/>
      <c r="AI34" s="189"/>
      <c r="AJ34" s="190"/>
      <c r="AK34" s="188"/>
      <c r="AL34" s="188"/>
      <c r="AM34" s="189"/>
      <c r="AN34" s="190"/>
      <c r="AO34" s="188"/>
      <c r="AP34" s="188"/>
      <c r="AQ34" s="189"/>
      <c r="AR34" s="190"/>
      <c r="AS34" s="188"/>
      <c r="AT34" s="188"/>
      <c r="AU34" s="189"/>
      <c r="AV34" s="190"/>
      <c r="AW34" s="188"/>
      <c r="AX34" s="188"/>
      <c r="AY34" s="189"/>
      <c r="AZ34" s="190"/>
      <c r="BA34" s="188"/>
      <c r="BB34" s="188"/>
      <c r="BC34" s="189"/>
      <c r="BD34" s="190"/>
      <c r="BE34" s="188"/>
      <c r="BF34" s="188"/>
      <c r="BG34" s="189"/>
      <c r="BH34" s="190"/>
      <c r="BI34" s="188"/>
      <c r="BJ34" s="188"/>
      <c r="BK34" s="189"/>
      <c r="BL34" s="190">
        <f t="shared" si="298"/>
        <v>31</v>
      </c>
      <c r="BM34" s="188">
        <f t="shared" si="299"/>
        <v>5</v>
      </c>
      <c r="BN34" s="188">
        <f t="shared" si="300"/>
        <v>50</v>
      </c>
      <c r="BO34" s="189">
        <f t="shared" si="301"/>
        <v>8</v>
      </c>
      <c r="BP34" s="190">
        <f t="shared" si="302"/>
        <v>34</v>
      </c>
      <c r="BQ34" s="188">
        <f t="shared" si="303"/>
        <v>62</v>
      </c>
      <c r="BR34" s="188">
        <f t="shared" si="304"/>
        <v>28</v>
      </c>
      <c r="BS34" s="189">
        <f t="shared" si="305"/>
        <v>3</v>
      </c>
      <c r="BT34" s="190">
        <f t="shared" si="306"/>
        <v>9</v>
      </c>
      <c r="BU34" s="188">
        <f t="shared" si="307"/>
        <v>39</v>
      </c>
      <c r="BV34" s="188">
        <f t="shared" si="308"/>
        <v>3</v>
      </c>
      <c r="BW34" s="189">
        <f t="shared" si="309"/>
        <v>16</v>
      </c>
      <c r="BX34" s="190">
        <f t="shared" si="310"/>
        <v>6</v>
      </c>
      <c r="BY34" s="188">
        <f t="shared" si="311"/>
        <v>8</v>
      </c>
      <c r="BZ34" s="188">
        <f t="shared" si="312"/>
        <v>9</v>
      </c>
      <c r="CA34" s="189">
        <f t="shared" si="313"/>
        <v>5</v>
      </c>
      <c r="CB34" s="190">
        <f t="shared" si="314"/>
        <v>0</v>
      </c>
      <c r="CC34" s="188">
        <f t="shared" si="315"/>
        <v>63</v>
      </c>
      <c r="CD34" s="188">
        <f t="shared" si="316"/>
        <v>-47</v>
      </c>
      <c r="CE34" s="189">
        <f t="shared" si="317"/>
        <v>-16</v>
      </c>
      <c r="CF34" s="190">
        <f t="shared" si="376"/>
        <v>0</v>
      </c>
      <c r="CG34" s="188">
        <f t="shared" si="318"/>
        <v>0</v>
      </c>
      <c r="CH34" s="188">
        <f t="shared" si="319"/>
        <v>0</v>
      </c>
      <c r="CI34" s="189">
        <f t="shared" si="320"/>
        <v>0</v>
      </c>
      <c r="CJ34" s="190">
        <f t="shared" si="377"/>
        <v>0</v>
      </c>
      <c r="CK34" s="188">
        <f t="shared" si="378"/>
        <v>0</v>
      </c>
      <c r="CL34" s="188">
        <f t="shared" si="321"/>
        <v>0</v>
      </c>
      <c r="CM34" s="189">
        <f t="shared" si="322"/>
        <v>0</v>
      </c>
      <c r="CN34" s="190">
        <f t="shared" si="379"/>
        <v>0</v>
      </c>
      <c r="CO34" s="188">
        <f t="shared" si="380"/>
        <v>0</v>
      </c>
      <c r="CP34" s="188">
        <f t="shared" si="323"/>
        <v>0</v>
      </c>
      <c r="CQ34" s="189">
        <f t="shared" si="324"/>
        <v>0</v>
      </c>
      <c r="CR34" s="190">
        <f t="shared" si="381"/>
        <v>0</v>
      </c>
      <c r="CS34" s="188">
        <v>0</v>
      </c>
      <c r="CT34" s="188">
        <v>0</v>
      </c>
      <c r="CU34" s="192">
        <v>0</v>
      </c>
      <c r="CV34" s="190">
        <v>0</v>
      </c>
      <c r="CW34" s="188">
        <v>0</v>
      </c>
      <c r="CX34" s="188">
        <v>0</v>
      </c>
      <c r="CY34" s="192">
        <v>0</v>
      </c>
      <c r="CZ34" s="190">
        <v>0</v>
      </c>
      <c r="DA34" s="188">
        <v>0</v>
      </c>
      <c r="DB34" s="188">
        <v>0</v>
      </c>
      <c r="DC34" s="192">
        <v>0</v>
      </c>
      <c r="DD34" s="895"/>
      <c r="DE34" s="190">
        <f t="shared" si="328"/>
        <v>0</v>
      </c>
      <c r="DF34" s="188">
        <f t="shared" si="329"/>
        <v>0</v>
      </c>
      <c r="DG34" s="188">
        <f t="shared" si="330"/>
        <v>0</v>
      </c>
      <c r="DH34" s="188">
        <f t="shared" si="331"/>
        <v>0</v>
      </c>
      <c r="DI34" s="188">
        <f t="shared" si="332"/>
        <v>0</v>
      </c>
      <c r="DJ34" s="188">
        <f t="shared" si="333"/>
        <v>0</v>
      </c>
      <c r="DK34" s="188">
        <f t="shared" si="334"/>
        <v>0</v>
      </c>
      <c r="DL34" s="188">
        <f t="shared" si="335"/>
        <v>0</v>
      </c>
      <c r="DM34" s="188">
        <f t="shared" si="336"/>
        <v>0</v>
      </c>
      <c r="DN34" s="188">
        <f t="shared" si="337"/>
        <v>0</v>
      </c>
      <c r="DO34" s="188">
        <f t="shared" si="338"/>
        <v>0</v>
      </c>
      <c r="DP34" s="188">
        <f t="shared" si="339"/>
        <v>0</v>
      </c>
      <c r="DQ34" s="188">
        <f t="shared" si="340"/>
        <v>0</v>
      </c>
      <c r="DR34" s="188">
        <f t="shared" si="341"/>
        <v>0</v>
      </c>
      <c r="DS34" s="188">
        <f t="shared" si="342"/>
        <v>0</v>
      </c>
      <c r="DT34" s="188">
        <f t="shared" si="343"/>
        <v>94</v>
      </c>
      <c r="DU34" s="188">
        <f t="shared" si="344"/>
        <v>127</v>
      </c>
      <c r="DV34" s="188">
        <f t="shared" si="345"/>
        <v>67</v>
      </c>
      <c r="DW34" s="188">
        <f t="shared" si="346"/>
        <v>28</v>
      </c>
      <c r="DX34" s="188">
        <f t="shared" si="347"/>
        <v>0</v>
      </c>
      <c r="DY34" s="188">
        <f t="shared" si="382"/>
        <v>0</v>
      </c>
      <c r="DZ34" s="188">
        <f t="shared" si="348"/>
        <v>0</v>
      </c>
      <c r="EA34" s="188">
        <f t="shared" si="349"/>
        <v>0</v>
      </c>
      <c r="EB34" s="188">
        <f t="shared" si="350"/>
        <v>0</v>
      </c>
      <c r="EC34" s="188">
        <f t="shared" si="351"/>
        <v>0</v>
      </c>
      <c r="ED34" s="188">
        <f t="shared" si="352"/>
        <v>0</v>
      </c>
      <c r="EE34" s="716"/>
      <c r="EF34" s="190"/>
      <c r="EG34" s="188"/>
      <c r="EH34" s="188">
        <f t="shared" si="353"/>
        <v>0</v>
      </c>
      <c r="EI34" s="188">
        <f t="shared" si="354"/>
        <v>0</v>
      </c>
      <c r="EJ34" s="188">
        <f t="shared" si="355"/>
        <v>0</v>
      </c>
      <c r="EK34" s="188">
        <f t="shared" si="356"/>
        <v>0</v>
      </c>
      <c r="EL34" s="188">
        <f t="shared" si="357"/>
        <v>0</v>
      </c>
      <c r="EM34" s="188">
        <f t="shared" si="358"/>
        <v>0</v>
      </c>
      <c r="EN34" s="188">
        <f t="shared" si="359"/>
        <v>0</v>
      </c>
      <c r="EO34" s="188">
        <f t="shared" si="360"/>
        <v>0</v>
      </c>
      <c r="EP34" s="338">
        <f t="shared" si="361"/>
        <v>0</v>
      </c>
      <c r="EQ34" s="338">
        <f t="shared" si="362"/>
        <v>0</v>
      </c>
      <c r="ER34" s="338">
        <f t="shared" si="363"/>
        <v>0</v>
      </c>
      <c r="ES34" s="338">
        <f t="shared" si="364"/>
        <v>0</v>
      </c>
      <c r="ET34" s="338">
        <f t="shared" si="365"/>
        <v>31</v>
      </c>
      <c r="EU34" s="338">
        <f t="shared" si="366"/>
        <v>97</v>
      </c>
      <c r="EV34" s="338">
        <f t="shared" si="367"/>
        <v>102</v>
      </c>
      <c r="EW34" s="338">
        <f t="shared" si="368"/>
        <v>64</v>
      </c>
      <c r="EX34" s="338">
        <f t="shared" si="369"/>
        <v>22</v>
      </c>
      <c r="EY34" s="338">
        <f t="shared" si="370"/>
        <v>0</v>
      </c>
      <c r="EZ34" s="338">
        <f t="shared" si="371"/>
        <v>0</v>
      </c>
      <c r="FA34" s="338">
        <f t="shared" si="372"/>
        <v>0</v>
      </c>
      <c r="FB34" s="338">
        <f t="shared" si="373"/>
        <v>0</v>
      </c>
      <c r="FC34" s="338">
        <f t="shared" si="374"/>
        <v>0</v>
      </c>
      <c r="FD34" s="339">
        <f t="shared" si="375"/>
        <v>0</v>
      </c>
      <c r="FO34" s="330"/>
      <c r="FP34" s="330"/>
    </row>
    <row r="35" spans="1:172" ht="14.25" customHeight="1">
      <c r="A35" s="7"/>
      <c r="B35" s="24" t="str">
        <f>B139</f>
        <v>Restricted cash</v>
      </c>
      <c r="C35" s="25"/>
      <c r="D35" s="190">
        <f>D139</f>
        <v>0</v>
      </c>
      <c r="E35" s="188">
        <f>E139-D35</f>
        <v>0</v>
      </c>
      <c r="F35" s="188">
        <f>F139-E35-D35</f>
        <v>0</v>
      </c>
      <c r="G35" s="189">
        <f>G139-F35-E35-D35</f>
        <v>0</v>
      </c>
      <c r="H35" s="190">
        <f>H139</f>
        <v>0</v>
      </c>
      <c r="I35" s="188">
        <f>I139-H35</f>
        <v>0</v>
      </c>
      <c r="J35" s="188">
        <f>J139-I35-H35</f>
        <v>0</v>
      </c>
      <c r="K35" s="189">
        <f>K139-J35-I35-H35</f>
        <v>0</v>
      </c>
      <c r="L35" s="190">
        <f>L139</f>
        <v>0</v>
      </c>
      <c r="M35" s="188">
        <f>M139-L35</f>
        <v>0</v>
      </c>
      <c r="N35" s="188">
        <f>N139-M35-L35</f>
        <v>0</v>
      </c>
      <c r="O35" s="189">
        <f>O139-N35-M35-L35</f>
        <v>0</v>
      </c>
      <c r="P35" s="190">
        <f>P139</f>
        <v>0</v>
      </c>
      <c r="Q35" s="188">
        <f>Q139-P35</f>
        <v>0</v>
      </c>
      <c r="R35" s="188">
        <f>R139-Q35-P35</f>
        <v>0</v>
      </c>
      <c r="S35" s="189">
        <f>S139-R35-Q35-P35</f>
        <v>0</v>
      </c>
      <c r="T35" s="190">
        <f>T139</f>
        <v>0</v>
      </c>
      <c r="U35" s="188">
        <f>U139-T35</f>
        <v>0</v>
      </c>
      <c r="V35" s="188">
        <f>V139-U35-T35</f>
        <v>0</v>
      </c>
      <c r="W35" s="189">
        <f>W139-V35-U35-T35</f>
        <v>0</v>
      </c>
      <c r="X35" s="190">
        <f>X139</f>
        <v>0</v>
      </c>
      <c r="Y35" s="188">
        <f>Y139-X35</f>
        <v>0</v>
      </c>
      <c r="Z35" s="188">
        <f>Z139-Y35-X35</f>
        <v>0</v>
      </c>
      <c r="AA35" s="189">
        <f>AA139-Z35-Y35-X35</f>
        <v>0</v>
      </c>
      <c r="AB35" s="190">
        <f>AB139</f>
        <v>0</v>
      </c>
      <c r="AC35" s="188">
        <f>AC139-AB35</f>
        <v>0</v>
      </c>
      <c r="AD35" s="188">
        <f>AD139-AC35-AB35</f>
        <v>0</v>
      </c>
      <c r="AE35" s="189">
        <f>AE139-AD35-AC35-AB35</f>
        <v>0</v>
      </c>
      <c r="AF35" s="190">
        <f>AF139</f>
        <v>0</v>
      </c>
      <c r="AG35" s="188">
        <f>AG139-AF35</f>
        <v>0</v>
      </c>
      <c r="AH35" s="188">
        <f>AH139-AG35-AF35</f>
        <v>0</v>
      </c>
      <c r="AI35" s="189">
        <f>AI139-AH35-AG35-AF35</f>
        <v>0</v>
      </c>
      <c r="AJ35" s="190">
        <f>AJ139</f>
        <v>0</v>
      </c>
      <c r="AK35" s="188">
        <f>AK139-AJ35</f>
        <v>0</v>
      </c>
      <c r="AL35" s="188">
        <f>AL139-AK35-AJ35</f>
        <v>0</v>
      </c>
      <c r="AM35" s="189">
        <f>AM139-AL35-AK35-AJ35</f>
        <v>0</v>
      </c>
      <c r="AN35" s="190">
        <f>AN139</f>
        <v>0</v>
      </c>
      <c r="AO35" s="188">
        <f>AO139-AN35</f>
        <v>0</v>
      </c>
      <c r="AP35" s="188">
        <f>AP139-AO35-AN35</f>
        <v>0</v>
      </c>
      <c r="AQ35" s="189">
        <f>AQ139-AP35-AO35-AN35</f>
        <v>0</v>
      </c>
      <c r="AR35" s="190">
        <f>AR139</f>
        <v>0</v>
      </c>
      <c r="AS35" s="188">
        <f>AS139-AR35</f>
        <v>0</v>
      </c>
      <c r="AT35" s="188">
        <f>AT139-AS35-AR35</f>
        <v>0</v>
      </c>
      <c r="AU35" s="189">
        <f>AU139-AT35-AS35-AR35</f>
        <v>0</v>
      </c>
      <c r="AV35" s="190">
        <f>AV139</f>
        <v>0</v>
      </c>
      <c r="AW35" s="188">
        <f>AW139-AV35</f>
        <v>0</v>
      </c>
      <c r="AX35" s="188">
        <f>AX139-AW35-AV35</f>
        <v>0</v>
      </c>
      <c r="AY35" s="189">
        <f>AY139-AX35-AW35-AV35</f>
        <v>0</v>
      </c>
      <c r="AZ35" s="190">
        <f>AZ139</f>
        <v>0</v>
      </c>
      <c r="BA35" s="188">
        <f>BA139-AZ35</f>
        <v>0</v>
      </c>
      <c r="BB35" s="188">
        <f>BB139-BA35-AZ35</f>
        <v>0</v>
      </c>
      <c r="BC35" s="189">
        <f>BC139-BB35-BA35-AZ35</f>
        <v>0</v>
      </c>
      <c r="BD35" s="190">
        <f>BD139</f>
        <v>0</v>
      </c>
      <c r="BE35" s="188">
        <f>BE139-BD35</f>
        <v>0</v>
      </c>
      <c r="BF35" s="188">
        <f>BF139-BE35-BD35</f>
        <v>0</v>
      </c>
      <c r="BG35" s="189">
        <f>BG139-BF35-BE35-BD35</f>
        <v>0</v>
      </c>
      <c r="BH35" s="190">
        <f>BH139</f>
        <v>0</v>
      </c>
      <c r="BI35" s="188">
        <f>BI139-BH35</f>
        <v>0</v>
      </c>
      <c r="BJ35" s="188">
        <f>BJ139-BI35-BH35</f>
        <v>0</v>
      </c>
      <c r="BK35" s="189">
        <f>BK139-BJ35-BI35-BH35</f>
        <v>0</v>
      </c>
      <c r="BL35" s="190">
        <f t="shared" si="298"/>
        <v>0</v>
      </c>
      <c r="BM35" s="188">
        <f t="shared" si="299"/>
        <v>0</v>
      </c>
      <c r="BN35" s="188">
        <f t="shared" si="300"/>
        <v>10</v>
      </c>
      <c r="BO35" s="189">
        <f t="shared" si="301"/>
        <v>-250</v>
      </c>
      <c r="BP35" s="190">
        <f t="shared" si="302"/>
        <v>0</v>
      </c>
      <c r="BQ35" s="188">
        <f t="shared" si="303"/>
        <v>-1</v>
      </c>
      <c r="BR35" s="188">
        <f t="shared" si="304"/>
        <v>325</v>
      </c>
      <c r="BS35" s="189">
        <f t="shared" si="305"/>
        <v>6</v>
      </c>
      <c r="BT35" s="190">
        <f t="shared" si="306"/>
        <v>0</v>
      </c>
      <c r="BU35" s="188">
        <f t="shared" si="307"/>
        <v>0</v>
      </c>
      <c r="BV35" s="188">
        <f t="shared" si="308"/>
        <v>-1</v>
      </c>
      <c r="BW35" s="189">
        <f t="shared" si="309"/>
        <v>6</v>
      </c>
      <c r="BX35" s="190">
        <f t="shared" si="310"/>
        <v>0</v>
      </c>
      <c r="BY35" s="188">
        <f t="shared" si="311"/>
        <v>0</v>
      </c>
      <c r="BZ35" s="188">
        <f t="shared" si="312"/>
        <v>0</v>
      </c>
      <c r="CA35" s="189">
        <f t="shared" si="313"/>
        <v>0</v>
      </c>
      <c r="CB35" s="190">
        <f t="shared" si="314"/>
        <v>556</v>
      </c>
      <c r="CC35" s="188">
        <f t="shared" si="315"/>
        <v>0</v>
      </c>
      <c r="CD35" s="188">
        <f t="shared" si="316"/>
        <v>-556</v>
      </c>
      <c r="CE35" s="189">
        <f t="shared" si="317"/>
        <v>536</v>
      </c>
      <c r="CF35" s="190">
        <f t="shared" si="376"/>
        <v>0</v>
      </c>
      <c r="CG35" s="188">
        <f t="shared" si="318"/>
        <v>5</v>
      </c>
      <c r="CH35" s="188">
        <f t="shared" si="319"/>
        <v>-5</v>
      </c>
      <c r="CI35" s="189">
        <f t="shared" si="320"/>
        <v>0</v>
      </c>
      <c r="CJ35" s="190">
        <f t="shared" si="377"/>
        <v>0</v>
      </c>
      <c r="CK35" s="188">
        <f t="shared" si="378"/>
        <v>0</v>
      </c>
      <c r="CL35" s="188">
        <f t="shared" si="321"/>
        <v>0</v>
      </c>
      <c r="CM35" s="189">
        <f t="shared" si="322"/>
        <v>0</v>
      </c>
      <c r="CN35" s="190">
        <f t="shared" si="379"/>
        <v>0</v>
      </c>
      <c r="CO35" s="188">
        <f t="shared" si="380"/>
        <v>0</v>
      </c>
      <c r="CP35" s="188">
        <f t="shared" si="323"/>
        <v>0</v>
      </c>
      <c r="CQ35" s="189">
        <f t="shared" si="324"/>
        <v>0</v>
      </c>
      <c r="CR35" s="190">
        <f t="shared" si="381"/>
        <v>0</v>
      </c>
      <c r="CS35" s="188">
        <v>0</v>
      </c>
      <c r="CT35" s="188">
        <v>0</v>
      </c>
      <c r="CU35" s="192">
        <v>0</v>
      </c>
      <c r="CV35" s="190">
        <v>0</v>
      </c>
      <c r="CW35" s="188">
        <v>0</v>
      </c>
      <c r="CX35" s="188">
        <v>0</v>
      </c>
      <c r="CY35" s="192">
        <v>0</v>
      </c>
      <c r="CZ35" s="190">
        <v>0</v>
      </c>
      <c r="DA35" s="188">
        <v>0</v>
      </c>
      <c r="DB35" s="188">
        <v>0</v>
      </c>
      <c r="DC35" s="192">
        <v>0</v>
      </c>
      <c r="DD35" s="895"/>
      <c r="DE35" s="190">
        <f t="shared" si="328"/>
        <v>0</v>
      </c>
      <c r="DF35" s="188">
        <f t="shared" si="329"/>
        <v>0</v>
      </c>
      <c r="DG35" s="188">
        <f t="shared" si="330"/>
        <v>0</v>
      </c>
      <c r="DH35" s="188">
        <f t="shared" si="331"/>
        <v>0</v>
      </c>
      <c r="DI35" s="188">
        <f t="shared" si="332"/>
        <v>0</v>
      </c>
      <c r="DJ35" s="188">
        <f t="shared" si="333"/>
        <v>0</v>
      </c>
      <c r="DK35" s="188">
        <f t="shared" si="334"/>
        <v>0</v>
      </c>
      <c r="DL35" s="188">
        <f t="shared" si="335"/>
        <v>0</v>
      </c>
      <c r="DM35" s="188">
        <f t="shared" si="336"/>
        <v>0</v>
      </c>
      <c r="DN35" s="188">
        <f t="shared" si="337"/>
        <v>0</v>
      </c>
      <c r="DO35" s="188">
        <f t="shared" si="338"/>
        <v>0</v>
      </c>
      <c r="DP35" s="188">
        <f t="shared" si="339"/>
        <v>0</v>
      </c>
      <c r="DQ35" s="188">
        <f t="shared" si="340"/>
        <v>0</v>
      </c>
      <c r="DR35" s="188">
        <f t="shared" si="341"/>
        <v>0</v>
      </c>
      <c r="DS35" s="188">
        <f t="shared" si="342"/>
        <v>0</v>
      </c>
      <c r="DT35" s="188">
        <f t="shared" si="343"/>
        <v>-240</v>
      </c>
      <c r="DU35" s="188">
        <f t="shared" si="344"/>
        <v>330</v>
      </c>
      <c r="DV35" s="188">
        <f t="shared" si="345"/>
        <v>5</v>
      </c>
      <c r="DW35" s="188">
        <f t="shared" si="346"/>
        <v>0</v>
      </c>
      <c r="DX35" s="188">
        <f t="shared" si="347"/>
        <v>536</v>
      </c>
      <c r="DY35" s="188">
        <f t="shared" si="382"/>
        <v>0</v>
      </c>
      <c r="DZ35" s="188">
        <f t="shared" si="348"/>
        <v>0</v>
      </c>
      <c r="EA35" s="188">
        <f t="shared" si="349"/>
        <v>0</v>
      </c>
      <c r="EB35" s="188">
        <f t="shared" si="350"/>
        <v>0</v>
      </c>
      <c r="EC35" s="188">
        <f t="shared" si="351"/>
        <v>0</v>
      </c>
      <c r="ED35" s="188">
        <f t="shared" si="352"/>
        <v>0</v>
      </c>
      <c r="EE35" s="716"/>
      <c r="EF35" s="190"/>
      <c r="EG35" s="188"/>
      <c r="EH35" s="188">
        <f t="shared" si="353"/>
        <v>0</v>
      </c>
      <c r="EI35" s="188">
        <f t="shared" si="354"/>
        <v>0</v>
      </c>
      <c r="EJ35" s="188">
        <f t="shared" si="355"/>
        <v>0</v>
      </c>
      <c r="EK35" s="188">
        <f t="shared" si="356"/>
        <v>0</v>
      </c>
      <c r="EL35" s="188">
        <f t="shared" si="357"/>
        <v>0</v>
      </c>
      <c r="EM35" s="188">
        <f t="shared" si="358"/>
        <v>0</v>
      </c>
      <c r="EN35" s="188">
        <f t="shared" si="359"/>
        <v>0</v>
      </c>
      <c r="EO35" s="188">
        <f t="shared" si="360"/>
        <v>0</v>
      </c>
      <c r="EP35" s="338">
        <f t="shared" si="361"/>
        <v>0</v>
      </c>
      <c r="EQ35" s="338">
        <f t="shared" si="362"/>
        <v>0</v>
      </c>
      <c r="ER35" s="338">
        <f t="shared" si="363"/>
        <v>0</v>
      </c>
      <c r="ES35" s="338">
        <f t="shared" si="364"/>
        <v>0</v>
      </c>
      <c r="ET35" s="338">
        <f t="shared" si="365"/>
        <v>0</v>
      </c>
      <c r="EU35" s="338">
        <f t="shared" si="366"/>
        <v>-240</v>
      </c>
      <c r="EV35" s="338">
        <f t="shared" si="367"/>
        <v>330</v>
      </c>
      <c r="EW35" s="338">
        <f t="shared" si="368"/>
        <v>5</v>
      </c>
      <c r="EX35" s="338">
        <f t="shared" si="369"/>
        <v>556</v>
      </c>
      <c r="EY35" s="338">
        <f t="shared" si="370"/>
        <v>-20</v>
      </c>
      <c r="EZ35" s="338">
        <f t="shared" si="371"/>
        <v>0</v>
      </c>
      <c r="FA35" s="338">
        <f t="shared" si="372"/>
        <v>0</v>
      </c>
      <c r="FB35" s="338">
        <f t="shared" si="373"/>
        <v>0</v>
      </c>
      <c r="FC35" s="338">
        <f t="shared" si="374"/>
        <v>0</v>
      </c>
      <c r="FD35" s="339">
        <f t="shared" si="375"/>
        <v>0</v>
      </c>
      <c r="FO35" s="330"/>
      <c r="FP35" s="330"/>
    </row>
    <row r="36" spans="1:172" ht="14.25" customHeight="1">
      <c r="A36" s="7"/>
      <c r="B36" s="24" t="str">
        <f>B140</f>
        <v>Sale/(Purchases) of securities</v>
      </c>
      <c r="C36" s="25"/>
      <c r="D36" s="190">
        <f>D140</f>
        <v>0</v>
      </c>
      <c r="E36" s="188">
        <f>E140-D36</f>
        <v>0</v>
      </c>
      <c r="F36" s="188">
        <f>F140-E36-D36</f>
        <v>0</v>
      </c>
      <c r="G36" s="189">
        <f>G140-F36-E36-D36</f>
        <v>0</v>
      </c>
      <c r="H36" s="190">
        <f>H140</f>
        <v>0</v>
      </c>
      <c r="I36" s="188">
        <f>I140-H36</f>
        <v>0</v>
      </c>
      <c r="J36" s="188">
        <f>J140-I36-H36</f>
        <v>0</v>
      </c>
      <c r="K36" s="189">
        <f>K140-J36-I36-H36</f>
        <v>0</v>
      </c>
      <c r="L36" s="190">
        <f>L140</f>
        <v>17.299999999999997</v>
      </c>
      <c r="M36" s="188">
        <f>M140-L36</f>
        <v>13.200000000000006</v>
      </c>
      <c r="N36" s="188">
        <f>N140-M36-L36</f>
        <v>-80.8</v>
      </c>
      <c r="O36" s="189">
        <f>O140-N36-M36-L36</f>
        <v>-307.40000000000003</v>
      </c>
      <c r="P36" s="190">
        <f>P140</f>
        <v>-210.5</v>
      </c>
      <c r="Q36" s="188">
        <f>Q140-P36</f>
        <v>218.60000000000002</v>
      </c>
      <c r="R36" s="188">
        <f>R140-Q36-P36</f>
        <v>177.20000000000005</v>
      </c>
      <c r="S36" s="189">
        <f>S140-R36-Q36-P36</f>
        <v>111.19999999999993</v>
      </c>
      <c r="T36" s="190">
        <f>T140</f>
        <v>-1062</v>
      </c>
      <c r="U36" s="188">
        <f>U140-T36</f>
        <v>-228.29999999999995</v>
      </c>
      <c r="V36" s="188">
        <f>V140-U36-T36</f>
        <v>37.999999999999773</v>
      </c>
      <c r="W36" s="189">
        <f>W140-V36-U36-T36</f>
        <v>53.599999999999909</v>
      </c>
      <c r="X36" s="190">
        <f>X140</f>
        <v>-114.69999999999995</v>
      </c>
      <c r="Y36" s="188">
        <f>Y140-X36</f>
        <v>177.89999999999992</v>
      </c>
      <c r="Z36" s="188">
        <f>Z140-Y36-X36</f>
        <v>-172.3</v>
      </c>
      <c r="AA36" s="189">
        <f>AA140-Z36-Y36-X36</f>
        <v>-253.69999999999993</v>
      </c>
      <c r="AB36" s="190">
        <f>AB140</f>
        <v>-181.10000000000002</v>
      </c>
      <c r="AC36" s="188">
        <f>AC140-AB36</f>
        <v>468.00000000000006</v>
      </c>
      <c r="AD36" s="188">
        <f>AD140-AC36-AB36</f>
        <v>321.99999999999983</v>
      </c>
      <c r="AE36" s="189">
        <f>AE140-AD36-AC36-AB36</f>
        <v>-142.60000000000031</v>
      </c>
      <c r="AF36" s="190">
        <f>AF140</f>
        <v>-249.30000000000007</v>
      </c>
      <c r="AG36" s="188">
        <f>AG140-AF36</f>
        <v>560.70000000000005</v>
      </c>
      <c r="AH36" s="188">
        <f>AH140-AG36-AF36</f>
        <v>-57.300000000000068</v>
      </c>
      <c r="AI36" s="189">
        <f>AI140-AH36-AG36-AF36</f>
        <v>316.60000000000002</v>
      </c>
      <c r="AJ36" s="190">
        <f>AJ140</f>
        <v>274.7</v>
      </c>
      <c r="AK36" s="188">
        <f>AK140-AJ36</f>
        <v>180.2</v>
      </c>
      <c r="AL36" s="188">
        <f>AL140-AK36-AJ36</f>
        <v>-33.499999999999886</v>
      </c>
      <c r="AM36" s="189">
        <f>AM140-AL36-AK36-AJ36</f>
        <v>-28.300000000000068</v>
      </c>
      <c r="AN36" s="190">
        <f>AN140</f>
        <v>-332.8</v>
      </c>
      <c r="AO36" s="188">
        <f>AO140-AN36</f>
        <v>-19.099999999999966</v>
      </c>
      <c r="AP36" s="188">
        <f>AP140-AO36-AN36</f>
        <v>-100.90000000000003</v>
      </c>
      <c r="AQ36" s="189">
        <f>AQ140-AP36-AO36-AN36</f>
        <v>58.099999999999909</v>
      </c>
      <c r="AR36" s="190">
        <f>AR140</f>
        <v>14.099999999999966</v>
      </c>
      <c r="AS36" s="188">
        <f>AS140-AR36</f>
        <v>-40.099999999999966</v>
      </c>
      <c r="AT36" s="188">
        <f>AT140-AS36-AR36</f>
        <v>-48.499999999999957</v>
      </c>
      <c r="AU36" s="189">
        <f>AU140-AT36-AS36-AR36</f>
        <v>62</v>
      </c>
      <c r="AV36" s="190">
        <f>AV140</f>
        <v>51.899999999999977</v>
      </c>
      <c r="AW36" s="188">
        <f>AW140-AV36</f>
        <v>-326.19999999999993</v>
      </c>
      <c r="AX36" s="188">
        <f>AX140-AW36-AV36</f>
        <v>-307.69999999999982</v>
      </c>
      <c r="AY36" s="189">
        <f>AY140-AX36-AW36-AV36</f>
        <v>-276.00000000000023</v>
      </c>
      <c r="AZ36" s="190">
        <f>AZ140</f>
        <v>321</v>
      </c>
      <c r="BA36" s="188">
        <f>BA140-AZ36</f>
        <v>706</v>
      </c>
      <c r="BB36" s="188">
        <f>BB140-BA36-AZ36</f>
        <v>365</v>
      </c>
      <c r="BC36" s="189">
        <f>BC140-BB36-BA36-AZ36</f>
        <v>-162</v>
      </c>
      <c r="BD36" s="190">
        <f>BD140</f>
        <v>261</v>
      </c>
      <c r="BE36" s="188">
        <f>BE140-BD36</f>
        <v>7</v>
      </c>
      <c r="BF36" s="188">
        <f>BF140-BE36-BD36</f>
        <v>26</v>
      </c>
      <c r="BG36" s="189">
        <f>BG140-BF36-BE36-BD36</f>
        <v>-6</v>
      </c>
      <c r="BH36" s="190">
        <f>BH140</f>
        <v>127</v>
      </c>
      <c r="BI36" s="188">
        <f>BI140-BH36</f>
        <v>-3</v>
      </c>
      <c r="BJ36" s="188">
        <f>BJ140-BI36-BH36</f>
        <v>0</v>
      </c>
      <c r="BK36" s="189">
        <f>BK140-BJ36-BI36-BH36</f>
        <v>0</v>
      </c>
      <c r="BL36" s="190">
        <f t="shared" si="298"/>
        <v>0</v>
      </c>
      <c r="BM36" s="188">
        <f t="shared" si="299"/>
        <v>0</v>
      </c>
      <c r="BN36" s="188">
        <f t="shared" si="300"/>
        <v>0</v>
      </c>
      <c r="BO36" s="189">
        <f t="shared" si="301"/>
        <v>0</v>
      </c>
      <c r="BP36" s="190">
        <f t="shared" si="302"/>
        <v>0</v>
      </c>
      <c r="BQ36" s="188">
        <f t="shared" si="303"/>
        <v>0</v>
      </c>
      <c r="BR36" s="188">
        <f t="shared" si="304"/>
        <v>-8</v>
      </c>
      <c r="BS36" s="189">
        <f t="shared" si="305"/>
        <v>8</v>
      </c>
      <c r="BT36" s="190">
        <f t="shared" si="306"/>
        <v>0</v>
      </c>
      <c r="BU36" s="188">
        <f t="shared" si="307"/>
        <v>0</v>
      </c>
      <c r="BV36" s="188">
        <f t="shared" si="308"/>
        <v>-436</v>
      </c>
      <c r="BW36" s="189">
        <f t="shared" si="309"/>
        <v>24</v>
      </c>
      <c r="BX36" s="190">
        <f t="shared" si="310"/>
        <v>-208</v>
      </c>
      <c r="BY36" s="188">
        <f t="shared" si="311"/>
        <v>-24</v>
      </c>
      <c r="BZ36" s="188">
        <f t="shared" si="312"/>
        <v>250</v>
      </c>
      <c r="CA36" s="189">
        <f t="shared" si="313"/>
        <v>-264</v>
      </c>
      <c r="CB36" s="190">
        <f t="shared" si="314"/>
        <v>-34</v>
      </c>
      <c r="CC36" s="188">
        <f t="shared" si="315"/>
        <v>354</v>
      </c>
      <c r="CD36" s="188">
        <f t="shared" si="316"/>
        <v>-353</v>
      </c>
      <c r="CE36" s="189">
        <f t="shared" si="317"/>
        <v>-499</v>
      </c>
      <c r="CF36" s="190">
        <f t="shared" si="376"/>
        <v>-338</v>
      </c>
      <c r="CG36" s="188">
        <f t="shared" si="318"/>
        <v>-1253</v>
      </c>
      <c r="CH36" s="188">
        <f t="shared" si="319"/>
        <v>-832</v>
      </c>
      <c r="CI36" s="189">
        <f t="shared" si="320"/>
        <v>279</v>
      </c>
      <c r="CJ36" s="190">
        <f t="shared" si="377"/>
        <v>534</v>
      </c>
      <c r="CK36" s="188">
        <f t="shared" si="378"/>
        <v>737</v>
      </c>
      <c r="CL36" s="188">
        <f t="shared" si="321"/>
        <v>1039</v>
      </c>
      <c r="CM36" s="189">
        <f t="shared" si="322"/>
        <v>354</v>
      </c>
      <c r="CN36" s="190">
        <f t="shared" si="379"/>
        <v>483</v>
      </c>
      <c r="CO36" s="188">
        <f t="shared" si="380"/>
        <v>-666</v>
      </c>
      <c r="CP36" s="188">
        <f t="shared" si="323"/>
        <v>0</v>
      </c>
      <c r="CQ36" s="189">
        <f t="shared" si="324"/>
        <v>-86</v>
      </c>
      <c r="CR36" s="190">
        <f t="shared" si="381"/>
        <v>453</v>
      </c>
      <c r="CS36" s="188">
        <f>BS!CR9-BS!CS9+BS!CR22-BS!CS22</f>
        <v>-206</v>
      </c>
      <c r="CT36" s="188">
        <f>BS!CS9-BS!CT9+BS!CS22-BS!CT22</f>
        <v>0</v>
      </c>
      <c r="CU36" s="189">
        <f>BS!CT9-BS!CU9+BS!CT22-BS!CU22</f>
        <v>0</v>
      </c>
      <c r="CV36" s="190">
        <f>BS!CU9-BS!CV9+BS!CU22-BS!CV22</f>
        <v>0</v>
      </c>
      <c r="CW36" s="188">
        <f>BS!CV9-BS!CW9+BS!CV22-BS!CW22</f>
        <v>0</v>
      </c>
      <c r="CX36" s="188">
        <f>BS!CW9-BS!CX9+BS!CW22-BS!CX22</f>
        <v>0</v>
      </c>
      <c r="CY36" s="189">
        <f>BS!CX9-BS!CY9+BS!CX22-BS!CY22</f>
        <v>0</v>
      </c>
      <c r="CZ36" s="190">
        <f>BS!CY9-BS!CZ9+BS!CY22-BS!CZ22</f>
        <v>0</v>
      </c>
      <c r="DA36" s="188">
        <f>BS!CZ9-BS!DA9+BS!CZ22-BS!DA22</f>
        <v>0</v>
      </c>
      <c r="DB36" s="188">
        <f>BS!DA9-BS!DB9+BS!DA22-BS!DB22</f>
        <v>0</v>
      </c>
      <c r="DC36" s="189">
        <f>BS!DB9-BS!DC9+BS!DB22-BS!DC22</f>
        <v>0</v>
      </c>
      <c r="DD36" s="895"/>
      <c r="DE36" s="190">
        <f t="shared" si="328"/>
        <v>0</v>
      </c>
      <c r="DF36" s="188">
        <f t="shared" si="329"/>
        <v>0</v>
      </c>
      <c r="DG36" s="188">
        <f t="shared" si="330"/>
        <v>-357.70000000000005</v>
      </c>
      <c r="DH36" s="188">
        <f t="shared" si="331"/>
        <v>296.5</v>
      </c>
      <c r="DI36" s="188">
        <f t="shared" si="332"/>
        <v>-1198.7000000000003</v>
      </c>
      <c r="DJ36" s="188">
        <f t="shared" si="333"/>
        <v>-362.79999999999995</v>
      </c>
      <c r="DK36" s="188">
        <f t="shared" si="334"/>
        <v>466.29999999999956</v>
      </c>
      <c r="DL36" s="188">
        <f t="shared" si="335"/>
        <v>570.69999999999993</v>
      </c>
      <c r="DM36" s="188">
        <f t="shared" si="336"/>
        <v>393.1</v>
      </c>
      <c r="DN36" s="188">
        <f t="shared" si="337"/>
        <v>-394.7000000000001</v>
      </c>
      <c r="DO36" s="188">
        <f t="shared" si="338"/>
        <v>-12.499999999999957</v>
      </c>
      <c r="DP36" s="188">
        <f t="shared" si="339"/>
        <v>-858</v>
      </c>
      <c r="DQ36" s="188">
        <f t="shared" si="340"/>
        <v>1230</v>
      </c>
      <c r="DR36" s="188">
        <f t="shared" si="341"/>
        <v>288</v>
      </c>
      <c r="DS36" s="188">
        <f t="shared" si="342"/>
        <v>124</v>
      </c>
      <c r="DT36" s="188">
        <f t="shared" si="343"/>
        <v>0</v>
      </c>
      <c r="DU36" s="188">
        <f t="shared" si="344"/>
        <v>0</v>
      </c>
      <c r="DV36" s="188">
        <f t="shared" si="345"/>
        <v>-412</v>
      </c>
      <c r="DW36" s="188">
        <f t="shared" si="346"/>
        <v>-246</v>
      </c>
      <c r="DX36" s="188">
        <f t="shared" si="347"/>
        <v>-532</v>
      </c>
      <c r="DY36" s="188">
        <f t="shared" si="382"/>
        <v>-2144</v>
      </c>
      <c r="DZ36" s="188">
        <f t="shared" si="348"/>
        <v>2664</v>
      </c>
      <c r="EA36" s="188">
        <f t="shared" si="349"/>
        <v>-269</v>
      </c>
      <c r="EB36" s="188">
        <f t="shared" si="350"/>
        <v>247</v>
      </c>
      <c r="EC36" s="188">
        <f t="shared" si="351"/>
        <v>0</v>
      </c>
      <c r="ED36" s="188">
        <f t="shared" si="352"/>
        <v>0</v>
      </c>
      <c r="EE36" s="716"/>
      <c r="EF36" s="190"/>
      <c r="EG36" s="188"/>
      <c r="EH36" s="188">
        <f t="shared" si="353"/>
        <v>-585.5</v>
      </c>
      <c r="EI36" s="188">
        <f t="shared" si="354"/>
        <v>-555</v>
      </c>
      <c r="EJ36" s="188">
        <f t="shared" si="355"/>
        <v>-251.4000000000002</v>
      </c>
      <c r="EK36" s="188">
        <f t="shared" si="356"/>
        <v>-429.20000000000005</v>
      </c>
      <c r="EL36" s="188">
        <f t="shared" si="357"/>
        <v>398.09999999999957</v>
      </c>
      <c r="EM36" s="188">
        <f t="shared" si="358"/>
        <v>1094.7</v>
      </c>
      <c r="EN36" s="188">
        <f t="shared" si="359"/>
        <v>-214.39999999999998</v>
      </c>
      <c r="EO36" s="188">
        <f t="shared" si="360"/>
        <v>-47.800000000000125</v>
      </c>
      <c r="EP36" s="338">
        <f t="shared" si="361"/>
        <v>25.300000000000054</v>
      </c>
      <c r="EQ36" s="338">
        <f t="shared" si="362"/>
        <v>-588.9</v>
      </c>
      <c r="ER36" s="338">
        <f t="shared" si="363"/>
        <v>1170</v>
      </c>
      <c r="ES36" s="338">
        <f t="shared" si="364"/>
        <v>154</v>
      </c>
      <c r="ET36" s="338">
        <f t="shared" si="365"/>
        <v>-3</v>
      </c>
      <c r="EU36" s="338">
        <f t="shared" si="366"/>
        <v>0</v>
      </c>
      <c r="EV36" s="338">
        <f t="shared" si="367"/>
        <v>0</v>
      </c>
      <c r="EW36" s="338">
        <f t="shared" si="368"/>
        <v>-620</v>
      </c>
      <c r="EX36" s="338">
        <f t="shared" si="369"/>
        <v>-72</v>
      </c>
      <c r="EY36" s="338">
        <f t="shared" si="370"/>
        <v>-836</v>
      </c>
      <c r="EZ36" s="338">
        <f t="shared" si="371"/>
        <v>-1272</v>
      </c>
      <c r="FA36" s="338">
        <f t="shared" si="372"/>
        <v>2613</v>
      </c>
      <c r="FB36" s="338">
        <f t="shared" si="373"/>
        <v>-299</v>
      </c>
      <c r="FC36" s="338">
        <f t="shared" si="374"/>
        <v>-206</v>
      </c>
      <c r="FD36" s="339">
        <f t="shared" si="375"/>
        <v>0</v>
      </c>
      <c r="FO36" s="330"/>
      <c r="FP36" s="330"/>
    </row>
    <row r="37" spans="1:172" ht="14.25" customHeight="1">
      <c r="A37" s="7"/>
      <c r="B37" s="24" t="str">
        <f>B141</f>
        <v>Acquisitions/dispositions</v>
      </c>
      <c r="C37" s="25"/>
      <c r="D37" s="190">
        <f>D141</f>
        <v>0</v>
      </c>
      <c r="E37" s="188">
        <f>E141-D37</f>
        <v>0</v>
      </c>
      <c r="F37" s="188">
        <f>F141-E37-D37</f>
        <v>0</v>
      </c>
      <c r="G37" s="189">
        <f>G141-F37-E37-D37</f>
        <v>0</v>
      </c>
      <c r="H37" s="190">
        <f>H141</f>
        <v>0</v>
      </c>
      <c r="I37" s="188">
        <f>I141-H37</f>
        <v>0</v>
      </c>
      <c r="J37" s="188">
        <f>J141-I37-H37</f>
        <v>0</v>
      </c>
      <c r="K37" s="189">
        <f>K141-J37-I37-H37</f>
        <v>0</v>
      </c>
      <c r="L37" s="190">
        <f>L141</f>
        <v>0</v>
      </c>
      <c r="M37" s="188">
        <f>M141-L37</f>
        <v>199.9</v>
      </c>
      <c r="N37" s="188">
        <f>N141-M37-L37</f>
        <v>0</v>
      </c>
      <c r="O37" s="189">
        <f>O141-N37-M37-L37</f>
        <v>0</v>
      </c>
      <c r="P37" s="190">
        <f>P141</f>
        <v>0</v>
      </c>
      <c r="Q37" s="188">
        <f>Q141-P37</f>
        <v>235.9</v>
      </c>
      <c r="R37" s="188">
        <f>R141-Q37-P37</f>
        <v>0</v>
      </c>
      <c r="S37" s="189">
        <f>S141-R37-Q37-P37</f>
        <v>0</v>
      </c>
      <c r="T37" s="190">
        <f>T141</f>
        <v>0</v>
      </c>
      <c r="U37" s="188">
        <f>U141-T37</f>
        <v>0</v>
      </c>
      <c r="V37" s="188">
        <f>V141-U37-T37</f>
        <v>0</v>
      </c>
      <c r="W37" s="189">
        <f>W141-V37-U37-T37</f>
        <v>0</v>
      </c>
      <c r="X37" s="190">
        <f>X141</f>
        <v>0</v>
      </c>
      <c r="Y37" s="188">
        <f>Y141-X37</f>
        <v>0</v>
      </c>
      <c r="Z37" s="188">
        <f>Z141-Y37-X37</f>
        <v>0</v>
      </c>
      <c r="AA37" s="189">
        <f>AA141-Z37-Y37-X37</f>
        <v>0</v>
      </c>
      <c r="AB37" s="190">
        <f>AB141</f>
        <v>0</v>
      </c>
      <c r="AC37" s="188">
        <f>AC141-AB37</f>
        <v>0</v>
      </c>
      <c r="AD37" s="188">
        <f>AD141-AC37-AB37</f>
        <v>-76.5</v>
      </c>
      <c r="AE37" s="189">
        <f>AE141-AD37-AC37-AB37</f>
        <v>-170.9</v>
      </c>
      <c r="AF37" s="190">
        <f>AF141</f>
        <v>0</v>
      </c>
      <c r="AG37" s="188">
        <f>AG141-AF37</f>
        <v>0</v>
      </c>
      <c r="AH37" s="188">
        <f>AH141-AG37-AF37</f>
        <v>-252.4</v>
      </c>
      <c r="AI37" s="189">
        <f>AI141-AH37-AG37-AF37</f>
        <v>0</v>
      </c>
      <c r="AJ37" s="190">
        <f>AJ141</f>
        <v>0</v>
      </c>
      <c r="AK37" s="188">
        <f>AK141-AJ37</f>
        <v>0</v>
      </c>
      <c r="AL37" s="188">
        <f>AL141-AK37-AJ37</f>
        <v>0</v>
      </c>
      <c r="AM37" s="189">
        <f>AM141-AL37-AK37-AJ37</f>
        <v>0</v>
      </c>
      <c r="AN37" s="190">
        <f>AN141</f>
        <v>0</v>
      </c>
      <c r="AO37" s="188">
        <f>AO141-AN37</f>
        <v>0</v>
      </c>
      <c r="AP37" s="188">
        <f>AP141-AO37-AN37</f>
        <v>0</v>
      </c>
      <c r="AQ37" s="189">
        <f>AQ141-AP37-AO37-AN37</f>
        <v>0</v>
      </c>
      <c r="AR37" s="190">
        <f>AR141</f>
        <v>0</v>
      </c>
      <c r="AS37" s="188">
        <f>AS141-AR37</f>
        <v>0</v>
      </c>
      <c r="AT37" s="188">
        <f>AT141-AS37-AR37</f>
        <v>0</v>
      </c>
      <c r="AU37" s="189">
        <f>AU141-AT37-AS37-AR37</f>
        <v>0</v>
      </c>
      <c r="AV37" s="190">
        <f>AV141</f>
        <v>0</v>
      </c>
      <c r="AW37" s="188">
        <f>AW141-AV37</f>
        <v>0</v>
      </c>
      <c r="AX37" s="188">
        <f>AX141-AW37-AV37</f>
        <v>0</v>
      </c>
      <c r="AY37" s="189">
        <f>AY141-AX37-AW37-AV37</f>
        <v>97</v>
      </c>
      <c r="AZ37" s="190">
        <f>AZ141</f>
        <v>0</v>
      </c>
      <c r="BA37" s="188">
        <f>BA141-AZ37</f>
        <v>0</v>
      </c>
      <c r="BB37" s="188">
        <f>BB141-BA37-AZ37</f>
        <v>0</v>
      </c>
      <c r="BC37" s="189">
        <f>BC141-BB37-BA37-AZ37</f>
        <v>0</v>
      </c>
      <c r="BD37" s="190">
        <f>BD141</f>
        <v>0</v>
      </c>
      <c r="BE37" s="188">
        <f>BE141-BD37</f>
        <v>0</v>
      </c>
      <c r="BF37" s="188">
        <f>BF141-BE37-BD37</f>
        <v>0</v>
      </c>
      <c r="BG37" s="189">
        <f>BG141-BF37-BE37-BD37</f>
        <v>0</v>
      </c>
      <c r="BH37" s="190">
        <f>BH141</f>
        <v>-409</v>
      </c>
      <c r="BI37" s="188">
        <f>BI141-BH37</f>
        <v>1</v>
      </c>
      <c r="BJ37" s="188">
        <f>BJ141-BI37-BH37</f>
        <v>0</v>
      </c>
      <c r="BK37" s="189">
        <f>BK141-BJ37-BI37-BH37</f>
        <v>0</v>
      </c>
      <c r="BL37" s="190">
        <f t="shared" si="298"/>
        <v>0</v>
      </c>
      <c r="BM37" s="188">
        <f t="shared" si="299"/>
        <v>0</v>
      </c>
      <c r="BN37" s="188">
        <f t="shared" si="300"/>
        <v>0</v>
      </c>
      <c r="BO37" s="189">
        <f t="shared" si="301"/>
        <v>0</v>
      </c>
      <c r="BP37" s="190">
        <f t="shared" si="302"/>
        <v>0</v>
      </c>
      <c r="BQ37" s="188">
        <f t="shared" si="303"/>
        <v>0</v>
      </c>
      <c r="BR37" s="188">
        <f t="shared" si="304"/>
        <v>0</v>
      </c>
      <c r="BS37" s="189">
        <f t="shared" si="305"/>
        <v>0</v>
      </c>
      <c r="BT37" s="190">
        <f t="shared" si="306"/>
        <v>0</v>
      </c>
      <c r="BU37" s="188">
        <f t="shared" si="307"/>
        <v>0</v>
      </c>
      <c r="BV37" s="188">
        <f t="shared" si="308"/>
        <v>0</v>
      </c>
      <c r="BW37" s="189">
        <f t="shared" si="309"/>
        <v>0</v>
      </c>
      <c r="BX37" s="190">
        <f t="shared" si="310"/>
        <v>0</v>
      </c>
      <c r="BY37" s="188">
        <f t="shared" si="311"/>
        <v>0</v>
      </c>
      <c r="BZ37" s="188">
        <f t="shared" si="312"/>
        <v>0</v>
      </c>
      <c r="CA37" s="189">
        <f t="shared" si="313"/>
        <v>0</v>
      </c>
      <c r="CB37" s="190">
        <f t="shared" si="314"/>
        <v>0</v>
      </c>
      <c r="CC37" s="188">
        <f t="shared" si="315"/>
        <v>0</v>
      </c>
      <c r="CD37" s="188">
        <f t="shared" si="316"/>
        <v>0</v>
      </c>
      <c r="CE37" s="189">
        <f t="shared" si="317"/>
        <v>0</v>
      </c>
      <c r="CF37" s="190">
        <f t="shared" si="376"/>
        <v>0</v>
      </c>
      <c r="CG37" s="188">
        <f t="shared" si="318"/>
        <v>0</v>
      </c>
      <c r="CH37" s="188">
        <f t="shared" si="319"/>
        <v>0</v>
      </c>
      <c r="CI37" s="189">
        <f t="shared" si="320"/>
        <v>0</v>
      </c>
      <c r="CJ37" s="190">
        <f t="shared" si="377"/>
        <v>0</v>
      </c>
      <c r="CK37" s="188">
        <f t="shared" si="378"/>
        <v>0</v>
      </c>
      <c r="CL37" s="188">
        <f t="shared" si="321"/>
        <v>0</v>
      </c>
      <c r="CM37" s="189">
        <f t="shared" si="322"/>
        <v>0</v>
      </c>
      <c r="CN37" s="190">
        <f t="shared" si="379"/>
        <v>0</v>
      </c>
      <c r="CO37" s="188">
        <f t="shared" si="380"/>
        <v>-2634</v>
      </c>
      <c r="CP37" s="188">
        <f t="shared" si="323"/>
        <v>0</v>
      </c>
      <c r="CQ37" s="189">
        <f t="shared" si="324"/>
        <v>0</v>
      </c>
      <c r="CR37" s="190">
        <f t="shared" si="381"/>
        <v>0</v>
      </c>
      <c r="CS37" s="188">
        <v>0</v>
      </c>
      <c r="CT37" s="188">
        <v>0</v>
      </c>
      <c r="CU37" s="192">
        <v>0</v>
      </c>
      <c r="CV37" s="190">
        <v>0</v>
      </c>
      <c r="CW37" s="188">
        <v>0</v>
      </c>
      <c r="CX37" s="188">
        <v>0</v>
      </c>
      <c r="CY37" s="192">
        <v>0</v>
      </c>
      <c r="CZ37" s="190">
        <v>0</v>
      </c>
      <c r="DA37" s="188">
        <v>0</v>
      </c>
      <c r="DB37" s="188">
        <v>0</v>
      </c>
      <c r="DC37" s="192">
        <v>0</v>
      </c>
      <c r="DD37" s="895"/>
      <c r="DE37" s="190">
        <f t="shared" si="328"/>
        <v>0</v>
      </c>
      <c r="DF37" s="188">
        <f t="shared" si="329"/>
        <v>0</v>
      </c>
      <c r="DG37" s="188">
        <f t="shared" si="330"/>
        <v>199.9</v>
      </c>
      <c r="DH37" s="188">
        <f t="shared" si="331"/>
        <v>235.9</v>
      </c>
      <c r="DI37" s="188">
        <f t="shared" si="332"/>
        <v>0</v>
      </c>
      <c r="DJ37" s="188">
        <f t="shared" si="333"/>
        <v>0</v>
      </c>
      <c r="DK37" s="188">
        <f t="shared" si="334"/>
        <v>-247.4</v>
      </c>
      <c r="DL37" s="188">
        <f t="shared" si="335"/>
        <v>-252.4</v>
      </c>
      <c r="DM37" s="188">
        <f t="shared" si="336"/>
        <v>0</v>
      </c>
      <c r="DN37" s="188">
        <f t="shared" si="337"/>
        <v>0</v>
      </c>
      <c r="DO37" s="188">
        <f t="shared" si="338"/>
        <v>0</v>
      </c>
      <c r="DP37" s="188">
        <f t="shared" si="339"/>
        <v>97</v>
      </c>
      <c r="DQ37" s="188">
        <f t="shared" si="340"/>
        <v>0</v>
      </c>
      <c r="DR37" s="188">
        <f t="shared" si="341"/>
        <v>0</v>
      </c>
      <c r="DS37" s="188">
        <f t="shared" si="342"/>
        <v>-408</v>
      </c>
      <c r="DT37" s="188">
        <f t="shared" si="343"/>
        <v>0</v>
      </c>
      <c r="DU37" s="188">
        <f t="shared" si="344"/>
        <v>0</v>
      </c>
      <c r="DV37" s="188">
        <f t="shared" si="345"/>
        <v>0</v>
      </c>
      <c r="DW37" s="188">
        <f t="shared" si="346"/>
        <v>0</v>
      </c>
      <c r="DX37" s="188">
        <f t="shared" si="347"/>
        <v>0</v>
      </c>
      <c r="DY37" s="188">
        <f t="shared" si="382"/>
        <v>0</v>
      </c>
      <c r="DZ37" s="188">
        <f t="shared" si="348"/>
        <v>0</v>
      </c>
      <c r="EA37" s="188">
        <f t="shared" si="349"/>
        <v>-2634</v>
      </c>
      <c r="EB37" s="188">
        <f t="shared" si="350"/>
        <v>0</v>
      </c>
      <c r="EC37" s="188">
        <f t="shared" si="351"/>
        <v>0</v>
      </c>
      <c r="ED37" s="188">
        <f t="shared" si="352"/>
        <v>0</v>
      </c>
      <c r="EE37" s="716"/>
      <c r="EF37" s="190"/>
      <c r="EG37" s="188"/>
      <c r="EH37" s="188">
        <f t="shared" si="353"/>
        <v>199.9</v>
      </c>
      <c r="EI37" s="188">
        <f t="shared" si="354"/>
        <v>235.9</v>
      </c>
      <c r="EJ37" s="188">
        <f t="shared" si="355"/>
        <v>0</v>
      </c>
      <c r="EK37" s="188">
        <f t="shared" si="356"/>
        <v>0</v>
      </c>
      <c r="EL37" s="188">
        <f t="shared" si="357"/>
        <v>-247.4</v>
      </c>
      <c r="EM37" s="188">
        <f t="shared" si="358"/>
        <v>-252.4</v>
      </c>
      <c r="EN37" s="188">
        <f t="shared" si="359"/>
        <v>0</v>
      </c>
      <c r="EO37" s="188">
        <f t="shared" si="360"/>
        <v>0</v>
      </c>
      <c r="EP37" s="338">
        <f t="shared" si="361"/>
        <v>0</v>
      </c>
      <c r="EQ37" s="338">
        <f t="shared" si="362"/>
        <v>97</v>
      </c>
      <c r="ER37" s="338">
        <f t="shared" si="363"/>
        <v>0</v>
      </c>
      <c r="ES37" s="338">
        <f t="shared" si="364"/>
        <v>-409</v>
      </c>
      <c r="ET37" s="338">
        <f t="shared" si="365"/>
        <v>1</v>
      </c>
      <c r="EU37" s="338">
        <f t="shared" si="366"/>
        <v>0</v>
      </c>
      <c r="EV37" s="338">
        <f t="shared" si="367"/>
        <v>0</v>
      </c>
      <c r="EW37" s="338">
        <f t="shared" si="368"/>
        <v>0</v>
      </c>
      <c r="EX37" s="338">
        <f t="shared" si="369"/>
        <v>0</v>
      </c>
      <c r="EY37" s="338">
        <f t="shared" si="370"/>
        <v>0</v>
      </c>
      <c r="EZ37" s="338">
        <f t="shared" si="371"/>
        <v>0</v>
      </c>
      <c r="FA37" s="338">
        <f t="shared" si="372"/>
        <v>0</v>
      </c>
      <c r="FB37" s="338">
        <f t="shared" si="373"/>
        <v>-2634</v>
      </c>
      <c r="FC37" s="338">
        <f t="shared" si="374"/>
        <v>0</v>
      </c>
      <c r="FD37" s="339">
        <f t="shared" si="375"/>
        <v>0</v>
      </c>
      <c r="FO37" s="330"/>
      <c r="FP37" s="330"/>
    </row>
    <row r="38" spans="1:172" ht="14.25" customHeight="1">
      <c r="A38" s="10"/>
      <c r="B38" s="24" t="str">
        <f>B142</f>
        <v>Other investing activities</v>
      </c>
      <c r="C38" s="25"/>
      <c r="D38" s="190">
        <f>D142</f>
        <v>0</v>
      </c>
      <c r="E38" s="188">
        <f>E142-D38</f>
        <v>0</v>
      </c>
      <c r="F38" s="188">
        <f>F142-E38-D38</f>
        <v>0</v>
      </c>
      <c r="G38" s="189">
        <f>G142-F38-E38-D38</f>
        <v>0</v>
      </c>
      <c r="H38" s="190">
        <f>H142</f>
        <v>0</v>
      </c>
      <c r="I38" s="188">
        <f>I142-H38</f>
        <v>0</v>
      </c>
      <c r="J38" s="188">
        <f>J142-I38-H38</f>
        <v>0</v>
      </c>
      <c r="K38" s="189">
        <f>K142-J38-I38-H38</f>
        <v>0</v>
      </c>
      <c r="L38" s="190">
        <f>L142</f>
        <v>-2.1</v>
      </c>
      <c r="M38" s="188">
        <f>M142-L38</f>
        <v>3</v>
      </c>
      <c r="N38" s="188">
        <f>N142-M38-L38</f>
        <v>-6.9</v>
      </c>
      <c r="O38" s="189">
        <f>O142-N38-M38-L38</f>
        <v>-13.7</v>
      </c>
      <c r="P38" s="190">
        <f>P142</f>
        <v>-12.4</v>
      </c>
      <c r="Q38" s="188">
        <f>Q142-P38</f>
        <v>-4.7999999999999989</v>
      </c>
      <c r="R38" s="188">
        <f>R142-Q38-P38</f>
        <v>26.4</v>
      </c>
      <c r="S38" s="189">
        <f>S142-R38-Q38-P38</f>
        <v>-34.000000000000007</v>
      </c>
      <c r="T38" s="190">
        <f>T142</f>
        <v>-1.5</v>
      </c>
      <c r="U38" s="188">
        <f>U142-T38</f>
        <v>-5.4</v>
      </c>
      <c r="V38" s="188">
        <f>V142-U38-T38</f>
        <v>10.5</v>
      </c>
      <c r="W38" s="189">
        <f>W142-V38-U38-T38</f>
        <v>-70.199999999999989</v>
      </c>
      <c r="X38" s="190">
        <f>X142</f>
        <v>1.4</v>
      </c>
      <c r="Y38" s="188">
        <f>Y142-X38</f>
        <v>-52.699999999999996</v>
      </c>
      <c r="Z38" s="188">
        <f>Z142-Y38-X38</f>
        <v>-11.300000000000006</v>
      </c>
      <c r="AA38" s="189">
        <f>AA142-Z38-Y38-X38</f>
        <v>-55.499999999999986</v>
      </c>
      <c r="AB38" s="190">
        <f>AB142</f>
        <v>-58.8</v>
      </c>
      <c r="AC38" s="188">
        <f>AC142-AB38</f>
        <v>-32.299999999999997</v>
      </c>
      <c r="AD38" s="188">
        <f>AD142-AC38-AB38</f>
        <v>-61.300000000000011</v>
      </c>
      <c r="AE38" s="189">
        <f>AE142-AD38-AC38-AB38</f>
        <v>15.800000000000011</v>
      </c>
      <c r="AF38" s="190">
        <f>AF142</f>
        <v>-46.8</v>
      </c>
      <c r="AG38" s="188">
        <f>AG142-AF38</f>
        <v>-7.4000000000000057</v>
      </c>
      <c r="AH38" s="188">
        <f>AH142-AG38-AF38</f>
        <v>-13</v>
      </c>
      <c r="AI38" s="189">
        <f>AI142-AH38-AG38-AF38</f>
        <v>-9.5999999999999943</v>
      </c>
      <c r="AJ38" s="190">
        <f>AJ142</f>
        <v>-7.4</v>
      </c>
      <c r="AK38" s="188">
        <f>AK142-AJ38</f>
        <v>-14.4</v>
      </c>
      <c r="AL38" s="188">
        <f>AL142-AK38-AJ38</f>
        <v>-55.8</v>
      </c>
      <c r="AM38" s="189">
        <f>AM142-AL38-AK38-AJ38</f>
        <v>-32.099999999999994</v>
      </c>
      <c r="AN38" s="190">
        <f>AN142</f>
        <v>-31.9</v>
      </c>
      <c r="AO38" s="188">
        <f>AO142-AN38</f>
        <v>21</v>
      </c>
      <c r="AP38" s="188">
        <f>AP142-AO38-AN38</f>
        <v>-6.8000000000000043</v>
      </c>
      <c r="AQ38" s="189">
        <f>AQ142-AP38-AO38-AN38</f>
        <v>87.700000000000017</v>
      </c>
      <c r="AR38" s="190">
        <f>AR142</f>
        <v>-8.6</v>
      </c>
      <c r="AS38" s="188">
        <f>AS142-AR38</f>
        <v>-8.1</v>
      </c>
      <c r="AT38" s="188">
        <f>AT142-AS38-AR38</f>
        <v>-30.399999999999991</v>
      </c>
      <c r="AU38" s="189">
        <f>AU142-AT38-AS38-AR38</f>
        <v>-6.7000000000000064</v>
      </c>
      <c r="AV38" s="190">
        <f>AV142</f>
        <v>-7.8999999999999995</v>
      </c>
      <c r="AW38" s="188">
        <f>AW142-AV38</f>
        <v>26.099999999999994</v>
      </c>
      <c r="AX38" s="188">
        <f>AX142-AW38-AV38</f>
        <v>308.29999999999995</v>
      </c>
      <c r="AY38" s="189">
        <f>AY142-AX38-AW38-AV38</f>
        <v>-11.49999999999995</v>
      </c>
      <c r="AZ38" s="190">
        <f>AZ142</f>
        <v>-1</v>
      </c>
      <c r="BA38" s="188">
        <f>BA142-AZ38</f>
        <v>-65</v>
      </c>
      <c r="BB38" s="188">
        <f>BB142-BA38-AZ38</f>
        <v>-37</v>
      </c>
      <c r="BC38" s="189">
        <f>BC142-BB38-BA38-AZ38</f>
        <v>-9</v>
      </c>
      <c r="BD38" s="190">
        <f>BD142</f>
        <v>34</v>
      </c>
      <c r="BE38" s="188">
        <f>BE142-BD38</f>
        <v>79</v>
      </c>
      <c r="BF38" s="188">
        <f>BF142-BE38-BD38</f>
        <v>-62</v>
      </c>
      <c r="BG38" s="189">
        <f>BG142-BF38-BE38-BD38</f>
        <v>-89</v>
      </c>
      <c r="BH38" s="190">
        <f>BH142</f>
        <v>63</v>
      </c>
      <c r="BI38" s="188">
        <f>BI142-BH38</f>
        <v>-22</v>
      </c>
      <c r="BJ38" s="188">
        <f>BJ142-BI38-BH38</f>
        <v>-12</v>
      </c>
      <c r="BK38" s="189">
        <f>BK142-BJ38-BI38-BH38</f>
        <v>43</v>
      </c>
      <c r="BL38" s="190">
        <f t="shared" si="298"/>
        <v>6</v>
      </c>
      <c r="BM38" s="188">
        <f t="shared" si="299"/>
        <v>-7</v>
      </c>
      <c r="BN38" s="188">
        <f t="shared" si="300"/>
        <v>106</v>
      </c>
      <c r="BO38" s="189">
        <f t="shared" si="301"/>
        <v>374</v>
      </c>
      <c r="BP38" s="190">
        <f t="shared" si="302"/>
        <v>-5</v>
      </c>
      <c r="BQ38" s="188">
        <f t="shared" si="303"/>
        <v>-176</v>
      </c>
      <c r="BR38" s="188">
        <f t="shared" si="304"/>
        <v>25</v>
      </c>
      <c r="BS38" s="189">
        <f t="shared" si="305"/>
        <v>31</v>
      </c>
      <c r="BT38" s="190">
        <f t="shared" si="306"/>
        <v>-26</v>
      </c>
      <c r="BU38" s="188">
        <f t="shared" si="307"/>
        <v>-109</v>
      </c>
      <c r="BV38" s="188">
        <f t="shared" si="308"/>
        <v>87</v>
      </c>
      <c r="BW38" s="189">
        <f t="shared" si="309"/>
        <v>-39</v>
      </c>
      <c r="BX38" s="190">
        <f t="shared" si="310"/>
        <v>-3</v>
      </c>
      <c r="BY38" s="188">
        <f t="shared" si="311"/>
        <v>-17</v>
      </c>
      <c r="BZ38" s="188">
        <f t="shared" si="312"/>
        <v>-227</v>
      </c>
      <c r="CA38" s="189">
        <f t="shared" si="313"/>
        <v>-3</v>
      </c>
      <c r="CB38" s="190">
        <f>CB142</f>
        <v>25</v>
      </c>
      <c r="CC38" s="188">
        <f t="shared" si="315"/>
        <v>-384</v>
      </c>
      <c r="CD38" s="188">
        <f t="shared" si="316"/>
        <v>971</v>
      </c>
      <c r="CE38" s="189">
        <f t="shared" si="317"/>
        <v>-411</v>
      </c>
      <c r="CF38" s="190">
        <f>CF142</f>
        <v>-69</v>
      </c>
      <c r="CG38" s="188">
        <f t="shared" si="318"/>
        <v>-25</v>
      </c>
      <c r="CH38" s="188">
        <f t="shared" si="319"/>
        <v>51</v>
      </c>
      <c r="CI38" s="189">
        <f t="shared" si="320"/>
        <v>-24</v>
      </c>
      <c r="CJ38" s="190">
        <f>CJ142</f>
        <v>-204</v>
      </c>
      <c r="CK38" s="188">
        <f t="shared" si="378"/>
        <v>116</v>
      </c>
      <c r="CL38" s="188">
        <f t="shared" si="321"/>
        <v>30</v>
      </c>
      <c r="CM38" s="189">
        <f t="shared" si="322"/>
        <v>143</v>
      </c>
      <c r="CN38" s="190">
        <f>CN142</f>
        <v>-109</v>
      </c>
      <c r="CO38" s="188">
        <f t="shared" si="380"/>
        <v>-12</v>
      </c>
      <c r="CP38" s="188">
        <f t="shared" si="323"/>
        <v>429</v>
      </c>
      <c r="CQ38" s="189">
        <f t="shared" si="324"/>
        <v>-208</v>
      </c>
      <c r="CR38" s="190">
        <f>CR142</f>
        <v>69</v>
      </c>
      <c r="CS38" s="188">
        <f t="shared" ref="CS38" si="383">CS142-CR38</f>
        <v>211</v>
      </c>
      <c r="CT38" s="188"/>
      <c r="CU38" s="189"/>
      <c r="CV38" s="190"/>
      <c r="CW38" s="188"/>
      <c r="CX38" s="188"/>
      <c r="CY38" s="189"/>
      <c r="CZ38" s="190"/>
      <c r="DA38" s="188"/>
      <c r="DB38" s="188"/>
      <c r="DC38" s="189"/>
      <c r="DD38" s="895"/>
      <c r="DE38" s="190">
        <f t="shared" si="328"/>
        <v>0</v>
      </c>
      <c r="DF38" s="188">
        <f t="shared" si="329"/>
        <v>0</v>
      </c>
      <c r="DG38" s="188">
        <f t="shared" si="330"/>
        <v>-19.7</v>
      </c>
      <c r="DH38" s="188">
        <f t="shared" si="331"/>
        <v>-24.800000000000008</v>
      </c>
      <c r="DI38" s="188">
        <f t="shared" si="332"/>
        <v>-66.599999999999994</v>
      </c>
      <c r="DJ38" s="188">
        <f t="shared" si="333"/>
        <v>-118.1</v>
      </c>
      <c r="DK38" s="188">
        <f t="shared" si="334"/>
        <v>-136.6</v>
      </c>
      <c r="DL38" s="188">
        <f t="shared" si="335"/>
        <v>-76.8</v>
      </c>
      <c r="DM38" s="188">
        <f t="shared" si="336"/>
        <v>-109.69999999999999</v>
      </c>
      <c r="DN38" s="188">
        <f t="shared" si="337"/>
        <v>70.000000000000014</v>
      </c>
      <c r="DO38" s="188">
        <f t="shared" si="338"/>
        <v>-53.8</v>
      </c>
      <c r="DP38" s="188">
        <f t="shared" si="339"/>
        <v>315</v>
      </c>
      <c r="DQ38" s="188">
        <f t="shared" si="340"/>
        <v>-112</v>
      </c>
      <c r="DR38" s="188">
        <f t="shared" si="341"/>
        <v>-38</v>
      </c>
      <c r="DS38" s="188">
        <f t="shared" si="342"/>
        <v>72</v>
      </c>
      <c r="DT38" s="188">
        <f t="shared" si="343"/>
        <v>479</v>
      </c>
      <c r="DU38" s="188">
        <f t="shared" si="344"/>
        <v>-125</v>
      </c>
      <c r="DV38" s="188">
        <f t="shared" si="345"/>
        <v>-87</v>
      </c>
      <c r="DW38" s="188">
        <f t="shared" si="346"/>
        <v>-250</v>
      </c>
      <c r="DX38" s="188">
        <f t="shared" si="347"/>
        <v>201</v>
      </c>
      <c r="DY38" s="188">
        <f t="shared" si="382"/>
        <v>-67</v>
      </c>
      <c r="DZ38" s="188">
        <f t="shared" si="348"/>
        <v>85</v>
      </c>
      <c r="EA38" s="188">
        <f t="shared" si="349"/>
        <v>100</v>
      </c>
      <c r="EB38" s="188">
        <f t="shared" si="350"/>
        <v>280</v>
      </c>
      <c r="EC38" s="188">
        <f t="shared" si="351"/>
        <v>0</v>
      </c>
      <c r="ED38" s="188">
        <f t="shared" si="352"/>
        <v>0</v>
      </c>
      <c r="EE38" s="717"/>
      <c r="EF38" s="190"/>
      <c r="EG38" s="188"/>
      <c r="EH38" s="188">
        <f t="shared" si="353"/>
        <v>-30</v>
      </c>
      <c r="EI38" s="188">
        <f t="shared" si="354"/>
        <v>-13.900000000000006</v>
      </c>
      <c r="EJ38" s="188">
        <f t="shared" si="355"/>
        <v>-63.699999999999996</v>
      </c>
      <c r="EK38" s="188">
        <f t="shared" si="356"/>
        <v>-178.29999999999998</v>
      </c>
      <c r="EL38" s="188">
        <f t="shared" si="357"/>
        <v>-124.6</v>
      </c>
      <c r="EM38" s="188">
        <f t="shared" si="358"/>
        <v>-37.4</v>
      </c>
      <c r="EN38" s="188">
        <f t="shared" si="359"/>
        <v>-134.19999999999999</v>
      </c>
      <c r="EO38" s="188">
        <f t="shared" si="360"/>
        <v>93.300000000000011</v>
      </c>
      <c r="EP38" s="338">
        <f t="shared" si="361"/>
        <v>-53.1</v>
      </c>
      <c r="EQ38" s="338">
        <f t="shared" si="362"/>
        <v>321.90000000000003</v>
      </c>
      <c r="ER38" s="338">
        <f t="shared" si="363"/>
        <v>-77</v>
      </c>
      <c r="ES38" s="338">
        <f t="shared" si="364"/>
        <v>-9</v>
      </c>
      <c r="ET38" s="338">
        <f t="shared" si="365"/>
        <v>15</v>
      </c>
      <c r="EU38" s="338">
        <f t="shared" si="366"/>
        <v>468</v>
      </c>
      <c r="EV38" s="338">
        <f t="shared" si="367"/>
        <v>-146</v>
      </c>
      <c r="EW38" s="338">
        <f t="shared" si="368"/>
        <v>-64</v>
      </c>
      <c r="EX38" s="338">
        <f t="shared" si="369"/>
        <v>-222</v>
      </c>
      <c r="EY38" s="338">
        <f t="shared" si="370"/>
        <v>107</v>
      </c>
      <c r="EZ38" s="338">
        <f t="shared" si="371"/>
        <v>-202</v>
      </c>
      <c r="FA38" s="338">
        <f t="shared" si="372"/>
        <v>180</v>
      </c>
      <c r="FB38" s="338">
        <f t="shared" si="373"/>
        <v>278</v>
      </c>
      <c r="FC38" s="338">
        <f t="shared" si="374"/>
        <v>211</v>
      </c>
      <c r="FD38" s="339">
        <f t="shared" si="375"/>
        <v>0</v>
      </c>
      <c r="FO38" s="330"/>
      <c r="FP38" s="330"/>
    </row>
    <row r="39" spans="1:172" ht="14.25" customHeight="1" thickBot="1">
      <c r="A39" s="7"/>
      <c r="B39" s="194" t="str">
        <f>B143</f>
        <v>Net cash used for investing activities</v>
      </c>
      <c r="C39" s="195"/>
      <c r="D39" s="197">
        <f t="shared" ref="D39:AY39" si="384">SUM(D31:D38)</f>
        <v>0</v>
      </c>
      <c r="E39" s="196">
        <f t="shared" si="384"/>
        <v>0</v>
      </c>
      <c r="F39" s="196">
        <f t="shared" si="384"/>
        <v>0</v>
      </c>
      <c r="G39" s="198">
        <f t="shared" si="384"/>
        <v>0</v>
      </c>
      <c r="H39" s="197">
        <f t="shared" si="384"/>
        <v>0</v>
      </c>
      <c r="I39" s="196">
        <f t="shared" si="384"/>
        <v>0</v>
      </c>
      <c r="J39" s="196">
        <f t="shared" si="384"/>
        <v>0</v>
      </c>
      <c r="K39" s="198">
        <f t="shared" si="384"/>
        <v>0</v>
      </c>
      <c r="L39" s="197">
        <f t="shared" si="384"/>
        <v>-67.599999999999994</v>
      </c>
      <c r="M39" s="196">
        <f t="shared" si="384"/>
        <v>148.30000000000001</v>
      </c>
      <c r="N39" s="196">
        <f t="shared" si="384"/>
        <v>-296.99999999999994</v>
      </c>
      <c r="O39" s="198">
        <f t="shared" si="384"/>
        <v>-462.6</v>
      </c>
      <c r="P39" s="197">
        <f t="shared" si="384"/>
        <v>-410.79999999999995</v>
      </c>
      <c r="Q39" s="196">
        <f t="shared" si="384"/>
        <v>287.3</v>
      </c>
      <c r="R39" s="196">
        <f t="shared" si="384"/>
        <v>-10.300000000000018</v>
      </c>
      <c r="S39" s="198">
        <f t="shared" si="384"/>
        <v>-32.300000000000047</v>
      </c>
      <c r="T39" s="197">
        <f t="shared" si="384"/>
        <v>-1181</v>
      </c>
      <c r="U39" s="196">
        <f t="shared" si="384"/>
        <v>-403.7999999999999</v>
      </c>
      <c r="V39" s="196">
        <f t="shared" si="384"/>
        <v>-177.70000000000022</v>
      </c>
      <c r="W39" s="198">
        <f t="shared" si="384"/>
        <v>-265.50000000000011</v>
      </c>
      <c r="X39" s="197">
        <f>SUM(X31:X38)</f>
        <v>-333.09999999999997</v>
      </c>
      <c r="Y39" s="196">
        <f t="shared" si="384"/>
        <v>-104.10000000000008</v>
      </c>
      <c r="Z39" s="196">
        <f t="shared" si="384"/>
        <v>-448.4</v>
      </c>
      <c r="AA39" s="198">
        <f t="shared" si="384"/>
        <v>-571.5</v>
      </c>
      <c r="AB39" s="197">
        <f t="shared" si="384"/>
        <v>-729.4</v>
      </c>
      <c r="AC39" s="196">
        <f t="shared" si="384"/>
        <v>50.500000000000128</v>
      </c>
      <c r="AD39" s="196">
        <f t="shared" si="384"/>
        <v>-146.8000000000003</v>
      </c>
      <c r="AE39" s="198">
        <f t="shared" si="384"/>
        <v>-556.90000000000009</v>
      </c>
      <c r="AF39" s="197">
        <f t="shared" si="384"/>
        <v>-478.7000000000001</v>
      </c>
      <c r="AG39" s="196">
        <f t="shared" si="384"/>
        <v>413.80000000000007</v>
      </c>
      <c r="AH39" s="196">
        <f t="shared" si="384"/>
        <v>-473.7</v>
      </c>
      <c r="AI39" s="198">
        <f t="shared" si="384"/>
        <v>24.69999999999996</v>
      </c>
      <c r="AJ39" s="197">
        <f t="shared" si="384"/>
        <v>-59.099999999999987</v>
      </c>
      <c r="AK39" s="196">
        <f t="shared" si="384"/>
        <v>-48.700000000000124</v>
      </c>
      <c r="AL39" s="196">
        <f t="shared" si="384"/>
        <v>-213.39999999999981</v>
      </c>
      <c r="AM39" s="198">
        <f t="shared" si="384"/>
        <v>-196.90000000000006</v>
      </c>
      <c r="AN39" s="197">
        <f t="shared" si="384"/>
        <v>-603.30000000000007</v>
      </c>
      <c r="AO39" s="196">
        <f t="shared" si="384"/>
        <v>-158.09999999999997</v>
      </c>
      <c r="AP39" s="196">
        <f t="shared" si="384"/>
        <v>-369.1</v>
      </c>
      <c r="AQ39" s="198">
        <f t="shared" si="384"/>
        <v>-182.20000000000007</v>
      </c>
      <c r="AR39" s="197">
        <f t="shared" si="384"/>
        <v>-350.1</v>
      </c>
      <c r="AS39" s="196">
        <f t="shared" si="384"/>
        <v>-350.1</v>
      </c>
      <c r="AT39" s="196">
        <f t="shared" si="384"/>
        <v>-304.39999999999986</v>
      </c>
      <c r="AU39" s="198">
        <f t="shared" si="384"/>
        <v>-79.299999999999912</v>
      </c>
      <c r="AV39" s="197">
        <f t="shared" si="384"/>
        <v>-219.30000000000004</v>
      </c>
      <c r="AW39" s="196">
        <f t="shared" si="384"/>
        <v>-474.79999999999995</v>
      </c>
      <c r="AX39" s="196">
        <f t="shared" si="384"/>
        <v>-319.29999999999995</v>
      </c>
      <c r="AY39" s="198">
        <f t="shared" si="384"/>
        <v>-742.60000000000014</v>
      </c>
      <c r="AZ39" s="197">
        <f>SUM(AZ31:AZ38)</f>
        <v>-768</v>
      </c>
      <c r="BA39" s="196">
        <f>SUM(BA31:BA38)</f>
        <v>-427</v>
      </c>
      <c r="BB39" s="196">
        <f>SUM(BB31:BB38)</f>
        <v>-318</v>
      </c>
      <c r="BC39" s="198">
        <f>SUM(BC31:BC38)</f>
        <v>-878</v>
      </c>
      <c r="BD39" s="197">
        <f t="shared" ref="BD39:BO39" si="385">SUM(BD31:BD38)</f>
        <v>-406</v>
      </c>
      <c r="BE39" s="196">
        <f t="shared" si="385"/>
        <v>-519</v>
      </c>
      <c r="BF39" s="196">
        <f t="shared" si="385"/>
        <v>-364</v>
      </c>
      <c r="BG39" s="198">
        <f t="shared" si="385"/>
        <v>-803</v>
      </c>
      <c r="BH39" s="197">
        <f t="shared" si="385"/>
        <v>-489</v>
      </c>
      <c r="BI39" s="196">
        <f t="shared" si="385"/>
        <v>-129</v>
      </c>
      <c r="BJ39" s="196">
        <f t="shared" si="385"/>
        <v>-63</v>
      </c>
      <c r="BK39" s="198">
        <f t="shared" si="385"/>
        <v>7</v>
      </c>
      <c r="BL39" s="197">
        <f t="shared" si="385"/>
        <v>-25</v>
      </c>
      <c r="BM39" s="196">
        <f t="shared" si="385"/>
        <v>-238</v>
      </c>
      <c r="BN39" s="196">
        <f t="shared" si="385"/>
        <v>44</v>
      </c>
      <c r="BO39" s="198">
        <f t="shared" si="385"/>
        <v>-229</v>
      </c>
      <c r="BP39" s="197">
        <f t="shared" ref="BP39:CC39" si="386">SUM(BP31:BP38)</f>
        <v>-436</v>
      </c>
      <c r="BQ39" s="196">
        <f t="shared" si="386"/>
        <v>-802</v>
      </c>
      <c r="BR39" s="196">
        <f t="shared" si="386"/>
        <v>-134</v>
      </c>
      <c r="BS39" s="198">
        <f t="shared" si="386"/>
        <v>-829</v>
      </c>
      <c r="BT39" s="197">
        <f t="shared" si="386"/>
        <v>-714</v>
      </c>
      <c r="BU39" s="196">
        <f t="shared" si="386"/>
        <v>-469</v>
      </c>
      <c r="BV39" s="196">
        <f t="shared" si="386"/>
        <v>-797</v>
      </c>
      <c r="BW39" s="198">
        <f t="shared" si="386"/>
        <v>-332</v>
      </c>
      <c r="BX39" s="197">
        <f t="shared" si="386"/>
        <v>-639</v>
      </c>
      <c r="BY39" s="196">
        <f t="shared" si="386"/>
        <v>-360</v>
      </c>
      <c r="BZ39" s="196">
        <f t="shared" si="386"/>
        <v>-171</v>
      </c>
      <c r="CA39" s="198">
        <f t="shared" si="386"/>
        <v>-542</v>
      </c>
      <c r="CB39" s="197">
        <f t="shared" si="386"/>
        <v>21</v>
      </c>
      <c r="CC39" s="196">
        <f t="shared" si="386"/>
        <v>-472</v>
      </c>
      <c r="CD39" s="196">
        <f t="shared" ref="CD39:CI39" si="387">SUM(CD31:CD38)</f>
        <v>-472</v>
      </c>
      <c r="CE39" s="198">
        <f t="shared" si="387"/>
        <v>-1530</v>
      </c>
      <c r="CF39" s="197">
        <f t="shared" si="387"/>
        <v>-1076</v>
      </c>
      <c r="CG39" s="196">
        <f t="shared" si="387"/>
        <v>-2126</v>
      </c>
      <c r="CH39" s="196">
        <f t="shared" si="387"/>
        <v>-1520</v>
      </c>
      <c r="CI39" s="198">
        <f t="shared" si="387"/>
        <v>-1510</v>
      </c>
      <c r="CJ39" s="197">
        <f t="shared" ref="CJ39:CM39" si="388">SUM(CJ31:CJ38)</f>
        <v>-660</v>
      </c>
      <c r="CK39" s="196">
        <f t="shared" si="388"/>
        <v>-366</v>
      </c>
      <c r="CL39" s="196">
        <f t="shared" si="388"/>
        <v>-616</v>
      </c>
      <c r="CM39" s="198">
        <f t="shared" si="388"/>
        <v>-1426</v>
      </c>
      <c r="CN39" s="197">
        <f t="shared" ref="CN39:CQ39" si="389">SUM(CN31:CN38)</f>
        <v>-890</v>
      </c>
      <c r="CO39" s="196">
        <f t="shared" si="389"/>
        <v>-4476</v>
      </c>
      <c r="CP39" s="196">
        <f t="shared" si="389"/>
        <v>-873</v>
      </c>
      <c r="CQ39" s="198">
        <f t="shared" si="389"/>
        <v>-1298</v>
      </c>
      <c r="CR39" s="197">
        <f t="shared" ref="CR39" si="390">SUM(CR31:CR38)</f>
        <v>-1434</v>
      </c>
      <c r="CS39" s="196">
        <f t="shared" ref="CS39:CU39" si="391">SUM(CS31:CS38)</f>
        <v>-2409</v>
      </c>
      <c r="CT39" s="196">
        <f t="shared" si="391"/>
        <v>-1800</v>
      </c>
      <c r="CU39" s="198">
        <f t="shared" si="391"/>
        <v>-1800</v>
      </c>
      <c r="CV39" s="197">
        <f t="shared" ref="CV39:CY39" si="392">SUM(CV31:CV38)</f>
        <v>-2500</v>
      </c>
      <c r="CW39" s="196">
        <f t="shared" si="392"/>
        <v>-2350</v>
      </c>
      <c r="CX39" s="196">
        <f t="shared" si="392"/>
        <v>-2350</v>
      </c>
      <c r="CY39" s="198">
        <f t="shared" si="392"/>
        <v>-2350</v>
      </c>
      <c r="CZ39" s="197">
        <f t="shared" ref="CZ39:DC39" si="393">SUM(CZ31:CZ38)</f>
        <v>-2400</v>
      </c>
      <c r="DA39" s="196">
        <f t="shared" si="393"/>
        <v>-2400</v>
      </c>
      <c r="DB39" s="196">
        <f t="shared" si="393"/>
        <v>-2400</v>
      </c>
      <c r="DC39" s="198">
        <f t="shared" si="393"/>
        <v>-2400</v>
      </c>
      <c r="DD39" s="895"/>
      <c r="DE39" s="197">
        <f t="shared" ref="DE39:DN39" si="394">SUM(DE31:DE38)</f>
        <v>0</v>
      </c>
      <c r="DF39" s="196">
        <f t="shared" si="394"/>
        <v>0</v>
      </c>
      <c r="DG39" s="196">
        <f t="shared" si="394"/>
        <v>-678.90000000000009</v>
      </c>
      <c r="DH39" s="196">
        <f t="shared" si="394"/>
        <v>-166.10000000000005</v>
      </c>
      <c r="DI39" s="196">
        <f t="shared" si="394"/>
        <v>-2028.0000000000002</v>
      </c>
      <c r="DJ39" s="196">
        <f t="shared" si="394"/>
        <v>-1457.1</v>
      </c>
      <c r="DK39" s="196">
        <f t="shared" si="394"/>
        <v>-1382.6000000000001</v>
      </c>
      <c r="DL39" s="196">
        <f t="shared" si="394"/>
        <v>-513.9</v>
      </c>
      <c r="DM39" s="196">
        <f t="shared" si="394"/>
        <v>-518.09999999999991</v>
      </c>
      <c r="DN39" s="196">
        <f t="shared" si="394"/>
        <v>-1312.7</v>
      </c>
      <c r="DO39" s="196">
        <f t="shared" ref="DO39:DT39" si="395">SUM(DO31:DO38)</f>
        <v>-1083.8999999999999</v>
      </c>
      <c r="DP39" s="196">
        <f t="shared" si="395"/>
        <v>-1756</v>
      </c>
      <c r="DQ39" s="196">
        <f t="shared" si="395"/>
        <v>-2391</v>
      </c>
      <c r="DR39" s="196">
        <f t="shared" si="395"/>
        <v>-2092</v>
      </c>
      <c r="DS39" s="196">
        <f t="shared" si="395"/>
        <v>-674</v>
      </c>
      <c r="DT39" s="196">
        <f t="shared" si="395"/>
        <v>-448</v>
      </c>
      <c r="DU39" s="196">
        <f>SUM(DU31:DU38)</f>
        <v>-2201</v>
      </c>
      <c r="DV39" s="196">
        <f>SUM(DV31:DV38)</f>
        <v>-2312</v>
      </c>
      <c r="DW39" s="196">
        <f>SUM(DW31:DW38)</f>
        <v>-1712</v>
      </c>
      <c r="DX39" s="196">
        <f t="shared" ref="DX39:EB39" si="396">SUM(DX31:DX38)</f>
        <v>-2453</v>
      </c>
      <c r="DY39" s="196">
        <f t="shared" si="396"/>
        <v>-6232</v>
      </c>
      <c r="DZ39" s="196">
        <f>SUM(DZ31:DZ38)</f>
        <v>-3068</v>
      </c>
      <c r="EA39" s="196">
        <f t="shared" si="396"/>
        <v>-7537</v>
      </c>
      <c r="EB39" s="196">
        <f t="shared" si="396"/>
        <v>-7443</v>
      </c>
      <c r="EC39" s="196">
        <f t="shared" ref="EC39:ED39" si="397">SUM(EC31:EC38)</f>
        <v>-9550</v>
      </c>
      <c r="ED39" s="196">
        <f t="shared" si="397"/>
        <v>-9600</v>
      </c>
      <c r="EE39" s="716"/>
      <c r="EF39" s="197"/>
      <c r="EG39" s="196"/>
      <c r="EH39" s="196">
        <f t="shared" ref="EH39:EY39" si="398">SUM(EH31:EH38)</f>
        <v>-1022.1</v>
      </c>
      <c r="EI39" s="196">
        <f t="shared" si="398"/>
        <v>-936.30000000000018</v>
      </c>
      <c r="EJ39" s="196">
        <f t="shared" si="398"/>
        <v>-1180.1000000000001</v>
      </c>
      <c r="EK39" s="196">
        <f t="shared" si="398"/>
        <v>-1853.4</v>
      </c>
      <c r="EL39" s="196">
        <f t="shared" si="398"/>
        <v>-1131.9000000000001</v>
      </c>
      <c r="EM39" s="196">
        <f t="shared" si="398"/>
        <v>-94.299999999999898</v>
      </c>
      <c r="EN39" s="196">
        <f t="shared" si="398"/>
        <v>-1062.3</v>
      </c>
      <c r="EO39" s="196">
        <f t="shared" si="398"/>
        <v>-1059.5000000000002</v>
      </c>
      <c r="EP39" s="196">
        <f t="shared" si="398"/>
        <v>-953.09999999999991</v>
      </c>
      <c r="EQ39" s="196">
        <f t="shared" si="398"/>
        <v>-2304.6999999999998</v>
      </c>
      <c r="ER39" s="196">
        <f t="shared" si="398"/>
        <v>-2029</v>
      </c>
      <c r="ES39" s="196">
        <f t="shared" si="398"/>
        <v>-2175</v>
      </c>
      <c r="ET39" s="196">
        <f t="shared" si="398"/>
        <v>-210</v>
      </c>
      <c r="EU39" s="196">
        <f t="shared" si="398"/>
        <v>-859</v>
      </c>
      <c r="EV39" s="196">
        <f t="shared" si="398"/>
        <v>-2479</v>
      </c>
      <c r="EW39" s="196">
        <f t="shared" si="398"/>
        <v>-2237</v>
      </c>
      <c r="EX39" s="196">
        <f t="shared" si="398"/>
        <v>-1052</v>
      </c>
      <c r="EY39" s="196">
        <f t="shared" si="398"/>
        <v>-3550</v>
      </c>
      <c r="EZ39" s="196">
        <f t="shared" si="371"/>
        <v>-5816</v>
      </c>
      <c r="FA39" s="196">
        <f t="shared" si="372"/>
        <v>-3298</v>
      </c>
      <c r="FB39" s="196">
        <f t="shared" si="373"/>
        <v>-8081</v>
      </c>
      <c r="FC39" s="196">
        <f>SUM(CP39:CS39)</f>
        <v>-6014</v>
      </c>
      <c r="FD39" s="198">
        <f>SUM(CQ39:CT39)</f>
        <v>-6941</v>
      </c>
      <c r="FO39" s="330"/>
      <c r="FP39" s="330"/>
    </row>
    <row r="40" spans="1:172" ht="14.25" customHeight="1" thickTop="1">
      <c r="A40" s="7"/>
      <c r="B40" s="707"/>
      <c r="C40" s="23"/>
      <c r="D40" s="193"/>
      <c r="E40" s="191"/>
      <c r="F40" s="191"/>
      <c r="G40" s="192"/>
      <c r="H40" s="193"/>
      <c r="I40" s="191"/>
      <c r="J40" s="191"/>
      <c r="K40" s="192"/>
      <c r="L40" s="193"/>
      <c r="M40" s="191"/>
      <c r="N40" s="191"/>
      <c r="O40" s="192"/>
      <c r="P40" s="193"/>
      <c r="Q40" s="191"/>
      <c r="R40" s="191"/>
      <c r="S40" s="192"/>
      <c r="T40" s="193"/>
      <c r="U40" s="191"/>
      <c r="V40" s="191"/>
      <c r="W40" s="192"/>
      <c r="X40" s="193"/>
      <c r="Y40" s="191"/>
      <c r="Z40" s="191"/>
      <c r="AA40" s="192"/>
      <c r="AB40" s="193"/>
      <c r="AC40" s="191"/>
      <c r="AD40" s="191"/>
      <c r="AE40" s="192"/>
      <c r="AF40" s="193"/>
      <c r="AG40" s="191"/>
      <c r="AH40" s="191"/>
      <c r="AI40" s="192"/>
      <c r="AJ40" s="193"/>
      <c r="AK40" s="191"/>
      <c r="AL40" s="191"/>
      <c r="AM40" s="192"/>
      <c r="AN40" s="193"/>
      <c r="AO40" s="191"/>
      <c r="AP40" s="191"/>
      <c r="AQ40" s="192"/>
      <c r="AR40" s="193"/>
      <c r="AS40" s="191"/>
      <c r="AT40" s="191"/>
      <c r="AU40" s="192"/>
      <c r="AV40" s="193"/>
      <c r="AW40" s="191"/>
      <c r="AX40" s="191"/>
      <c r="AY40" s="192"/>
      <c r="AZ40" s="193"/>
      <c r="BA40" s="191"/>
      <c r="BB40" s="191"/>
      <c r="BC40" s="192"/>
      <c r="BD40" s="193"/>
      <c r="BE40" s="191"/>
      <c r="BF40" s="191"/>
      <c r="BG40" s="192"/>
      <c r="BH40" s="193"/>
      <c r="BI40" s="191"/>
      <c r="BJ40" s="191"/>
      <c r="BK40" s="192"/>
      <c r="BL40" s="193"/>
      <c r="BM40" s="191"/>
      <c r="BN40" s="191"/>
      <c r="BO40" s="192"/>
      <c r="BP40" s="193"/>
      <c r="BQ40" s="191"/>
      <c r="BR40" s="191"/>
      <c r="BS40" s="192"/>
      <c r="BT40" s="193"/>
      <c r="BU40" s="188"/>
      <c r="BV40" s="191"/>
      <c r="BW40" s="189"/>
      <c r="BX40" s="193"/>
      <c r="BY40" s="188"/>
      <c r="BZ40" s="191"/>
      <c r="CA40" s="189"/>
      <c r="CB40" s="193"/>
      <c r="CC40" s="188"/>
      <c r="CD40" s="191"/>
      <c r="CE40" s="189"/>
      <c r="CF40" s="193"/>
      <c r="CG40" s="188"/>
      <c r="CH40" s="191"/>
      <c r="CI40" s="189"/>
      <c r="CJ40" s="193"/>
      <c r="CK40" s="188"/>
      <c r="CL40" s="191"/>
      <c r="CM40" s="189"/>
      <c r="CN40" s="193"/>
      <c r="CO40" s="188"/>
      <c r="CP40" s="191"/>
      <c r="CQ40" s="189"/>
      <c r="CR40" s="193"/>
      <c r="CS40" s="188"/>
      <c r="CT40" s="191"/>
      <c r="CU40" s="192"/>
      <c r="CV40" s="193"/>
      <c r="CW40" s="188"/>
      <c r="CX40" s="191"/>
      <c r="CY40" s="192"/>
      <c r="CZ40" s="193"/>
      <c r="DA40" s="188"/>
      <c r="DB40" s="191"/>
      <c r="DC40" s="192"/>
      <c r="DD40" s="895"/>
      <c r="DE40" s="193"/>
      <c r="DF40" s="191"/>
      <c r="DG40" s="191"/>
      <c r="DH40" s="191"/>
      <c r="DI40" s="191"/>
      <c r="DJ40" s="191"/>
      <c r="DK40" s="191"/>
      <c r="DL40" s="191"/>
      <c r="DM40" s="191"/>
      <c r="DN40" s="191"/>
      <c r="DO40" s="191"/>
      <c r="DP40" s="191"/>
      <c r="DQ40" s="191"/>
      <c r="DR40" s="191"/>
      <c r="DS40" s="191"/>
      <c r="DT40" s="191"/>
      <c r="DU40" s="191"/>
      <c r="DV40" s="191"/>
      <c r="DW40" s="191"/>
      <c r="DX40" s="191"/>
      <c r="DY40" s="191"/>
      <c r="DZ40" s="191"/>
      <c r="EA40" s="191"/>
      <c r="EB40" s="191"/>
      <c r="EC40" s="191"/>
      <c r="ED40" s="191"/>
      <c r="EE40" s="716"/>
      <c r="EF40" s="193"/>
      <c r="EG40" s="191"/>
      <c r="EH40" s="191"/>
      <c r="EI40" s="191"/>
      <c r="EJ40" s="191"/>
      <c r="EK40" s="191"/>
      <c r="EL40" s="191"/>
      <c r="EM40" s="191"/>
      <c r="EN40" s="191"/>
      <c r="EO40" s="191"/>
      <c r="EP40" s="191"/>
      <c r="EQ40" s="191"/>
      <c r="ER40" s="191"/>
      <c r="ES40" s="191"/>
      <c r="ET40" s="191"/>
      <c r="EU40" s="191"/>
      <c r="EV40" s="191"/>
      <c r="EW40" s="191"/>
      <c r="EX40" s="191"/>
      <c r="EY40" s="191"/>
      <c r="EZ40" s="191"/>
      <c r="FA40" s="191"/>
      <c r="FB40" s="191"/>
      <c r="FC40" s="191"/>
      <c r="FD40" s="192"/>
      <c r="FO40" s="330"/>
      <c r="FP40" s="330"/>
    </row>
    <row r="41" spans="1:172" ht="14.25" customHeight="1">
      <c r="A41" s="7"/>
      <c r="B41" s="199" t="str">
        <f>B145</f>
        <v>Cash flows from financing activities:</v>
      </c>
      <c r="C41" s="200"/>
      <c r="D41" s="193"/>
      <c r="E41" s="201"/>
      <c r="F41" s="201"/>
      <c r="G41" s="192"/>
      <c r="H41" s="193"/>
      <c r="I41" s="201"/>
      <c r="J41" s="201"/>
      <c r="K41" s="192"/>
      <c r="L41" s="193"/>
      <c r="M41" s="201"/>
      <c r="N41" s="201"/>
      <c r="O41" s="192"/>
      <c r="P41" s="193"/>
      <c r="Q41" s="201"/>
      <c r="R41" s="201"/>
      <c r="S41" s="192"/>
      <c r="T41" s="193"/>
      <c r="U41" s="201"/>
      <c r="V41" s="201"/>
      <c r="W41" s="192"/>
      <c r="X41" s="193"/>
      <c r="Y41" s="201"/>
      <c r="Z41" s="201"/>
      <c r="AA41" s="192"/>
      <c r="AB41" s="193"/>
      <c r="AC41" s="201"/>
      <c r="AD41" s="201"/>
      <c r="AE41" s="192"/>
      <c r="AF41" s="193"/>
      <c r="AG41" s="201"/>
      <c r="AH41" s="201"/>
      <c r="AI41" s="192"/>
      <c r="AJ41" s="193"/>
      <c r="AK41" s="201"/>
      <c r="AL41" s="201"/>
      <c r="AM41" s="192"/>
      <c r="AN41" s="193"/>
      <c r="AO41" s="201"/>
      <c r="AP41" s="201"/>
      <c r="AQ41" s="192"/>
      <c r="AR41" s="193"/>
      <c r="AS41" s="201"/>
      <c r="AT41" s="201"/>
      <c r="AU41" s="192"/>
      <c r="AV41" s="193"/>
      <c r="AW41" s="201"/>
      <c r="AX41" s="201"/>
      <c r="AY41" s="192"/>
      <c r="AZ41" s="193"/>
      <c r="BA41" s="201"/>
      <c r="BB41" s="201"/>
      <c r="BC41" s="192"/>
      <c r="BD41" s="193"/>
      <c r="BE41" s="201"/>
      <c r="BF41" s="201"/>
      <c r="BG41" s="192"/>
      <c r="BH41" s="193"/>
      <c r="BI41" s="201"/>
      <c r="BJ41" s="201"/>
      <c r="BK41" s="192"/>
      <c r="BL41" s="193"/>
      <c r="BM41" s="201"/>
      <c r="BN41" s="201"/>
      <c r="BO41" s="192"/>
      <c r="BP41" s="193"/>
      <c r="BQ41" s="201"/>
      <c r="BR41" s="201"/>
      <c r="BS41" s="192"/>
      <c r="BT41" s="193"/>
      <c r="BU41" s="188"/>
      <c r="BV41" s="201"/>
      <c r="BW41" s="189"/>
      <c r="BX41" s="193"/>
      <c r="BY41" s="188"/>
      <c r="BZ41" s="201"/>
      <c r="CA41" s="189"/>
      <c r="CB41" s="193"/>
      <c r="CC41" s="188"/>
      <c r="CD41" s="201"/>
      <c r="CE41" s="189"/>
      <c r="CF41" s="193"/>
      <c r="CG41" s="188"/>
      <c r="CH41" s="201"/>
      <c r="CI41" s="189"/>
      <c r="CJ41" s="193"/>
      <c r="CK41" s="188"/>
      <c r="CL41" s="201"/>
      <c r="CM41" s="189"/>
      <c r="CN41" s="193"/>
      <c r="CO41" s="188"/>
      <c r="CP41" s="201"/>
      <c r="CQ41" s="189"/>
      <c r="CR41" s="193"/>
      <c r="CS41" s="188"/>
      <c r="CT41" s="201"/>
      <c r="CU41" s="192"/>
      <c r="CV41" s="193"/>
      <c r="CW41" s="188"/>
      <c r="CX41" s="201"/>
      <c r="CY41" s="192"/>
      <c r="CZ41" s="193"/>
      <c r="DA41" s="188"/>
      <c r="DB41" s="201"/>
      <c r="DC41" s="192"/>
      <c r="DD41" s="895"/>
      <c r="DE41" s="193"/>
      <c r="DF41" s="191"/>
      <c r="DG41" s="191"/>
      <c r="DH41" s="191"/>
      <c r="DI41" s="191"/>
      <c r="DJ41" s="191"/>
      <c r="DK41" s="191"/>
      <c r="DL41" s="191"/>
      <c r="DM41" s="191"/>
      <c r="DN41" s="191"/>
      <c r="DO41" s="191"/>
      <c r="DP41" s="191"/>
      <c r="DQ41" s="191"/>
      <c r="DR41" s="191"/>
      <c r="DS41" s="191"/>
      <c r="DT41" s="191"/>
      <c r="DU41" s="191"/>
      <c r="DV41" s="191"/>
      <c r="DW41" s="191"/>
      <c r="DX41" s="191"/>
      <c r="DY41" s="191"/>
      <c r="DZ41" s="191"/>
      <c r="EA41" s="191"/>
      <c r="EB41" s="191"/>
      <c r="EC41" s="191"/>
      <c r="ED41" s="191"/>
      <c r="EE41" s="716"/>
      <c r="EF41" s="193"/>
      <c r="EG41" s="191"/>
      <c r="EH41" s="191"/>
      <c r="EI41" s="191"/>
      <c r="EJ41" s="191"/>
      <c r="EK41" s="191"/>
      <c r="EL41" s="191"/>
      <c r="EM41" s="191"/>
      <c r="EN41" s="191"/>
      <c r="EO41" s="191"/>
      <c r="EP41" s="191"/>
      <c r="EQ41" s="191"/>
      <c r="ER41" s="191"/>
      <c r="ES41" s="191"/>
      <c r="ET41" s="191"/>
      <c r="EU41" s="191"/>
      <c r="EV41" s="191"/>
      <c r="EW41" s="191"/>
      <c r="EX41" s="191"/>
      <c r="EY41" s="191"/>
      <c r="EZ41" s="191"/>
      <c r="FA41" s="191"/>
      <c r="FB41" s="191"/>
      <c r="FC41" s="191"/>
      <c r="FD41" s="192"/>
      <c r="FO41" s="330"/>
      <c r="FP41" s="330"/>
    </row>
    <row r="42" spans="1:172" ht="14.25" customHeight="1">
      <c r="A42" s="7"/>
      <c r="B42" s="24" t="s">
        <v>207</v>
      </c>
      <c r="C42" s="25"/>
      <c r="D42" s="190"/>
      <c r="E42" s="188"/>
      <c r="F42" s="188"/>
      <c r="G42" s="189"/>
      <c r="H42" s="190"/>
      <c r="I42" s="188"/>
      <c r="J42" s="188"/>
      <c r="K42" s="189"/>
      <c r="L42" s="190"/>
      <c r="M42" s="188"/>
      <c r="N42" s="188"/>
      <c r="O42" s="189"/>
      <c r="P42" s="190"/>
      <c r="Q42" s="188"/>
      <c r="R42" s="188"/>
      <c r="S42" s="189"/>
      <c r="T42" s="190"/>
      <c r="U42" s="188"/>
      <c r="V42" s="188"/>
      <c r="W42" s="189"/>
      <c r="X42" s="190"/>
      <c r="Y42" s="188"/>
      <c r="Z42" s="188"/>
      <c r="AA42" s="189"/>
      <c r="AB42" s="190"/>
      <c r="AC42" s="188"/>
      <c r="AD42" s="188"/>
      <c r="AE42" s="189"/>
      <c r="AF42" s="190"/>
      <c r="AG42" s="188"/>
      <c r="AH42" s="188"/>
      <c r="AI42" s="189"/>
      <c r="AJ42" s="190"/>
      <c r="AK42" s="188"/>
      <c r="AL42" s="188"/>
      <c r="AM42" s="189"/>
      <c r="AN42" s="190"/>
      <c r="AO42" s="188"/>
      <c r="AP42" s="188"/>
      <c r="AQ42" s="189"/>
      <c r="AR42" s="190"/>
      <c r="AS42" s="188"/>
      <c r="AT42" s="188"/>
      <c r="AU42" s="189"/>
      <c r="AV42" s="190"/>
      <c r="AW42" s="188"/>
      <c r="AX42" s="188"/>
      <c r="AY42" s="189"/>
      <c r="AZ42" s="190"/>
      <c r="BA42" s="188"/>
      <c r="BB42" s="188"/>
      <c r="BC42" s="189"/>
      <c r="BD42" s="190"/>
      <c r="BE42" s="188"/>
      <c r="BF42" s="188"/>
      <c r="BG42" s="189"/>
      <c r="BH42" s="190"/>
      <c r="BI42" s="188"/>
      <c r="BJ42" s="188"/>
      <c r="BK42" s="189"/>
      <c r="BL42" s="190">
        <f t="shared" ref="BL42:BL50" si="399">BL146</f>
        <v>0</v>
      </c>
      <c r="BM42" s="188">
        <f t="shared" ref="BM42:BM50" si="400">BM146-BL42</f>
        <v>0</v>
      </c>
      <c r="BN42" s="188">
        <f t="shared" ref="BN42:BN50" si="401">BN146-BM42-BL42</f>
        <v>0</v>
      </c>
      <c r="BO42" s="189">
        <f t="shared" ref="BO42:BO50" si="402">BO146-BN42-BM42-BL42</f>
        <v>0</v>
      </c>
      <c r="BP42" s="190">
        <f t="shared" ref="BP42:BP50" si="403">BP146</f>
        <v>0</v>
      </c>
      <c r="BQ42" s="188">
        <f t="shared" ref="BQ42:BQ50" si="404">BQ146-BP42</f>
        <v>95</v>
      </c>
      <c r="BR42" s="188">
        <f t="shared" ref="BR42:BR50" si="405">BR146-BQ42-BP42</f>
        <v>173</v>
      </c>
      <c r="BS42" s="189">
        <f t="shared" ref="BS42:BS50" si="406">BS146-BR42-BQ42-BP42</f>
        <v>0</v>
      </c>
      <c r="BT42" s="190">
        <f t="shared" ref="BT42:BT50" si="407">BT146</f>
        <v>138</v>
      </c>
      <c r="BU42" s="188">
        <f t="shared" ref="BU42:BU50" si="408">BU146-BT42</f>
        <v>202</v>
      </c>
      <c r="BV42" s="188">
        <f t="shared" ref="BV42:BV50" si="409">BV146-BU42-BT42</f>
        <v>63</v>
      </c>
      <c r="BW42" s="189">
        <f t="shared" ref="BW42:BW50" si="410">BW146-BV42-BU42-BT42</f>
        <v>206</v>
      </c>
      <c r="BX42" s="190">
        <f t="shared" ref="BX42:BX50" si="411">BX146</f>
        <v>173</v>
      </c>
      <c r="BY42" s="188">
        <f t="shared" ref="BY42:BY50" si="412">BY146-BX42</f>
        <v>-100</v>
      </c>
      <c r="BZ42" s="188">
        <f t="shared" ref="BZ42:BZ50" si="413">BZ146-BY42-BX42</f>
        <v>33</v>
      </c>
      <c r="CA42" s="189">
        <f t="shared" ref="CA42:CA50" si="414">CA146-BZ42-BY42-BX42</f>
        <v>20</v>
      </c>
      <c r="CB42" s="190">
        <f t="shared" ref="CB42:CB49" si="415">CB146</f>
        <v>14</v>
      </c>
      <c r="CC42" s="188">
        <f t="shared" ref="CC42:CC50" si="416">CC146-CB42</f>
        <v>0</v>
      </c>
      <c r="CD42" s="188">
        <f t="shared" ref="CD42:CD50" si="417">CD146-CC42-CB42</f>
        <v>0</v>
      </c>
      <c r="CE42" s="189">
        <f t="shared" ref="CE42:CE50" si="418">CE146-CD42-CC42-CB42</f>
        <v>0</v>
      </c>
      <c r="CF42" s="190">
        <f t="shared" ref="CF42:CF49" si="419">CF146</f>
        <v>0</v>
      </c>
      <c r="CG42" s="188">
        <f t="shared" ref="CG42:CG50" si="420">CG146-CF42</f>
        <v>0</v>
      </c>
      <c r="CH42" s="188">
        <f t="shared" ref="CH42:CH50" si="421">CH146-CG42-CF42</f>
        <v>0</v>
      </c>
      <c r="CI42" s="189">
        <f t="shared" ref="CI42:CI50" si="422">CI146-CH42-CG42-CF42</f>
        <v>0</v>
      </c>
      <c r="CJ42" s="190">
        <f t="shared" ref="CJ42:CJ48" si="423">CJ146</f>
        <v>0</v>
      </c>
      <c r="CK42" s="188">
        <f t="shared" ref="CK42:CK50" si="424">CK146-CJ42</f>
        <v>0</v>
      </c>
      <c r="CL42" s="188">
        <f t="shared" ref="CL42:CL50" si="425">CL146-CK42-CJ42</f>
        <v>0</v>
      </c>
      <c r="CM42" s="189">
        <f t="shared" ref="CM42:CM50" si="426">CM146-CL42-CK42-CJ42</f>
        <v>0</v>
      </c>
      <c r="CN42" s="190">
        <f t="shared" ref="CN42:CN48" si="427">CN146</f>
        <v>0</v>
      </c>
      <c r="CO42" s="188">
        <f t="shared" ref="CO42:CO50" si="428">CO146-CN42</f>
        <v>2961</v>
      </c>
      <c r="CP42" s="188">
        <f t="shared" ref="CP42:CP50" si="429">CP146-CO42-CN42</f>
        <v>175</v>
      </c>
      <c r="CQ42" s="189">
        <f t="shared" ref="CQ42:CQ50" si="430">CQ146-CP42-CO42-CN42</f>
        <v>-3136</v>
      </c>
      <c r="CR42" s="190">
        <f t="shared" ref="CR42:CR48" si="431">CR146</f>
        <v>0</v>
      </c>
      <c r="CS42" s="188">
        <v>0</v>
      </c>
      <c r="CT42" s="188">
        <v>0</v>
      </c>
      <c r="CU42" s="189">
        <v>0</v>
      </c>
      <c r="CV42" s="190">
        <v>0</v>
      </c>
      <c r="CW42" s="188">
        <v>0</v>
      </c>
      <c r="CX42" s="188">
        <v>0</v>
      </c>
      <c r="CY42" s="189">
        <v>0</v>
      </c>
      <c r="CZ42" s="190">
        <v>0</v>
      </c>
      <c r="DA42" s="188">
        <v>0</v>
      </c>
      <c r="DB42" s="188">
        <v>0</v>
      </c>
      <c r="DC42" s="189">
        <v>0</v>
      </c>
      <c r="DD42" s="895"/>
      <c r="DE42" s="190">
        <f t="shared" ref="DE42:DE50" si="432">SUM(D42:G42)</f>
        <v>0</v>
      </c>
      <c r="DF42" s="188">
        <f t="shared" ref="DF42:DF50" si="433">SUM(H42:K42)</f>
        <v>0</v>
      </c>
      <c r="DG42" s="188">
        <f t="shared" ref="DG42:DG50" si="434">SUM(L42:O42)</f>
        <v>0</v>
      </c>
      <c r="DH42" s="188">
        <f t="shared" ref="DH42:DH50" si="435">SUM(P42:S42)</f>
        <v>0</v>
      </c>
      <c r="DI42" s="188">
        <f t="shared" ref="DI42:DI50" si="436">SUM(T42:W42)</f>
        <v>0</v>
      </c>
      <c r="DJ42" s="188">
        <f t="shared" ref="DJ42:DJ50" si="437">SUM(X42:AA42)</f>
        <v>0</v>
      </c>
      <c r="DK42" s="188">
        <f t="shared" ref="DK42:DK50" si="438">SUM(AB42:AE42)</f>
        <v>0</v>
      </c>
      <c r="DL42" s="188">
        <f t="shared" ref="DL42:DL50" si="439">SUM(AF42:AI42)</f>
        <v>0</v>
      </c>
      <c r="DM42" s="188">
        <f t="shared" ref="DM42:DM50" si="440">SUM(AJ42:AM42)</f>
        <v>0</v>
      </c>
      <c r="DN42" s="188">
        <f t="shared" ref="DN42:DN50" si="441">SUM(AN42:AQ42)</f>
        <v>0</v>
      </c>
      <c r="DO42" s="188">
        <f t="shared" ref="DO42:DO50" si="442">SUM(AR42:AU42)</f>
        <v>0</v>
      </c>
      <c r="DP42" s="188">
        <f t="shared" ref="DP42:DP50" si="443">SUM(AV42:AY42)</f>
        <v>0</v>
      </c>
      <c r="DQ42" s="188">
        <f t="shared" ref="DQ42:DQ50" si="444">SUM(AZ42:BC42)</f>
        <v>0</v>
      </c>
      <c r="DR42" s="188">
        <f t="shared" ref="DR42:DR50" si="445">SUM(BD42:BG42)</f>
        <v>0</v>
      </c>
      <c r="DS42" s="188">
        <f t="shared" ref="DS42:DS50" si="446">SUM(BH42:BK42)</f>
        <v>0</v>
      </c>
      <c r="DT42" s="188">
        <f t="shared" ref="DT42:DT50" si="447">SUM(BL42:BO42)</f>
        <v>0</v>
      </c>
      <c r="DU42" s="188">
        <f t="shared" ref="DU42:DU50" si="448">SUM(BP42:BS42)</f>
        <v>268</v>
      </c>
      <c r="DV42" s="188">
        <f t="shared" ref="DV42:DV50" si="449">SUM(BT42:BW42)</f>
        <v>609</v>
      </c>
      <c r="DW42" s="188">
        <f t="shared" ref="DW42:DW50" si="450">SUM(BX42:CA42)</f>
        <v>126</v>
      </c>
      <c r="DX42" s="188">
        <f t="shared" ref="DX42:DX50" si="451">SUM(CB42:CE42)</f>
        <v>14</v>
      </c>
      <c r="DY42" s="188">
        <f t="shared" ref="DY42:DY50" si="452">SUM(CF42:CI42)</f>
        <v>0</v>
      </c>
      <c r="DZ42" s="188">
        <f t="shared" ref="DZ42:DZ50" si="453">SUM(CJ42:CM42)</f>
        <v>0</v>
      </c>
      <c r="EA42" s="188">
        <f t="shared" ref="EA42:EA50" si="454">SUM(CN42:CQ42)</f>
        <v>0</v>
      </c>
      <c r="EB42" s="188">
        <f t="shared" ref="EB42:EB50" si="455">SUM(CR42:CU42)</f>
        <v>0</v>
      </c>
      <c r="EC42" s="188">
        <f t="shared" ref="EC42:EC50" si="456">SUM(CV42:CY42)</f>
        <v>0</v>
      </c>
      <c r="ED42" s="188">
        <f t="shared" ref="ED42:ED50" si="457">SUM(CZ42:DC42)</f>
        <v>0</v>
      </c>
      <c r="EE42" s="716"/>
      <c r="EF42" s="190"/>
      <c r="EG42" s="188"/>
      <c r="EH42" s="188">
        <f t="shared" ref="EH42:EH50" si="458">SUM(M42:P42)</f>
        <v>0</v>
      </c>
      <c r="EI42" s="188">
        <f t="shared" ref="EI42:EI50" si="459">SUM(Q42:T42)</f>
        <v>0</v>
      </c>
      <c r="EJ42" s="188">
        <f t="shared" ref="EJ42:EJ50" si="460">SUM(U42:X42)</f>
        <v>0</v>
      </c>
      <c r="EK42" s="188">
        <f t="shared" ref="EK42:EK50" si="461">SUM(Y42:AB42)</f>
        <v>0</v>
      </c>
      <c r="EL42" s="188">
        <f t="shared" ref="EL42:EL50" si="462">SUM(AC42:AF42)</f>
        <v>0</v>
      </c>
      <c r="EM42" s="188">
        <f t="shared" ref="EM42:EM50" si="463">SUM(AG42:AJ42)</f>
        <v>0</v>
      </c>
      <c r="EN42" s="188">
        <f t="shared" ref="EN42:EN50" si="464">SUM(AK42:AN42)</f>
        <v>0</v>
      </c>
      <c r="EO42" s="188">
        <f t="shared" ref="EO42:EO50" si="465">SUM(AO42:AR42)</f>
        <v>0</v>
      </c>
      <c r="EP42" s="338">
        <f t="shared" ref="EP42:EP50" si="466">SUM(AS42:AV42)</f>
        <v>0</v>
      </c>
      <c r="EQ42" s="338">
        <f t="shared" ref="EQ42:EQ50" si="467">SUM(AW42:AZ42)</f>
        <v>0</v>
      </c>
      <c r="ER42" s="338">
        <f t="shared" ref="ER42:ER50" si="468">SUM(BA42:BD42)</f>
        <v>0</v>
      </c>
      <c r="ES42" s="338">
        <f t="shared" ref="ES42:ES50" si="469">SUM(BE42:BH42)</f>
        <v>0</v>
      </c>
      <c r="ET42" s="338">
        <f t="shared" ref="ET42:ET50" si="470">SUM(BI42:BL42)</f>
        <v>0</v>
      </c>
      <c r="EU42" s="338">
        <f t="shared" ref="EU42:EU50" si="471">SUM(BM42:BP42)</f>
        <v>0</v>
      </c>
      <c r="EV42" s="338">
        <f t="shared" ref="EV42:EV50" si="472">SUM(BQ42:BT42)</f>
        <v>406</v>
      </c>
      <c r="EW42" s="338">
        <f t="shared" ref="EW42:EW50" si="473">SUM(BU42:BX42)</f>
        <v>644</v>
      </c>
      <c r="EX42" s="338">
        <f t="shared" ref="EX42:EX50" si="474">SUM(BY42:CB42)</f>
        <v>-33</v>
      </c>
      <c r="EY42" s="338">
        <f t="shared" ref="EY42:EY50" si="475">SUM(CC42:CF42)</f>
        <v>0</v>
      </c>
      <c r="EZ42" s="338">
        <f t="shared" ref="EZ42:EZ51" si="476">SUM(CG42:CJ42)</f>
        <v>0</v>
      </c>
      <c r="FA42" s="338">
        <f t="shared" ref="FA42:FA51" si="477">SUM(CK42:CN42)</f>
        <v>0</v>
      </c>
      <c r="FB42" s="338">
        <f t="shared" ref="FB42:FB51" si="478">SUM(CO42:CR42)</f>
        <v>0</v>
      </c>
      <c r="FC42" s="338">
        <f t="shared" ref="FC42:FC50" si="479">SUM(CS42:CV42)</f>
        <v>0</v>
      </c>
      <c r="FD42" s="339">
        <f t="shared" ref="FD42:FD50" si="480">SUM(CW42:CZ42)</f>
        <v>0</v>
      </c>
      <c r="FO42" s="330"/>
      <c r="FP42" s="330"/>
    </row>
    <row r="43" spans="1:172" ht="14.25" customHeight="1">
      <c r="A43" s="7"/>
      <c r="B43" s="24" t="s">
        <v>208</v>
      </c>
      <c r="C43" s="25"/>
      <c r="D43" s="190"/>
      <c r="E43" s="188"/>
      <c r="F43" s="188"/>
      <c r="G43" s="189"/>
      <c r="H43" s="190"/>
      <c r="I43" s="188"/>
      <c r="J43" s="188"/>
      <c r="K43" s="189"/>
      <c r="L43" s="190"/>
      <c r="M43" s="188"/>
      <c r="N43" s="188"/>
      <c r="O43" s="189"/>
      <c r="P43" s="190"/>
      <c r="Q43" s="188"/>
      <c r="R43" s="188"/>
      <c r="S43" s="189"/>
      <c r="T43" s="190"/>
      <c r="U43" s="188"/>
      <c r="V43" s="188"/>
      <c r="W43" s="189"/>
      <c r="X43" s="190"/>
      <c r="Y43" s="188"/>
      <c r="Z43" s="188"/>
      <c r="AA43" s="189"/>
      <c r="AB43" s="190"/>
      <c r="AC43" s="188"/>
      <c r="AD43" s="188"/>
      <c r="AE43" s="189"/>
      <c r="AF43" s="190"/>
      <c r="AG43" s="188"/>
      <c r="AH43" s="188"/>
      <c r="AI43" s="189"/>
      <c r="AJ43" s="190"/>
      <c r="AK43" s="188"/>
      <c r="AL43" s="188"/>
      <c r="AM43" s="189"/>
      <c r="AN43" s="190"/>
      <c r="AO43" s="188"/>
      <c r="AP43" s="188"/>
      <c r="AQ43" s="189"/>
      <c r="AR43" s="190"/>
      <c r="AS43" s="188"/>
      <c r="AT43" s="188"/>
      <c r="AU43" s="189"/>
      <c r="AV43" s="190"/>
      <c r="AW43" s="188"/>
      <c r="AX43" s="188"/>
      <c r="AY43" s="189"/>
      <c r="AZ43" s="190"/>
      <c r="BA43" s="188"/>
      <c r="BB43" s="188"/>
      <c r="BC43" s="189"/>
      <c r="BD43" s="190"/>
      <c r="BE43" s="188"/>
      <c r="BF43" s="188"/>
      <c r="BG43" s="189"/>
      <c r="BH43" s="190"/>
      <c r="BI43" s="188"/>
      <c r="BJ43" s="188"/>
      <c r="BK43" s="189"/>
      <c r="BL43" s="190">
        <f t="shared" si="399"/>
        <v>0</v>
      </c>
      <c r="BM43" s="188">
        <f t="shared" si="400"/>
        <v>0</v>
      </c>
      <c r="BN43" s="188">
        <f t="shared" si="401"/>
        <v>24</v>
      </c>
      <c r="BO43" s="189">
        <f t="shared" si="402"/>
        <v>14</v>
      </c>
      <c r="BP43" s="190">
        <f t="shared" si="403"/>
        <v>0</v>
      </c>
      <c r="BQ43" s="188">
        <f t="shared" si="404"/>
        <v>4</v>
      </c>
      <c r="BR43" s="188">
        <f t="shared" si="405"/>
        <v>4</v>
      </c>
      <c r="BS43" s="189">
        <f t="shared" si="406"/>
        <v>0</v>
      </c>
      <c r="BT43" s="190">
        <f t="shared" si="407"/>
        <v>110</v>
      </c>
      <c r="BU43" s="188">
        <f t="shared" si="408"/>
        <v>28</v>
      </c>
      <c r="BV43" s="188">
        <f t="shared" si="409"/>
        <v>13</v>
      </c>
      <c r="BW43" s="189">
        <f t="shared" si="410"/>
        <v>46</v>
      </c>
      <c r="BX43" s="190">
        <f t="shared" si="411"/>
        <v>26</v>
      </c>
      <c r="BY43" s="188">
        <f t="shared" si="412"/>
        <v>-16</v>
      </c>
      <c r="BZ43" s="188">
        <f t="shared" si="413"/>
        <v>1</v>
      </c>
      <c r="CA43" s="189">
        <f t="shared" si="414"/>
        <v>0</v>
      </c>
      <c r="CB43" s="190">
        <f t="shared" si="415"/>
        <v>49</v>
      </c>
      <c r="CC43" s="188">
        <f t="shared" si="416"/>
        <v>0</v>
      </c>
      <c r="CD43" s="188">
        <f t="shared" si="417"/>
        <v>-49</v>
      </c>
      <c r="CE43" s="189">
        <f t="shared" si="418"/>
        <v>102</v>
      </c>
      <c r="CF43" s="190">
        <f t="shared" si="419"/>
        <v>20</v>
      </c>
      <c r="CG43" s="188">
        <f t="shared" si="420"/>
        <v>-20</v>
      </c>
      <c r="CH43" s="188">
        <f t="shared" si="421"/>
        <v>0</v>
      </c>
      <c r="CI43" s="189">
        <f t="shared" si="422"/>
        <v>142</v>
      </c>
      <c r="CJ43" s="190">
        <f t="shared" si="423"/>
        <v>37</v>
      </c>
      <c r="CK43" s="188">
        <f t="shared" si="424"/>
        <v>0</v>
      </c>
      <c r="CL43" s="188">
        <f t="shared" si="425"/>
        <v>0</v>
      </c>
      <c r="CM43" s="189">
        <f t="shared" si="426"/>
        <v>0</v>
      </c>
      <c r="CN43" s="190">
        <f t="shared" si="427"/>
        <v>0</v>
      </c>
      <c r="CO43" s="188">
        <f t="shared" si="428"/>
        <v>0</v>
      </c>
      <c r="CP43" s="188">
        <f t="shared" si="429"/>
        <v>0</v>
      </c>
      <c r="CQ43" s="189">
        <f t="shared" si="430"/>
        <v>0</v>
      </c>
      <c r="CR43" s="190">
        <f t="shared" si="431"/>
        <v>0</v>
      </c>
      <c r="CS43" s="188">
        <f>BS!CS39-BS!CR39</f>
        <v>2</v>
      </c>
      <c r="CT43" s="188">
        <f>BS!CT39-BS!CS39</f>
        <v>0</v>
      </c>
      <c r="CU43" s="189">
        <f>BS!CU39-BS!CT39</f>
        <v>0</v>
      </c>
      <c r="CV43" s="190">
        <f>BS!CV39-BS!CU39</f>
        <v>0</v>
      </c>
      <c r="CW43" s="188">
        <f>BS!CW39-BS!CV39</f>
        <v>0</v>
      </c>
      <c r="CX43" s="188">
        <f>BS!CX39-BS!CW39</f>
        <v>0</v>
      </c>
      <c r="CY43" s="189">
        <f>BS!CY39-BS!CX39</f>
        <v>0</v>
      </c>
      <c r="CZ43" s="190">
        <f>BS!CZ39-BS!CY39</f>
        <v>0</v>
      </c>
      <c r="DA43" s="188">
        <f>BS!DA39-BS!CZ39</f>
        <v>0</v>
      </c>
      <c r="DB43" s="188">
        <f>BS!DB39-BS!DA39</f>
        <v>0</v>
      </c>
      <c r="DC43" s="189">
        <f>BS!DC39-BS!DB39</f>
        <v>0</v>
      </c>
      <c r="DD43" s="895"/>
      <c r="DE43" s="190">
        <f t="shared" si="432"/>
        <v>0</v>
      </c>
      <c r="DF43" s="188">
        <f t="shared" si="433"/>
        <v>0</v>
      </c>
      <c r="DG43" s="188">
        <f t="shared" si="434"/>
        <v>0</v>
      </c>
      <c r="DH43" s="188">
        <f t="shared" si="435"/>
        <v>0</v>
      </c>
      <c r="DI43" s="188">
        <f t="shared" si="436"/>
        <v>0</v>
      </c>
      <c r="DJ43" s="188">
        <f t="shared" si="437"/>
        <v>0</v>
      </c>
      <c r="DK43" s="188">
        <f t="shared" si="438"/>
        <v>0</v>
      </c>
      <c r="DL43" s="188">
        <f t="shared" si="439"/>
        <v>0</v>
      </c>
      <c r="DM43" s="188">
        <f t="shared" si="440"/>
        <v>0</v>
      </c>
      <c r="DN43" s="188">
        <f t="shared" si="441"/>
        <v>0</v>
      </c>
      <c r="DO43" s="188">
        <f t="shared" si="442"/>
        <v>0</v>
      </c>
      <c r="DP43" s="188">
        <f t="shared" si="443"/>
        <v>0</v>
      </c>
      <c r="DQ43" s="188">
        <f t="shared" si="444"/>
        <v>0</v>
      </c>
      <c r="DR43" s="188">
        <f t="shared" si="445"/>
        <v>0</v>
      </c>
      <c r="DS43" s="188">
        <f t="shared" si="446"/>
        <v>0</v>
      </c>
      <c r="DT43" s="188">
        <f t="shared" si="447"/>
        <v>38</v>
      </c>
      <c r="DU43" s="188">
        <f t="shared" si="448"/>
        <v>8</v>
      </c>
      <c r="DV43" s="188">
        <f t="shared" si="449"/>
        <v>197</v>
      </c>
      <c r="DW43" s="188">
        <f t="shared" si="450"/>
        <v>11</v>
      </c>
      <c r="DX43" s="188">
        <f t="shared" si="451"/>
        <v>102</v>
      </c>
      <c r="DY43" s="188">
        <f t="shared" si="452"/>
        <v>142</v>
      </c>
      <c r="DZ43" s="188">
        <f t="shared" si="453"/>
        <v>37</v>
      </c>
      <c r="EA43" s="188">
        <f t="shared" si="454"/>
        <v>0</v>
      </c>
      <c r="EB43" s="188">
        <f t="shared" si="455"/>
        <v>2</v>
      </c>
      <c r="EC43" s="188">
        <f t="shared" si="456"/>
        <v>0</v>
      </c>
      <c r="ED43" s="188">
        <f t="shared" si="457"/>
        <v>0</v>
      </c>
      <c r="EE43" s="716"/>
      <c r="EF43" s="190"/>
      <c r="EG43" s="188"/>
      <c r="EH43" s="188">
        <f t="shared" si="458"/>
        <v>0</v>
      </c>
      <c r="EI43" s="188">
        <f t="shared" si="459"/>
        <v>0</v>
      </c>
      <c r="EJ43" s="188">
        <f t="shared" si="460"/>
        <v>0</v>
      </c>
      <c r="EK43" s="188">
        <f t="shared" si="461"/>
        <v>0</v>
      </c>
      <c r="EL43" s="188">
        <f t="shared" si="462"/>
        <v>0</v>
      </c>
      <c r="EM43" s="188">
        <f t="shared" si="463"/>
        <v>0</v>
      </c>
      <c r="EN43" s="188">
        <f t="shared" si="464"/>
        <v>0</v>
      </c>
      <c r="EO43" s="188">
        <f t="shared" si="465"/>
        <v>0</v>
      </c>
      <c r="EP43" s="338">
        <f t="shared" si="466"/>
        <v>0</v>
      </c>
      <c r="EQ43" s="338">
        <f t="shared" si="467"/>
        <v>0</v>
      </c>
      <c r="ER43" s="338">
        <f t="shared" si="468"/>
        <v>0</v>
      </c>
      <c r="ES43" s="338">
        <f t="shared" si="469"/>
        <v>0</v>
      </c>
      <c r="ET43" s="338">
        <f t="shared" si="470"/>
        <v>0</v>
      </c>
      <c r="EU43" s="338">
        <f t="shared" si="471"/>
        <v>38</v>
      </c>
      <c r="EV43" s="338">
        <f t="shared" si="472"/>
        <v>118</v>
      </c>
      <c r="EW43" s="338">
        <f t="shared" si="473"/>
        <v>113</v>
      </c>
      <c r="EX43" s="338">
        <f t="shared" si="474"/>
        <v>34</v>
      </c>
      <c r="EY43" s="338">
        <f t="shared" si="475"/>
        <v>73</v>
      </c>
      <c r="EZ43" s="338">
        <f t="shared" si="476"/>
        <v>159</v>
      </c>
      <c r="FA43" s="338">
        <f t="shared" si="477"/>
        <v>0</v>
      </c>
      <c r="FB43" s="338">
        <f t="shared" si="478"/>
        <v>0</v>
      </c>
      <c r="FC43" s="338">
        <f t="shared" si="479"/>
        <v>2</v>
      </c>
      <c r="FD43" s="339">
        <f t="shared" si="480"/>
        <v>0</v>
      </c>
      <c r="FO43" s="330"/>
      <c r="FP43" s="330"/>
    </row>
    <row r="44" spans="1:172" ht="14.25" customHeight="1">
      <c r="A44" s="7"/>
      <c r="B44" s="24" t="s">
        <v>209</v>
      </c>
      <c r="C44" s="25"/>
      <c r="D44" s="190"/>
      <c r="E44" s="188"/>
      <c r="F44" s="188"/>
      <c r="G44" s="189"/>
      <c r="H44" s="190"/>
      <c r="I44" s="188"/>
      <c r="J44" s="188"/>
      <c r="K44" s="189"/>
      <c r="L44" s="190"/>
      <c r="M44" s="188"/>
      <c r="N44" s="188"/>
      <c r="O44" s="189"/>
      <c r="P44" s="190"/>
      <c r="Q44" s="188"/>
      <c r="R44" s="188"/>
      <c r="S44" s="189"/>
      <c r="T44" s="190"/>
      <c r="U44" s="188"/>
      <c r="V44" s="188"/>
      <c r="W44" s="189"/>
      <c r="X44" s="190"/>
      <c r="Y44" s="188"/>
      <c r="Z44" s="188"/>
      <c r="AA44" s="189"/>
      <c r="AB44" s="190"/>
      <c r="AC44" s="188"/>
      <c r="AD44" s="188"/>
      <c r="AE44" s="189"/>
      <c r="AF44" s="190"/>
      <c r="AG44" s="188"/>
      <c r="AH44" s="188"/>
      <c r="AI44" s="189"/>
      <c r="AJ44" s="190"/>
      <c r="AK44" s="188"/>
      <c r="AL44" s="188"/>
      <c r="AM44" s="189"/>
      <c r="AN44" s="190"/>
      <c r="AO44" s="188"/>
      <c r="AP44" s="188"/>
      <c r="AQ44" s="189"/>
      <c r="AR44" s="190"/>
      <c r="AS44" s="188"/>
      <c r="AT44" s="188"/>
      <c r="AU44" s="189"/>
      <c r="AV44" s="190"/>
      <c r="AW44" s="188"/>
      <c r="AX44" s="188"/>
      <c r="AY44" s="189"/>
      <c r="AZ44" s="190"/>
      <c r="BA44" s="188"/>
      <c r="BB44" s="188"/>
      <c r="BC44" s="189"/>
      <c r="BD44" s="190"/>
      <c r="BE44" s="188"/>
      <c r="BF44" s="188"/>
      <c r="BG44" s="189"/>
      <c r="BH44" s="190"/>
      <c r="BI44" s="188"/>
      <c r="BJ44" s="188"/>
      <c r="BK44" s="189"/>
      <c r="BL44" s="190">
        <f t="shared" si="399"/>
        <v>0</v>
      </c>
      <c r="BM44" s="188">
        <f t="shared" si="400"/>
        <v>0</v>
      </c>
      <c r="BN44" s="188">
        <f t="shared" si="401"/>
        <v>0</v>
      </c>
      <c r="BO44" s="189">
        <f t="shared" si="402"/>
        <v>-21</v>
      </c>
      <c r="BP44" s="190">
        <f t="shared" si="403"/>
        <v>0</v>
      </c>
      <c r="BQ44" s="188">
        <f t="shared" si="404"/>
        <v>0</v>
      </c>
      <c r="BR44" s="188">
        <f t="shared" si="405"/>
        <v>0</v>
      </c>
      <c r="BS44" s="189">
        <f t="shared" si="406"/>
        <v>-163</v>
      </c>
      <c r="BT44" s="190">
        <f t="shared" si="407"/>
        <v>-83</v>
      </c>
      <c r="BU44" s="188">
        <f t="shared" si="408"/>
        <v>-64</v>
      </c>
      <c r="BV44" s="188">
        <f t="shared" si="409"/>
        <v>-319</v>
      </c>
      <c r="BW44" s="189">
        <f t="shared" si="410"/>
        <v>0</v>
      </c>
      <c r="BX44" s="190">
        <f t="shared" si="411"/>
        <v>0</v>
      </c>
      <c r="BY44" s="188">
        <f t="shared" si="412"/>
        <v>0</v>
      </c>
      <c r="BZ44" s="188">
        <f t="shared" si="413"/>
        <v>0</v>
      </c>
      <c r="CA44" s="189">
        <f t="shared" si="414"/>
        <v>0</v>
      </c>
      <c r="CB44" s="190">
        <f t="shared" si="415"/>
        <v>0</v>
      </c>
      <c r="CC44" s="188">
        <f t="shared" si="416"/>
        <v>0</v>
      </c>
      <c r="CD44" s="188">
        <f t="shared" si="417"/>
        <v>0</v>
      </c>
      <c r="CE44" s="189">
        <f t="shared" si="418"/>
        <v>-18</v>
      </c>
      <c r="CF44" s="190">
        <f t="shared" si="419"/>
        <v>0</v>
      </c>
      <c r="CG44" s="188">
        <f t="shared" si="420"/>
        <v>0</v>
      </c>
      <c r="CH44" s="188">
        <f t="shared" si="421"/>
        <v>0</v>
      </c>
      <c r="CI44" s="189">
        <f t="shared" si="422"/>
        <v>0</v>
      </c>
      <c r="CJ44" s="190">
        <f t="shared" si="423"/>
        <v>0</v>
      </c>
      <c r="CK44" s="188">
        <f t="shared" si="424"/>
        <v>0</v>
      </c>
      <c r="CL44" s="188">
        <f t="shared" si="425"/>
        <v>-93</v>
      </c>
      <c r="CM44" s="189">
        <f t="shared" si="426"/>
        <v>93</v>
      </c>
      <c r="CN44" s="190">
        <f t="shared" si="427"/>
        <v>0</v>
      </c>
      <c r="CO44" s="188">
        <f t="shared" si="428"/>
        <v>0</v>
      </c>
      <c r="CP44" s="188">
        <f t="shared" si="429"/>
        <v>0</v>
      </c>
      <c r="CQ44" s="189">
        <f t="shared" si="430"/>
        <v>0</v>
      </c>
      <c r="CR44" s="190">
        <f t="shared" si="431"/>
        <v>0</v>
      </c>
      <c r="CS44" s="188">
        <v>0</v>
      </c>
      <c r="CT44" s="188">
        <v>0</v>
      </c>
      <c r="CU44" s="192">
        <v>0</v>
      </c>
      <c r="CV44" s="190">
        <v>0</v>
      </c>
      <c r="CW44" s="188">
        <v>0</v>
      </c>
      <c r="CX44" s="188">
        <v>0</v>
      </c>
      <c r="CY44" s="192">
        <v>0</v>
      </c>
      <c r="CZ44" s="190">
        <v>0</v>
      </c>
      <c r="DA44" s="188">
        <v>0</v>
      </c>
      <c r="DB44" s="188">
        <v>0</v>
      </c>
      <c r="DC44" s="192">
        <v>0</v>
      </c>
      <c r="DD44" s="895"/>
      <c r="DE44" s="190">
        <f t="shared" si="432"/>
        <v>0</v>
      </c>
      <c r="DF44" s="188">
        <f t="shared" si="433"/>
        <v>0</v>
      </c>
      <c r="DG44" s="188">
        <f t="shared" si="434"/>
        <v>0</v>
      </c>
      <c r="DH44" s="188">
        <f t="shared" si="435"/>
        <v>0</v>
      </c>
      <c r="DI44" s="188">
        <f t="shared" si="436"/>
        <v>0</v>
      </c>
      <c r="DJ44" s="188">
        <f t="shared" si="437"/>
        <v>0</v>
      </c>
      <c r="DK44" s="188">
        <f t="shared" si="438"/>
        <v>0</v>
      </c>
      <c r="DL44" s="188">
        <f t="shared" si="439"/>
        <v>0</v>
      </c>
      <c r="DM44" s="188">
        <f t="shared" si="440"/>
        <v>0</v>
      </c>
      <c r="DN44" s="188">
        <f t="shared" si="441"/>
        <v>0</v>
      </c>
      <c r="DO44" s="188">
        <f t="shared" si="442"/>
        <v>0</v>
      </c>
      <c r="DP44" s="188">
        <f t="shared" si="443"/>
        <v>0</v>
      </c>
      <c r="DQ44" s="188">
        <f t="shared" si="444"/>
        <v>0</v>
      </c>
      <c r="DR44" s="188">
        <f t="shared" si="445"/>
        <v>0</v>
      </c>
      <c r="DS44" s="188">
        <f t="shared" si="446"/>
        <v>0</v>
      </c>
      <c r="DT44" s="188">
        <f t="shared" si="447"/>
        <v>-21</v>
      </c>
      <c r="DU44" s="188">
        <f t="shared" si="448"/>
        <v>-163</v>
      </c>
      <c r="DV44" s="188">
        <f t="shared" si="449"/>
        <v>-466</v>
      </c>
      <c r="DW44" s="188">
        <f t="shared" si="450"/>
        <v>0</v>
      </c>
      <c r="DX44" s="188">
        <f t="shared" si="451"/>
        <v>-18</v>
      </c>
      <c r="DY44" s="188">
        <f t="shared" si="452"/>
        <v>0</v>
      </c>
      <c r="DZ44" s="188">
        <f t="shared" si="453"/>
        <v>0</v>
      </c>
      <c r="EA44" s="188">
        <f t="shared" si="454"/>
        <v>0</v>
      </c>
      <c r="EB44" s="188">
        <f t="shared" si="455"/>
        <v>0</v>
      </c>
      <c r="EC44" s="188">
        <f t="shared" si="456"/>
        <v>0</v>
      </c>
      <c r="ED44" s="188">
        <f t="shared" si="457"/>
        <v>0</v>
      </c>
      <c r="EE44" s="716"/>
      <c r="EF44" s="190"/>
      <c r="EG44" s="188"/>
      <c r="EH44" s="188">
        <f t="shared" si="458"/>
        <v>0</v>
      </c>
      <c r="EI44" s="188">
        <f t="shared" si="459"/>
        <v>0</v>
      </c>
      <c r="EJ44" s="188">
        <f t="shared" si="460"/>
        <v>0</v>
      </c>
      <c r="EK44" s="188">
        <f t="shared" si="461"/>
        <v>0</v>
      </c>
      <c r="EL44" s="188">
        <f t="shared" si="462"/>
        <v>0</v>
      </c>
      <c r="EM44" s="188">
        <f t="shared" si="463"/>
        <v>0</v>
      </c>
      <c r="EN44" s="188">
        <f t="shared" si="464"/>
        <v>0</v>
      </c>
      <c r="EO44" s="188">
        <f t="shared" si="465"/>
        <v>0</v>
      </c>
      <c r="EP44" s="338">
        <f t="shared" si="466"/>
        <v>0</v>
      </c>
      <c r="EQ44" s="338">
        <f t="shared" si="467"/>
        <v>0</v>
      </c>
      <c r="ER44" s="338">
        <f t="shared" si="468"/>
        <v>0</v>
      </c>
      <c r="ES44" s="338">
        <f t="shared" si="469"/>
        <v>0</v>
      </c>
      <c r="ET44" s="338">
        <f t="shared" si="470"/>
        <v>0</v>
      </c>
      <c r="EU44" s="338">
        <f t="shared" si="471"/>
        <v>-21</v>
      </c>
      <c r="EV44" s="338">
        <f t="shared" si="472"/>
        <v>-246</v>
      </c>
      <c r="EW44" s="338">
        <f t="shared" si="473"/>
        <v>-383</v>
      </c>
      <c r="EX44" s="338">
        <f t="shared" si="474"/>
        <v>0</v>
      </c>
      <c r="EY44" s="338">
        <f t="shared" si="475"/>
        <v>-18</v>
      </c>
      <c r="EZ44" s="338">
        <f t="shared" si="476"/>
        <v>0</v>
      </c>
      <c r="FA44" s="338">
        <f t="shared" si="477"/>
        <v>0</v>
      </c>
      <c r="FB44" s="338">
        <f t="shared" si="478"/>
        <v>0</v>
      </c>
      <c r="FC44" s="338">
        <f t="shared" si="479"/>
        <v>0</v>
      </c>
      <c r="FD44" s="339">
        <f t="shared" si="480"/>
        <v>0</v>
      </c>
      <c r="FO44" s="330"/>
      <c r="FP44" s="856"/>
    </row>
    <row r="45" spans="1:172" ht="14.25" customHeight="1">
      <c r="A45" s="7"/>
      <c r="B45" s="24" t="s">
        <v>210</v>
      </c>
      <c r="C45" s="25"/>
      <c r="D45" s="190"/>
      <c r="E45" s="188"/>
      <c r="F45" s="188"/>
      <c r="G45" s="189"/>
      <c r="H45" s="190"/>
      <c r="I45" s="188"/>
      <c r="J45" s="188"/>
      <c r="K45" s="189"/>
      <c r="L45" s="190"/>
      <c r="M45" s="188"/>
      <c r="N45" s="188"/>
      <c r="O45" s="189"/>
      <c r="P45" s="190"/>
      <c r="Q45" s="188"/>
      <c r="R45" s="188"/>
      <c r="S45" s="189"/>
      <c r="T45" s="190"/>
      <c r="U45" s="188"/>
      <c r="V45" s="188"/>
      <c r="W45" s="189"/>
      <c r="X45" s="190"/>
      <c r="Y45" s="188"/>
      <c r="Z45" s="188"/>
      <c r="AA45" s="189"/>
      <c r="AB45" s="190"/>
      <c r="AC45" s="188"/>
      <c r="AD45" s="188"/>
      <c r="AE45" s="189"/>
      <c r="AF45" s="190"/>
      <c r="AG45" s="188"/>
      <c r="AH45" s="188"/>
      <c r="AI45" s="189"/>
      <c r="AJ45" s="190"/>
      <c r="AK45" s="188"/>
      <c r="AL45" s="188"/>
      <c r="AM45" s="189"/>
      <c r="AN45" s="190"/>
      <c r="AO45" s="188"/>
      <c r="AP45" s="188"/>
      <c r="AQ45" s="189"/>
      <c r="AR45" s="190"/>
      <c r="AS45" s="188"/>
      <c r="AT45" s="188"/>
      <c r="AU45" s="189"/>
      <c r="AV45" s="190"/>
      <c r="AW45" s="188"/>
      <c r="AX45" s="188"/>
      <c r="AY45" s="189"/>
      <c r="AZ45" s="190"/>
      <c r="BA45" s="188"/>
      <c r="BB45" s="188"/>
      <c r="BC45" s="189"/>
      <c r="BD45" s="190"/>
      <c r="BE45" s="188"/>
      <c r="BF45" s="188"/>
      <c r="BG45" s="189"/>
      <c r="BH45" s="190"/>
      <c r="BI45" s="188"/>
      <c r="BJ45" s="188"/>
      <c r="BK45" s="189"/>
      <c r="BL45" s="190">
        <f t="shared" si="399"/>
        <v>-88</v>
      </c>
      <c r="BM45" s="188">
        <f t="shared" si="400"/>
        <v>-84</v>
      </c>
      <c r="BN45" s="188">
        <f t="shared" si="401"/>
        <v>-72</v>
      </c>
      <c r="BO45" s="189">
        <f t="shared" si="402"/>
        <v>-23</v>
      </c>
      <c r="BP45" s="190">
        <f t="shared" si="403"/>
        <v>-49</v>
      </c>
      <c r="BQ45" s="188">
        <f t="shared" si="404"/>
        <v>-50</v>
      </c>
      <c r="BR45" s="188">
        <f t="shared" si="405"/>
        <v>-60</v>
      </c>
      <c r="BS45" s="189">
        <f t="shared" si="406"/>
        <v>-66</v>
      </c>
      <c r="BT45" s="190">
        <f t="shared" si="407"/>
        <v>0</v>
      </c>
      <c r="BU45" s="188">
        <f t="shared" si="408"/>
        <v>0</v>
      </c>
      <c r="BV45" s="188">
        <f t="shared" si="409"/>
        <v>-387</v>
      </c>
      <c r="BW45" s="189">
        <f t="shared" si="410"/>
        <v>-4</v>
      </c>
      <c r="BX45" s="190">
        <f t="shared" si="411"/>
        <v>0</v>
      </c>
      <c r="BY45" s="188">
        <f t="shared" si="412"/>
        <v>0</v>
      </c>
      <c r="BZ45" s="188">
        <f t="shared" si="413"/>
        <v>-33</v>
      </c>
      <c r="CA45" s="189">
        <f t="shared" si="414"/>
        <v>-4</v>
      </c>
      <c r="CB45" s="190">
        <f t="shared" si="415"/>
        <v>0</v>
      </c>
      <c r="CC45" s="188">
        <f t="shared" si="416"/>
        <v>0</v>
      </c>
      <c r="CD45" s="188">
        <f t="shared" si="417"/>
        <v>0</v>
      </c>
      <c r="CE45" s="189">
        <f t="shared" si="418"/>
        <v>-10</v>
      </c>
      <c r="CF45" s="190">
        <f t="shared" si="419"/>
        <v>0</v>
      </c>
      <c r="CG45" s="188">
        <f t="shared" si="420"/>
        <v>0</v>
      </c>
      <c r="CH45" s="188">
        <f t="shared" si="421"/>
        <v>0</v>
      </c>
      <c r="CI45" s="189">
        <f t="shared" si="422"/>
        <v>0</v>
      </c>
      <c r="CJ45" s="190">
        <f t="shared" si="423"/>
        <v>0</v>
      </c>
      <c r="CK45" s="188">
        <f t="shared" si="424"/>
        <v>0</v>
      </c>
      <c r="CL45" s="188">
        <f t="shared" si="425"/>
        <v>0</v>
      </c>
      <c r="CM45" s="189">
        <f t="shared" si="426"/>
        <v>0</v>
      </c>
      <c r="CN45" s="190">
        <f t="shared" si="427"/>
        <v>0</v>
      </c>
      <c r="CO45" s="188">
        <f t="shared" si="428"/>
        <v>0</v>
      </c>
      <c r="CP45" s="188">
        <f t="shared" si="429"/>
        <v>0</v>
      </c>
      <c r="CQ45" s="189">
        <f t="shared" si="430"/>
        <v>0</v>
      </c>
      <c r="CR45" s="190">
        <f t="shared" si="431"/>
        <v>0</v>
      </c>
      <c r="CS45" s="188">
        <v>0</v>
      </c>
      <c r="CT45" s="188">
        <v>0</v>
      </c>
      <c r="CU45" s="192">
        <v>0</v>
      </c>
      <c r="CV45" s="190">
        <v>0</v>
      </c>
      <c r="CW45" s="188">
        <v>0</v>
      </c>
      <c r="CX45" s="188">
        <v>0</v>
      </c>
      <c r="CY45" s="192">
        <v>0</v>
      </c>
      <c r="CZ45" s="190">
        <v>0</v>
      </c>
      <c r="DA45" s="188">
        <v>0</v>
      </c>
      <c r="DB45" s="188">
        <v>0</v>
      </c>
      <c r="DC45" s="192">
        <v>0</v>
      </c>
      <c r="DD45" s="895"/>
      <c r="DE45" s="190">
        <f t="shared" si="432"/>
        <v>0</v>
      </c>
      <c r="DF45" s="188">
        <f t="shared" si="433"/>
        <v>0</v>
      </c>
      <c r="DG45" s="188">
        <f t="shared" si="434"/>
        <v>0</v>
      </c>
      <c r="DH45" s="188">
        <f t="shared" si="435"/>
        <v>0</v>
      </c>
      <c r="DI45" s="188">
        <f t="shared" si="436"/>
        <v>0</v>
      </c>
      <c r="DJ45" s="188">
        <f t="shared" si="437"/>
        <v>0</v>
      </c>
      <c r="DK45" s="188">
        <f t="shared" si="438"/>
        <v>0</v>
      </c>
      <c r="DL45" s="188">
        <f t="shared" si="439"/>
        <v>0</v>
      </c>
      <c r="DM45" s="188">
        <f t="shared" si="440"/>
        <v>0</v>
      </c>
      <c r="DN45" s="188">
        <f t="shared" si="441"/>
        <v>0</v>
      </c>
      <c r="DO45" s="188">
        <f t="shared" si="442"/>
        <v>0</v>
      </c>
      <c r="DP45" s="188">
        <f t="shared" si="443"/>
        <v>0</v>
      </c>
      <c r="DQ45" s="188">
        <f t="shared" si="444"/>
        <v>0</v>
      </c>
      <c r="DR45" s="188">
        <f t="shared" si="445"/>
        <v>0</v>
      </c>
      <c r="DS45" s="188">
        <f t="shared" si="446"/>
        <v>0</v>
      </c>
      <c r="DT45" s="188">
        <f t="shared" si="447"/>
        <v>-267</v>
      </c>
      <c r="DU45" s="188">
        <f t="shared" si="448"/>
        <v>-225</v>
      </c>
      <c r="DV45" s="188">
        <f t="shared" si="449"/>
        <v>-391</v>
      </c>
      <c r="DW45" s="188">
        <f t="shared" si="450"/>
        <v>-37</v>
      </c>
      <c r="DX45" s="188">
        <f t="shared" si="451"/>
        <v>-10</v>
      </c>
      <c r="DY45" s="188">
        <f t="shared" si="452"/>
        <v>0</v>
      </c>
      <c r="DZ45" s="188">
        <f t="shared" si="453"/>
        <v>0</v>
      </c>
      <c r="EA45" s="188">
        <f t="shared" si="454"/>
        <v>0</v>
      </c>
      <c r="EB45" s="188">
        <f t="shared" si="455"/>
        <v>0</v>
      </c>
      <c r="EC45" s="188">
        <f t="shared" si="456"/>
        <v>0</v>
      </c>
      <c r="ED45" s="188">
        <f t="shared" si="457"/>
        <v>0</v>
      </c>
      <c r="EE45" s="716"/>
      <c r="EF45" s="190"/>
      <c r="EG45" s="188"/>
      <c r="EH45" s="188">
        <f t="shared" si="458"/>
        <v>0</v>
      </c>
      <c r="EI45" s="188">
        <f t="shared" si="459"/>
        <v>0</v>
      </c>
      <c r="EJ45" s="188">
        <f t="shared" si="460"/>
        <v>0</v>
      </c>
      <c r="EK45" s="188">
        <f t="shared" si="461"/>
        <v>0</v>
      </c>
      <c r="EL45" s="188">
        <f t="shared" si="462"/>
        <v>0</v>
      </c>
      <c r="EM45" s="188">
        <f t="shared" si="463"/>
        <v>0</v>
      </c>
      <c r="EN45" s="188">
        <f t="shared" si="464"/>
        <v>0</v>
      </c>
      <c r="EO45" s="188">
        <f t="shared" si="465"/>
        <v>0</v>
      </c>
      <c r="EP45" s="338">
        <f t="shared" si="466"/>
        <v>0</v>
      </c>
      <c r="EQ45" s="338">
        <f t="shared" si="467"/>
        <v>0</v>
      </c>
      <c r="ER45" s="338">
        <f t="shared" si="468"/>
        <v>0</v>
      </c>
      <c r="ES45" s="338">
        <f t="shared" si="469"/>
        <v>0</v>
      </c>
      <c r="ET45" s="338">
        <f t="shared" si="470"/>
        <v>-88</v>
      </c>
      <c r="EU45" s="338">
        <f t="shared" si="471"/>
        <v>-228</v>
      </c>
      <c r="EV45" s="338">
        <f t="shared" si="472"/>
        <v>-176</v>
      </c>
      <c r="EW45" s="338">
        <f t="shared" si="473"/>
        <v>-391</v>
      </c>
      <c r="EX45" s="338">
        <f t="shared" si="474"/>
        <v>-37</v>
      </c>
      <c r="EY45" s="338">
        <f t="shared" si="475"/>
        <v>-10</v>
      </c>
      <c r="EZ45" s="338">
        <f t="shared" si="476"/>
        <v>0</v>
      </c>
      <c r="FA45" s="338">
        <f t="shared" si="477"/>
        <v>0</v>
      </c>
      <c r="FB45" s="338">
        <f t="shared" si="478"/>
        <v>0</v>
      </c>
      <c r="FC45" s="338">
        <f t="shared" si="479"/>
        <v>0</v>
      </c>
      <c r="FD45" s="339">
        <f t="shared" si="480"/>
        <v>0</v>
      </c>
      <c r="FO45" s="330"/>
      <c r="FP45" s="330"/>
    </row>
    <row r="46" spans="1:172" ht="14.25" customHeight="1">
      <c r="A46" s="7"/>
      <c r="B46" s="24" t="str">
        <f>B150</f>
        <v>Payments on equipment purchase contracts</v>
      </c>
      <c r="C46" s="25"/>
      <c r="D46" s="190">
        <f>D150</f>
        <v>0</v>
      </c>
      <c r="E46" s="188">
        <f>E150-D46</f>
        <v>0</v>
      </c>
      <c r="F46" s="188">
        <f>F150-E46-D46</f>
        <v>0</v>
      </c>
      <c r="G46" s="189">
        <f>G150-F46-E46-D46</f>
        <v>0</v>
      </c>
      <c r="H46" s="190">
        <f>H150</f>
        <v>0</v>
      </c>
      <c r="I46" s="188">
        <f>I150-H46</f>
        <v>0</v>
      </c>
      <c r="J46" s="188">
        <f>J150-I46-H46</f>
        <v>0</v>
      </c>
      <c r="K46" s="189">
        <f>K150-J46-I46-H46</f>
        <v>0</v>
      </c>
      <c r="L46" s="190">
        <f>L150</f>
        <v>-66.8</v>
      </c>
      <c r="M46" s="188">
        <f>M150-L46</f>
        <v>-43.2</v>
      </c>
      <c r="N46" s="188">
        <f>N150-M46-L46</f>
        <v>72.900000000000006</v>
      </c>
      <c r="O46" s="189">
        <f>O150-N46-M46-L46</f>
        <v>-16.800000000000011</v>
      </c>
      <c r="P46" s="190">
        <f>P150</f>
        <v>-12.9</v>
      </c>
      <c r="Q46" s="188">
        <f>Q150-P46</f>
        <v>-7.2000000000000011</v>
      </c>
      <c r="R46" s="188">
        <f>R150-Q46-P46</f>
        <v>-12.399999999999997</v>
      </c>
      <c r="S46" s="189">
        <f>S150-R46-Q46-P46</f>
        <v>-31</v>
      </c>
      <c r="T46" s="190">
        <f>T150</f>
        <v>-73.900000000000006</v>
      </c>
      <c r="U46" s="188">
        <f>U150-T46</f>
        <v>-79.599999999999994</v>
      </c>
      <c r="V46" s="188">
        <f>V150-U46-T46</f>
        <v>-65.099999999999994</v>
      </c>
      <c r="W46" s="189">
        <f>W150-V46-U46-T46</f>
        <v>-84.299999999999983</v>
      </c>
      <c r="X46" s="190">
        <f>X150</f>
        <v>-86.5</v>
      </c>
      <c r="Y46" s="188">
        <f>Y150-X46</f>
        <v>-64.199999999999989</v>
      </c>
      <c r="Z46" s="188">
        <f>Z150-Y46-X46</f>
        <v>-40.900000000000006</v>
      </c>
      <c r="AA46" s="189">
        <f>AA150-Z46-Y46-X46</f>
        <v>-19.099999999999994</v>
      </c>
      <c r="AB46" s="190">
        <f>AB150</f>
        <v>-25.3</v>
      </c>
      <c r="AC46" s="188">
        <f>AC150-AB46</f>
        <v>-79.8</v>
      </c>
      <c r="AD46" s="188">
        <f>AD150-AC46-AB46</f>
        <v>-37.400000000000006</v>
      </c>
      <c r="AE46" s="189">
        <f>AE150-AD46-AC46-AB46</f>
        <v>-44.699999999999989</v>
      </c>
      <c r="AF46" s="190">
        <f>AF150</f>
        <v>-16.7</v>
      </c>
      <c r="AG46" s="188">
        <f>AG150-AF46</f>
        <v>-23.3</v>
      </c>
      <c r="AH46" s="188">
        <f>AH150-AG46-AF46</f>
        <v>-34.400000000000006</v>
      </c>
      <c r="AI46" s="189">
        <f>AI150-AH46-AG46-AF46</f>
        <v>-47.899999999999991</v>
      </c>
      <c r="AJ46" s="190">
        <f>AJ150</f>
        <v>-53.6</v>
      </c>
      <c r="AK46" s="188">
        <f>AK150-AJ46</f>
        <v>-36.499999999999993</v>
      </c>
      <c r="AL46" s="188">
        <f>AL150-AK46-AJ46</f>
        <v>-33.300000000000004</v>
      </c>
      <c r="AM46" s="189">
        <f>AM150-AL46-AK46-AJ46</f>
        <v>-19.799999999999976</v>
      </c>
      <c r="AN46" s="190">
        <f>AN150</f>
        <v>-92.5</v>
      </c>
      <c r="AO46" s="188">
        <f>AO150-AN46</f>
        <v>-108.30000000000001</v>
      </c>
      <c r="AP46" s="188">
        <f>AP150-AO46-AN46</f>
        <v>-68.099999999999966</v>
      </c>
      <c r="AQ46" s="189">
        <f>AQ150-AP46-AO46-AN46</f>
        <v>-74.800000000000011</v>
      </c>
      <c r="AR46" s="190">
        <f>AR150</f>
        <v>-93.8</v>
      </c>
      <c r="AS46" s="188">
        <f>AS150-AR46</f>
        <v>-49.600000000000009</v>
      </c>
      <c r="AT46" s="188">
        <f>AT150-AS46-AR46</f>
        <v>-27.400000000000006</v>
      </c>
      <c r="AU46" s="189">
        <f>AU150-AT46-AS46-AR46</f>
        <v>-65.2</v>
      </c>
      <c r="AV46" s="190">
        <f>AV150</f>
        <v>-30.7</v>
      </c>
      <c r="AW46" s="188">
        <f>AW150-AV46</f>
        <v>-46.399999999999991</v>
      </c>
      <c r="AX46" s="188">
        <f>AX150-AW46-AV46</f>
        <v>-73.800000000000011</v>
      </c>
      <c r="AY46" s="189">
        <f>AY150-AX46-AW46-AV46</f>
        <v>-58.099999999999994</v>
      </c>
      <c r="AZ46" s="190">
        <f>AZ150</f>
        <v>-161</v>
      </c>
      <c r="BA46" s="188">
        <f>BA150-AZ46</f>
        <v>-126</v>
      </c>
      <c r="BB46" s="188">
        <f>BB150-BA46-AZ46</f>
        <v>-106</v>
      </c>
      <c r="BC46" s="189">
        <f>BC150-BB46-BA46-AZ46</f>
        <v>-94</v>
      </c>
      <c r="BD46" s="190">
        <f>BD150</f>
        <v>-122</v>
      </c>
      <c r="BE46" s="188">
        <f>BE150-BD46</f>
        <v>-152</v>
      </c>
      <c r="BF46" s="188">
        <f>BF150-BE46-BD46</f>
        <v>-74</v>
      </c>
      <c r="BG46" s="189">
        <f>BG150-BF46-BE46-BD46</f>
        <v>-39</v>
      </c>
      <c r="BH46" s="190">
        <f>BH150</f>
        <v>-64</v>
      </c>
      <c r="BI46" s="188">
        <f>BI150-BH46</f>
        <v>-34</v>
      </c>
      <c r="BJ46" s="188">
        <f>BJ150-BI46-BH46</f>
        <v>-29</v>
      </c>
      <c r="BK46" s="189">
        <f>BK150-BJ46-BI46-BH46</f>
        <v>-17</v>
      </c>
      <c r="BL46" s="190">
        <f t="shared" si="399"/>
        <v>-49</v>
      </c>
      <c r="BM46" s="188">
        <f t="shared" si="400"/>
        <v>-87</v>
      </c>
      <c r="BN46" s="188">
        <f t="shared" si="401"/>
        <v>-63</v>
      </c>
      <c r="BO46" s="189">
        <f t="shared" si="402"/>
        <v>-131</v>
      </c>
      <c r="BP46" s="190">
        <f t="shared" si="403"/>
        <v>-105</v>
      </c>
      <c r="BQ46" s="188">
        <f t="shared" si="404"/>
        <v>-116</v>
      </c>
      <c r="BR46" s="188">
        <f t="shared" si="405"/>
        <v>-41</v>
      </c>
      <c r="BS46" s="189">
        <f t="shared" si="406"/>
        <v>-60</v>
      </c>
      <c r="BT46" s="190">
        <f t="shared" si="407"/>
        <v>-49</v>
      </c>
      <c r="BU46" s="188">
        <f t="shared" si="408"/>
        <v>-37</v>
      </c>
      <c r="BV46" s="188">
        <f t="shared" si="409"/>
        <v>-46</v>
      </c>
      <c r="BW46" s="189">
        <f t="shared" si="410"/>
        <v>-40</v>
      </c>
      <c r="BX46" s="190">
        <f t="shared" si="411"/>
        <v>-104</v>
      </c>
      <c r="BY46" s="188">
        <f t="shared" si="412"/>
        <v>-26</v>
      </c>
      <c r="BZ46" s="188">
        <f t="shared" si="413"/>
        <v>-32</v>
      </c>
      <c r="CA46" s="189">
        <f t="shared" si="414"/>
        <v>-52</v>
      </c>
      <c r="CB46" s="190">
        <f t="shared" si="415"/>
        <v>-143</v>
      </c>
      <c r="CC46" s="188">
        <f t="shared" si="416"/>
        <v>-60</v>
      </c>
      <c r="CD46" s="188">
        <f t="shared" si="417"/>
        <v>-89</v>
      </c>
      <c r="CE46" s="189">
        <f t="shared" si="418"/>
        <v>-187</v>
      </c>
      <c r="CF46" s="190">
        <f t="shared" si="419"/>
        <v>0</v>
      </c>
      <c r="CG46" s="188">
        <f t="shared" si="420"/>
        <v>0</v>
      </c>
      <c r="CH46" s="188">
        <f t="shared" si="421"/>
        <v>0</v>
      </c>
      <c r="CI46" s="189">
        <f t="shared" si="422"/>
        <v>0</v>
      </c>
      <c r="CJ46" s="190">
        <f t="shared" si="423"/>
        <v>0</v>
      </c>
      <c r="CK46" s="188">
        <f t="shared" si="424"/>
        <v>0</v>
      </c>
      <c r="CL46" s="188">
        <f t="shared" si="425"/>
        <v>0</v>
      </c>
      <c r="CM46" s="189">
        <f t="shared" si="426"/>
        <v>0</v>
      </c>
      <c r="CN46" s="190">
        <f t="shared" si="427"/>
        <v>-24</v>
      </c>
      <c r="CO46" s="188">
        <f t="shared" si="428"/>
        <v>24</v>
      </c>
      <c r="CP46" s="188">
        <f t="shared" si="429"/>
        <v>0</v>
      </c>
      <c r="CQ46" s="189">
        <f t="shared" si="430"/>
        <v>0</v>
      </c>
      <c r="CR46" s="190">
        <f t="shared" si="431"/>
        <v>-133</v>
      </c>
      <c r="CS46" s="188">
        <v>0</v>
      </c>
      <c r="CT46" s="188">
        <v>0</v>
      </c>
      <c r="CU46" s="192">
        <v>0</v>
      </c>
      <c r="CV46" s="190">
        <v>0</v>
      </c>
      <c r="CW46" s="188">
        <v>0</v>
      </c>
      <c r="CX46" s="188">
        <v>0</v>
      </c>
      <c r="CY46" s="192">
        <v>0</v>
      </c>
      <c r="CZ46" s="190">
        <v>0</v>
      </c>
      <c r="DA46" s="188">
        <v>0</v>
      </c>
      <c r="DB46" s="188">
        <v>0</v>
      </c>
      <c r="DC46" s="192">
        <v>0</v>
      </c>
      <c r="DD46" s="895"/>
      <c r="DE46" s="190">
        <f t="shared" si="432"/>
        <v>0</v>
      </c>
      <c r="DF46" s="188">
        <f t="shared" si="433"/>
        <v>0</v>
      </c>
      <c r="DG46" s="188">
        <f t="shared" si="434"/>
        <v>-53.900000000000006</v>
      </c>
      <c r="DH46" s="188">
        <f t="shared" si="435"/>
        <v>-63.5</v>
      </c>
      <c r="DI46" s="188">
        <f t="shared" si="436"/>
        <v>-302.89999999999998</v>
      </c>
      <c r="DJ46" s="188">
        <f t="shared" si="437"/>
        <v>-210.7</v>
      </c>
      <c r="DK46" s="188">
        <f t="shared" si="438"/>
        <v>-187.2</v>
      </c>
      <c r="DL46" s="188">
        <f t="shared" si="439"/>
        <v>-122.3</v>
      </c>
      <c r="DM46" s="188">
        <f t="shared" si="440"/>
        <v>-143.19999999999999</v>
      </c>
      <c r="DN46" s="188">
        <f t="shared" si="441"/>
        <v>-343.7</v>
      </c>
      <c r="DO46" s="188">
        <f t="shared" si="442"/>
        <v>-236</v>
      </c>
      <c r="DP46" s="188">
        <f t="shared" si="443"/>
        <v>-209</v>
      </c>
      <c r="DQ46" s="188">
        <f t="shared" si="444"/>
        <v>-487</v>
      </c>
      <c r="DR46" s="188">
        <f t="shared" si="445"/>
        <v>-387</v>
      </c>
      <c r="DS46" s="188">
        <f t="shared" si="446"/>
        <v>-144</v>
      </c>
      <c r="DT46" s="188">
        <f t="shared" si="447"/>
        <v>-330</v>
      </c>
      <c r="DU46" s="188">
        <f t="shared" si="448"/>
        <v>-322</v>
      </c>
      <c r="DV46" s="188">
        <f t="shared" si="449"/>
        <v>-172</v>
      </c>
      <c r="DW46" s="188">
        <f t="shared" si="450"/>
        <v>-214</v>
      </c>
      <c r="DX46" s="188">
        <f t="shared" si="451"/>
        <v>-479</v>
      </c>
      <c r="DY46" s="188">
        <f t="shared" si="452"/>
        <v>0</v>
      </c>
      <c r="DZ46" s="188">
        <f t="shared" si="453"/>
        <v>0</v>
      </c>
      <c r="EA46" s="188">
        <f t="shared" si="454"/>
        <v>0</v>
      </c>
      <c r="EB46" s="188">
        <f t="shared" si="455"/>
        <v>-133</v>
      </c>
      <c r="EC46" s="188">
        <f t="shared" si="456"/>
        <v>0</v>
      </c>
      <c r="ED46" s="188">
        <f t="shared" si="457"/>
        <v>0</v>
      </c>
      <c r="EE46" s="716"/>
      <c r="EF46" s="190"/>
      <c r="EG46" s="188"/>
      <c r="EH46" s="188">
        <f t="shared" si="458"/>
        <v>0</v>
      </c>
      <c r="EI46" s="188">
        <f t="shared" si="459"/>
        <v>-124.5</v>
      </c>
      <c r="EJ46" s="188">
        <f t="shared" si="460"/>
        <v>-315.5</v>
      </c>
      <c r="EK46" s="188">
        <f t="shared" si="461"/>
        <v>-149.5</v>
      </c>
      <c r="EL46" s="188">
        <f t="shared" si="462"/>
        <v>-178.59999999999997</v>
      </c>
      <c r="EM46" s="188">
        <f t="shared" si="463"/>
        <v>-159.19999999999999</v>
      </c>
      <c r="EN46" s="188">
        <f t="shared" si="464"/>
        <v>-182.09999999999997</v>
      </c>
      <c r="EO46" s="188">
        <f t="shared" si="465"/>
        <v>-345</v>
      </c>
      <c r="EP46" s="338">
        <f t="shared" si="466"/>
        <v>-172.9</v>
      </c>
      <c r="EQ46" s="338">
        <f t="shared" si="467"/>
        <v>-339.3</v>
      </c>
      <c r="ER46" s="338">
        <f t="shared" si="468"/>
        <v>-448</v>
      </c>
      <c r="ES46" s="338">
        <f t="shared" si="469"/>
        <v>-329</v>
      </c>
      <c r="ET46" s="338">
        <f t="shared" si="470"/>
        <v>-129</v>
      </c>
      <c r="EU46" s="338">
        <f t="shared" si="471"/>
        <v>-386</v>
      </c>
      <c r="EV46" s="338">
        <f t="shared" si="472"/>
        <v>-266</v>
      </c>
      <c r="EW46" s="338">
        <f t="shared" si="473"/>
        <v>-227</v>
      </c>
      <c r="EX46" s="338">
        <f t="shared" si="474"/>
        <v>-253</v>
      </c>
      <c r="EY46" s="338">
        <f t="shared" si="475"/>
        <v>-336</v>
      </c>
      <c r="EZ46" s="338">
        <f t="shared" si="476"/>
        <v>0</v>
      </c>
      <c r="FA46" s="338">
        <f t="shared" si="477"/>
        <v>-24</v>
      </c>
      <c r="FB46" s="338">
        <f t="shared" si="478"/>
        <v>-109</v>
      </c>
      <c r="FC46" s="338">
        <f t="shared" si="479"/>
        <v>0</v>
      </c>
      <c r="FD46" s="339">
        <f t="shared" si="480"/>
        <v>0</v>
      </c>
      <c r="FO46" s="330"/>
      <c r="FP46" s="857"/>
    </row>
    <row r="47" spans="1:172" ht="14.25" customHeight="1">
      <c r="A47" s="7"/>
      <c r="B47" s="24" t="s">
        <v>244</v>
      </c>
      <c r="C47" s="25"/>
      <c r="D47" s="190">
        <f>D151</f>
        <v>0</v>
      </c>
      <c r="E47" s="188">
        <f>E151-D47</f>
        <v>0</v>
      </c>
      <c r="F47" s="188">
        <f>F151-E47-D47</f>
        <v>0</v>
      </c>
      <c r="G47" s="189">
        <f>G151-F47-E47-D47</f>
        <v>0</v>
      </c>
      <c r="H47" s="190">
        <f>H151</f>
        <v>0</v>
      </c>
      <c r="I47" s="188">
        <f>I151-H47</f>
        <v>0</v>
      </c>
      <c r="J47" s="188">
        <f>J151-I47-H47</f>
        <v>0</v>
      </c>
      <c r="K47" s="189">
        <f>K151-J47-I47-H47</f>
        <v>0</v>
      </c>
      <c r="L47" s="190">
        <f>L151</f>
        <v>-70.7</v>
      </c>
      <c r="M47" s="188">
        <f>M151-L47</f>
        <v>-6.2000000000000028</v>
      </c>
      <c r="N47" s="188">
        <f>N151-M47-L47</f>
        <v>-20.099999999999994</v>
      </c>
      <c r="O47" s="189">
        <f>O151-N47-M47-L47</f>
        <v>493.69999999999993</v>
      </c>
      <c r="P47" s="190">
        <f>P151</f>
        <v>-38.300000000000004</v>
      </c>
      <c r="Q47" s="188">
        <f>Q151-P47</f>
        <v>-2.7999999999999972</v>
      </c>
      <c r="R47" s="188">
        <f>R151-Q47-P47</f>
        <v>-26.9</v>
      </c>
      <c r="S47" s="189">
        <f>S151-R47-Q47-P47</f>
        <v>45.2</v>
      </c>
      <c r="T47" s="190">
        <f>T151</f>
        <v>5.6999999999999993</v>
      </c>
      <c r="U47" s="188">
        <f>U151-T47</f>
        <v>-38</v>
      </c>
      <c r="V47" s="188">
        <f>V151-U47-T47</f>
        <v>-27.100000000000005</v>
      </c>
      <c r="W47" s="189">
        <f>W151-V47-U47-T47</f>
        <v>-24.399999999999988</v>
      </c>
      <c r="X47" s="190">
        <f>X151</f>
        <v>-34.299999999999997</v>
      </c>
      <c r="Y47" s="188">
        <f>Y151-X47</f>
        <v>-75</v>
      </c>
      <c r="Z47" s="188">
        <f>Z151-Y47-X47</f>
        <v>-56.100000000000009</v>
      </c>
      <c r="AA47" s="189">
        <f>AA151-Z47-Y47-X47</f>
        <v>-9.6999999999999886</v>
      </c>
      <c r="AB47" s="190">
        <f>AB151</f>
        <v>-12.2</v>
      </c>
      <c r="AC47" s="188">
        <f>AC151-AB47</f>
        <v>-12.5</v>
      </c>
      <c r="AD47" s="188">
        <f>AD151-AC47-AB47</f>
        <v>-23.8</v>
      </c>
      <c r="AE47" s="189">
        <f>AE151-AD47-AC47-AB47</f>
        <v>-2.6999999999999957</v>
      </c>
      <c r="AF47" s="190">
        <f>AF151</f>
        <v>-36.4</v>
      </c>
      <c r="AG47" s="188">
        <f>AG151-AF47</f>
        <v>-9.3000000000000043</v>
      </c>
      <c r="AH47" s="188">
        <f>AH151-AG47-AF47</f>
        <v>-29.1</v>
      </c>
      <c r="AI47" s="189">
        <f>AI151-AH47-AG47-AF47</f>
        <v>-9.7999999999999901</v>
      </c>
      <c r="AJ47" s="190">
        <f>AJ151</f>
        <v>-37.200000000000003</v>
      </c>
      <c r="AK47" s="188">
        <f>AK151-AJ47</f>
        <v>654.6</v>
      </c>
      <c r="AL47" s="188">
        <f>AL151-AK47-AJ47</f>
        <v>-42.699999999999974</v>
      </c>
      <c r="AM47" s="189">
        <f>AM151-AL47-AK47-AJ47</f>
        <v>-13.200000000000088</v>
      </c>
      <c r="AN47" s="190">
        <f>AN151</f>
        <v>-31.700000000000003</v>
      </c>
      <c r="AO47" s="188">
        <f>AO151-AN47</f>
        <v>41</v>
      </c>
      <c r="AP47" s="188">
        <f>AP151-AO47-AN47</f>
        <v>-40.099999999999994</v>
      </c>
      <c r="AQ47" s="189">
        <f>AQ151-AP47-AO47-AN47</f>
        <v>-12.600000000000009</v>
      </c>
      <c r="AR47" s="190">
        <f>AR151</f>
        <v>-46.8</v>
      </c>
      <c r="AS47" s="188">
        <f>AS151-AR47</f>
        <v>-16.800000000000004</v>
      </c>
      <c r="AT47" s="188">
        <f>AT151-AS47-AR47</f>
        <v>98.700000000000017</v>
      </c>
      <c r="AU47" s="189">
        <f>AU151-AT47-AS47-AR47</f>
        <v>-116.89999999999999</v>
      </c>
      <c r="AV47" s="190">
        <f>AV151</f>
        <v>-49.5</v>
      </c>
      <c r="AW47" s="188">
        <f>AW151-AV47</f>
        <v>-20.599999999999994</v>
      </c>
      <c r="AX47" s="188">
        <f>AX151-AW47-AV47</f>
        <v>-313.89999999999998</v>
      </c>
      <c r="AY47" s="189">
        <f>AY151-AX47-AW47-AV47</f>
        <v>-31.000000000000028</v>
      </c>
      <c r="AZ47" s="190">
        <f>AZ151</f>
        <v>-56</v>
      </c>
      <c r="BA47" s="188">
        <f>BA151-AZ47</f>
        <v>-48</v>
      </c>
      <c r="BB47" s="188">
        <f>BB151-BA47-AZ47</f>
        <v>1245</v>
      </c>
      <c r="BC47" s="189">
        <f>BC151-BB47-BA47-AZ47</f>
        <v>-34</v>
      </c>
      <c r="BD47" s="190">
        <f>BD151</f>
        <v>-212</v>
      </c>
      <c r="BE47" s="188">
        <f>BE151-BD47</f>
        <v>125</v>
      </c>
      <c r="BF47" s="188">
        <f>BF151-BE47-BD47</f>
        <v>-59</v>
      </c>
      <c r="BG47" s="189">
        <f>BG151-BF47-BE47-BD47</f>
        <v>285</v>
      </c>
      <c r="BH47" s="190">
        <f>BH151</f>
        <v>122</v>
      </c>
      <c r="BI47" s="188">
        <f>BI151-BH47</f>
        <v>26</v>
      </c>
      <c r="BJ47" s="188">
        <f>BJ151-BI47-BH47</f>
        <v>195</v>
      </c>
      <c r="BK47" s="189">
        <f>BK151-BJ47-BI47-BH47</f>
        <v>-56</v>
      </c>
      <c r="BL47" s="190">
        <f t="shared" si="399"/>
        <v>-80</v>
      </c>
      <c r="BM47" s="188">
        <f t="shared" si="400"/>
        <v>-90</v>
      </c>
      <c r="BN47" s="188">
        <f t="shared" si="401"/>
        <v>-378</v>
      </c>
      <c r="BO47" s="189">
        <f t="shared" si="402"/>
        <v>-92</v>
      </c>
      <c r="BP47" s="190">
        <f t="shared" si="403"/>
        <v>-635</v>
      </c>
      <c r="BQ47" s="188">
        <f t="shared" si="404"/>
        <v>-177</v>
      </c>
      <c r="BR47" s="188">
        <f t="shared" si="405"/>
        <v>-327</v>
      </c>
      <c r="BS47" s="189">
        <f t="shared" si="406"/>
        <v>614</v>
      </c>
      <c r="BT47" s="190">
        <f t="shared" si="407"/>
        <v>-48</v>
      </c>
      <c r="BU47" s="188">
        <f t="shared" si="408"/>
        <v>-53</v>
      </c>
      <c r="BV47" s="188">
        <f t="shared" si="409"/>
        <v>1014</v>
      </c>
      <c r="BW47" s="189">
        <f t="shared" si="410"/>
        <v>-51</v>
      </c>
      <c r="BX47" s="190">
        <f t="shared" si="411"/>
        <v>-52</v>
      </c>
      <c r="BY47" s="188">
        <f t="shared" si="412"/>
        <v>277</v>
      </c>
      <c r="BZ47" s="188">
        <f t="shared" si="413"/>
        <v>-77</v>
      </c>
      <c r="CA47" s="189">
        <f t="shared" si="414"/>
        <v>230</v>
      </c>
      <c r="CB47" s="190">
        <f t="shared" si="415"/>
        <v>-737</v>
      </c>
      <c r="CC47" s="188">
        <f t="shared" si="416"/>
        <v>-188</v>
      </c>
      <c r="CD47" s="188">
        <f t="shared" si="417"/>
        <v>-1147</v>
      </c>
      <c r="CE47" s="189">
        <f t="shared" si="418"/>
        <v>441</v>
      </c>
      <c r="CF47" s="190">
        <f t="shared" si="419"/>
        <v>-786</v>
      </c>
      <c r="CG47" s="188">
        <f t="shared" si="420"/>
        <v>637</v>
      </c>
      <c r="CH47" s="188">
        <f t="shared" si="421"/>
        <v>270</v>
      </c>
      <c r="CI47" s="189">
        <f t="shared" si="422"/>
        <v>-238</v>
      </c>
      <c r="CJ47" s="190">
        <f t="shared" si="423"/>
        <v>-23</v>
      </c>
      <c r="CK47" s="188">
        <f t="shared" si="424"/>
        <v>-322</v>
      </c>
      <c r="CL47" s="188">
        <f t="shared" si="425"/>
        <v>1822</v>
      </c>
      <c r="CM47" s="189">
        <f t="shared" si="426"/>
        <v>-148</v>
      </c>
      <c r="CN47" s="190">
        <f t="shared" si="427"/>
        <v>-172</v>
      </c>
      <c r="CO47" s="188">
        <f t="shared" si="428"/>
        <v>-384</v>
      </c>
      <c r="CP47" s="188">
        <f t="shared" si="429"/>
        <v>-1218</v>
      </c>
      <c r="CQ47" s="189">
        <f t="shared" si="430"/>
        <v>2527</v>
      </c>
      <c r="CR47" s="190">
        <f t="shared" si="431"/>
        <v>-2594</v>
      </c>
      <c r="CS47" s="188">
        <f>BS!CS35-BS!CR35</f>
        <v>158</v>
      </c>
      <c r="CT47" s="188">
        <f>BS!CT35-BS!CS35</f>
        <v>1919.6554681286761</v>
      </c>
      <c r="CU47" s="189">
        <f>BS!CU35-BS!CT35</f>
        <v>14.333357115914623</v>
      </c>
      <c r="CV47" s="190">
        <f>BS!CV35-BS!CU35</f>
        <v>14.565868737021447</v>
      </c>
      <c r="CW47" s="188">
        <f>BS!CW35-BS!CV35</f>
        <v>14.802169069269439</v>
      </c>
      <c r="CX47" s="188">
        <f>BS!CX35-BS!CW35</f>
        <v>15.042320124252001</v>
      </c>
      <c r="CY47" s="189">
        <f>BS!CY35-BS!CX35</f>
        <v>15.286384932998772</v>
      </c>
      <c r="CZ47" s="190">
        <f>BS!CZ35-BS!CY35</f>
        <v>15.534427562797646</v>
      </c>
      <c r="DA47" s="188">
        <f>BS!DA35-BS!CZ35</f>
        <v>15.786513134320558</v>
      </c>
      <c r="DB47" s="188">
        <f>BS!DB35-BS!DA35</f>
        <v>16.042707838987553</v>
      </c>
      <c r="DC47" s="189">
        <f>BS!DC35-BS!DB35</f>
        <v>16.303078956685567</v>
      </c>
      <c r="DD47" s="895"/>
      <c r="DE47" s="190">
        <f t="shared" si="432"/>
        <v>0</v>
      </c>
      <c r="DF47" s="188">
        <f t="shared" si="433"/>
        <v>0</v>
      </c>
      <c r="DG47" s="188">
        <f t="shared" si="434"/>
        <v>396.69999999999993</v>
      </c>
      <c r="DH47" s="188">
        <f t="shared" si="435"/>
        <v>-22.799999999999997</v>
      </c>
      <c r="DI47" s="188">
        <f t="shared" si="436"/>
        <v>-83.8</v>
      </c>
      <c r="DJ47" s="188">
        <f t="shared" si="437"/>
        <v>-175.1</v>
      </c>
      <c r="DK47" s="188">
        <f t="shared" si="438"/>
        <v>-51.199999999999996</v>
      </c>
      <c r="DL47" s="188">
        <f t="shared" si="439"/>
        <v>-84.6</v>
      </c>
      <c r="DM47" s="188">
        <f t="shared" si="440"/>
        <v>561.5</v>
      </c>
      <c r="DN47" s="188">
        <f t="shared" si="441"/>
        <v>-43.400000000000006</v>
      </c>
      <c r="DO47" s="188">
        <f t="shared" si="442"/>
        <v>-81.799999999999983</v>
      </c>
      <c r="DP47" s="188">
        <f t="shared" si="443"/>
        <v>-415</v>
      </c>
      <c r="DQ47" s="188">
        <f t="shared" si="444"/>
        <v>1107</v>
      </c>
      <c r="DR47" s="188">
        <f t="shared" si="445"/>
        <v>139</v>
      </c>
      <c r="DS47" s="188">
        <f t="shared" si="446"/>
        <v>287</v>
      </c>
      <c r="DT47" s="188">
        <f t="shared" si="447"/>
        <v>-640</v>
      </c>
      <c r="DU47" s="188">
        <f t="shared" si="448"/>
        <v>-525</v>
      </c>
      <c r="DV47" s="188">
        <f t="shared" si="449"/>
        <v>862</v>
      </c>
      <c r="DW47" s="188">
        <f t="shared" si="450"/>
        <v>378</v>
      </c>
      <c r="DX47" s="188">
        <f t="shared" si="451"/>
        <v>-1631</v>
      </c>
      <c r="DY47" s="188">
        <f t="shared" si="452"/>
        <v>-117</v>
      </c>
      <c r="DZ47" s="188">
        <f t="shared" si="453"/>
        <v>1329</v>
      </c>
      <c r="EA47" s="188">
        <f t="shared" si="454"/>
        <v>753</v>
      </c>
      <c r="EB47" s="188">
        <f t="shared" si="455"/>
        <v>-502.01117475540923</v>
      </c>
      <c r="EC47" s="188">
        <f t="shared" si="456"/>
        <v>59.696742863541658</v>
      </c>
      <c r="ED47" s="188">
        <f t="shared" si="457"/>
        <v>63.666727492791324</v>
      </c>
      <c r="EE47" s="716"/>
      <c r="EF47" s="190"/>
      <c r="EG47" s="188"/>
      <c r="EH47" s="188">
        <f t="shared" si="458"/>
        <v>429.09999999999991</v>
      </c>
      <c r="EI47" s="188">
        <f t="shared" si="459"/>
        <v>21.200000000000006</v>
      </c>
      <c r="EJ47" s="188">
        <f t="shared" si="460"/>
        <v>-123.8</v>
      </c>
      <c r="EK47" s="188">
        <f t="shared" si="461"/>
        <v>-153</v>
      </c>
      <c r="EL47" s="188">
        <f t="shared" si="462"/>
        <v>-75.399999999999991</v>
      </c>
      <c r="EM47" s="188">
        <f t="shared" si="463"/>
        <v>-85.4</v>
      </c>
      <c r="EN47" s="188">
        <f t="shared" si="464"/>
        <v>567</v>
      </c>
      <c r="EO47" s="188">
        <f t="shared" si="465"/>
        <v>-58.5</v>
      </c>
      <c r="EP47" s="338">
        <f t="shared" si="466"/>
        <v>-84.499999999999986</v>
      </c>
      <c r="EQ47" s="338">
        <f t="shared" si="467"/>
        <v>-421.5</v>
      </c>
      <c r="ER47" s="338">
        <f t="shared" si="468"/>
        <v>951</v>
      </c>
      <c r="ES47" s="338">
        <f t="shared" si="469"/>
        <v>473</v>
      </c>
      <c r="ET47" s="338">
        <f t="shared" si="470"/>
        <v>85</v>
      </c>
      <c r="EU47" s="338">
        <f t="shared" si="471"/>
        <v>-1195</v>
      </c>
      <c r="EV47" s="338">
        <f t="shared" si="472"/>
        <v>62</v>
      </c>
      <c r="EW47" s="338">
        <f t="shared" si="473"/>
        <v>858</v>
      </c>
      <c r="EX47" s="338">
        <f t="shared" si="474"/>
        <v>-307</v>
      </c>
      <c r="EY47" s="338">
        <f t="shared" si="475"/>
        <v>-1680</v>
      </c>
      <c r="EZ47" s="338">
        <f t="shared" si="476"/>
        <v>646</v>
      </c>
      <c r="FA47" s="338">
        <f t="shared" si="477"/>
        <v>1180</v>
      </c>
      <c r="FB47" s="338">
        <f t="shared" si="478"/>
        <v>-1669</v>
      </c>
      <c r="FC47" s="338">
        <f t="shared" si="479"/>
        <v>2106.5546939816122</v>
      </c>
      <c r="FD47" s="339">
        <f t="shared" si="480"/>
        <v>60.665301689317857</v>
      </c>
      <c r="FO47" s="330"/>
      <c r="FP47" s="330"/>
    </row>
    <row r="48" spans="1:172" ht="14.25" customHeight="1">
      <c r="A48" s="7"/>
      <c r="B48" s="24" t="s">
        <v>313</v>
      </c>
      <c r="C48" s="25"/>
      <c r="D48" s="190">
        <f>D152</f>
        <v>0</v>
      </c>
      <c r="E48" s="188">
        <f>E152-D48</f>
        <v>0</v>
      </c>
      <c r="F48" s="188">
        <f>F152-E48-D48</f>
        <v>0</v>
      </c>
      <c r="G48" s="189">
        <f>G152-F48-E48-D48</f>
        <v>0</v>
      </c>
      <c r="H48" s="190">
        <f>H152</f>
        <v>0</v>
      </c>
      <c r="I48" s="188">
        <f>I152-H48</f>
        <v>0</v>
      </c>
      <c r="J48" s="188">
        <f>J152-I48-H48</f>
        <v>0</v>
      </c>
      <c r="K48" s="189">
        <f>K152-J48-I48-H48</f>
        <v>0</v>
      </c>
      <c r="L48" s="190">
        <f>L152</f>
        <v>0</v>
      </c>
      <c r="M48" s="188">
        <f>M152-L48</f>
        <v>0</v>
      </c>
      <c r="N48" s="188">
        <f>N152-M48-L48</f>
        <v>0</v>
      </c>
      <c r="O48" s="189">
        <f>O152-N48-M48-L48</f>
        <v>0</v>
      </c>
      <c r="P48" s="190">
        <f>P152</f>
        <v>0</v>
      </c>
      <c r="Q48" s="188">
        <f>Q152-P48</f>
        <v>0</v>
      </c>
      <c r="R48" s="188">
        <f>R152-Q48-P48</f>
        <v>0</v>
      </c>
      <c r="S48" s="189">
        <f>S152-R48-Q48-P48</f>
        <v>0</v>
      </c>
      <c r="T48" s="190">
        <f>T152</f>
        <v>0</v>
      </c>
      <c r="U48" s="188">
        <f>U152-T48</f>
        <v>0</v>
      </c>
      <c r="V48" s="188">
        <f>V152-U48-T48</f>
        <v>0</v>
      </c>
      <c r="W48" s="189">
        <f>W152-V48-U48-T48</f>
        <v>0</v>
      </c>
      <c r="X48" s="190">
        <f>X152</f>
        <v>0</v>
      </c>
      <c r="Y48" s="188">
        <f>Y152-X48</f>
        <v>0</v>
      </c>
      <c r="Z48" s="188">
        <f>Z152-Y48-X48</f>
        <v>0</v>
      </c>
      <c r="AA48" s="189">
        <f>AA152-Z48-Y48-X48</f>
        <v>0</v>
      </c>
      <c r="AB48" s="190">
        <f>AB152</f>
        <v>0</v>
      </c>
      <c r="AC48" s="188">
        <f>AC152-AB48</f>
        <v>0</v>
      </c>
      <c r="AD48" s="188">
        <f>AD152-AC48-AB48</f>
        <v>0</v>
      </c>
      <c r="AE48" s="189">
        <f>AE152-AD48-AC48-AB48</f>
        <v>0</v>
      </c>
      <c r="AF48" s="190">
        <f>AF152</f>
        <v>0</v>
      </c>
      <c r="AG48" s="188">
        <f>AG152-AF48</f>
        <v>0</v>
      </c>
      <c r="AH48" s="188">
        <f>AH152-AG48-AF48</f>
        <v>0</v>
      </c>
      <c r="AI48" s="189">
        <f>AI152-AH48-AG48-AF48</f>
        <v>0</v>
      </c>
      <c r="AJ48" s="190">
        <f>AJ152</f>
        <v>0</v>
      </c>
      <c r="AK48" s="188">
        <f>AK152-AJ48</f>
        <v>0</v>
      </c>
      <c r="AL48" s="188">
        <f>AL152-AK48-AJ48</f>
        <v>0</v>
      </c>
      <c r="AM48" s="189">
        <f>AM152-AL48-AK48-AJ48</f>
        <v>0</v>
      </c>
      <c r="AN48" s="190">
        <f>AN152</f>
        <v>0</v>
      </c>
      <c r="AO48" s="188">
        <f>AO152-AN48</f>
        <v>0</v>
      </c>
      <c r="AP48" s="188">
        <f>AP152-AO48-AN48</f>
        <v>0</v>
      </c>
      <c r="AQ48" s="189">
        <f>AQ152-AP48-AO48-AN48</f>
        <v>0</v>
      </c>
      <c r="AR48" s="190">
        <f>AR152</f>
        <v>0</v>
      </c>
      <c r="AS48" s="188">
        <f>AS152-AR48</f>
        <v>0</v>
      </c>
      <c r="AT48" s="188">
        <f>AT152-AS48-AR48</f>
        <v>0</v>
      </c>
      <c r="AU48" s="189">
        <f>AU152-AT48-AS48-AR48</f>
        <v>0</v>
      </c>
      <c r="AV48" s="190">
        <f>AV152</f>
        <v>0</v>
      </c>
      <c r="AW48" s="188">
        <f>AW152-AV48</f>
        <v>0</v>
      </c>
      <c r="AX48" s="188">
        <f>AX152-AW48-AV48</f>
        <v>0</v>
      </c>
      <c r="AY48" s="189">
        <f>AY152-AX48-AW48-AV48</f>
        <v>0</v>
      </c>
      <c r="AZ48" s="190">
        <f>AZ152</f>
        <v>0</v>
      </c>
      <c r="BA48" s="188">
        <f>BA152-AZ48</f>
        <v>0</v>
      </c>
      <c r="BB48" s="188">
        <f>BB152-BA48-AZ48</f>
        <v>0</v>
      </c>
      <c r="BC48" s="189">
        <f>BC152-BB48-BA48-AZ48</f>
        <v>0</v>
      </c>
      <c r="BD48" s="190">
        <f>BD152</f>
        <v>0</v>
      </c>
      <c r="BE48" s="188">
        <f>BE152-BD48</f>
        <v>0</v>
      </c>
      <c r="BF48" s="188">
        <f>BF152-BE48-BD48</f>
        <v>0</v>
      </c>
      <c r="BG48" s="189">
        <f>BG152-BF48-BE48-BD48</f>
        <v>0</v>
      </c>
      <c r="BH48" s="190">
        <f>BH152</f>
        <v>0</v>
      </c>
      <c r="BI48" s="188">
        <f>BI152-BH48</f>
        <v>0</v>
      </c>
      <c r="BJ48" s="188">
        <f>BJ152-BI48-BH48</f>
        <v>0</v>
      </c>
      <c r="BK48" s="189">
        <f>BK152-BJ48-BI48-BH48</f>
        <v>0</v>
      </c>
      <c r="BL48" s="190">
        <f t="shared" si="399"/>
        <v>0</v>
      </c>
      <c r="BM48" s="188">
        <f t="shared" si="400"/>
        <v>0</v>
      </c>
      <c r="BN48" s="188">
        <f t="shared" si="401"/>
        <v>0</v>
      </c>
      <c r="BO48" s="189">
        <f t="shared" si="402"/>
        <v>0</v>
      </c>
      <c r="BP48" s="190">
        <f t="shared" si="403"/>
        <v>0</v>
      </c>
      <c r="BQ48" s="188">
        <f t="shared" si="404"/>
        <v>0</v>
      </c>
      <c r="BR48" s="188">
        <f t="shared" si="405"/>
        <v>0</v>
      </c>
      <c r="BS48" s="189">
        <f t="shared" si="406"/>
        <v>0</v>
      </c>
      <c r="BT48" s="190">
        <f t="shared" si="407"/>
        <v>0</v>
      </c>
      <c r="BU48" s="188">
        <f t="shared" si="408"/>
        <v>0</v>
      </c>
      <c r="BV48" s="188">
        <f t="shared" si="409"/>
        <v>0</v>
      </c>
      <c r="BW48" s="189">
        <f t="shared" si="410"/>
        <v>0</v>
      </c>
      <c r="BX48" s="190">
        <f t="shared" si="411"/>
        <v>0</v>
      </c>
      <c r="BY48" s="188">
        <f t="shared" si="412"/>
        <v>0</v>
      </c>
      <c r="BZ48" s="188">
        <f t="shared" si="413"/>
        <v>0</v>
      </c>
      <c r="CA48" s="189">
        <f t="shared" si="414"/>
        <v>0</v>
      </c>
      <c r="CB48" s="190">
        <f t="shared" si="415"/>
        <v>0</v>
      </c>
      <c r="CC48" s="188">
        <f t="shared" si="416"/>
        <v>0</v>
      </c>
      <c r="CD48" s="188">
        <f t="shared" si="417"/>
        <v>0</v>
      </c>
      <c r="CE48" s="189">
        <f t="shared" si="418"/>
        <v>0</v>
      </c>
      <c r="CF48" s="190">
        <f t="shared" si="419"/>
        <v>0</v>
      </c>
      <c r="CG48" s="188">
        <f t="shared" si="420"/>
        <v>0</v>
      </c>
      <c r="CH48" s="188">
        <f t="shared" si="421"/>
        <v>0</v>
      </c>
      <c r="CI48" s="189">
        <f t="shared" si="422"/>
        <v>0</v>
      </c>
      <c r="CJ48" s="190">
        <f t="shared" si="423"/>
        <v>0</v>
      </c>
      <c r="CK48" s="188">
        <f t="shared" si="424"/>
        <v>0</v>
      </c>
      <c r="CL48" s="188">
        <f t="shared" si="425"/>
        <v>0</v>
      </c>
      <c r="CM48" s="189">
        <f t="shared" si="426"/>
        <v>0</v>
      </c>
      <c r="CN48" s="190">
        <f t="shared" si="427"/>
        <v>0</v>
      </c>
      <c r="CO48" s="188">
        <f t="shared" si="428"/>
        <v>0</v>
      </c>
      <c r="CP48" s="188">
        <f t="shared" si="429"/>
        <v>0</v>
      </c>
      <c r="CQ48" s="189">
        <f t="shared" si="430"/>
        <v>0</v>
      </c>
      <c r="CR48" s="190">
        <f t="shared" si="431"/>
        <v>0</v>
      </c>
      <c r="CS48" s="188">
        <f t="shared" ref="CS48" si="481">CR48</f>
        <v>0</v>
      </c>
      <c r="CT48" s="188">
        <f t="shared" ref="CT48" si="482">CS48</f>
        <v>0</v>
      </c>
      <c r="CU48" s="189">
        <f t="shared" ref="CU48" si="483">CT48</f>
        <v>0</v>
      </c>
      <c r="CV48" s="190">
        <f t="shared" ref="CV48" si="484">CU48</f>
        <v>0</v>
      </c>
      <c r="CW48" s="188">
        <f t="shared" ref="CW48" si="485">CV48</f>
        <v>0</v>
      </c>
      <c r="CX48" s="188">
        <f t="shared" ref="CX48" si="486">CW48</f>
        <v>0</v>
      </c>
      <c r="CY48" s="189">
        <f t="shared" ref="CY48" si="487">CX48</f>
        <v>0</v>
      </c>
      <c r="CZ48" s="190">
        <f t="shared" ref="CZ48" si="488">CY48</f>
        <v>0</v>
      </c>
      <c r="DA48" s="188">
        <f t="shared" ref="DA48" si="489">CZ48</f>
        <v>0</v>
      </c>
      <c r="DB48" s="188">
        <f t="shared" ref="DB48" si="490">DA48</f>
        <v>0</v>
      </c>
      <c r="DC48" s="189">
        <f t="shared" ref="DC48" si="491">DB48</f>
        <v>0</v>
      </c>
      <c r="DD48" s="895"/>
      <c r="DE48" s="190">
        <f t="shared" si="432"/>
        <v>0</v>
      </c>
      <c r="DF48" s="188">
        <f t="shared" si="433"/>
        <v>0</v>
      </c>
      <c r="DG48" s="188">
        <f t="shared" si="434"/>
        <v>0</v>
      </c>
      <c r="DH48" s="188">
        <f t="shared" si="435"/>
        <v>0</v>
      </c>
      <c r="DI48" s="188">
        <f t="shared" si="436"/>
        <v>0</v>
      </c>
      <c r="DJ48" s="188">
        <f t="shared" si="437"/>
        <v>0</v>
      </c>
      <c r="DK48" s="188">
        <f t="shared" si="438"/>
        <v>0</v>
      </c>
      <c r="DL48" s="188">
        <f t="shared" si="439"/>
        <v>0</v>
      </c>
      <c r="DM48" s="188">
        <f t="shared" si="440"/>
        <v>0</v>
      </c>
      <c r="DN48" s="188">
        <f t="shared" si="441"/>
        <v>0</v>
      </c>
      <c r="DO48" s="188">
        <f t="shared" si="442"/>
        <v>0</v>
      </c>
      <c r="DP48" s="188">
        <f t="shared" si="443"/>
        <v>0</v>
      </c>
      <c r="DQ48" s="188">
        <f t="shared" si="444"/>
        <v>0</v>
      </c>
      <c r="DR48" s="188">
        <f t="shared" si="445"/>
        <v>0</v>
      </c>
      <c r="DS48" s="188">
        <f t="shared" si="446"/>
        <v>0</v>
      </c>
      <c r="DT48" s="188">
        <f t="shared" si="447"/>
        <v>0</v>
      </c>
      <c r="DU48" s="188">
        <f t="shared" si="448"/>
        <v>0</v>
      </c>
      <c r="DV48" s="188">
        <f t="shared" si="449"/>
        <v>0</v>
      </c>
      <c r="DW48" s="188">
        <f t="shared" si="450"/>
        <v>0</v>
      </c>
      <c r="DX48" s="188">
        <f t="shared" si="451"/>
        <v>0</v>
      </c>
      <c r="DY48" s="188">
        <f t="shared" si="452"/>
        <v>0</v>
      </c>
      <c r="DZ48" s="188">
        <f t="shared" si="453"/>
        <v>0</v>
      </c>
      <c r="EA48" s="188">
        <f t="shared" si="454"/>
        <v>0</v>
      </c>
      <c r="EB48" s="188">
        <f t="shared" si="455"/>
        <v>0</v>
      </c>
      <c r="EC48" s="188">
        <f t="shared" si="456"/>
        <v>0</v>
      </c>
      <c r="ED48" s="188">
        <f t="shared" si="457"/>
        <v>0</v>
      </c>
      <c r="EE48" s="716"/>
      <c r="EF48" s="190"/>
      <c r="EG48" s="188"/>
      <c r="EH48" s="188">
        <f t="shared" si="458"/>
        <v>0</v>
      </c>
      <c r="EI48" s="188">
        <f t="shared" si="459"/>
        <v>0</v>
      </c>
      <c r="EJ48" s="188">
        <f t="shared" si="460"/>
        <v>0</v>
      </c>
      <c r="EK48" s="188">
        <f t="shared" si="461"/>
        <v>0</v>
      </c>
      <c r="EL48" s="188">
        <f t="shared" si="462"/>
        <v>0</v>
      </c>
      <c r="EM48" s="188">
        <f t="shared" si="463"/>
        <v>0</v>
      </c>
      <c r="EN48" s="188">
        <f t="shared" si="464"/>
        <v>0</v>
      </c>
      <c r="EO48" s="188">
        <f t="shared" si="465"/>
        <v>0</v>
      </c>
      <c r="EP48" s="338">
        <f t="shared" si="466"/>
        <v>0</v>
      </c>
      <c r="EQ48" s="338">
        <f t="shared" si="467"/>
        <v>0</v>
      </c>
      <c r="ER48" s="338">
        <f t="shared" si="468"/>
        <v>0</v>
      </c>
      <c r="ES48" s="338">
        <f t="shared" si="469"/>
        <v>0</v>
      </c>
      <c r="ET48" s="338">
        <f t="shared" si="470"/>
        <v>0</v>
      </c>
      <c r="EU48" s="338">
        <f t="shared" si="471"/>
        <v>0</v>
      </c>
      <c r="EV48" s="338">
        <f t="shared" si="472"/>
        <v>0</v>
      </c>
      <c r="EW48" s="338">
        <f t="shared" si="473"/>
        <v>0</v>
      </c>
      <c r="EX48" s="338">
        <f t="shared" si="474"/>
        <v>0</v>
      </c>
      <c r="EY48" s="338">
        <f t="shared" si="475"/>
        <v>0</v>
      </c>
      <c r="EZ48" s="338">
        <f t="shared" si="476"/>
        <v>0</v>
      </c>
      <c r="FA48" s="338">
        <f t="shared" si="477"/>
        <v>0</v>
      </c>
      <c r="FB48" s="338">
        <f t="shared" si="478"/>
        <v>0</v>
      </c>
      <c r="FC48" s="338">
        <f t="shared" si="479"/>
        <v>0</v>
      </c>
      <c r="FD48" s="339">
        <f t="shared" si="480"/>
        <v>0</v>
      </c>
      <c r="FP48" s="330"/>
    </row>
    <row r="49" spans="1:172" ht="14.25" customHeight="1">
      <c r="A49" s="7"/>
      <c r="B49" s="24" t="s">
        <v>240</v>
      </c>
      <c r="C49" s="25"/>
      <c r="D49" s="190">
        <f>D153</f>
        <v>0</v>
      </c>
      <c r="E49" s="188">
        <f>E153-D49</f>
        <v>0</v>
      </c>
      <c r="F49" s="188">
        <f>F153-E49-D49</f>
        <v>0</v>
      </c>
      <c r="G49" s="189">
        <f>G153-F49-E49-D49</f>
        <v>0</v>
      </c>
      <c r="H49" s="190">
        <f>H153</f>
        <v>0</v>
      </c>
      <c r="I49" s="188">
        <f>I153-H49</f>
        <v>0</v>
      </c>
      <c r="J49" s="188">
        <f>J153-I49-H49</f>
        <v>0</v>
      </c>
      <c r="K49" s="189">
        <f>K153-J49-I49-H49</f>
        <v>0</v>
      </c>
      <c r="L49" s="190">
        <f>L153</f>
        <v>4.2</v>
      </c>
      <c r="M49" s="188">
        <f>M153-L49</f>
        <v>61</v>
      </c>
      <c r="N49" s="188">
        <f>N153-M49-L49</f>
        <v>7.8</v>
      </c>
      <c r="O49" s="189">
        <f>O153-N49-M49-L49</f>
        <v>17.199999999999992</v>
      </c>
      <c r="P49" s="190">
        <f>P153</f>
        <v>0.1</v>
      </c>
      <c r="Q49" s="188">
        <f>Q153-P49</f>
        <v>9.8000000000000007</v>
      </c>
      <c r="R49" s="188">
        <f>R153-Q49-P49</f>
        <v>5.2999999999999989</v>
      </c>
      <c r="S49" s="189">
        <f>S153-R49-Q49-P49</f>
        <v>8.8000000000000025</v>
      </c>
      <c r="T49" s="190">
        <f>T153</f>
        <v>519.1</v>
      </c>
      <c r="U49" s="188">
        <f>U153-T49</f>
        <v>57.600000000000023</v>
      </c>
      <c r="V49" s="188">
        <f>V153-U49-T49</f>
        <v>7</v>
      </c>
      <c r="W49" s="189">
        <f>W153-V49-U49-T49</f>
        <v>38.200000000000045</v>
      </c>
      <c r="X49" s="190">
        <f>X153</f>
        <v>51.9</v>
      </c>
      <c r="Y49" s="188">
        <f>Y153-X49</f>
        <v>86.5</v>
      </c>
      <c r="Z49" s="188">
        <f>Z153-Y49-X49</f>
        <v>64.400000000000006</v>
      </c>
      <c r="AA49" s="189">
        <f>AA153-Z49-Y49-X49</f>
        <v>41.199999999999996</v>
      </c>
      <c r="AB49" s="190">
        <f>AB153</f>
        <v>19.5</v>
      </c>
      <c r="AC49" s="188">
        <f>AC153-AB49</f>
        <v>40.5</v>
      </c>
      <c r="AD49" s="188">
        <f>AD153-AC49-AB49</f>
        <v>31.5</v>
      </c>
      <c r="AE49" s="189">
        <f>AE153-AD49-AC49-AB49</f>
        <v>26.700000000000003</v>
      </c>
      <c r="AF49" s="190">
        <f>AF153</f>
        <v>23.3</v>
      </c>
      <c r="AG49" s="188">
        <f>AG153-AF49</f>
        <v>20.099999999999998</v>
      </c>
      <c r="AH49" s="188">
        <f>AH153-AG49-AF49</f>
        <v>16.2</v>
      </c>
      <c r="AI49" s="189">
        <f>AI153-AH49-AG49-AF49</f>
        <v>12.2</v>
      </c>
      <c r="AJ49" s="190">
        <f>AJ153</f>
        <v>28.7</v>
      </c>
      <c r="AK49" s="188">
        <f>AK153-AJ49</f>
        <v>8.9000000000000021</v>
      </c>
      <c r="AL49" s="188">
        <f>AL153-AK49-AJ49</f>
        <v>7.399999999999995</v>
      </c>
      <c r="AM49" s="189">
        <f>AM153-AL49-AK49-AJ49</f>
        <v>8.5000000000000036</v>
      </c>
      <c r="AN49" s="190">
        <f>AN153</f>
        <v>390.4</v>
      </c>
      <c r="AO49" s="188">
        <f>AO153-AN49</f>
        <v>4.5</v>
      </c>
      <c r="AP49" s="188">
        <f>AP153-AO49-AN49</f>
        <v>13.200000000000045</v>
      </c>
      <c r="AQ49" s="189">
        <f>AQ153-AP49-AO49-AN49</f>
        <v>11.399999999999977</v>
      </c>
      <c r="AR49" s="190">
        <f>AR153</f>
        <v>9.3000000000000007</v>
      </c>
      <c r="AS49" s="188">
        <f>AS153-AR49</f>
        <v>11.2</v>
      </c>
      <c r="AT49" s="188">
        <f>AT153-AS49-AR49</f>
        <v>9.3000000000000007</v>
      </c>
      <c r="AU49" s="189">
        <f>AU153-AT49-AS49-AR49</f>
        <v>11.099999999999998</v>
      </c>
      <c r="AV49" s="190">
        <f>AV153</f>
        <v>10.9</v>
      </c>
      <c r="AW49" s="188">
        <f>AW153-AV49</f>
        <v>36.1</v>
      </c>
      <c r="AX49" s="188">
        <f>AX153-AW49-AV49</f>
        <v>36.400000000000006</v>
      </c>
      <c r="AY49" s="189">
        <f>AY153-AX49-AW49-AV49</f>
        <v>29.599999999999994</v>
      </c>
      <c r="AZ49" s="190">
        <f>AZ153</f>
        <v>41</v>
      </c>
      <c r="BA49" s="188">
        <f>BA153-AZ49</f>
        <v>9</v>
      </c>
      <c r="BB49" s="188">
        <f>BB153-BA49-AZ49</f>
        <v>5</v>
      </c>
      <c r="BC49" s="189">
        <f>BC153-BB49-BA49-AZ49</f>
        <v>14</v>
      </c>
      <c r="BD49" s="190">
        <f>BD153</f>
        <v>2</v>
      </c>
      <c r="BE49" s="188">
        <f>BE153-BD49</f>
        <v>1</v>
      </c>
      <c r="BF49" s="188">
        <f>BF153-BE49-BD49</f>
        <v>1</v>
      </c>
      <c r="BG49" s="189">
        <f>BG153-BF49-BE49-BD49</f>
        <v>0</v>
      </c>
      <c r="BH49" s="190">
        <f>BH153</f>
        <v>0</v>
      </c>
      <c r="BI49" s="188">
        <f>BI153-BH49</f>
        <v>0</v>
      </c>
      <c r="BJ49" s="188">
        <f>BJ153-BI49-BH49</f>
        <v>276</v>
      </c>
      <c r="BK49" s="189">
        <f>BK153-BJ49-BI49-BH49</f>
        <v>0</v>
      </c>
      <c r="BL49" s="190">
        <f t="shared" si="399"/>
        <v>0</v>
      </c>
      <c r="BM49" s="188">
        <f t="shared" si="400"/>
        <v>0</v>
      </c>
      <c r="BN49" s="188">
        <f t="shared" si="401"/>
        <v>0</v>
      </c>
      <c r="BO49" s="189">
        <f t="shared" si="402"/>
        <v>0</v>
      </c>
      <c r="BP49" s="190">
        <f t="shared" si="403"/>
        <v>0</v>
      </c>
      <c r="BQ49" s="188">
        <f t="shared" si="404"/>
        <v>0</v>
      </c>
      <c r="BR49" s="188">
        <f t="shared" si="405"/>
        <v>0</v>
      </c>
      <c r="BS49" s="189">
        <f t="shared" si="406"/>
        <v>0</v>
      </c>
      <c r="BT49" s="190">
        <f t="shared" si="407"/>
        <v>0</v>
      </c>
      <c r="BU49" s="188">
        <f t="shared" si="408"/>
        <v>0</v>
      </c>
      <c r="BV49" s="188">
        <f t="shared" si="409"/>
        <v>0</v>
      </c>
      <c r="BW49" s="189">
        <f t="shared" si="410"/>
        <v>0</v>
      </c>
      <c r="BX49" s="190">
        <f t="shared" si="411"/>
        <v>0</v>
      </c>
      <c r="BY49" s="188">
        <f t="shared" si="412"/>
        <v>0</v>
      </c>
      <c r="BZ49" s="188">
        <f t="shared" si="413"/>
        <v>0</v>
      </c>
      <c r="CA49" s="189">
        <f t="shared" si="414"/>
        <v>0</v>
      </c>
      <c r="CB49" s="190">
        <f t="shared" si="415"/>
        <v>-42</v>
      </c>
      <c r="CC49" s="188">
        <f t="shared" si="416"/>
        <v>-31</v>
      </c>
      <c r="CD49" s="188">
        <f t="shared" si="417"/>
        <v>245</v>
      </c>
      <c r="CE49" s="189">
        <f t="shared" si="418"/>
        <v>17</v>
      </c>
      <c r="CF49" s="190">
        <f t="shared" si="419"/>
        <v>-8</v>
      </c>
      <c r="CG49" s="188">
        <f t="shared" si="420"/>
        <v>-236</v>
      </c>
      <c r="CH49" s="188">
        <f t="shared" si="421"/>
        <v>-1</v>
      </c>
      <c r="CI49" s="189">
        <f t="shared" si="422"/>
        <v>-639</v>
      </c>
      <c r="CJ49" s="190">
        <f>CJ153</f>
        <v>-135</v>
      </c>
      <c r="CK49" s="188">
        <f>CK153-CJ49</f>
        <v>-12</v>
      </c>
      <c r="CL49" s="188">
        <f t="shared" si="425"/>
        <v>0</v>
      </c>
      <c r="CM49" s="189">
        <f t="shared" si="426"/>
        <v>-1</v>
      </c>
      <c r="CN49" s="190">
        <f>CN153</f>
        <v>-13</v>
      </c>
      <c r="CO49" s="188">
        <f>CO153-CN49</f>
        <v>13</v>
      </c>
      <c r="CP49" s="188">
        <f t="shared" si="429"/>
        <v>0</v>
      </c>
      <c r="CQ49" s="189">
        <f t="shared" si="430"/>
        <v>-35</v>
      </c>
      <c r="CR49" s="190">
        <f>CR153</f>
        <v>0</v>
      </c>
      <c r="CS49" s="188">
        <v>0</v>
      </c>
      <c r="CT49" s="188">
        <v>0</v>
      </c>
      <c r="CU49" s="192">
        <v>0</v>
      </c>
      <c r="CV49" s="190">
        <v>0</v>
      </c>
      <c r="CW49" s="188">
        <v>0</v>
      </c>
      <c r="CX49" s="188">
        <v>0</v>
      </c>
      <c r="CY49" s="192">
        <v>0</v>
      </c>
      <c r="CZ49" s="190">
        <v>0</v>
      </c>
      <c r="DA49" s="188">
        <v>0</v>
      </c>
      <c r="DB49" s="188">
        <v>0</v>
      </c>
      <c r="DC49" s="192">
        <v>0</v>
      </c>
      <c r="DD49" s="895"/>
      <c r="DE49" s="190">
        <f t="shared" si="432"/>
        <v>0</v>
      </c>
      <c r="DF49" s="188">
        <f t="shared" si="433"/>
        <v>0</v>
      </c>
      <c r="DG49" s="188">
        <f t="shared" si="434"/>
        <v>90.199999999999989</v>
      </c>
      <c r="DH49" s="188">
        <f t="shared" si="435"/>
        <v>24</v>
      </c>
      <c r="DI49" s="188">
        <f t="shared" si="436"/>
        <v>621.90000000000009</v>
      </c>
      <c r="DJ49" s="188">
        <f t="shared" si="437"/>
        <v>244</v>
      </c>
      <c r="DK49" s="188">
        <f t="shared" si="438"/>
        <v>118.2</v>
      </c>
      <c r="DL49" s="188">
        <f t="shared" si="439"/>
        <v>71.8</v>
      </c>
      <c r="DM49" s="188">
        <f t="shared" si="440"/>
        <v>53.5</v>
      </c>
      <c r="DN49" s="188">
        <f t="shared" si="441"/>
        <v>419.5</v>
      </c>
      <c r="DO49" s="188">
        <f t="shared" si="442"/>
        <v>40.9</v>
      </c>
      <c r="DP49" s="188">
        <f t="shared" si="443"/>
        <v>113</v>
      </c>
      <c r="DQ49" s="188">
        <f t="shared" si="444"/>
        <v>69</v>
      </c>
      <c r="DR49" s="188">
        <f t="shared" si="445"/>
        <v>4</v>
      </c>
      <c r="DS49" s="188">
        <f t="shared" si="446"/>
        <v>276</v>
      </c>
      <c r="DT49" s="188">
        <f t="shared" si="447"/>
        <v>0</v>
      </c>
      <c r="DU49" s="188">
        <f t="shared" si="448"/>
        <v>0</v>
      </c>
      <c r="DV49" s="188">
        <f t="shared" si="449"/>
        <v>0</v>
      </c>
      <c r="DW49" s="188">
        <f t="shared" si="450"/>
        <v>0</v>
      </c>
      <c r="DX49" s="188">
        <f t="shared" si="451"/>
        <v>189</v>
      </c>
      <c r="DY49" s="188">
        <f t="shared" si="452"/>
        <v>-884</v>
      </c>
      <c r="DZ49" s="188">
        <f t="shared" si="453"/>
        <v>-148</v>
      </c>
      <c r="EA49" s="188">
        <f t="shared" si="454"/>
        <v>-35</v>
      </c>
      <c r="EB49" s="188">
        <f t="shared" si="455"/>
        <v>0</v>
      </c>
      <c r="EC49" s="188">
        <f t="shared" si="456"/>
        <v>0</v>
      </c>
      <c r="ED49" s="188">
        <f t="shared" si="457"/>
        <v>0</v>
      </c>
      <c r="EE49" s="716"/>
      <c r="EF49" s="190"/>
      <c r="EG49" s="188"/>
      <c r="EH49" s="188">
        <f t="shared" si="458"/>
        <v>86.09999999999998</v>
      </c>
      <c r="EI49" s="188">
        <f t="shared" si="459"/>
        <v>543</v>
      </c>
      <c r="EJ49" s="188">
        <f t="shared" si="460"/>
        <v>154.70000000000007</v>
      </c>
      <c r="EK49" s="188">
        <f t="shared" si="461"/>
        <v>211.6</v>
      </c>
      <c r="EL49" s="188">
        <f t="shared" si="462"/>
        <v>122</v>
      </c>
      <c r="EM49" s="188">
        <f t="shared" si="463"/>
        <v>77.2</v>
      </c>
      <c r="EN49" s="188">
        <f t="shared" si="464"/>
        <v>415.2</v>
      </c>
      <c r="EO49" s="188">
        <f t="shared" si="465"/>
        <v>38.40000000000002</v>
      </c>
      <c r="EP49" s="338">
        <f t="shared" si="466"/>
        <v>42.5</v>
      </c>
      <c r="EQ49" s="338">
        <f t="shared" si="467"/>
        <v>143.1</v>
      </c>
      <c r="ER49" s="338">
        <f t="shared" si="468"/>
        <v>30</v>
      </c>
      <c r="ES49" s="338">
        <f t="shared" si="469"/>
        <v>2</v>
      </c>
      <c r="ET49" s="338">
        <f t="shared" si="470"/>
        <v>276</v>
      </c>
      <c r="EU49" s="338">
        <f t="shared" si="471"/>
        <v>0</v>
      </c>
      <c r="EV49" s="338">
        <f t="shared" si="472"/>
        <v>0</v>
      </c>
      <c r="EW49" s="338">
        <f t="shared" si="473"/>
        <v>0</v>
      </c>
      <c r="EX49" s="338">
        <f t="shared" si="474"/>
        <v>-42</v>
      </c>
      <c r="EY49" s="338">
        <f t="shared" si="475"/>
        <v>223</v>
      </c>
      <c r="EZ49" s="338">
        <f t="shared" si="476"/>
        <v>-1011</v>
      </c>
      <c r="FA49" s="338">
        <f t="shared" si="477"/>
        <v>-26</v>
      </c>
      <c r="FB49" s="338">
        <f t="shared" si="478"/>
        <v>-22</v>
      </c>
      <c r="FC49" s="338">
        <f t="shared" si="479"/>
        <v>0</v>
      </c>
      <c r="FD49" s="339">
        <f t="shared" si="480"/>
        <v>0</v>
      </c>
      <c r="FP49" s="330"/>
    </row>
    <row r="50" spans="1:172" ht="14.25" customHeight="1">
      <c r="A50" s="7"/>
      <c r="B50" s="24" t="str">
        <f>B154</f>
        <v>Other financing activities</v>
      </c>
      <c r="C50" s="25"/>
      <c r="D50" s="190">
        <f>D154</f>
        <v>0</v>
      </c>
      <c r="E50" s="188">
        <f>E154-D50</f>
        <v>0</v>
      </c>
      <c r="F50" s="188">
        <f>F154-E50-D50</f>
        <v>0</v>
      </c>
      <c r="G50" s="189">
        <f>G154-F50-E50-D50</f>
        <v>0</v>
      </c>
      <c r="H50" s="190">
        <f>H154</f>
        <v>0</v>
      </c>
      <c r="I50" s="188">
        <f>I154-H50</f>
        <v>0</v>
      </c>
      <c r="J50" s="188">
        <f>J154-I50-H50</f>
        <v>0</v>
      </c>
      <c r="K50" s="189">
        <f>K154-J50-I50-H50</f>
        <v>0</v>
      </c>
      <c r="L50" s="190">
        <f>L154</f>
        <v>-0.8</v>
      </c>
      <c r="M50" s="188">
        <f>M154-L50</f>
        <v>0.20000000000000007</v>
      </c>
      <c r="N50" s="188">
        <f>N154-M50-L50</f>
        <v>-1.0000000000000002</v>
      </c>
      <c r="O50" s="189">
        <f>O154-N50-M50-L50</f>
        <v>-12.7</v>
      </c>
      <c r="P50" s="190">
        <f>P154</f>
        <v>2.7</v>
      </c>
      <c r="Q50" s="188">
        <f>Q154-P50</f>
        <v>0.39999999999999991</v>
      </c>
      <c r="R50" s="188">
        <f>R154-Q50-P50</f>
        <v>-2</v>
      </c>
      <c r="S50" s="189">
        <f>S154-R50-Q50-P50</f>
        <v>-0.80000000000000027</v>
      </c>
      <c r="T50" s="190">
        <f>T154</f>
        <v>683.4</v>
      </c>
      <c r="U50" s="188">
        <f>U154-T50</f>
        <v>1.2000000000000455</v>
      </c>
      <c r="V50" s="188">
        <f>V154-U50-T50</f>
        <v>0</v>
      </c>
      <c r="W50" s="189">
        <f>W154-V50-U50-T50</f>
        <v>-3.8999999999999773</v>
      </c>
      <c r="X50" s="190">
        <f>X154</f>
        <v>0.3</v>
      </c>
      <c r="Y50" s="188">
        <f>Y154-X50</f>
        <v>0.2</v>
      </c>
      <c r="Z50" s="188">
        <f>Z154-Y50-X50</f>
        <v>2.9</v>
      </c>
      <c r="AA50" s="189">
        <f>AA154-Z50-Y50-X50</f>
        <v>0.39999999999999997</v>
      </c>
      <c r="AB50" s="190">
        <f>AB154</f>
        <v>0.2</v>
      </c>
      <c r="AC50" s="188">
        <f>AC154-AB50</f>
        <v>0.7</v>
      </c>
      <c r="AD50" s="188">
        <f>AD154-AC50-AB50</f>
        <v>0.10000000000000003</v>
      </c>
      <c r="AE50" s="189">
        <f>AE154-AD50-AC50-AB50</f>
        <v>480.09999999999997</v>
      </c>
      <c r="AF50" s="190">
        <f>AF154</f>
        <v>0</v>
      </c>
      <c r="AG50" s="188">
        <f>AG154-AF50</f>
        <v>0</v>
      </c>
      <c r="AH50" s="188">
        <f>AH154-AG50-AF50</f>
        <v>0</v>
      </c>
      <c r="AI50" s="189">
        <f>AI154-AH50-AG50-AF50</f>
        <v>0</v>
      </c>
      <c r="AJ50" s="190">
        <f>AJ154</f>
        <v>24.6</v>
      </c>
      <c r="AK50" s="188">
        <f>AK154-AJ50</f>
        <v>-90.1</v>
      </c>
      <c r="AL50" s="188">
        <f>AL154-AK50-AJ50</f>
        <v>-0.30000000000000426</v>
      </c>
      <c r="AM50" s="189">
        <f>AM154-AL50-AK50-AJ50</f>
        <v>0</v>
      </c>
      <c r="AN50" s="190">
        <f>AN154</f>
        <v>-0.1</v>
      </c>
      <c r="AO50" s="188">
        <f>AO154-AN50</f>
        <v>10.7</v>
      </c>
      <c r="AP50" s="188">
        <f>AP154-AO50-AN50</f>
        <v>26.700000000000006</v>
      </c>
      <c r="AQ50" s="189">
        <f>AQ154-AP50-AO50-AN50</f>
        <v>-1.4155343563970746E-15</v>
      </c>
      <c r="AR50" s="190">
        <f>AR154</f>
        <v>24.7</v>
      </c>
      <c r="AS50" s="188">
        <f>AS154-AR50</f>
        <v>135.60000000000002</v>
      </c>
      <c r="AT50" s="188">
        <f>AT154-AS50-AR50</f>
        <v>0.99999999999998934</v>
      </c>
      <c r="AU50" s="189">
        <f>AU154-AT50-AS50-AR50</f>
        <v>9.9999999999983658E-2</v>
      </c>
      <c r="AV50" s="190">
        <f>AV154</f>
        <v>0</v>
      </c>
      <c r="AW50" s="188">
        <f>AW154-AV50</f>
        <v>500.3</v>
      </c>
      <c r="AX50" s="188">
        <f>AX154-AW50-AV50</f>
        <v>219.09999999999997</v>
      </c>
      <c r="AY50" s="189">
        <f>AY154-AX50-AW50-AV50</f>
        <v>435.60000000000008</v>
      </c>
      <c r="AZ50" s="190">
        <f>AZ154</f>
        <v>387</v>
      </c>
      <c r="BA50" s="188">
        <f>BA154-AZ50</f>
        <v>568</v>
      </c>
      <c r="BB50" s="188">
        <f>BB154-BA50-AZ50</f>
        <v>198</v>
      </c>
      <c r="BC50" s="189">
        <f>BC154-BB50-BA50-AZ50</f>
        <v>373</v>
      </c>
      <c r="BD50" s="190">
        <f>BD154</f>
        <v>150</v>
      </c>
      <c r="BE50" s="188">
        <f>BE154-BD50</f>
        <v>91</v>
      </c>
      <c r="BF50" s="188">
        <f>BF154-BE50-BD50</f>
        <v>45</v>
      </c>
      <c r="BG50" s="189">
        <f>BG154-BF50-BE50-BD50</f>
        <v>83</v>
      </c>
      <c r="BH50" s="190">
        <f>BH154</f>
        <v>-146</v>
      </c>
      <c r="BI50" s="188">
        <f>BI154-BH50</f>
        <v>-295</v>
      </c>
      <c r="BJ50" s="188">
        <f>BJ154-BI50-BH50</f>
        <v>-156</v>
      </c>
      <c r="BK50" s="189">
        <f>BK154-BJ50-BI50-BH50</f>
        <v>-112</v>
      </c>
      <c r="BL50" s="190">
        <f t="shared" si="399"/>
        <v>-4</v>
      </c>
      <c r="BM50" s="188">
        <f t="shared" si="400"/>
        <v>0</v>
      </c>
      <c r="BN50" s="188">
        <f t="shared" si="401"/>
        <v>-1</v>
      </c>
      <c r="BO50" s="189">
        <f t="shared" si="402"/>
        <v>5</v>
      </c>
      <c r="BP50" s="190">
        <f t="shared" si="403"/>
        <v>-9</v>
      </c>
      <c r="BQ50" s="188">
        <f t="shared" si="404"/>
        <v>10</v>
      </c>
      <c r="BR50" s="188">
        <f t="shared" si="405"/>
        <v>7</v>
      </c>
      <c r="BS50" s="189">
        <f t="shared" si="406"/>
        <v>-85</v>
      </c>
      <c r="BT50" s="190">
        <f t="shared" si="407"/>
        <v>-3</v>
      </c>
      <c r="BU50" s="188">
        <f t="shared" si="408"/>
        <v>-2</v>
      </c>
      <c r="BV50" s="188">
        <f t="shared" si="409"/>
        <v>-130</v>
      </c>
      <c r="BW50" s="189">
        <f t="shared" si="410"/>
        <v>-7</v>
      </c>
      <c r="BX50" s="190">
        <f t="shared" si="411"/>
        <v>3</v>
      </c>
      <c r="BY50" s="188">
        <f t="shared" si="412"/>
        <v>-50</v>
      </c>
      <c r="BZ50" s="188">
        <f t="shared" si="413"/>
        <v>34</v>
      </c>
      <c r="CA50" s="189">
        <f t="shared" si="414"/>
        <v>71</v>
      </c>
      <c r="CB50" s="190">
        <f>CB154</f>
        <v>124</v>
      </c>
      <c r="CC50" s="188">
        <f t="shared" si="416"/>
        <v>8</v>
      </c>
      <c r="CD50" s="188">
        <f t="shared" si="417"/>
        <v>-188</v>
      </c>
      <c r="CE50" s="189">
        <f t="shared" si="418"/>
        <v>-59</v>
      </c>
      <c r="CF50" s="190">
        <f>CF154</f>
        <v>-32</v>
      </c>
      <c r="CG50" s="188">
        <f t="shared" si="420"/>
        <v>281</v>
      </c>
      <c r="CH50" s="188">
        <f t="shared" si="421"/>
        <v>90</v>
      </c>
      <c r="CI50" s="189">
        <f t="shared" si="422"/>
        <v>-198</v>
      </c>
      <c r="CJ50" s="190">
        <f>CJ154</f>
        <v>-19</v>
      </c>
      <c r="CK50" s="188">
        <f t="shared" si="424"/>
        <v>406</v>
      </c>
      <c r="CL50" s="188">
        <f t="shared" si="425"/>
        <v>42</v>
      </c>
      <c r="CM50" s="189">
        <f t="shared" si="426"/>
        <v>98</v>
      </c>
      <c r="CN50" s="190">
        <f>CN154</f>
        <v>-3</v>
      </c>
      <c r="CO50" s="188">
        <f t="shared" si="428"/>
        <v>-61</v>
      </c>
      <c r="CP50" s="188">
        <f t="shared" si="429"/>
        <v>-91</v>
      </c>
      <c r="CQ50" s="189">
        <f t="shared" si="430"/>
        <v>-214</v>
      </c>
      <c r="CR50" s="190">
        <f>CR154</f>
        <v>1445</v>
      </c>
      <c r="CS50" s="188">
        <f t="shared" ref="CS50" si="492">CS154-CR50</f>
        <v>-298</v>
      </c>
      <c r="CT50" s="188">
        <v>0</v>
      </c>
      <c r="CU50" s="189">
        <v>0</v>
      </c>
      <c r="CV50" s="190">
        <v>0</v>
      </c>
      <c r="CW50" s="188">
        <v>0</v>
      </c>
      <c r="CX50" s="188">
        <v>0</v>
      </c>
      <c r="CY50" s="189">
        <v>0</v>
      </c>
      <c r="CZ50" s="190">
        <v>0</v>
      </c>
      <c r="DA50" s="188">
        <v>0</v>
      </c>
      <c r="DB50" s="188">
        <v>0</v>
      </c>
      <c r="DC50" s="189">
        <v>0</v>
      </c>
      <c r="DD50" s="895"/>
      <c r="DE50" s="190">
        <f t="shared" si="432"/>
        <v>0</v>
      </c>
      <c r="DF50" s="188">
        <f t="shared" si="433"/>
        <v>0</v>
      </c>
      <c r="DG50" s="188">
        <f t="shared" si="434"/>
        <v>-14.299999999999999</v>
      </c>
      <c r="DH50" s="188">
        <f t="shared" si="435"/>
        <v>0.29999999999999982</v>
      </c>
      <c r="DI50" s="188">
        <f t="shared" si="436"/>
        <v>680.7</v>
      </c>
      <c r="DJ50" s="188">
        <f t="shared" si="437"/>
        <v>3.8</v>
      </c>
      <c r="DK50" s="188">
        <f t="shared" si="438"/>
        <v>481.09999999999997</v>
      </c>
      <c r="DL50" s="188">
        <f t="shared" si="439"/>
        <v>0</v>
      </c>
      <c r="DM50" s="188">
        <f t="shared" si="440"/>
        <v>-65.800000000000011</v>
      </c>
      <c r="DN50" s="188">
        <f t="shared" si="441"/>
        <v>37.300000000000004</v>
      </c>
      <c r="DO50" s="188">
        <f t="shared" si="442"/>
        <v>161.4</v>
      </c>
      <c r="DP50" s="188">
        <f t="shared" si="443"/>
        <v>1155</v>
      </c>
      <c r="DQ50" s="188">
        <f t="shared" si="444"/>
        <v>1526</v>
      </c>
      <c r="DR50" s="188">
        <f t="shared" si="445"/>
        <v>369</v>
      </c>
      <c r="DS50" s="188">
        <f t="shared" si="446"/>
        <v>-709</v>
      </c>
      <c r="DT50" s="188">
        <f t="shared" si="447"/>
        <v>0</v>
      </c>
      <c r="DU50" s="188">
        <f t="shared" si="448"/>
        <v>-77</v>
      </c>
      <c r="DV50" s="188">
        <f t="shared" si="449"/>
        <v>-142</v>
      </c>
      <c r="DW50" s="188">
        <f t="shared" si="450"/>
        <v>58</v>
      </c>
      <c r="DX50" s="188">
        <f t="shared" si="451"/>
        <v>-115</v>
      </c>
      <c r="DY50" s="188">
        <f t="shared" si="452"/>
        <v>141</v>
      </c>
      <c r="DZ50" s="188">
        <f t="shared" si="453"/>
        <v>527</v>
      </c>
      <c r="EA50" s="188">
        <f t="shared" si="454"/>
        <v>-369</v>
      </c>
      <c r="EB50" s="188">
        <f t="shared" si="455"/>
        <v>1147</v>
      </c>
      <c r="EC50" s="188">
        <f t="shared" si="456"/>
        <v>0</v>
      </c>
      <c r="ED50" s="188">
        <f t="shared" si="457"/>
        <v>0</v>
      </c>
      <c r="EE50" s="716"/>
      <c r="EF50" s="190"/>
      <c r="EG50" s="188"/>
      <c r="EH50" s="188">
        <f t="shared" si="458"/>
        <v>-10.8</v>
      </c>
      <c r="EI50" s="188">
        <f t="shared" si="459"/>
        <v>681</v>
      </c>
      <c r="EJ50" s="188">
        <f t="shared" si="460"/>
        <v>-2.399999999999932</v>
      </c>
      <c r="EK50" s="188">
        <f t="shared" si="461"/>
        <v>3.7</v>
      </c>
      <c r="EL50" s="188">
        <f t="shared" si="462"/>
        <v>480.9</v>
      </c>
      <c r="EM50" s="188">
        <f t="shared" si="463"/>
        <v>24.6</v>
      </c>
      <c r="EN50" s="188">
        <f t="shared" si="464"/>
        <v>-90.5</v>
      </c>
      <c r="EO50" s="188">
        <f t="shared" si="465"/>
        <v>62.100000000000009</v>
      </c>
      <c r="EP50" s="338">
        <f t="shared" si="466"/>
        <v>136.70000000000002</v>
      </c>
      <c r="EQ50" s="338">
        <f t="shared" si="467"/>
        <v>1542</v>
      </c>
      <c r="ER50" s="338">
        <f t="shared" si="468"/>
        <v>1289</v>
      </c>
      <c r="ES50" s="338">
        <f t="shared" si="469"/>
        <v>73</v>
      </c>
      <c r="ET50" s="338">
        <f t="shared" si="470"/>
        <v>-567</v>
      </c>
      <c r="EU50" s="338">
        <f t="shared" si="471"/>
        <v>-5</v>
      </c>
      <c r="EV50" s="338">
        <f t="shared" si="472"/>
        <v>-71</v>
      </c>
      <c r="EW50" s="338">
        <f t="shared" si="473"/>
        <v>-136</v>
      </c>
      <c r="EX50" s="338">
        <f t="shared" si="474"/>
        <v>179</v>
      </c>
      <c r="EY50" s="338">
        <f t="shared" si="475"/>
        <v>-271</v>
      </c>
      <c r="EZ50" s="338">
        <f t="shared" si="476"/>
        <v>154</v>
      </c>
      <c r="FA50" s="338">
        <f t="shared" si="477"/>
        <v>543</v>
      </c>
      <c r="FB50" s="338">
        <f t="shared" si="478"/>
        <v>1079</v>
      </c>
      <c r="FC50" s="338">
        <f t="shared" si="479"/>
        <v>-298</v>
      </c>
      <c r="FD50" s="339">
        <f t="shared" si="480"/>
        <v>0</v>
      </c>
      <c r="FP50" s="330"/>
    </row>
    <row r="51" spans="1:172" ht="14.25" customHeight="1" thickBot="1">
      <c r="A51" s="7"/>
      <c r="B51" s="194" t="str">
        <f t="shared" ref="B51:B61" si="493">B155</f>
        <v>Net cash used for financing activities</v>
      </c>
      <c r="C51" s="195"/>
      <c r="D51" s="197">
        <f t="shared" ref="D51:AI51" si="494">SUM(D42:D50)</f>
        <v>0</v>
      </c>
      <c r="E51" s="196">
        <f t="shared" si="494"/>
        <v>0</v>
      </c>
      <c r="F51" s="196">
        <f t="shared" si="494"/>
        <v>0</v>
      </c>
      <c r="G51" s="198">
        <f t="shared" si="494"/>
        <v>0</v>
      </c>
      <c r="H51" s="197">
        <f t="shared" si="494"/>
        <v>0</v>
      </c>
      <c r="I51" s="196">
        <f t="shared" si="494"/>
        <v>0</v>
      </c>
      <c r="J51" s="196">
        <f t="shared" si="494"/>
        <v>0</v>
      </c>
      <c r="K51" s="198">
        <f t="shared" si="494"/>
        <v>0</v>
      </c>
      <c r="L51" s="197">
        <f t="shared" si="494"/>
        <v>-134.10000000000002</v>
      </c>
      <c r="M51" s="196">
        <f t="shared" si="494"/>
        <v>11.799999999999994</v>
      </c>
      <c r="N51" s="196">
        <f t="shared" si="494"/>
        <v>59.600000000000009</v>
      </c>
      <c r="O51" s="198">
        <f t="shared" si="494"/>
        <v>481.39999999999992</v>
      </c>
      <c r="P51" s="197">
        <f t="shared" si="494"/>
        <v>-48.4</v>
      </c>
      <c r="Q51" s="196">
        <f t="shared" si="494"/>
        <v>0.2000000000000024</v>
      </c>
      <c r="R51" s="196">
        <f t="shared" si="494"/>
        <v>-36</v>
      </c>
      <c r="S51" s="198">
        <f t="shared" si="494"/>
        <v>22.200000000000006</v>
      </c>
      <c r="T51" s="197">
        <f t="shared" si="494"/>
        <v>1134.3</v>
      </c>
      <c r="U51" s="196">
        <f t="shared" si="494"/>
        <v>-58.799999999999926</v>
      </c>
      <c r="V51" s="196">
        <f t="shared" si="494"/>
        <v>-85.2</v>
      </c>
      <c r="W51" s="198">
        <f t="shared" si="494"/>
        <v>-74.399999999999906</v>
      </c>
      <c r="X51" s="197">
        <f t="shared" si="494"/>
        <v>-68.600000000000009</v>
      </c>
      <c r="Y51" s="196">
        <f t="shared" si="494"/>
        <v>-52.499999999999986</v>
      </c>
      <c r="Z51" s="196">
        <f t="shared" si="494"/>
        <v>-29.70000000000001</v>
      </c>
      <c r="AA51" s="198">
        <f t="shared" si="494"/>
        <v>12.800000000000013</v>
      </c>
      <c r="AB51" s="197">
        <f t="shared" si="494"/>
        <v>-17.8</v>
      </c>
      <c r="AC51" s="196">
        <f t="shared" si="494"/>
        <v>-51.099999999999994</v>
      </c>
      <c r="AD51" s="196">
        <f t="shared" si="494"/>
        <v>-29.6</v>
      </c>
      <c r="AE51" s="198">
        <f t="shared" si="494"/>
        <v>459.4</v>
      </c>
      <c r="AF51" s="197">
        <f t="shared" si="494"/>
        <v>-29.799999999999994</v>
      </c>
      <c r="AG51" s="196">
        <f t="shared" si="494"/>
        <v>-12.500000000000011</v>
      </c>
      <c r="AH51" s="196">
        <f t="shared" si="494"/>
        <v>-47.300000000000011</v>
      </c>
      <c r="AI51" s="198">
        <f t="shared" si="494"/>
        <v>-45.499999999999986</v>
      </c>
      <c r="AJ51" s="197">
        <f t="shared" ref="AJ51:BO51" si="495">SUM(AJ42:AJ50)</f>
        <v>-37.500000000000007</v>
      </c>
      <c r="AK51" s="196">
        <f t="shared" si="495"/>
        <v>536.9</v>
      </c>
      <c r="AL51" s="196">
        <f t="shared" si="495"/>
        <v>-68.899999999999977</v>
      </c>
      <c r="AM51" s="198">
        <f t="shared" si="495"/>
        <v>-24.50000000000006</v>
      </c>
      <c r="AN51" s="197">
        <f t="shared" si="495"/>
        <v>266.09999999999997</v>
      </c>
      <c r="AO51" s="196">
        <f t="shared" si="495"/>
        <v>-52.100000000000009</v>
      </c>
      <c r="AP51" s="196">
        <f t="shared" si="495"/>
        <v>-68.299999999999912</v>
      </c>
      <c r="AQ51" s="198">
        <f t="shared" si="495"/>
        <v>-76.000000000000043</v>
      </c>
      <c r="AR51" s="197">
        <f t="shared" si="495"/>
        <v>-106.59999999999998</v>
      </c>
      <c r="AS51" s="196">
        <f t="shared" si="495"/>
        <v>80.40000000000002</v>
      </c>
      <c r="AT51" s="196">
        <f t="shared" si="495"/>
        <v>81.599999999999994</v>
      </c>
      <c r="AU51" s="198">
        <f t="shared" si="495"/>
        <v>-170.9</v>
      </c>
      <c r="AV51" s="197">
        <f t="shared" si="495"/>
        <v>-69.3</v>
      </c>
      <c r="AW51" s="196">
        <f t="shared" si="495"/>
        <v>469.40000000000003</v>
      </c>
      <c r="AX51" s="196">
        <f t="shared" si="495"/>
        <v>-132.19999999999999</v>
      </c>
      <c r="AY51" s="198">
        <f t="shared" si="495"/>
        <v>376.1</v>
      </c>
      <c r="AZ51" s="197">
        <f t="shared" si="495"/>
        <v>211</v>
      </c>
      <c r="BA51" s="196">
        <f t="shared" si="495"/>
        <v>403</v>
      </c>
      <c r="BB51" s="196">
        <f t="shared" si="495"/>
        <v>1342</v>
      </c>
      <c r="BC51" s="198">
        <f t="shared" si="495"/>
        <v>259</v>
      </c>
      <c r="BD51" s="197">
        <f t="shared" si="495"/>
        <v>-182</v>
      </c>
      <c r="BE51" s="196">
        <f t="shared" si="495"/>
        <v>65</v>
      </c>
      <c r="BF51" s="196">
        <f t="shared" si="495"/>
        <v>-87</v>
      </c>
      <c r="BG51" s="198">
        <f t="shared" si="495"/>
        <v>329</v>
      </c>
      <c r="BH51" s="197">
        <f t="shared" si="495"/>
        <v>-88</v>
      </c>
      <c r="BI51" s="196">
        <f t="shared" si="495"/>
        <v>-303</v>
      </c>
      <c r="BJ51" s="196">
        <f t="shared" si="495"/>
        <v>286</v>
      </c>
      <c r="BK51" s="198">
        <f t="shared" si="495"/>
        <v>-185</v>
      </c>
      <c r="BL51" s="197">
        <f t="shared" si="495"/>
        <v>-221</v>
      </c>
      <c r="BM51" s="196">
        <f t="shared" si="495"/>
        <v>-261</v>
      </c>
      <c r="BN51" s="196">
        <f t="shared" si="495"/>
        <v>-490</v>
      </c>
      <c r="BO51" s="198">
        <f t="shared" si="495"/>
        <v>-248</v>
      </c>
      <c r="BP51" s="197">
        <f t="shared" ref="BP51:CC51" si="496">SUM(BP42:BP50)</f>
        <v>-798</v>
      </c>
      <c r="BQ51" s="196">
        <f t="shared" si="496"/>
        <v>-234</v>
      </c>
      <c r="BR51" s="196">
        <f t="shared" si="496"/>
        <v>-244</v>
      </c>
      <c r="BS51" s="198">
        <f t="shared" si="496"/>
        <v>240</v>
      </c>
      <c r="BT51" s="197">
        <f t="shared" si="496"/>
        <v>65</v>
      </c>
      <c r="BU51" s="196">
        <f t="shared" si="496"/>
        <v>74</v>
      </c>
      <c r="BV51" s="196">
        <f t="shared" si="496"/>
        <v>208</v>
      </c>
      <c r="BW51" s="198">
        <f t="shared" si="496"/>
        <v>150</v>
      </c>
      <c r="BX51" s="197">
        <f t="shared" si="496"/>
        <v>46</v>
      </c>
      <c r="BY51" s="196">
        <f t="shared" si="496"/>
        <v>85</v>
      </c>
      <c r="BZ51" s="196">
        <f t="shared" si="496"/>
        <v>-74</v>
      </c>
      <c r="CA51" s="198">
        <f t="shared" si="496"/>
        <v>265</v>
      </c>
      <c r="CB51" s="197">
        <f t="shared" si="496"/>
        <v>-735</v>
      </c>
      <c r="CC51" s="196">
        <f t="shared" si="496"/>
        <v>-271</v>
      </c>
      <c r="CD51" s="196">
        <f t="shared" ref="CD51:CI51" si="497">SUM(CD42:CD50)</f>
        <v>-1228</v>
      </c>
      <c r="CE51" s="198">
        <f t="shared" si="497"/>
        <v>286</v>
      </c>
      <c r="CF51" s="197">
        <f t="shared" si="497"/>
        <v>-806</v>
      </c>
      <c r="CG51" s="196">
        <f t="shared" si="497"/>
        <v>662</v>
      </c>
      <c r="CH51" s="196">
        <f t="shared" si="497"/>
        <v>359</v>
      </c>
      <c r="CI51" s="198">
        <f t="shared" si="497"/>
        <v>-933</v>
      </c>
      <c r="CJ51" s="197">
        <f t="shared" ref="CJ51:CM51" si="498">SUM(CJ42:CJ50)</f>
        <v>-140</v>
      </c>
      <c r="CK51" s="196">
        <f t="shared" si="498"/>
        <v>72</v>
      </c>
      <c r="CL51" s="196">
        <f t="shared" si="498"/>
        <v>1771</v>
      </c>
      <c r="CM51" s="198">
        <f t="shared" si="498"/>
        <v>42</v>
      </c>
      <c r="CN51" s="197">
        <f t="shared" ref="CN51:CQ51" si="499">SUM(CN42:CN50)</f>
        <v>-212</v>
      </c>
      <c r="CO51" s="196">
        <f t="shared" si="499"/>
        <v>2553</v>
      </c>
      <c r="CP51" s="196">
        <f t="shared" si="499"/>
        <v>-1134</v>
      </c>
      <c r="CQ51" s="198">
        <f t="shared" si="499"/>
        <v>-858</v>
      </c>
      <c r="CR51" s="197">
        <f t="shared" ref="CR51" si="500">SUM(CR42:CR50)</f>
        <v>-1282</v>
      </c>
      <c r="CS51" s="196">
        <f t="shared" ref="CS51:CU51" si="501">SUM(CS42:CS50)</f>
        <v>-138</v>
      </c>
      <c r="CT51" s="196">
        <f t="shared" si="501"/>
        <v>1919.6554681286761</v>
      </c>
      <c r="CU51" s="198">
        <f t="shared" si="501"/>
        <v>14.333357115914623</v>
      </c>
      <c r="CV51" s="197">
        <f t="shared" ref="CV51:CY51" si="502">SUM(CV42:CV50)</f>
        <v>14.565868737021447</v>
      </c>
      <c r="CW51" s="196">
        <f t="shared" si="502"/>
        <v>14.802169069269439</v>
      </c>
      <c r="CX51" s="196">
        <f t="shared" si="502"/>
        <v>15.042320124252001</v>
      </c>
      <c r="CY51" s="198">
        <f t="shared" si="502"/>
        <v>15.286384932998772</v>
      </c>
      <c r="CZ51" s="197">
        <f t="shared" ref="CZ51:DC51" si="503">SUM(CZ42:CZ50)</f>
        <v>15.534427562797646</v>
      </c>
      <c r="DA51" s="196">
        <f t="shared" si="503"/>
        <v>15.786513134320558</v>
      </c>
      <c r="DB51" s="196">
        <f t="shared" si="503"/>
        <v>16.042707838987553</v>
      </c>
      <c r="DC51" s="198">
        <f t="shared" si="503"/>
        <v>16.303078956685567</v>
      </c>
      <c r="DD51" s="895"/>
      <c r="DE51" s="197">
        <f t="shared" ref="DE51:EB51" si="504">SUM(DE42:DE50)</f>
        <v>0</v>
      </c>
      <c r="DF51" s="196">
        <f t="shared" si="504"/>
        <v>0</v>
      </c>
      <c r="DG51" s="196">
        <f t="shared" si="504"/>
        <v>418.69999999999993</v>
      </c>
      <c r="DH51" s="196">
        <f t="shared" si="504"/>
        <v>-62</v>
      </c>
      <c r="DI51" s="196">
        <f t="shared" si="504"/>
        <v>915.90000000000009</v>
      </c>
      <c r="DJ51" s="196">
        <f t="shared" si="504"/>
        <v>-137.99999999999994</v>
      </c>
      <c r="DK51" s="196">
        <f t="shared" si="504"/>
        <v>360.9</v>
      </c>
      <c r="DL51" s="196">
        <f t="shared" si="504"/>
        <v>-135.09999999999997</v>
      </c>
      <c r="DM51" s="196">
        <f t="shared" si="504"/>
        <v>406</v>
      </c>
      <c r="DN51" s="196">
        <f t="shared" si="504"/>
        <v>69.699999999999989</v>
      </c>
      <c r="DO51" s="196">
        <f t="shared" si="504"/>
        <v>-115.49999999999997</v>
      </c>
      <c r="DP51" s="196">
        <f t="shared" si="504"/>
        <v>644</v>
      </c>
      <c r="DQ51" s="196">
        <f t="shared" si="504"/>
        <v>2215</v>
      </c>
      <c r="DR51" s="196">
        <f t="shared" si="504"/>
        <v>125</v>
      </c>
      <c r="DS51" s="196">
        <f t="shared" si="504"/>
        <v>-290</v>
      </c>
      <c r="DT51" s="196">
        <f t="shared" si="504"/>
        <v>-1220</v>
      </c>
      <c r="DU51" s="196">
        <f t="shared" si="504"/>
        <v>-1036</v>
      </c>
      <c r="DV51" s="196">
        <f t="shared" si="504"/>
        <v>497</v>
      </c>
      <c r="DW51" s="196">
        <f t="shared" si="504"/>
        <v>322</v>
      </c>
      <c r="DX51" s="196">
        <f t="shared" si="504"/>
        <v>-1948</v>
      </c>
      <c r="DY51" s="196">
        <f t="shared" si="504"/>
        <v>-718</v>
      </c>
      <c r="DZ51" s="196">
        <f t="shared" si="504"/>
        <v>1745</v>
      </c>
      <c r="EA51" s="196">
        <f t="shared" si="504"/>
        <v>349</v>
      </c>
      <c r="EB51" s="196">
        <f t="shared" si="504"/>
        <v>513.98882524459077</v>
      </c>
      <c r="EC51" s="196">
        <f t="shared" ref="EC51:ED51" si="505">SUM(EC42:EC50)</f>
        <v>59.696742863541658</v>
      </c>
      <c r="ED51" s="196">
        <f t="shared" si="505"/>
        <v>63.666727492791324</v>
      </c>
      <c r="EE51" s="716"/>
      <c r="EF51" s="197"/>
      <c r="EG51" s="196"/>
      <c r="EH51" s="196">
        <f t="shared" ref="EH51:EY51" si="506">SUM(EH42:EH50)</f>
        <v>504.39999999999992</v>
      </c>
      <c r="EI51" s="196">
        <f t="shared" si="506"/>
        <v>1120.7</v>
      </c>
      <c r="EJ51" s="196">
        <f t="shared" si="506"/>
        <v>-286.99999999999983</v>
      </c>
      <c r="EK51" s="196">
        <f t="shared" si="506"/>
        <v>-87.2</v>
      </c>
      <c r="EL51" s="196">
        <f t="shared" si="506"/>
        <v>348.90000000000003</v>
      </c>
      <c r="EM51" s="196">
        <f t="shared" si="506"/>
        <v>-142.79999999999998</v>
      </c>
      <c r="EN51" s="196">
        <f t="shared" si="506"/>
        <v>709.6</v>
      </c>
      <c r="EO51" s="196">
        <f t="shared" si="506"/>
        <v>-302.99999999999994</v>
      </c>
      <c r="EP51" s="196">
        <f t="shared" si="506"/>
        <v>-78.19999999999996</v>
      </c>
      <c r="EQ51" s="196">
        <f t="shared" si="506"/>
        <v>924.30000000000007</v>
      </c>
      <c r="ER51" s="196">
        <f t="shared" si="506"/>
        <v>1822</v>
      </c>
      <c r="ES51" s="196">
        <f t="shared" si="506"/>
        <v>219</v>
      </c>
      <c r="ET51" s="196">
        <f t="shared" si="506"/>
        <v>-423</v>
      </c>
      <c r="EU51" s="196">
        <f t="shared" si="506"/>
        <v>-1797</v>
      </c>
      <c r="EV51" s="196">
        <f t="shared" si="506"/>
        <v>-173</v>
      </c>
      <c r="EW51" s="196">
        <f t="shared" si="506"/>
        <v>478</v>
      </c>
      <c r="EX51" s="196">
        <f t="shared" si="506"/>
        <v>-459</v>
      </c>
      <c r="EY51" s="196">
        <f t="shared" si="506"/>
        <v>-2019</v>
      </c>
      <c r="EZ51" s="196">
        <f t="shared" si="476"/>
        <v>-52</v>
      </c>
      <c r="FA51" s="196">
        <f t="shared" si="477"/>
        <v>1673</v>
      </c>
      <c r="FB51" s="196">
        <f t="shared" si="478"/>
        <v>-721</v>
      </c>
      <c r="FC51" s="196">
        <f>SUM(CP51:CS51)</f>
        <v>-3412</v>
      </c>
      <c r="FD51" s="198">
        <f>SUM(CQ51:CT51)</f>
        <v>-358.34453187132385</v>
      </c>
      <c r="FP51" s="330"/>
    </row>
    <row r="52" spans="1:172" ht="14.25" customHeight="1" thickTop="1">
      <c r="A52" s="7"/>
      <c r="B52" s="43"/>
      <c r="C52" s="44"/>
      <c r="D52" s="203"/>
      <c r="E52" s="202"/>
      <c r="F52" s="202"/>
      <c r="G52" s="204"/>
      <c r="H52" s="203"/>
      <c r="I52" s="202"/>
      <c r="J52" s="202"/>
      <c r="K52" s="204"/>
      <c r="L52" s="203"/>
      <c r="M52" s="202"/>
      <c r="N52" s="202"/>
      <c r="O52" s="204"/>
      <c r="P52" s="203"/>
      <c r="Q52" s="202"/>
      <c r="R52" s="202"/>
      <c r="S52" s="204"/>
      <c r="T52" s="203"/>
      <c r="U52" s="202"/>
      <c r="V52" s="202"/>
      <c r="W52" s="204"/>
      <c r="X52" s="203"/>
      <c r="Y52" s="202"/>
      <c r="Z52" s="202"/>
      <c r="AA52" s="204"/>
      <c r="AB52" s="203"/>
      <c r="AC52" s="202"/>
      <c r="AD52" s="202"/>
      <c r="AE52" s="204"/>
      <c r="AF52" s="203"/>
      <c r="AG52" s="202"/>
      <c r="AH52" s="202"/>
      <c r="AI52" s="204"/>
      <c r="AJ52" s="203"/>
      <c r="AK52" s="202"/>
      <c r="AL52" s="202"/>
      <c r="AM52" s="204"/>
      <c r="AN52" s="203"/>
      <c r="AO52" s="202"/>
      <c r="AP52" s="202"/>
      <c r="AQ52" s="204"/>
      <c r="AR52" s="203"/>
      <c r="AS52" s="202"/>
      <c r="AT52" s="202"/>
      <c r="AU52" s="204"/>
      <c r="AV52" s="203"/>
      <c r="AW52" s="202"/>
      <c r="AX52" s="202"/>
      <c r="AY52" s="204"/>
      <c r="AZ52" s="203"/>
      <c r="BA52" s="202"/>
      <c r="BB52" s="202"/>
      <c r="BC52" s="204"/>
      <c r="BD52" s="203"/>
      <c r="BE52" s="202"/>
      <c r="BF52" s="202"/>
      <c r="BG52" s="204"/>
      <c r="BH52" s="203"/>
      <c r="BI52" s="202"/>
      <c r="BJ52" s="202"/>
      <c r="BK52" s="204"/>
      <c r="BL52" s="203"/>
      <c r="BM52" s="202"/>
      <c r="BN52" s="202"/>
      <c r="BO52" s="204"/>
      <c r="BP52" s="203"/>
      <c r="BQ52" s="202"/>
      <c r="BR52" s="202"/>
      <c r="BS52" s="204"/>
      <c r="BT52" s="203"/>
      <c r="BU52" s="202"/>
      <c r="BV52" s="202"/>
      <c r="BW52" s="204"/>
      <c r="BX52" s="203"/>
      <c r="BY52" s="202"/>
      <c r="BZ52" s="202"/>
      <c r="CA52" s="204"/>
      <c r="CB52" s="203"/>
      <c r="CC52" s="202"/>
      <c r="CD52" s="202"/>
      <c r="CE52" s="204"/>
      <c r="CF52" s="203"/>
      <c r="CG52" s="202"/>
      <c r="CH52" s="202"/>
      <c r="CI52" s="204"/>
      <c r="CJ52" s="203"/>
      <c r="CK52" s="202"/>
      <c r="CL52" s="202"/>
      <c r="CM52" s="204"/>
      <c r="CN52" s="203"/>
      <c r="CO52" s="202"/>
      <c r="CP52" s="202"/>
      <c r="CQ52" s="204"/>
      <c r="CR52" s="203"/>
      <c r="CS52" s="202"/>
      <c r="CT52" s="202"/>
      <c r="CU52" s="204"/>
      <c r="CV52" s="203"/>
      <c r="CW52" s="202"/>
      <c r="CX52" s="202"/>
      <c r="CY52" s="204"/>
      <c r="CZ52" s="203"/>
      <c r="DA52" s="202"/>
      <c r="DB52" s="202"/>
      <c r="DC52" s="204"/>
      <c r="DD52" s="895"/>
      <c r="DE52" s="203"/>
      <c r="DF52" s="202"/>
      <c r="DG52" s="202"/>
      <c r="DH52" s="202"/>
      <c r="DI52" s="202"/>
      <c r="DJ52" s="202"/>
      <c r="DK52" s="202"/>
      <c r="DL52" s="202"/>
      <c r="DM52" s="202"/>
      <c r="DN52" s="202"/>
      <c r="DO52" s="202"/>
      <c r="DP52" s="202"/>
      <c r="DQ52" s="202"/>
      <c r="DR52" s="202"/>
      <c r="DS52" s="202"/>
      <c r="DT52" s="202"/>
      <c r="DU52" s="202"/>
      <c r="DV52" s="202"/>
      <c r="DW52" s="202"/>
      <c r="DX52" s="202"/>
      <c r="DY52" s="202"/>
      <c r="DZ52" s="202"/>
      <c r="EA52" s="202"/>
      <c r="EB52" s="202"/>
      <c r="EC52" s="202"/>
      <c r="ED52" s="202"/>
      <c r="EE52" s="18"/>
      <c r="EF52" s="203"/>
      <c r="EG52" s="202"/>
      <c r="EH52" s="202"/>
      <c r="EI52" s="202"/>
      <c r="EJ52" s="202"/>
      <c r="EK52" s="202"/>
      <c r="EL52" s="202"/>
      <c r="EM52" s="202"/>
      <c r="EN52" s="202"/>
      <c r="EO52" s="202"/>
      <c r="EP52" s="202"/>
      <c r="EQ52" s="202"/>
      <c r="ER52" s="202"/>
      <c r="ES52" s="202"/>
      <c r="ET52" s="202"/>
      <c r="EU52" s="202"/>
      <c r="EV52" s="202"/>
      <c r="EW52" s="202"/>
      <c r="EX52" s="202"/>
      <c r="EY52" s="202"/>
      <c r="EZ52" s="202"/>
      <c r="FA52" s="202"/>
      <c r="FB52" s="202"/>
      <c r="FC52" s="202"/>
      <c r="FD52" s="278"/>
      <c r="FP52" s="330"/>
    </row>
    <row r="53" spans="1:172" ht="14.25" customHeight="1">
      <c r="A53" s="7"/>
      <c r="B53" s="43" t="str">
        <f t="shared" si="493"/>
        <v>Effect of exchange rate changes on cash and cash equivalents</v>
      </c>
      <c r="C53" s="44"/>
      <c r="D53" s="190">
        <f>D157</f>
        <v>-159.30000000000001</v>
      </c>
      <c r="E53" s="188">
        <f>E157-D53</f>
        <v>-183.5</v>
      </c>
      <c r="F53" s="188">
        <f>F157-E53-D53</f>
        <v>-191.2</v>
      </c>
      <c r="G53" s="189">
        <f>G157-F53-E53-D53</f>
        <v>-281.10000000000008</v>
      </c>
      <c r="H53" s="190">
        <f>H157</f>
        <v>-332.2</v>
      </c>
      <c r="I53" s="188">
        <f>I157-H53</f>
        <v>-216.09999999999997</v>
      </c>
      <c r="J53" s="188">
        <f>J157-I53-H53</f>
        <v>-60.200000000000045</v>
      </c>
      <c r="K53" s="189">
        <f>K157-J53-I53-H53</f>
        <v>-23</v>
      </c>
      <c r="L53" s="190">
        <f>L157</f>
        <v>0</v>
      </c>
      <c r="M53" s="188">
        <f>M157-L53</f>
        <v>0</v>
      </c>
      <c r="N53" s="188">
        <f>N157-M53-L53</f>
        <v>9.9999999999909051E-2</v>
      </c>
      <c r="O53" s="189">
        <f>O157-N53-M53-L53</f>
        <v>-9.9999999999909051E-2</v>
      </c>
      <c r="P53" s="190">
        <f>P157</f>
        <v>0</v>
      </c>
      <c r="Q53" s="188">
        <f>Q157-P53</f>
        <v>0</v>
      </c>
      <c r="R53" s="188">
        <f>R157-Q53-P53</f>
        <v>0</v>
      </c>
      <c r="S53" s="189">
        <f>S157-R53-Q53-P53</f>
        <v>1.7999999999999545</v>
      </c>
      <c r="T53" s="190">
        <f>T157</f>
        <v>-1.7999999999999545</v>
      </c>
      <c r="U53" s="188">
        <f>U157-T53</f>
        <v>3.6000000000009891</v>
      </c>
      <c r="V53" s="188">
        <f>V157-U53-T53</f>
        <v>-1.500000000000739</v>
      </c>
      <c r="W53" s="189">
        <f>W157-V53-U53-T53</f>
        <v>-0.10000000000025011</v>
      </c>
      <c r="X53" s="190">
        <f>X157</f>
        <v>-7.4999999999992042</v>
      </c>
      <c r="Y53" s="188">
        <f>Y157-X53</f>
        <v>4.199999999999136</v>
      </c>
      <c r="Z53" s="188">
        <f>Z157-Y53-X53</f>
        <v>3.3000000000000682</v>
      </c>
      <c r="AA53" s="189">
        <f>AA157-Z53-Y53-X53</f>
        <v>0</v>
      </c>
      <c r="AB53" s="190">
        <f>AB157</f>
        <v>0</v>
      </c>
      <c r="AC53" s="188">
        <f>AC157-AB53</f>
        <v>0</v>
      </c>
      <c r="AD53" s="188">
        <f>AD157-AC53-AB53</f>
        <v>0</v>
      </c>
      <c r="AE53" s="189">
        <f>AE157-AD53-AC53-AB53</f>
        <v>0</v>
      </c>
      <c r="AF53" s="190">
        <f>AF157</f>
        <v>0</v>
      </c>
      <c r="AG53" s="188">
        <f>AG157-AF53</f>
        <v>0</v>
      </c>
      <c r="AH53" s="188">
        <f>AH157-AG53-AF53</f>
        <v>0.59999999999951115</v>
      </c>
      <c r="AI53" s="189">
        <f>AI157-AH53-AG53-AF53</f>
        <v>1.4999999999999432</v>
      </c>
      <c r="AJ53" s="190">
        <f>AJ157</f>
        <v>1.5</v>
      </c>
      <c r="AK53" s="188">
        <f>AK157-AJ53</f>
        <v>-0.39999999999997726</v>
      </c>
      <c r="AL53" s="188">
        <f>AL157-AK53-AJ53</f>
        <v>1.5999999999997954</v>
      </c>
      <c r="AM53" s="189">
        <f>AM157-AL53-AK53-AJ53</f>
        <v>1.6000000000000227</v>
      </c>
      <c r="AN53" s="190">
        <f>AN157</f>
        <v>0.50000000000022737</v>
      </c>
      <c r="AO53" s="188">
        <f>AO157-AN53</f>
        <v>-1.7053025658242404E-13</v>
      </c>
      <c r="AP53" s="188">
        <f>AP157-AO53-AN53</f>
        <v>-3.4000000000000909</v>
      </c>
      <c r="AQ53" s="189">
        <f>AQ157-AP53-AO53-AN53</f>
        <v>-3.3999999999999657</v>
      </c>
      <c r="AR53" s="190">
        <f>AR157</f>
        <v>-3.4000000000000341</v>
      </c>
      <c r="AS53" s="188">
        <f>AS157-AR53</f>
        <v>-3.3999999999999657</v>
      </c>
      <c r="AT53" s="188">
        <f>AT157-AS53-AR53</f>
        <v>0</v>
      </c>
      <c r="AU53" s="189">
        <f>AU157-AT53-AS53-AR53</f>
        <v>0</v>
      </c>
      <c r="AV53" s="190">
        <f>AV157</f>
        <v>2.0000000000001137</v>
      </c>
      <c r="AW53" s="188">
        <f>AW157-AV53</f>
        <v>-1.1368683772161603E-13</v>
      </c>
      <c r="AX53" s="188">
        <f>AX157-AW53-AV53</f>
        <v>-2.2737367544323206E-13</v>
      </c>
      <c r="AY53" s="189">
        <f>AY157-AX53-AW53-AV53</f>
        <v>4.5474735088646412E-13</v>
      </c>
      <c r="AZ53" s="190">
        <f>AZ157</f>
        <v>-0.3</v>
      </c>
      <c r="BA53" s="188">
        <f>BA157-AZ53</f>
        <v>0</v>
      </c>
      <c r="BB53" s="188">
        <f>BB157-BA53-AZ53</f>
        <v>0</v>
      </c>
      <c r="BC53" s="189">
        <f>BC157-BB53-BA53-AZ53</f>
        <v>0</v>
      </c>
      <c r="BD53" s="190">
        <f>BD157</f>
        <v>0</v>
      </c>
      <c r="BE53" s="188">
        <f>BE157-BD53</f>
        <v>0</v>
      </c>
      <c r="BF53" s="188">
        <f>BF157-BE53-BD53</f>
        <v>0</v>
      </c>
      <c r="BG53" s="189">
        <f>BG157-BF53-BE53-BD53</f>
        <v>0</v>
      </c>
      <c r="BH53" s="190">
        <f>BH157</f>
        <v>0</v>
      </c>
      <c r="BI53" s="188">
        <f>BI157-BH53</f>
        <v>0</v>
      </c>
      <c r="BJ53" s="188">
        <f>BJ157-BI53-BH53</f>
        <v>0</v>
      </c>
      <c r="BK53" s="189">
        <f>BK157-BJ53-BI53-BH53</f>
        <v>0</v>
      </c>
      <c r="BL53" s="190">
        <f>BL157</f>
        <v>0</v>
      </c>
      <c r="BM53" s="188">
        <f>BM157-BL53</f>
        <v>0</v>
      </c>
      <c r="BN53" s="188">
        <f>BN157-BM53-BL53</f>
        <v>0</v>
      </c>
      <c r="BO53" s="189">
        <f>BO157-BN53-BM53-BL53</f>
        <v>0</v>
      </c>
      <c r="BP53" s="190">
        <f>BP157</f>
        <v>0</v>
      </c>
      <c r="BQ53" s="188">
        <f>BQ157-BP53</f>
        <v>0</v>
      </c>
      <c r="BR53" s="188">
        <f>BR157-BQ53-BP53</f>
        <v>0</v>
      </c>
      <c r="BS53" s="189">
        <f>BS157-BR53-BQ53-BP53</f>
        <v>0</v>
      </c>
      <c r="BT53" s="190">
        <f>BT157</f>
        <v>0</v>
      </c>
      <c r="BU53" s="191">
        <f>BU157-BT53</f>
        <v>0</v>
      </c>
      <c r="BV53" s="188">
        <f>BV157-BU53-BT53</f>
        <v>0</v>
      </c>
      <c r="BW53" s="192">
        <v>0</v>
      </c>
      <c r="BX53" s="190">
        <f>BX157</f>
        <v>0</v>
      </c>
      <c r="BY53" s="191">
        <f>BY157-BX53</f>
        <v>0</v>
      </c>
      <c r="BZ53" s="188">
        <f>BZ157-BY53-BX53</f>
        <v>0</v>
      </c>
      <c r="CA53" s="192">
        <v>0</v>
      </c>
      <c r="CB53" s="190">
        <f>CB157</f>
        <v>-19</v>
      </c>
      <c r="CC53" s="188">
        <f>CC157-CB53</f>
        <v>4</v>
      </c>
      <c r="CD53" s="188">
        <f>CD157-CC53-CB53</f>
        <v>2</v>
      </c>
      <c r="CE53" s="189">
        <f>CE157-CD53-CC53-CB53</f>
        <v>-15</v>
      </c>
      <c r="CF53" s="190">
        <f>CF157</f>
        <v>-96</v>
      </c>
      <c r="CG53" s="188">
        <f>CG157-CF53</f>
        <v>-4</v>
      </c>
      <c r="CH53" s="188">
        <f>CH157-CG53-CF53</f>
        <v>-27</v>
      </c>
      <c r="CI53" s="189">
        <f>CI157-CH53-CG53-CF53</f>
        <v>6</v>
      </c>
      <c r="CJ53" s="190">
        <f>CJ157</f>
        <v>-2</v>
      </c>
      <c r="CK53" s="188">
        <f>CK157-CJ53</f>
        <v>4</v>
      </c>
      <c r="CL53" s="188">
        <f>CL157-CK53-CJ53</f>
        <v>5</v>
      </c>
      <c r="CM53" s="189">
        <f>CM157-CL53-CK53-CJ53</f>
        <v>1</v>
      </c>
      <c r="CN53" s="190">
        <f>CN157</f>
        <v>-37</v>
      </c>
      <c r="CO53" s="188">
        <f>CO157-CN53</f>
        <v>12</v>
      </c>
      <c r="CP53" s="188">
        <f>CP157-CO53-CN53</f>
        <v>32</v>
      </c>
      <c r="CQ53" s="189">
        <f>CQ157-CP53-CO53-CN53</f>
        <v>-19</v>
      </c>
      <c r="CR53" s="190">
        <f>CR157</f>
        <v>-6</v>
      </c>
      <c r="CS53" s="188">
        <v>0</v>
      </c>
      <c r="CT53" s="188">
        <v>0</v>
      </c>
      <c r="CU53" s="189">
        <v>0</v>
      </c>
      <c r="CV53" s="190">
        <v>0</v>
      </c>
      <c r="CW53" s="188">
        <v>0</v>
      </c>
      <c r="CX53" s="188">
        <v>0</v>
      </c>
      <c r="CY53" s="189">
        <v>0</v>
      </c>
      <c r="CZ53" s="190">
        <v>0</v>
      </c>
      <c r="DA53" s="188">
        <v>0</v>
      </c>
      <c r="DB53" s="188">
        <v>0</v>
      </c>
      <c r="DC53" s="189">
        <v>0</v>
      </c>
      <c r="DD53" s="895"/>
      <c r="DE53" s="190">
        <f>SUM(D53:G53)</f>
        <v>-815.10000000000014</v>
      </c>
      <c r="DF53" s="188">
        <f>SUM(H53:K53)</f>
        <v>-631.5</v>
      </c>
      <c r="DG53" s="188">
        <f>SUM(L53:O53)</f>
        <v>0</v>
      </c>
      <c r="DH53" s="188">
        <f>SUM(P53:S53)</f>
        <v>1.7999999999999545</v>
      </c>
      <c r="DI53" s="188">
        <f>SUM(T53:W53)</f>
        <v>0.20000000000004547</v>
      </c>
      <c r="DJ53" s="188">
        <f>SUM(X53:AA53)</f>
        <v>0</v>
      </c>
      <c r="DK53" s="188">
        <f>SUM(AB53:AE53)</f>
        <v>0</v>
      </c>
      <c r="DL53" s="188">
        <f>SUM(AF53:AI53)</f>
        <v>2.0999999999994543</v>
      </c>
      <c r="DM53" s="188">
        <f>SUM(AJ53:AM53)</f>
        <v>4.2999999999998408</v>
      </c>
      <c r="DN53" s="188">
        <f>SUM(AN53:AQ53)</f>
        <v>-6.3</v>
      </c>
      <c r="DO53" s="188">
        <f>SUM(AR53:AU53)</f>
        <v>-6.8</v>
      </c>
      <c r="DP53" s="188">
        <f>SUM(AV53:AY53)</f>
        <v>2.0000000000002274</v>
      </c>
      <c r="DQ53" s="188">
        <f>SUM(AZ53:BC53)</f>
        <v>-0.3</v>
      </c>
      <c r="DR53" s="188">
        <f>SUM(BD53:BG53)</f>
        <v>0</v>
      </c>
      <c r="DS53" s="188">
        <f>SUM(BH53:BK53)</f>
        <v>0</v>
      </c>
      <c r="DT53" s="188">
        <f>SUM(BL53:BO53)</f>
        <v>0</v>
      </c>
      <c r="DU53" s="188">
        <f>SUM(BP53:BS53)</f>
        <v>0</v>
      </c>
      <c r="DV53" s="188">
        <f>SUM(BT53:BW53)</f>
        <v>0</v>
      </c>
      <c r="DW53" s="188">
        <f>SUM(BX53:CA53)</f>
        <v>0</v>
      </c>
      <c r="DX53" s="188">
        <f>SUM(CB53:CE53)</f>
        <v>-28</v>
      </c>
      <c r="DY53" s="188">
        <f>SUM(CF53:CI53)</f>
        <v>-121</v>
      </c>
      <c r="DZ53" s="188">
        <f>SUM(CJ53:CM53)</f>
        <v>8</v>
      </c>
      <c r="EA53" s="188">
        <f t="shared" ref="EA53" si="507">SUM(CN53:CQ53)</f>
        <v>-12</v>
      </c>
      <c r="EB53" s="188">
        <f t="shared" ref="EB53" si="508">SUM(CR53:CU53)</f>
        <v>-6</v>
      </c>
      <c r="EC53" s="188">
        <f>SUM(CV53:CY53)</f>
        <v>0</v>
      </c>
      <c r="ED53" s="188">
        <f>SUM(CZ53:DC53)</f>
        <v>0</v>
      </c>
      <c r="EE53" s="18"/>
      <c r="EF53" s="190"/>
      <c r="EG53" s="188"/>
      <c r="EH53" s="188">
        <f>SUM(M53:P53)</f>
        <v>0</v>
      </c>
      <c r="EI53" s="188">
        <f>SUM(Q53:T53)</f>
        <v>0</v>
      </c>
      <c r="EJ53" s="188">
        <f>SUM(U53:X53)</f>
        <v>-5.4999999999992042</v>
      </c>
      <c r="EK53" s="188">
        <f>SUM(Y53:AB53)</f>
        <v>7.4999999999992042</v>
      </c>
      <c r="EL53" s="188">
        <f>SUM(AC53:AF53)</f>
        <v>0</v>
      </c>
      <c r="EM53" s="188">
        <f>SUM(AG53:AJ53)</f>
        <v>3.5999999999994543</v>
      </c>
      <c r="EN53" s="188">
        <f>SUM(AK53:AN53)</f>
        <v>3.3000000000000682</v>
      </c>
      <c r="EO53" s="188">
        <f>SUM(AO53:AR53)</f>
        <v>-10.200000000000262</v>
      </c>
      <c r="EP53" s="338">
        <f>SUM(AS53:AV53)</f>
        <v>-1.399999999999852</v>
      </c>
      <c r="EQ53" s="338">
        <f>SUM(AW53:AZ53)</f>
        <v>-0.2999999999998863</v>
      </c>
      <c r="ER53" s="338">
        <f>SUM(BA53:BD53)</f>
        <v>0</v>
      </c>
      <c r="ES53" s="338">
        <f>SUM(BE53:BH53)</f>
        <v>0</v>
      </c>
      <c r="ET53" s="338">
        <f>SUM(BI53:BL53)</f>
        <v>0</v>
      </c>
      <c r="EU53" s="338">
        <f>SUM(BM53:BP53)</f>
        <v>0</v>
      </c>
      <c r="EV53" s="338">
        <f>SUM(BQ53:BT53)</f>
        <v>0</v>
      </c>
      <c r="EW53" s="338">
        <f>SUM(BU53:BX53)</f>
        <v>0</v>
      </c>
      <c r="EX53" s="338">
        <f>SUM(BY53:CB53)</f>
        <v>-19</v>
      </c>
      <c r="EY53" s="338">
        <f>SUM(CC53:CF53)</f>
        <v>-105</v>
      </c>
      <c r="EZ53" s="338">
        <f>SUM(CG53:CJ53)</f>
        <v>-27</v>
      </c>
      <c r="FA53" s="338">
        <f>SUM(CK53:CN53)</f>
        <v>-27</v>
      </c>
      <c r="FB53" s="338">
        <f>SUM(CO53:CR53)</f>
        <v>19</v>
      </c>
      <c r="FC53" s="338">
        <f t="shared" ref="FC53" si="509">SUM(CS53:CV53)</f>
        <v>0</v>
      </c>
      <c r="FD53" s="339">
        <f>SUM(CW53:CZ53)</f>
        <v>0</v>
      </c>
      <c r="FP53" s="330"/>
    </row>
    <row r="54" spans="1:172" ht="14.25" customHeight="1">
      <c r="A54" s="7"/>
      <c r="B54" s="43"/>
      <c r="C54" s="44"/>
      <c r="D54" s="207"/>
      <c r="E54" s="205"/>
      <c r="F54" s="205"/>
      <c r="G54" s="206"/>
      <c r="H54" s="207"/>
      <c r="I54" s="205"/>
      <c r="J54" s="205"/>
      <c r="K54" s="206"/>
      <c r="L54" s="207"/>
      <c r="M54" s="205"/>
      <c r="N54" s="205"/>
      <c r="O54" s="206"/>
      <c r="P54" s="207"/>
      <c r="Q54" s="205"/>
      <c r="R54" s="205"/>
      <c r="S54" s="206"/>
      <c r="T54" s="207"/>
      <c r="U54" s="205"/>
      <c r="V54" s="205"/>
      <c r="W54" s="206"/>
      <c r="X54" s="207"/>
      <c r="Y54" s="205"/>
      <c r="Z54" s="205"/>
      <c r="AA54" s="206"/>
      <c r="AB54" s="207"/>
      <c r="AC54" s="205"/>
      <c r="AD54" s="205"/>
      <c r="AE54" s="206"/>
      <c r="AF54" s="207"/>
      <c r="AG54" s="205"/>
      <c r="AH54" s="205"/>
      <c r="AI54" s="206"/>
      <c r="AJ54" s="207"/>
      <c r="AK54" s="205"/>
      <c r="AL54" s="205"/>
      <c r="AM54" s="206"/>
      <c r="AN54" s="207"/>
      <c r="AO54" s="205"/>
      <c r="AP54" s="205"/>
      <c r="AQ54" s="206"/>
      <c r="AR54" s="207"/>
      <c r="AS54" s="205"/>
      <c r="AT54" s="205"/>
      <c r="AU54" s="206"/>
      <c r="AV54" s="207"/>
      <c r="AW54" s="205"/>
      <c r="AX54" s="205"/>
      <c r="AY54" s="206"/>
      <c r="AZ54" s="207"/>
      <c r="BA54" s="205"/>
      <c r="BB54" s="205"/>
      <c r="BC54" s="206"/>
      <c r="BD54" s="207"/>
      <c r="BE54" s="205"/>
      <c r="BF54" s="205"/>
      <c r="BG54" s="206"/>
      <c r="BH54" s="207"/>
      <c r="BI54" s="205"/>
      <c r="BJ54" s="205"/>
      <c r="BK54" s="206"/>
      <c r="BL54" s="207"/>
      <c r="BM54" s="205"/>
      <c r="BN54" s="205"/>
      <c r="BO54" s="206"/>
      <c r="BP54" s="207"/>
      <c r="BQ54" s="205"/>
      <c r="BR54" s="205"/>
      <c r="BS54" s="206"/>
      <c r="BT54" s="207"/>
      <c r="BU54" s="205"/>
      <c r="BV54" s="205"/>
      <c r="BW54" s="206"/>
      <c r="BX54" s="207"/>
      <c r="BY54" s="205"/>
      <c r="BZ54" s="205"/>
      <c r="CA54" s="206"/>
      <c r="CB54" s="207"/>
      <c r="CC54" s="205"/>
      <c r="CD54" s="205"/>
      <c r="CE54" s="206"/>
      <c r="CF54" s="207"/>
      <c r="CG54" s="205"/>
      <c r="CH54" s="205"/>
      <c r="CI54" s="206"/>
      <c r="CJ54" s="207"/>
      <c r="CK54" s="202"/>
      <c r="CL54" s="205"/>
      <c r="CM54" s="206"/>
      <c r="CN54" s="207"/>
      <c r="CO54" s="202"/>
      <c r="CP54" s="205"/>
      <c r="CQ54" s="206"/>
      <c r="CR54" s="207"/>
      <c r="CS54" s="202"/>
      <c r="CT54" s="205"/>
      <c r="CU54" s="206"/>
      <c r="CV54" s="207"/>
      <c r="CW54" s="202"/>
      <c r="CX54" s="205"/>
      <c r="CY54" s="206"/>
      <c r="CZ54" s="207"/>
      <c r="DA54" s="202"/>
      <c r="DB54" s="205"/>
      <c r="DC54" s="206"/>
      <c r="DD54" s="895"/>
      <c r="DE54" s="207"/>
      <c r="DF54" s="205"/>
      <c r="DG54" s="205"/>
      <c r="DH54" s="205"/>
      <c r="DI54" s="205"/>
      <c r="DJ54" s="205"/>
      <c r="DK54" s="205"/>
      <c r="DL54" s="205"/>
      <c r="DM54" s="205"/>
      <c r="DN54" s="205"/>
      <c r="DO54" s="205"/>
      <c r="DP54" s="205"/>
      <c r="DQ54" s="205"/>
      <c r="DR54" s="205"/>
      <c r="DS54" s="205"/>
      <c r="DT54" s="205"/>
      <c r="DU54" s="205"/>
      <c r="DV54" s="205"/>
      <c r="DW54" s="205"/>
      <c r="DX54" s="205"/>
      <c r="DY54" s="205"/>
      <c r="DZ54" s="205"/>
      <c r="EA54" s="205"/>
      <c r="EB54" s="205"/>
      <c r="EC54" s="205"/>
      <c r="ED54" s="205"/>
      <c r="EE54" s="18"/>
      <c r="EF54" s="207"/>
      <c r="EG54" s="205"/>
      <c r="EH54" s="205"/>
      <c r="EI54" s="205"/>
      <c r="EJ54" s="205"/>
      <c r="EK54" s="205"/>
      <c r="EL54" s="205"/>
      <c r="EM54" s="205"/>
      <c r="EN54" s="205"/>
      <c r="EO54" s="205"/>
      <c r="EP54" s="205"/>
      <c r="EQ54" s="205"/>
      <c r="ER54" s="205"/>
      <c r="ES54" s="205"/>
      <c r="ET54" s="205"/>
      <c r="EU54" s="205"/>
      <c r="EV54" s="205"/>
      <c r="EW54" s="205"/>
      <c r="EX54" s="205"/>
      <c r="EY54" s="205"/>
      <c r="EZ54" s="205"/>
      <c r="FA54" s="205"/>
      <c r="FB54" s="205"/>
      <c r="FC54" s="205"/>
      <c r="FD54" s="206"/>
      <c r="FP54" s="330"/>
    </row>
    <row r="55" spans="1:172" ht="14.25" customHeight="1">
      <c r="A55" s="7"/>
      <c r="B55" s="43" t="str">
        <f t="shared" si="493"/>
        <v>Cash and cash equivalents, beginning of period</v>
      </c>
      <c r="C55" s="44"/>
      <c r="D55" s="203">
        <v>0</v>
      </c>
      <c r="E55" s="202">
        <f>D58</f>
        <v>0</v>
      </c>
      <c r="F55" s="202">
        <f>E58</f>
        <v>0</v>
      </c>
      <c r="G55" s="204">
        <f>F58</f>
        <v>29.000000000000057</v>
      </c>
      <c r="H55" s="203">
        <f t="shared" ref="H55:AY55" si="510">G58</f>
        <v>29.000000000000057</v>
      </c>
      <c r="I55" s="202">
        <f t="shared" si="510"/>
        <v>25.299999999999955</v>
      </c>
      <c r="J55" s="202">
        <f t="shared" si="510"/>
        <v>-2.6000000000000796</v>
      </c>
      <c r="K55" s="204">
        <f t="shared" si="510"/>
        <v>-4.6000000000001435</v>
      </c>
      <c r="L55" s="203">
        <f>L159</f>
        <v>276.10000000000002</v>
      </c>
      <c r="M55" s="202">
        <f>L58</f>
        <v>222.30000000000004</v>
      </c>
      <c r="N55" s="202">
        <f t="shared" si="510"/>
        <v>582.90000000000009</v>
      </c>
      <c r="O55" s="204">
        <f t="shared" si="510"/>
        <v>433.50000000000011</v>
      </c>
      <c r="P55" s="203">
        <f t="shared" si="510"/>
        <v>619.50000000000023</v>
      </c>
      <c r="Q55" s="202">
        <f t="shared" si="510"/>
        <v>342.40000000000026</v>
      </c>
      <c r="R55" s="202">
        <f t="shared" si="510"/>
        <v>560.50000000000034</v>
      </c>
      <c r="S55" s="204">
        <f t="shared" si="510"/>
        <v>506.8000000000003</v>
      </c>
      <c r="T55" s="203">
        <f t="shared" si="510"/>
        <v>558.60000000000036</v>
      </c>
      <c r="U55" s="202">
        <f t="shared" si="510"/>
        <v>765.70000000000027</v>
      </c>
      <c r="V55" s="202">
        <f t="shared" si="510"/>
        <v>428.9000000000014</v>
      </c>
      <c r="W55" s="204">
        <f t="shared" si="510"/>
        <v>350.60000000000042</v>
      </c>
      <c r="X55" s="203">
        <f>W58</f>
        <v>294.60000000000014</v>
      </c>
      <c r="Y55" s="202">
        <f t="shared" si="510"/>
        <v>441.60000000000099</v>
      </c>
      <c r="Z55" s="202">
        <f t="shared" si="510"/>
        <v>429.9</v>
      </c>
      <c r="AA55" s="204">
        <f t="shared" si="510"/>
        <v>383.2</v>
      </c>
      <c r="AB55" s="203">
        <f t="shared" si="510"/>
        <v>701.70000000000027</v>
      </c>
      <c r="AC55" s="202">
        <f t="shared" si="510"/>
        <v>568.70000000000027</v>
      </c>
      <c r="AD55" s="202">
        <f t="shared" si="510"/>
        <v>599.90000000000032</v>
      </c>
      <c r="AE55" s="204">
        <f t="shared" si="510"/>
        <v>622.70000000000027</v>
      </c>
      <c r="AF55" s="203">
        <f t="shared" si="510"/>
        <v>469.1000000000007</v>
      </c>
      <c r="AG55" s="202">
        <f t="shared" si="510"/>
        <v>357.90000000000055</v>
      </c>
      <c r="AH55" s="202">
        <f t="shared" si="510"/>
        <v>677.90000000000055</v>
      </c>
      <c r="AI55" s="204">
        <f t="shared" si="510"/>
        <v>333.7</v>
      </c>
      <c r="AJ55" s="203">
        <f t="shared" si="510"/>
        <v>398.2</v>
      </c>
      <c r="AK55" s="202">
        <f t="shared" si="510"/>
        <v>401.3</v>
      </c>
      <c r="AL55" s="202">
        <f t="shared" si="510"/>
        <v>913.09999999999991</v>
      </c>
      <c r="AM55" s="204">
        <f t="shared" si="510"/>
        <v>677.8</v>
      </c>
      <c r="AN55" s="203">
        <f t="shared" si="510"/>
        <v>568.29999999999995</v>
      </c>
      <c r="AO55" s="202">
        <f t="shared" si="510"/>
        <v>486.3</v>
      </c>
      <c r="AP55" s="202">
        <f t="shared" si="510"/>
        <v>507.20000000000005</v>
      </c>
      <c r="AQ55" s="204">
        <f t="shared" si="510"/>
        <v>327.10000000000002</v>
      </c>
      <c r="AR55" s="203">
        <f t="shared" si="510"/>
        <v>484.09999999999991</v>
      </c>
      <c r="AS55" s="202">
        <f t="shared" si="510"/>
        <v>318.7999999999999</v>
      </c>
      <c r="AT55" s="202">
        <f t="shared" si="510"/>
        <v>357.5</v>
      </c>
      <c r="AU55" s="204">
        <f t="shared" si="510"/>
        <v>468.3000000000003</v>
      </c>
      <c r="AV55" s="203">
        <f t="shared" si="510"/>
        <v>522.50000000000023</v>
      </c>
      <c r="AW55" s="202">
        <f t="shared" si="510"/>
        <v>661.10000000000014</v>
      </c>
      <c r="AX55" s="202">
        <f t="shared" si="510"/>
        <v>1535.6000000000004</v>
      </c>
      <c r="AY55" s="204">
        <f t="shared" si="510"/>
        <v>1467.7000000000003</v>
      </c>
      <c r="AZ55" s="203">
        <f t="shared" ref="AZ55:BG55" si="511">AY58</f>
        <v>1431.3000000000006</v>
      </c>
      <c r="BA55" s="202">
        <f t="shared" si="511"/>
        <v>1303.0000000000007</v>
      </c>
      <c r="BB55" s="202">
        <f t="shared" si="511"/>
        <v>1566.0000000000007</v>
      </c>
      <c r="BC55" s="204">
        <f t="shared" si="511"/>
        <v>2667.0000000000009</v>
      </c>
      <c r="BD55" s="203">
        <f t="shared" si="511"/>
        <v>2192.0000000000009</v>
      </c>
      <c r="BE55" s="202">
        <f t="shared" si="511"/>
        <v>1880.0000000000009</v>
      </c>
      <c r="BF55" s="202">
        <f t="shared" si="511"/>
        <v>1708.0000000000009</v>
      </c>
      <c r="BG55" s="204">
        <f t="shared" si="511"/>
        <v>1474.0000000000009</v>
      </c>
      <c r="BH55" s="203">
        <f t="shared" ref="BH55:BO55" si="512">BG58</f>
        <v>1243.0000000000009</v>
      </c>
      <c r="BI55" s="202">
        <f t="shared" si="512"/>
        <v>1025.0000000000009</v>
      </c>
      <c r="BJ55" s="202">
        <f t="shared" si="512"/>
        <v>932.00000000000091</v>
      </c>
      <c r="BK55" s="204">
        <f t="shared" si="512"/>
        <v>1306.0000000000009</v>
      </c>
      <c r="BL55" s="203">
        <f t="shared" si="512"/>
        <v>1485.0000000000009</v>
      </c>
      <c r="BM55" s="202">
        <f t="shared" si="512"/>
        <v>1565.0000000000009</v>
      </c>
      <c r="BN55" s="202">
        <f t="shared" si="512"/>
        <v>1870.0000000000009</v>
      </c>
      <c r="BO55" s="204">
        <f t="shared" si="512"/>
        <v>2313.0000000000009</v>
      </c>
      <c r="BP55" s="203">
        <f t="shared" ref="BP55:CD55" si="513">BO58</f>
        <v>2913.0000000000009</v>
      </c>
      <c r="BQ55" s="202">
        <f t="shared" si="513"/>
        <v>2411.0000000000009</v>
      </c>
      <c r="BR55" s="202">
        <f t="shared" si="513"/>
        <v>2184.0000000000009</v>
      </c>
      <c r="BS55" s="204">
        <f t="shared" si="513"/>
        <v>2395.0000000000009</v>
      </c>
      <c r="BT55" s="203">
        <f t="shared" si="513"/>
        <v>2160.0000000000009</v>
      </c>
      <c r="BU55" s="202">
        <f t="shared" si="513"/>
        <v>1915.0000000000009</v>
      </c>
      <c r="BV55" s="202">
        <f t="shared" si="513"/>
        <v>2094.0000000000009</v>
      </c>
      <c r="BW55" s="204">
        <f>BV58</f>
        <v>2191.0000000000009</v>
      </c>
      <c r="BX55" s="203">
        <f t="shared" si="513"/>
        <v>2459.0000000000009</v>
      </c>
      <c r="BY55" s="202">
        <f t="shared" si="513"/>
        <v>2102.0000000000009</v>
      </c>
      <c r="BZ55" s="202">
        <f t="shared" si="513"/>
        <v>2061.0000000000009</v>
      </c>
      <c r="CA55" s="204">
        <f>BZ58</f>
        <v>2440.0000000000009</v>
      </c>
      <c r="CB55" s="203">
        <f t="shared" si="513"/>
        <v>2880.0000000000009</v>
      </c>
      <c r="CC55" s="202">
        <f t="shared" si="513"/>
        <v>3654.0000000000009</v>
      </c>
      <c r="CD55" s="202">
        <f t="shared" si="513"/>
        <v>4305.0000000000009</v>
      </c>
      <c r="CE55" s="204">
        <f t="shared" ref="CE55:CR55" si="514">CD58</f>
        <v>4062.0000000000009</v>
      </c>
      <c r="CF55" s="203">
        <f t="shared" si="514"/>
        <v>4150.0000000000009</v>
      </c>
      <c r="CG55" s="202">
        <f t="shared" si="514"/>
        <v>3764.0000000000009</v>
      </c>
      <c r="CH55" s="202">
        <f t="shared" si="514"/>
        <v>3547.0000000000009</v>
      </c>
      <c r="CI55" s="204">
        <f t="shared" si="514"/>
        <v>3694.0000000000009</v>
      </c>
      <c r="CJ55" s="203">
        <f t="shared" si="514"/>
        <v>2287.0000000000009</v>
      </c>
      <c r="CK55" s="202">
        <f t="shared" si="514"/>
        <v>2605.0000000000009</v>
      </c>
      <c r="CL55" s="202">
        <f t="shared" si="514"/>
        <v>3078.0000000000009</v>
      </c>
      <c r="CM55" s="204">
        <f t="shared" si="514"/>
        <v>4627.0000000000009</v>
      </c>
      <c r="CN55" s="203">
        <f t="shared" si="514"/>
        <v>4140.0000000000009</v>
      </c>
      <c r="CO55" s="202">
        <f t="shared" si="514"/>
        <v>4139.0000000000009</v>
      </c>
      <c r="CP55" s="202">
        <f t="shared" si="514"/>
        <v>3633.0000000000009</v>
      </c>
      <c r="CQ55" s="204">
        <f t="shared" si="514"/>
        <v>4065.0000000000009</v>
      </c>
      <c r="CR55" s="203">
        <f t="shared" si="514"/>
        <v>5109.0000000000009</v>
      </c>
      <c r="CS55" s="202">
        <f t="shared" ref="CS55" si="515">CR58</f>
        <v>6008.0000000000009</v>
      </c>
      <c r="CT55" s="202">
        <f t="shared" ref="CT55" si="516">CS58</f>
        <v>7876</v>
      </c>
      <c r="CU55" s="204">
        <f t="shared" ref="CU55" si="517">CT58</f>
        <v>11875.975169087404</v>
      </c>
      <c r="CV55" s="203">
        <f t="shared" ref="CV55" si="518">CU58</f>
        <v>14846.052040939898</v>
      </c>
      <c r="CW55" s="202">
        <f t="shared" ref="CW55" si="519">CV58</f>
        <v>16698.994975012749</v>
      </c>
      <c r="CX55" s="202">
        <f t="shared" ref="CX55" si="520">CW58</f>
        <v>18237.158819485157</v>
      </c>
      <c r="CY55" s="204">
        <f t="shared" ref="CY55" si="521">CX58</f>
        <v>19274.015362767506</v>
      </c>
      <c r="CZ55" s="203">
        <f t="shared" ref="CZ55" si="522">CY58</f>
        <v>19959.946412183035</v>
      </c>
      <c r="DA55" s="202">
        <f t="shared" ref="DA55" si="523">CZ58</f>
        <v>20733.594652083244</v>
      </c>
      <c r="DB55" s="202">
        <f t="shared" ref="DB55" si="524">DA58</f>
        <v>21021.860888705571</v>
      </c>
      <c r="DC55" s="204">
        <f t="shared" ref="DC55" si="525">DB58</f>
        <v>21359.305480133407</v>
      </c>
      <c r="DD55" s="895"/>
      <c r="DE55" s="203">
        <f>SUM(D55:G55)</f>
        <v>29.000000000000057</v>
      </c>
      <c r="DF55" s="202">
        <f t="shared" ref="DF55:DP55" si="526">DE58</f>
        <v>58.000000000000114</v>
      </c>
      <c r="DG55" s="202">
        <v>276.10000000000002</v>
      </c>
      <c r="DH55" s="202">
        <f t="shared" si="526"/>
        <v>619.50000000000023</v>
      </c>
      <c r="DI55" s="202">
        <f t="shared" si="526"/>
        <v>558.60000000000036</v>
      </c>
      <c r="DJ55" s="202">
        <f t="shared" si="526"/>
        <v>294.60000000000019</v>
      </c>
      <c r="DK55" s="202">
        <f t="shared" si="526"/>
        <v>701.70000000000027</v>
      </c>
      <c r="DL55" s="202">
        <f t="shared" si="526"/>
        <v>469.10000000000065</v>
      </c>
      <c r="DM55" s="202">
        <f t="shared" si="526"/>
        <v>398.2</v>
      </c>
      <c r="DN55" s="202">
        <f t="shared" si="526"/>
        <v>568.29999999999995</v>
      </c>
      <c r="DO55" s="202">
        <f t="shared" si="526"/>
        <v>484.09999999999991</v>
      </c>
      <c r="DP55" s="202">
        <f t="shared" si="526"/>
        <v>522.50000000000011</v>
      </c>
      <c r="DQ55" s="202">
        <f>DP58</f>
        <v>1431.3000000000004</v>
      </c>
      <c r="DR55" s="202">
        <f t="shared" ref="DR55:ED55" si="527">DQ58</f>
        <v>2192.0000000000005</v>
      </c>
      <c r="DS55" s="202">
        <f t="shared" si="527"/>
        <v>1243.0000000000005</v>
      </c>
      <c r="DT55" s="202">
        <f t="shared" si="527"/>
        <v>1485.0000000000005</v>
      </c>
      <c r="DU55" s="202">
        <f t="shared" si="527"/>
        <v>2913.0000000000005</v>
      </c>
      <c r="DV55" s="202">
        <f t="shared" si="527"/>
        <v>2160.0000000000005</v>
      </c>
      <c r="DW55" s="202">
        <f t="shared" si="527"/>
        <v>2459.0000000000005</v>
      </c>
      <c r="DX55" s="202">
        <f t="shared" si="527"/>
        <v>2880.0000000000005</v>
      </c>
      <c r="DY55" s="202">
        <f t="shared" si="527"/>
        <v>4150</v>
      </c>
      <c r="DZ55" s="202">
        <f t="shared" si="527"/>
        <v>2287</v>
      </c>
      <c r="EA55" s="202">
        <f t="shared" si="527"/>
        <v>4140</v>
      </c>
      <c r="EB55" s="202">
        <f t="shared" si="527"/>
        <v>5109</v>
      </c>
      <c r="EC55" s="202">
        <f t="shared" si="527"/>
        <v>14846.052040939896</v>
      </c>
      <c r="ED55" s="202">
        <f t="shared" si="527"/>
        <v>19959.946412183035</v>
      </c>
      <c r="EE55" s="18"/>
      <c r="EF55" s="203"/>
      <c r="EG55" s="202"/>
      <c r="EH55" s="202">
        <f>M55</f>
        <v>222.30000000000004</v>
      </c>
      <c r="EI55" s="202">
        <f t="shared" ref="EI55:ET55" si="528">EH58</f>
        <v>342.4000000000002</v>
      </c>
      <c r="EJ55" s="202">
        <f t="shared" si="528"/>
        <v>765.70000000000027</v>
      </c>
      <c r="EK55" s="202">
        <f t="shared" si="528"/>
        <v>441.60000000000099</v>
      </c>
      <c r="EL55" s="202">
        <f t="shared" si="528"/>
        <v>568.70000000000027</v>
      </c>
      <c r="EM55" s="202">
        <f t="shared" si="528"/>
        <v>357.90000000000049</v>
      </c>
      <c r="EN55" s="202">
        <f t="shared" si="528"/>
        <v>401.3</v>
      </c>
      <c r="EO55" s="202">
        <f t="shared" si="528"/>
        <v>486.30000000000007</v>
      </c>
      <c r="EP55" s="202">
        <f t="shared" si="528"/>
        <v>318.79999999999995</v>
      </c>
      <c r="EQ55" s="202">
        <f t="shared" si="528"/>
        <v>661.10000000000014</v>
      </c>
      <c r="ER55" s="202">
        <f t="shared" si="528"/>
        <v>1303.0000000000002</v>
      </c>
      <c r="ES55" s="202">
        <f t="shared" si="528"/>
        <v>1880.0000000000002</v>
      </c>
      <c r="ET55" s="202">
        <f t="shared" si="528"/>
        <v>1025.0000000000002</v>
      </c>
      <c r="EU55" s="202">
        <f>ET58</f>
        <v>1565.0000000000002</v>
      </c>
      <c r="EV55" s="202">
        <f>EU58</f>
        <v>2411</v>
      </c>
      <c r="EW55" s="202">
        <f>EV58</f>
        <v>1915</v>
      </c>
      <c r="EX55" s="202">
        <f>EW58</f>
        <v>2102</v>
      </c>
      <c r="EY55" s="202">
        <f>EX58</f>
        <v>3654</v>
      </c>
      <c r="EZ55" s="202">
        <f t="shared" ref="EZ55:FD55" si="529">EY58</f>
        <v>3764</v>
      </c>
      <c r="FA55" s="202">
        <f t="shared" si="529"/>
        <v>2605</v>
      </c>
      <c r="FB55" s="202">
        <f t="shared" si="529"/>
        <v>4139</v>
      </c>
      <c r="FC55" s="202">
        <f t="shared" si="529"/>
        <v>6008</v>
      </c>
      <c r="FD55" s="204">
        <f t="shared" si="529"/>
        <v>16698.994975012749</v>
      </c>
      <c r="FP55" s="330"/>
    </row>
    <row r="56" spans="1:172" s="328" customFormat="1" ht="14.25" customHeight="1">
      <c r="A56" s="270"/>
      <c r="B56" s="326" t="str">
        <f t="shared" si="493"/>
        <v>Change in cash flow due to restatement</v>
      </c>
      <c r="C56" s="327"/>
      <c r="D56" s="304">
        <f>D160</f>
        <v>0</v>
      </c>
      <c r="E56" s="305">
        <f>E160-D56</f>
        <v>0</v>
      </c>
      <c r="F56" s="305">
        <f>F160-E56-D56</f>
        <v>0</v>
      </c>
      <c r="G56" s="306">
        <f>G160-F56-E56-D56</f>
        <v>0</v>
      </c>
      <c r="H56" s="304">
        <f>H160</f>
        <v>0</v>
      </c>
      <c r="I56" s="305">
        <f>I160-H56</f>
        <v>0</v>
      </c>
      <c r="J56" s="305">
        <f>J160-I56-H56</f>
        <v>0</v>
      </c>
      <c r="K56" s="306">
        <f>K160-J56-I56-H56</f>
        <v>0</v>
      </c>
      <c r="L56" s="304">
        <f>L160</f>
        <v>0</v>
      </c>
      <c r="M56" s="305">
        <f>M160-L56</f>
        <v>0</v>
      </c>
      <c r="N56" s="305">
        <f>N160-M56-L56</f>
        <v>0</v>
      </c>
      <c r="O56" s="306">
        <f>O160-N56-M56-L56</f>
        <v>0</v>
      </c>
      <c r="P56" s="304">
        <f>P160</f>
        <v>0</v>
      </c>
      <c r="Q56" s="305">
        <f>Q160-P56</f>
        <v>0</v>
      </c>
      <c r="R56" s="305">
        <f>R160-Q56-P56</f>
        <v>0</v>
      </c>
      <c r="S56" s="306">
        <f>S160-R56-Q56-P56</f>
        <v>0</v>
      </c>
      <c r="T56" s="304">
        <f>T160</f>
        <v>0</v>
      </c>
      <c r="U56" s="305">
        <f>U160-T56</f>
        <v>0</v>
      </c>
      <c r="V56" s="305">
        <f>V160-U56-T56</f>
        <v>0</v>
      </c>
      <c r="W56" s="306">
        <f>W160-V56-U56-T56</f>
        <v>0</v>
      </c>
      <c r="X56" s="304">
        <f>X160</f>
        <v>0</v>
      </c>
      <c r="Y56" s="305">
        <f>Y160-X56</f>
        <v>0</v>
      </c>
      <c r="Z56" s="305">
        <f>Z160-Y56-X56</f>
        <v>0</v>
      </c>
      <c r="AA56" s="306">
        <f>AA160-Z56-Y56-X56</f>
        <v>0</v>
      </c>
      <c r="AB56" s="304">
        <f>AB160</f>
        <v>0</v>
      </c>
      <c r="AC56" s="305">
        <f>AC160-AB56</f>
        <v>0</v>
      </c>
      <c r="AD56" s="305">
        <f>AD160-AC56-AB56</f>
        <v>0</v>
      </c>
      <c r="AE56" s="306">
        <f>AE160-AD56-AC56-AB56</f>
        <v>0</v>
      </c>
      <c r="AF56" s="304">
        <f>AF160</f>
        <v>0</v>
      </c>
      <c r="AG56" s="305">
        <f>AG160-AF56</f>
        <v>0</v>
      </c>
      <c r="AH56" s="305">
        <f>AH160-AG56-AF56</f>
        <v>0</v>
      </c>
      <c r="AI56" s="306">
        <f>AI160-AH56-AG56-AF56</f>
        <v>0</v>
      </c>
      <c r="AJ56" s="304">
        <f>AJ160</f>
        <v>0</v>
      </c>
      <c r="AK56" s="305">
        <f>AK160-AJ56</f>
        <v>0</v>
      </c>
      <c r="AL56" s="305">
        <f>AL160-AK56-AJ56</f>
        <v>0</v>
      </c>
      <c r="AM56" s="306">
        <f>AM160-AL56-AK56-AJ56</f>
        <v>0</v>
      </c>
      <c r="AN56" s="304">
        <f>AN160</f>
        <v>0</v>
      </c>
      <c r="AO56" s="305">
        <f>AO160-AN56</f>
        <v>0</v>
      </c>
      <c r="AP56" s="305">
        <f>AP160-AO56-AN56</f>
        <v>0</v>
      </c>
      <c r="AQ56" s="306">
        <f>AQ160-AP56-AO56-AN56</f>
        <v>0</v>
      </c>
      <c r="AR56" s="304">
        <f>AR160</f>
        <v>0</v>
      </c>
      <c r="AS56" s="305">
        <f>AS160-AR56</f>
        <v>0</v>
      </c>
      <c r="AT56" s="305">
        <f>AT160-AS56-AR56</f>
        <v>0</v>
      </c>
      <c r="AU56" s="306">
        <f>AU160-AT56-AS56-AR56</f>
        <v>0</v>
      </c>
      <c r="AV56" s="304">
        <f>AV160</f>
        <v>0</v>
      </c>
      <c r="AW56" s="305">
        <f>AW160-AV56</f>
        <v>0</v>
      </c>
      <c r="AX56" s="305">
        <f>AX160-AW56-AV56</f>
        <v>0</v>
      </c>
      <c r="AY56" s="306">
        <f>AY160-AX56-AW56-AV56</f>
        <v>0</v>
      </c>
      <c r="AZ56" s="304">
        <f>AZ160</f>
        <v>0</v>
      </c>
      <c r="BA56" s="305">
        <f>BA160-AZ56</f>
        <v>0</v>
      </c>
      <c r="BB56" s="305">
        <f>BB160-BA56-AZ56</f>
        <v>0</v>
      </c>
      <c r="BC56" s="306">
        <f>BC160-BB56-BA56-AZ56</f>
        <v>0</v>
      </c>
      <c r="BD56" s="304">
        <f>BD160</f>
        <v>0</v>
      </c>
      <c r="BE56" s="305">
        <f>BE160-BD56</f>
        <v>0</v>
      </c>
      <c r="BF56" s="305">
        <f>BF160-BE56-BD56</f>
        <v>0</v>
      </c>
      <c r="BG56" s="306">
        <f>BG160-BF56-BE56-BD56</f>
        <v>0</v>
      </c>
      <c r="BH56" s="304">
        <f>BH160</f>
        <v>0</v>
      </c>
      <c r="BI56" s="305">
        <f>BI160-BH56</f>
        <v>0</v>
      </c>
      <c r="BJ56" s="305">
        <f>BJ160-BI56-BH56</f>
        <v>0</v>
      </c>
      <c r="BK56" s="306">
        <f>BK160-BJ56-BI56-BH56</f>
        <v>0</v>
      </c>
      <c r="BL56" s="304">
        <f>BL160</f>
        <v>0</v>
      </c>
      <c r="BM56" s="305">
        <f>BM160-BL56</f>
        <v>0</v>
      </c>
      <c r="BN56" s="305">
        <f>BN160-BM56-BL56</f>
        <v>0</v>
      </c>
      <c r="BO56" s="306">
        <f>BO160-BN56-BM56-BL56</f>
        <v>0</v>
      </c>
      <c r="BP56" s="304">
        <f>BP160</f>
        <v>0</v>
      </c>
      <c r="BQ56" s="305">
        <f>BQ160-BP56</f>
        <v>0</v>
      </c>
      <c r="BR56" s="305">
        <f>BR160-BQ56-BP56</f>
        <v>0</v>
      </c>
      <c r="BS56" s="306">
        <f>BS160-BR56-BQ56-BP56</f>
        <v>0</v>
      </c>
      <c r="BT56" s="304">
        <f>BT160</f>
        <v>0</v>
      </c>
      <c r="BU56" s="303">
        <f>BU160-BT56</f>
        <v>0</v>
      </c>
      <c r="BV56" s="305">
        <f>BV160-BU56-BT56</f>
        <v>0</v>
      </c>
      <c r="BW56" s="302"/>
      <c r="BX56" s="304">
        <f>BX160</f>
        <v>0</v>
      </c>
      <c r="BY56" s="303">
        <f>BY160-BX56</f>
        <v>0</v>
      </c>
      <c r="BZ56" s="305">
        <f>BZ160-BY56-BX56</f>
        <v>0</v>
      </c>
      <c r="CA56" s="302">
        <v>0</v>
      </c>
      <c r="CB56" s="304">
        <f>CB160</f>
        <v>0</v>
      </c>
      <c r="CC56" s="303">
        <f>CC160-CB56</f>
        <v>0</v>
      </c>
      <c r="CD56" s="305">
        <f>CD160-CC56-CB56</f>
        <v>0</v>
      </c>
      <c r="CE56" s="302">
        <v>0</v>
      </c>
      <c r="CF56" s="304">
        <v>0</v>
      </c>
      <c r="CG56" s="303">
        <f>CG160-CF56</f>
        <v>0</v>
      </c>
      <c r="CH56" s="305">
        <f>CH160-CG56-CF56</f>
        <v>0</v>
      </c>
      <c r="CI56" s="302">
        <v>0</v>
      </c>
      <c r="CJ56" s="304">
        <v>0</v>
      </c>
      <c r="CK56" s="188">
        <f>CK160-CJ56</f>
        <v>0</v>
      </c>
      <c r="CL56" s="305">
        <f>CL160-CK56-CJ56</f>
        <v>0</v>
      </c>
      <c r="CM56" s="302">
        <v>0</v>
      </c>
      <c r="CN56" s="304">
        <v>0</v>
      </c>
      <c r="CO56" s="188">
        <f>CO160-CN56</f>
        <v>0</v>
      </c>
      <c r="CP56" s="305">
        <f>CP160-CO56-CN56</f>
        <v>0</v>
      </c>
      <c r="CQ56" s="189">
        <f>CQ160</f>
        <v>16</v>
      </c>
      <c r="CR56" s="304">
        <f>CR160</f>
        <v>-15</v>
      </c>
      <c r="CS56" s="1445">
        <v>66.999999999999091</v>
      </c>
      <c r="CT56" s="305"/>
      <c r="CU56" s="302"/>
      <c r="CV56" s="304"/>
      <c r="CW56" s="188"/>
      <c r="CX56" s="305"/>
      <c r="CY56" s="302"/>
      <c r="CZ56" s="304"/>
      <c r="DA56" s="188"/>
      <c r="DB56" s="305"/>
      <c r="DC56" s="302"/>
      <c r="DD56" s="895"/>
      <c r="DE56" s="190">
        <f>SUM(D56:G56)</f>
        <v>0</v>
      </c>
      <c r="DF56" s="188">
        <f>SUM(H56:K56)</f>
        <v>0</v>
      </c>
      <c r="DG56" s="188">
        <f>SUM(L56:O56)</f>
        <v>0</v>
      </c>
      <c r="DH56" s="188">
        <f>SUM(P56:S56)</f>
        <v>0</v>
      </c>
      <c r="DI56" s="188">
        <f>SUM(T56:W56)</f>
        <v>0</v>
      </c>
      <c r="DJ56" s="188">
        <f>SUM(X56:AA56)</f>
        <v>0</v>
      </c>
      <c r="DK56" s="188">
        <f>SUM(AB56:AE56)</f>
        <v>0</v>
      </c>
      <c r="DL56" s="188">
        <f>SUM(AF56:AI56)</f>
        <v>0</v>
      </c>
      <c r="DM56" s="188">
        <f>SUM(AJ56:AM56)</f>
        <v>0</v>
      </c>
      <c r="DN56" s="188">
        <f>SUM(AN56:AQ56)</f>
        <v>0</v>
      </c>
      <c r="DO56" s="188">
        <f>SUM(AR56:AU56)</f>
        <v>0</v>
      </c>
      <c r="DP56" s="188">
        <f>SUM(AV56:AY56)</f>
        <v>0</v>
      </c>
      <c r="DQ56" s="188">
        <f>SUM(AZ56:BC56)</f>
        <v>0</v>
      </c>
      <c r="DR56" s="188">
        <f>SUM(BD56:BG56)</f>
        <v>0</v>
      </c>
      <c r="DS56" s="188">
        <f>SUM(BH56:BK56)</f>
        <v>0</v>
      </c>
      <c r="DT56" s="188">
        <f>SUM(BL56:BO56)</f>
        <v>0</v>
      </c>
      <c r="DU56" s="188">
        <f>SUM(BP56:BS56)</f>
        <v>0</v>
      </c>
      <c r="DV56" s="188">
        <f>SUM(BT56:BW56)</f>
        <v>0</v>
      </c>
      <c r="DW56" s="188">
        <f>SUM(BX56:CA56)</f>
        <v>0</v>
      </c>
      <c r="DX56" s="188">
        <f>SUM(CB56:CE56)</f>
        <v>0</v>
      </c>
      <c r="DY56" s="188">
        <f>SUM(CF56:CI56)</f>
        <v>0</v>
      </c>
      <c r="DZ56" s="188">
        <f>SUM(CJ56:CM56)</f>
        <v>0</v>
      </c>
      <c r="EA56" s="188">
        <f t="shared" ref="EA56:EA57" si="530">SUM(CN56:CQ56)</f>
        <v>16</v>
      </c>
      <c r="EB56" s="188">
        <f t="shared" ref="EB56:EB57" si="531">SUM(CR56:CU56)</f>
        <v>51.999999999999091</v>
      </c>
      <c r="EC56" s="188">
        <f>SUM(CV56:CY56)</f>
        <v>0</v>
      </c>
      <c r="ED56" s="188">
        <f>SUM(CZ56:DC56)</f>
        <v>0</v>
      </c>
      <c r="EE56" s="315"/>
      <c r="EF56" s="304"/>
      <c r="EG56" s="305"/>
      <c r="EH56" s="305">
        <f>SUM(M56:P56)</f>
        <v>0</v>
      </c>
      <c r="EI56" s="305">
        <f>SUM(Q56:T56)</f>
        <v>0</v>
      </c>
      <c r="EJ56" s="305">
        <f>SUM(U56:X56)</f>
        <v>0</v>
      </c>
      <c r="EK56" s="305">
        <f>SUM(Y56:AB56)</f>
        <v>0</v>
      </c>
      <c r="EL56" s="305">
        <f>SUM(AC56:AF56)</f>
        <v>0</v>
      </c>
      <c r="EM56" s="305">
        <f>SUM(AG56:AJ56)</f>
        <v>0</v>
      </c>
      <c r="EN56" s="305">
        <f>SUM(AK56:AN56)</f>
        <v>0</v>
      </c>
      <c r="EO56" s="305">
        <f>SUM(AO56:AR56)</f>
        <v>0</v>
      </c>
      <c r="EP56" s="341">
        <f>SUM(AS56:AV56)</f>
        <v>0</v>
      </c>
      <c r="EQ56" s="341">
        <f>SUM(AW56:AZ56)</f>
        <v>0</v>
      </c>
      <c r="ER56" s="341">
        <f>SUM(BA56:BD56)</f>
        <v>0</v>
      </c>
      <c r="ES56" s="341">
        <f>SUM(BE56:BH56)</f>
        <v>0</v>
      </c>
      <c r="ET56" s="341">
        <f>SUM(BI56:BL56)</f>
        <v>0</v>
      </c>
      <c r="EU56" s="341">
        <f>SUM(BM56:BP56)</f>
        <v>0</v>
      </c>
      <c r="EV56" s="341">
        <f>SUM(BQ56:BT56)</f>
        <v>0</v>
      </c>
      <c r="EW56" s="341">
        <f>SUM(BU56:BX56)</f>
        <v>0</v>
      </c>
      <c r="EX56" s="341">
        <f>SUM(BY56:CB56)</f>
        <v>0</v>
      </c>
      <c r="EY56" s="341">
        <f>SUM(CC56:CF56)</f>
        <v>0</v>
      </c>
      <c r="EZ56" s="341">
        <f t="shared" ref="EZ56:EZ57" si="532">SUM(CG56:CJ56)</f>
        <v>0</v>
      </c>
      <c r="FA56" s="341">
        <f t="shared" ref="FA56:FA57" si="533">SUM(CK56:CN56)</f>
        <v>0</v>
      </c>
      <c r="FB56" s="341">
        <f>SUM(CO56:CR56)</f>
        <v>1</v>
      </c>
      <c r="FC56" s="341">
        <f>SUM(CS56:CV56)</f>
        <v>66.999999999999091</v>
      </c>
      <c r="FD56" s="339">
        <f>SUM(CW56:CZ56)</f>
        <v>0</v>
      </c>
      <c r="FE56"/>
      <c r="FF56"/>
      <c r="FG56"/>
      <c r="FH56"/>
      <c r="FI56"/>
      <c r="FJ56"/>
      <c r="FK56"/>
      <c r="FL56"/>
      <c r="FM56"/>
      <c r="FN56"/>
      <c r="FP56" s="848"/>
    </row>
    <row r="57" spans="1:172" ht="14.25" customHeight="1">
      <c r="A57" s="7"/>
      <c r="B57" s="199" t="str">
        <f t="shared" si="493"/>
        <v>Net increase (decrease) in cash and cash equivalents</v>
      </c>
      <c r="C57" s="200"/>
      <c r="D57" s="203">
        <f t="shared" ref="D57:AI57" si="534">D51+D39+D28+D53</f>
        <v>0</v>
      </c>
      <c r="E57" s="202">
        <f t="shared" si="534"/>
        <v>0</v>
      </c>
      <c r="F57" s="202">
        <f t="shared" si="534"/>
        <v>29.000000000000057</v>
      </c>
      <c r="G57" s="204">
        <f t="shared" si="534"/>
        <v>0</v>
      </c>
      <c r="H57" s="203">
        <f t="shared" si="534"/>
        <v>-3.7000000000001023</v>
      </c>
      <c r="I57" s="202">
        <f t="shared" si="534"/>
        <v>-27.900000000000034</v>
      </c>
      <c r="J57" s="202">
        <f t="shared" si="534"/>
        <v>-2.0000000000000639</v>
      </c>
      <c r="K57" s="204">
        <f t="shared" si="534"/>
        <v>-4.400000000000059</v>
      </c>
      <c r="L57" s="203">
        <f t="shared" si="534"/>
        <v>-53.799999999999983</v>
      </c>
      <c r="M57" s="202">
        <f t="shared" si="534"/>
        <v>360.6</v>
      </c>
      <c r="N57" s="202">
        <f t="shared" si="534"/>
        <v>-149.4</v>
      </c>
      <c r="O57" s="204">
        <f t="shared" si="534"/>
        <v>186.00000000000011</v>
      </c>
      <c r="P57" s="203">
        <f t="shared" si="534"/>
        <v>-277.09999999999997</v>
      </c>
      <c r="Q57" s="202">
        <f t="shared" si="534"/>
        <v>218.10000000000008</v>
      </c>
      <c r="R57" s="202">
        <f t="shared" si="534"/>
        <v>-53.700000000000067</v>
      </c>
      <c r="S57" s="204">
        <f t="shared" si="534"/>
        <v>51.800000000000054</v>
      </c>
      <c r="T57" s="203">
        <f t="shared" si="534"/>
        <v>207.09999999999997</v>
      </c>
      <c r="U57" s="202">
        <f t="shared" si="534"/>
        <v>-336.79999999999887</v>
      </c>
      <c r="V57" s="202">
        <f t="shared" si="534"/>
        <v>-78.300000000000978</v>
      </c>
      <c r="W57" s="204">
        <f t="shared" si="534"/>
        <v>-56.000000000000284</v>
      </c>
      <c r="X57" s="203">
        <f t="shared" si="534"/>
        <v>147.00000000000085</v>
      </c>
      <c r="Y57" s="202">
        <f t="shared" si="534"/>
        <v>-11.700000000001012</v>
      </c>
      <c r="Z57" s="202">
        <f t="shared" si="534"/>
        <v>-46.699999999999989</v>
      </c>
      <c r="AA57" s="204">
        <f t="shared" si="534"/>
        <v>318.50000000000023</v>
      </c>
      <c r="AB57" s="203">
        <f t="shared" si="534"/>
        <v>-133</v>
      </c>
      <c r="AC57" s="202">
        <f t="shared" si="534"/>
        <v>31.200000000000031</v>
      </c>
      <c r="AD57" s="202">
        <f t="shared" si="534"/>
        <v>22.799999999999926</v>
      </c>
      <c r="AE57" s="204">
        <f t="shared" si="534"/>
        <v>-153.59999999999957</v>
      </c>
      <c r="AF57" s="203">
        <f t="shared" si="534"/>
        <v>-111.20000000000016</v>
      </c>
      <c r="AG57" s="202">
        <f t="shared" si="534"/>
        <v>320.00000000000006</v>
      </c>
      <c r="AH57" s="202">
        <f t="shared" si="534"/>
        <v>-344.20000000000056</v>
      </c>
      <c r="AI57" s="204">
        <f t="shared" si="534"/>
        <v>64.500000000000014</v>
      </c>
      <c r="AJ57" s="203">
        <f t="shared" ref="AJ57:BO57" si="535">AJ51+AJ39+AJ28+AJ53</f>
        <v>3.1000000000000227</v>
      </c>
      <c r="AK57" s="202">
        <f t="shared" si="535"/>
        <v>511.79999999999995</v>
      </c>
      <c r="AL57" s="202">
        <f t="shared" si="535"/>
        <v>-235.29999999999995</v>
      </c>
      <c r="AM57" s="204">
        <f t="shared" si="535"/>
        <v>-109.49999999999999</v>
      </c>
      <c r="AN57" s="203">
        <f t="shared" si="535"/>
        <v>-81.999999999999943</v>
      </c>
      <c r="AO57" s="202">
        <f t="shared" si="535"/>
        <v>20.900000000000006</v>
      </c>
      <c r="AP57" s="202">
        <f t="shared" si="535"/>
        <v>-180.10000000000002</v>
      </c>
      <c r="AQ57" s="204">
        <f t="shared" si="535"/>
        <v>156.99999999999989</v>
      </c>
      <c r="AR57" s="203">
        <f t="shared" si="535"/>
        <v>-165.3</v>
      </c>
      <c r="AS57" s="202">
        <f t="shared" si="535"/>
        <v>38.700000000000117</v>
      </c>
      <c r="AT57" s="202">
        <f t="shared" si="535"/>
        <v>110.80000000000027</v>
      </c>
      <c r="AU57" s="204">
        <f t="shared" si="535"/>
        <v>54.199999999999875</v>
      </c>
      <c r="AV57" s="203">
        <f t="shared" si="535"/>
        <v>138.59999999999997</v>
      </c>
      <c r="AW57" s="202">
        <f t="shared" si="535"/>
        <v>874.50000000000011</v>
      </c>
      <c r="AX57" s="202">
        <f t="shared" si="535"/>
        <v>-67.900000000000148</v>
      </c>
      <c r="AY57" s="204">
        <f t="shared" si="535"/>
        <v>-36.39999999999975</v>
      </c>
      <c r="AZ57" s="203">
        <f t="shared" si="535"/>
        <v>-128.30000000000001</v>
      </c>
      <c r="BA57" s="202">
        <f t="shared" si="535"/>
        <v>263</v>
      </c>
      <c r="BB57" s="202">
        <f t="shared" si="535"/>
        <v>1101</v>
      </c>
      <c r="BC57" s="204">
        <f t="shared" si="535"/>
        <v>-475</v>
      </c>
      <c r="BD57" s="203">
        <f t="shared" si="535"/>
        <v>-312</v>
      </c>
      <c r="BE57" s="202">
        <f t="shared" si="535"/>
        <v>-172</v>
      </c>
      <c r="BF57" s="202">
        <f t="shared" si="535"/>
        <v>-234</v>
      </c>
      <c r="BG57" s="204">
        <f t="shared" si="535"/>
        <v>-231</v>
      </c>
      <c r="BH57" s="203">
        <f t="shared" si="535"/>
        <v>-218</v>
      </c>
      <c r="BI57" s="202">
        <f t="shared" si="535"/>
        <v>-93</v>
      </c>
      <c r="BJ57" s="202">
        <f t="shared" si="535"/>
        <v>374</v>
      </c>
      <c r="BK57" s="204">
        <f t="shared" si="535"/>
        <v>179</v>
      </c>
      <c r="BL57" s="203">
        <f t="shared" si="535"/>
        <v>80</v>
      </c>
      <c r="BM57" s="202">
        <f t="shared" si="535"/>
        <v>305</v>
      </c>
      <c r="BN57" s="202">
        <f t="shared" si="535"/>
        <v>443</v>
      </c>
      <c r="BO57" s="204">
        <f t="shared" si="535"/>
        <v>600</v>
      </c>
      <c r="BP57" s="203">
        <f t="shared" ref="BP57:BW57" si="536">BP51+BP39+BP28+BP53</f>
        <v>-502</v>
      </c>
      <c r="BQ57" s="202">
        <f t="shared" si="536"/>
        <v>-227</v>
      </c>
      <c r="BR57" s="202">
        <f t="shared" si="536"/>
        <v>211</v>
      </c>
      <c r="BS57" s="204">
        <f t="shared" si="536"/>
        <v>-235</v>
      </c>
      <c r="BT57" s="203">
        <f t="shared" si="536"/>
        <v>-245</v>
      </c>
      <c r="BU57" s="202">
        <f t="shared" si="536"/>
        <v>179</v>
      </c>
      <c r="BV57" s="202">
        <f t="shared" si="536"/>
        <v>97</v>
      </c>
      <c r="BW57" s="204">
        <f t="shared" si="536"/>
        <v>268</v>
      </c>
      <c r="BX57" s="203">
        <f t="shared" ref="BX57:CC57" si="537">BX51+BX39+BX28+BX53</f>
        <v>-357</v>
      </c>
      <c r="BY57" s="202">
        <f t="shared" si="537"/>
        <v>-41</v>
      </c>
      <c r="BZ57" s="202">
        <f t="shared" si="537"/>
        <v>379</v>
      </c>
      <c r="CA57" s="204">
        <f t="shared" si="537"/>
        <v>440</v>
      </c>
      <c r="CB57" s="203">
        <f t="shared" si="537"/>
        <v>774</v>
      </c>
      <c r="CC57" s="202">
        <f t="shared" si="537"/>
        <v>651</v>
      </c>
      <c r="CD57" s="202">
        <f t="shared" ref="CD57:CI57" si="538">CD51+CD39+CD28+CD53</f>
        <v>-243</v>
      </c>
      <c r="CE57" s="204">
        <f t="shared" si="538"/>
        <v>88</v>
      </c>
      <c r="CF57" s="203">
        <f t="shared" si="538"/>
        <v>-386</v>
      </c>
      <c r="CG57" s="202">
        <f t="shared" si="538"/>
        <v>-217</v>
      </c>
      <c r="CH57" s="202">
        <f t="shared" si="538"/>
        <v>147</v>
      </c>
      <c r="CI57" s="204">
        <f t="shared" si="538"/>
        <v>-1407</v>
      </c>
      <c r="CJ57" s="203">
        <f t="shared" ref="CJ57:CM57" si="539">CJ51+CJ39+CJ28+CJ53</f>
        <v>318</v>
      </c>
      <c r="CK57" s="202">
        <f t="shared" si="539"/>
        <v>473</v>
      </c>
      <c r="CL57" s="202">
        <f t="shared" si="539"/>
        <v>1549</v>
      </c>
      <c r="CM57" s="204">
        <f t="shared" si="539"/>
        <v>-487</v>
      </c>
      <c r="CN57" s="203">
        <f t="shared" ref="CN57:CQ57" si="540">CN51+CN39+CN28+CN53</f>
        <v>-1</v>
      </c>
      <c r="CO57" s="202">
        <f t="shared" si="540"/>
        <v>-506</v>
      </c>
      <c r="CP57" s="202">
        <f t="shared" si="540"/>
        <v>432</v>
      </c>
      <c r="CQ57" s="204">
        <f t="shared" si="540"/>
        <v>1028</v>
      </c>
      <c r="CR57" s="203">
        <f t="shared" ref="CR57" si="541">CR51+CR39+CR28+CR53</f>
        <v>914</v>
      </c>
      <c r="CS57" s="202">
        <f t="shared" ref="CS57:CU57" si="542">CS51+CS39+CS28+CS53</f>
        <v>1801</v>
      </c>
      <c r="CT57" s="202">
        <f t="shared" si="542"/>
        <v>3999.9751690874027</v>
      </c>
      <c r="CU57" s="204">
        <f t="shared" si="542"/>
        <v>2970.0768718524942</v>
      </c>
      <c r="CV57" s="203">
        <f t="shared" ref="CV57:CY57" si="543">CV51+CV39+CV28+CV53</f>
        <v>1852.9429340728511</v>
      </c>
      <c r="CW57" s="202">
        <f t="shared" si="543"/>
        <v>1538.1638444724099</v>
      </c>
      <c r="CX57" s="202">
        <f t="shared" si="543"/>
        <v>1036.8565432823484</v>
      </c>
      <c r="CY57" s="204">
        <f t="shared" si="543"/>
        <v>685.93104941552929</v>
      </c>
      <c r="CZ57" s="203">
        <f t="shared" ref="CZ57:DC57" si="544">CZ51+CZ39+CZ28+CZ53</f>
        <v>773.64823990020841</v>
      </c>
      <c r="DA57" s="202">
        <f t="shared" si="544"/>
        <v>288.26623662232714</v>
      </c>
      <c r="DB57" s="202">
        <f t="shared" si="544"/>
        <v>337.44459142783626</v>
      </c>
      <c r="DC57" s="204">
        <f t="shared" si="544"/>
        <v>266.84244787622856</v>
      </c>
      <c r="DD57" s="895"/>
      <c r="DE57" s="203">
        <f>SUM(D57:G57)</f>
        <v>29.000000000000057</v>
      </c>
      <c r="DF57" s="202">
        <f>SUM(H57:K57)</f>
        <v>-38.000000000000256</v>
      </c>
      <c r="DG57" s="202">
        <f>SUM(L57:O57)</f>
        <v>343.4000000000002</v>
      </c>
      <c r="DH57" s="202">
        <f>SUM(P57:S57)</f>
        <v>-60.899999999999906</v>
      </c>
      <c r="DI57" s="202">
        <f>SUM(T57:W57)</f>
        <v>-264.00000000000017</v>
      </c>
      <c r="DJ57" s="202">
        <f>SUM(X57:AA57)</f>
        <v>407.10000000000008</v>
      </c>
      <c r="DK57" s="202">
        <f>SUM(AB57:AE57)</f>
        <v>-232.59999999999962</v>
      </c>
      <c r="DL57" s="202">
        <f>SUM(AF57:AI57)</f>
        <v>-70.900000000000645</v>
      </c>
      <c r="DM57" s="202">
        <f>SUM(AJ57:AM57)</f>
        <v>170.10000000000002</v>
      </c>
      <c r="DN57" s="202">
        <f>SUM(AN57:AQ57)</f>
        <v>-84.200000000000074</v>
      </c>
      <c r="DO57" s="202">
        <f>SUM(AR57:AU57)</f>
        <v>38.400000000000247</v>
      </c>
      <c r="DP57" s="202">
        <f>SUM(AV57:AY57)</f>
        <v>908.8000000000003</v>
      </c>
      <c r="DQ57" s="202">
        <f>SUM(AZ57:BC57)</f>
        <v>760.7</v>
      </c>
      <c r="DR57" s="202">
        <f>SUM(BD57:BG57)</f>
        <v>-949</v>
      </c>
      <c r="DS57" s="202">
        <f>SUM(BH57:BK57)</f>
        <v>242</v>
      </c>
      <c r="DT57" s="202">
        <f>SUM(BL57:BO57)</f>
        <v>1428</v>
      </c>
      <c r="DU57" s="202">
        <f>SUM(BP57:BS57)</f>
        <v>-753</v>
      </c>
      <c r="DV57" s="202">
        <f>SUM(BT57:BW57)</f>
        <v>299</v>
      </c>
      <c r="DW57" s="202">
        <f>SUM(BX57:CA57)</f>
        <v>421</v>
      </c>
      <c r="DX57" s="202">
        <f>SUM(CB57:CE57)</f>
        <v>1270</v>
      </c>
      <c r="DY57" s="202">
        <f>SUM(CF57:CI57)</f>
        <v>-1863</v>
      </c>
      <c r="DZ57" s="202">
        <f>SUM(CJ57:CM57)</f>
        <v>1853</v>
      </c>
      <c r="EA57" s="202">
        <f t="shared" si="530"/>
        <v>953</v>
      </c>
      <c r="EB57" s="202">
        <f t="shared" si="531"/>
        <v>9685.052040939896</v>
      </c>
      <c r="EC57" s="202">
        <f>SUM(CV57:CY57)</f>
        <v>5113.8943712431392</v>
      </c>
      <c r="ED57" s="202">
        <f>SUM(CZ57:DC57)</f>
        <v>1666.2015158266004</v>
      </c>
      <c r="EE57" s="18"/>
      <c r="EF57" s="203"/>
      <c r="EG57" s="202"/>
      <c r="EH57" s="202">
        <f>SUM(M57:P57)</f>
        <v>120.10000000000019</v>
      </c>
      <c r="EI57" s="202">
        <f>SUM(Q57:T57)</f>
        <v>423.3</v>
      </c>
      <c r="EJ57" s="202">
        <f>SUM(U57:X57)</f>
        <v>-324.09999999999928</v>
      </c>
      <c r="EK57" s="202">
        <f>SUM(Y57:AB57)</f>
        <v>127.09999999999923</v>
      </c>
      <c r="EL57" s="202">
        <f>SUM(AC57:AF57)</f>
        <v>-210.79999999999978</v>
      </c>
      <c r="EM57" s="202">
        <f>SUM(AG57:AJ57)</f>
        <v>43.399999999999537</v>
      </c>
      <c r="EN57" s="202">
        <f>SUM(AK57:AN57)</f>
        <v>85.000000000000057</v>
      </c>
      <c r="EO57" s="202">
        <f>SUM(AO57:AR57)</f>
        <v>-167.50000000000014</v>
      </c>
      <c r="EP57" s="344">
        <f>SUM(AS57:AV57)</f>
        <v>342.30000000000024</v>
      </c>
      <c r="EQ57" s="344">
        <f>SUM(AW57:AZ57)</f>
        <v>641.90000000000009</v>
      </c>
      <c r="ER57" s="344">
        <f>SUM(BA57:BD57)</f>
        <v>577</v>
      </c>
      <c r="ES57" s="344">
        <f>SUM(BE57:BH57)</f>
        <v>-855</v>
      </c>
      <c r="ET57" s="344">
        <f>SUM(BI57:BL57)</f>
        <v>540</v>
      </c>
      <c r="EU57" s="344">
        <f>SUM(BM57:BP57)</f>
        <v>846</v>
      </c>
      <c r="EV57" s="344">
        <f>SUM(BQ57:BT57)</f>
        <v>-496</v>
      </c>
      <c r="EW57" s="344">
        <f>SUM(BU57:BX57)</f>
        <v>187</v>
      </c>
      <c r="EX57" s="344">
        <f>SUM(BY57:CB57)</f>
        <v>1552</v>
      </c>
      <c r="EY57" s="344">
        <f>SUM(CC57:CF57)</f>
        <v>110</v>
      </c>
      <c r="EZ57" s="344">
        <f t="shared" si="532"/>
        <v>-1159</v>
      </c>
      <c r="FA57" s="344">
        <f t="shared" si="533"/>
        <v>1534</v>
      </c>
      <c r="FB57" s="344">
        <f>SUM(CO57:CR57)</f>
        <v>1868</v>
      </c>
      <c r="FC57" s="344">
        <f t="shared" ref="FC57" si="545">SUM(CS57:CV57)</f>
        <v>10623.994975012747</v>
      </c>
      <c r="FD57" s="339">
        <f>SUM(CW57:CZ57)</f>
        <v>4034.599677070496</v>
      </c>
      <c r="FP57" s="330"/>
    </row>
    <row r="58" spans="1:172" ht="14.25" customHeight="1">
      <c r="A58" s="7"/>
      <c r="B58" s="208" t="str">
        <f t="shared" si="493"/>
        <v>Cash and cash equivalents, end of period</v>
      </c>
      <c r="C58" s="209"/>
      <c r="D58" s="211">
        <f>D57+D55+D56</f>
        <v>0</v>
      </c>
      <c r="E58" s="210">
        <f t="shared" ref="E58:AY58" si="546">E57+E55+E56</f>
        <v>0</v>
      </c>
      <c r="F58" s="210">
        <f t="shared" si="546"/>
        <v>29.000000000000057</v>
      </c>
      <c r="G58" s="212">
        <f t="shared" si="546"/>
        <v>29.000000000000057</v>
      </c>
      <c r="H58" s="211">
        <f t="shared" si="546"/>
        <v>25.299999999999955</v>
      </c>
      <c r="I58" s="210">
        <f t="shared" si="546"/>
        <v>-2.6000000000000796</v>
      </c>
      <c r="J58" s="210">
        <f t="shared" si="546"/>
        <v>-4.6000000000001435</v>
      </c>
      <c r="K58" s="212">
        <f t="shared" si="546"/>
        <v>-9.0000000000002025</v>
      </c>
      <c r="L58" s="211">
        <f t="shared" si="546"/>
        <v>222.30000000000004</v>
      </c>
      <c r="M58" s="210">
        <f t="shared" si="546"/>
        <v>582.90000000000009</v>
      </c>
      <c r="N58" s="210">
        <f t="shared" si="546"/>
        <v>433.50000000000011</v>
      </c>
      <c r="O58" s="212">
        <f t="shared" si="546"/>
        <v>619.50000000000023</v>
      </c>
      <c r="P58" s="211">
        <f t="shared" si="546"/>
        <v>342.40000000000026</v>
      </c>
      <c r="Q58" s="210">
        <f t="shared" si="546"/>
        <v>560.50000000000034</v>
      </c>
      <c r="R58" s="210">
        <f t="shared" si="546"/>
        <v>506.8000000000003</v>
      </c>
      <c r="S58" s="212">
        <f t="shared" si="546"/>
        <v>558.60000000000036</v>
      </c>
      <c r="T58" s="211">
        <f t="shared" si="546"/>
        <v>765.70000000000027</v>
      </c>
      <c r="U58" s="210">
        <f t="shared" si="546"/>
        <v>428.9000000000014</v>
      </c>
      <c r="V58" s="210">
        <f t="shared" si="546"/>
        <v>350.60000000000042</v>
      </c>
      <c r="W58" s="212">
        <f t="shared" si="546"/>
        <v>294.60000000000014</v>
      </c>
      <c r="X58" s="211">
        <f t="shared" si="546"/>
        <v>441.60000000000099</v>
      </c>
      <c r="Y58" s="210">
        <f t="shared" si="546"/>
        <v>429.9</v>
      </c>
      <c r="Z58" s="210">
        <f t="shared" si="546"/>
        <v>383.2</v>
      </c>
      <c r="AA58" s="212">
        <f t="shared" si="546"/>
        <v>701.70000000000027</v>
      </c>
      <c r="AB58" s="211">
        <f t="shared" si="546"/>
        <v>568.70000000000027</v>
      </c>
      <c r="AC58" s="210">
        <f t="shared" si="546"/>
        <v>599.90000000000032</v>
      </c>
      <c r="AD58" s="210">
        <f t="shared" si="546"/>
        <v>622.70000000000027</v>
      </c>
      <c r="AE58" s="212">
        <f t="shared" si="546"/>
        <v>469.1000000000007</v>
      </c>
      <c r="AF58" s="211">
        <f t="shared" si="546"/>
        <v>357.90000000000055</v>
      </c>
      <c r="AG58" s="210">
        <f t="shared" si="546"/>
        <v>677.90000000000055</v>
      </c>
      <c r="AH58" s="210">
        <f t="shared" si="546"/>
        <v>333.7</v>
      </c>
      <c r="AI58" s="212">
        <f t="shared" si="546"/>
        <v>398.2</v>
      </c>
      <c r="AJ58" s="211">
        <f t="shared" si="546"/>
        <v>401.3</v>
      </c>
      <c r="AK58" s="210">
        <f t="shared" si="546"/>
        <v>913.09999999999991</v>
      </c>
      <c r="AL58" s="210">
        <f t="shared" si="546"/>
        <v>677.8</v>
      </c>
      <c r="AM58" s="212">
        <f t="shared" si="546"/>
        <v>568.29999999999995</v>
      </c>
      <c r="AN58" s="211">
        <f t="shared" si="546"/>
        <v>486.3</v>
      </c>
      <c r="AO58" s="210">
        <f t="shared" si="546"/>
        <v>507.20000000000005</v>
      </c>
      <c r="AP58" s="210">
        <f t="shared" si="546"/>
        <v>327.10000000000002</v>
      </c>
      <c r="AQ58" s="212">
        <f t="shared" si="546"/>
        <v>484.09999999999991</v>
      </c>
      <c r="AR58" s="211">
        <f t="shared" si="546"/>
        <v>318.7999999999999</v>
      </c>
      <c r="AS58" s="210">
        <f t="shared" si="546"/>
        <v>357.5</v>
      </c>
      <c r="AT58" s="210">
        <f t="shared" si="546"/>
        <v>468.3000000000003</v>
      </c>
      <c r="AU58" s="212">
        <f t="shared" si="546"/>
        <v>522.50000000000023</v>
      </c>
      <c r="AV58" s="211">
        <f t="shared" si="546"/>
        <v>661.10000000000014</v>
      </c>
      <c r="AW58" s="210">
        <f t="shared" si="546"/>
        <v>1535.6000000000004</v>
      </c>
      <c r="AX58" s="210">
        <f t="shared" si="546"/>
        <v>1467.7000000000003</v>
      </c>
      <c r="AY58" s="212">
        <f t="shared" si="546"/>
        <v>1431.3000000000006</v>
      </c>
      <c r="AZ58" s="211">
        <f>AZ57+AZ55+AZ56</f>
        <v>1303.0000000000007</v>
      </c>
      <c r="BA58" s="210">
        <f>BA57+BA55+BA56</f>
        <v>1566.0000000000007</v>
      </c>
      <c r="BB58" s="210">
        <f>BB57+BB55+BB56</f>
        <v>2667.0000000000009</v>
      </c>
      <c r="BC58" s="212">
        <f>BC57+BC55+BC56</f>
        <v>2192.0000000000009</v>
      </c>
      <c r="BD58" s="211">
        <f t="shared" ref="BD58:CC58" si="547">BD57+BD55+BD56</f>
        <v>1880.0000000000009</v>
      </c>
      <c r="BE58" s="210">
        <f t="shared" si="547"/>
        <v>1708.0000000000009</v>
      </c>
      <c r="BF58" s="210">
        <f t="shared" si="547"/>
        <v>1474.0000000000009</v>
      </c>
      <c r="BG58" s="212">
        <f t="shared" si="547"/>
        <v>1243.0000000000009</v>
      </c>
      <c r="BH58" s="211">
        <f t="shared" si="547"/>
        <v>1025.0000000000009</v>
      </c>
      <c r="BI58" s="210">
        <f t="shared" si="547"/>
        <v>932.00000000000091</v>
      </c>
      <c r="BJ58" s="210">
        <f t="shared" si="547"/>
        <v>1306.0000000000009</v>
      </c>
      <c r="BK58" s="212">
        <f t="shared" si="547"/>
        <v>1485.0000000000009</v>
      </c>
      <c r="BL58" s="211">
        <f t="shared" si="547"/>
        <v>1565.0000000000009</v>
      </c>
      <c r="BM58" s="210">
        <f t="shared" si="547"/>
        <v>1870.0000000000009</v>
      </c>
      <c r="BN58" s="210">
        <f t="shared" si="547"/>
        <v>2313.0000000000009</v>
      </c>
      <c r="BO58" s="212">
        <f t="shared" si="547"/>
        <v>2913.0000000000009</v>
      </c>
      <c r="BP58" s="211">
        <f t="shared" si="547"/>
        <v>2411.0000000000009</v>
      </c>
      <c r="BQ58" s="210">
        <f t="shared" si="547"/>
        <v>2184.0000000000009</v>
      </c>
      <c r="BR58" s="210">
        <f t="shared" si="547"/>
        <v>2395.0000000000009</v>
      </c>
      <c r="BS58" s="212">
        <f>BS57+BS55+BS56</f>
        <v>2160.0000000000009</v>
      </c>
      <c r="BT58" s="211">
        <f t="shared" si="547"/>
        <v>1915.0000000000009</v>
      </c>
      <c r="BU58" s="210">
        <f t="shared" si="547"/>
        <v>2094.0000000000009</v>
      </c>
      <c r="BV58" s="210">
        <f t="shared" si="547"/>
        <v>2191.0000000000009</v>
      </c>
      <c r="BW58" s="212">
        <f>BW57+BW55+BW56</f>
        <v>2459.0000000000009</v>
      </c>
      <c r="BX58" s="211">
        <f t="shared" si="547"/>
        <v>2102.0000000000009</v>
      </c>
      <c r="BY58" s="210">
        <f t="shared" si="547"/>
        <v>2061.0000000000009</v>
      </c>
      <c r="BZ58" s="210">
        <f t="shared" si="547"/>
        <v>2440.0000000000009</v>
      </c>
      <c r="CA58" s="212">
        <f>CA57+CA55+CA56</f>
        <v>2880.0000000000009</v>
      </c>
      <c r="CB58" s="211">
        <f t="shared" si="547"/>
        <v>3654.0000000000009</v>
      </c>
      <c r="CC58" s="210">
        <f t="shared" si="547"/>
        <v>4305.0000000000009</v>
      </c>
      <c r="CD58" s="210">
        <f t="shared" ref="CD58" si="548">CD57+CD55+CD56</f>
        <v>4062.0000000000009</v>
      </c>
      <c r="CE58" s="212">
        <f>CE57+CE55+CE56</f>
        <v>4150.0000000000009</v>
      </c>
      <c r="CF58" s="211">
        <f>CF57+CF55+CF56</f>
        <v>3764.0000000000009</v>
      </c>
      <c r="CG58" s="210">
        <f>CG57+CG55+CG56</f>
        <v>3547.0000000000009</v>
      </c>
      <c r="CH58" s="210">
        <f t="shared" ref="CH58" si="549">CH57+CH55+CH56</f>
        <v>3694.0000000000009</v>
      </c>
      <c r="CI58" s="212">
        <f>CI57+CI55+CI56</f>
        <v>2287.0000000000009</v>
      </c>
      <c r="CJ58" s="211">
        <f>CJ57+CJ55+CJ56</f>
        <v>2605.0000000000009</v>
      </c>
      <c r="CK58" s="210">
        <f>CK57+CK55+CK56</f>
        <v>3078.0000000000009</v>
      </c>
      <c r="CL58" s="210">
        <f t="shared" ref="CL58" si="550">CL57+CL55+CL56</f>
        <v>4627.0000000000009</v>
      </c>
      <c r="CM58" s="212">
        <f>CM57+CM55+CM56</f>
        <v>4140.0000000000009</v>
      </c>
      <c r="CN58" s="211">
        <f>CN57+CN55+CN56</f>
        <v>4139.0000000000009</v>
      </c>
      <c r="CO58" s="210">
        <f>CO57+CO55+CO56</f>
        <v>3633.0000000000009</v>
      </c>
      <c r="CP58" s="210">
        <f t="shared" ref="CP58" si="551">CP57+CP55+CP56</f>
        <v>4065.0000000000009</v>
      </c>
      <c r="CQ58" s="212">
        <f>CQ57+CQ55+CQ56</f>
        <v>5109.0000000000009</v>
      </c>
      <c r="CR58" s="211">
        <f>CR57+CR55+CR56</f>
        <v>6008.0000000000009</v>
      </c>
      <c r="CS58" s="210">
        <f t="shared" ref="CS58:CU58" si="552">CS57+CS55+CS56</f>
        <v>7876</v>
      </c>
      <c r="CT58" s="210">
        <f t="shared" si="552"/>
        <v>11875.975169087404</v>
      </c>
      <c r="CU58" s="212">
        <f t="shared" si="552"/>
        <v>14846.052040939898</v>
      </c>
      <c r="CV58" s="211">
        <f t="shared" ref="CV58:CY58" si="553">CV57+CV55+CV56</f>
        <v>16698.994975012749</v>
      </c>
      <c r="CW58" s="210">
        <f t="shared" si="553"/>
        <v>18237.158819485157</v>
      </c>
      <c r="CX58" s="210">
        <f t="shared" si="553"/>
        <v>19274.015362767506</v>
      </c>
      <c r="CY58" s="212">
        <f t="shared" si="553"/>
        <v>19959.946412183035</v>
      </c>
      <c r="CZ58" s="211">
        <f t="shared" ref="CZ58:DC58" si="554">CZ57+CZ55+CZ56</f>
        <v>20733.594652083244</v>
      </c>
      <c r="DA58" s="210">
        <f t="shared" si="554"/>
        <v>21021.860888705571</v>
      </c>
      <c r="DB58" s="210">
        <f t="shared" si="554"/>
        <v>21359.305480133407</v>
      </c>
      <c r="DC58" s="212">
        <f t="shared" si="554"/>
        <v>21626.147928009636</v>
      </c>
      <c r="DD58" s="895"/>
      <c r="DE58" s="211">
        <f t="shared" ref="DE58:DN58" si="555">DE57+DE55+DE56</f>
        <v>58.000000000000114</v>
      </c>
      <c r="DF58" s="210">
        <f t="shared" si="555"/>
        <v>19.999999999999858</v>
      </c>
      <c r="DG58" s="210">
        <f t="shared" si="555"/>
        <v>619.50000000000023</v>
      </c>
      <c r="DH58" s="210">
        <f t="shared" si="555"/>
        <v>558.60000000000036</v>
      </c>
      <c r="DI58" s="210">
        <f t="shared" si="555"/>
        <v>294.60000000000019</v>
      </c>
      <c r="DJ58" s="210">
        <f t="shared" si="555"/>
        <v>701.70000000000027</v>
      </c>
      <c r="DK58" s="210">
        <f t="shared" si="555"/>
        <v>469.10000000000065</v>
      </c>
      <c r="DL58" s="210">
        <f t="shared" si="555"/>
        <v>398.2</v>
      </c>
      <c r="DM58" s="210">
        <f t="shared" si="555"/>
        <v>568.29999999999995</v>
      </c>
      <c r="DN58" s="210">
        <f t="shared" si="555"/>
        <v>484.09999999999991</v>
      </c>
      <c r="DO58" s="210">
        <f t="shared" ref="DO58:DV58" si="556">DO57+DO55+DO56</f>
        <v>522.50000000000011</v>
      </c>
      <c r="DP58" s="210">
        <f t="shared" si="556"/>
        <v>1431.3000000000004</v>
      </c>
      <c r="DQ58" s="210">
        <f t="shared" si="556"/>
        <v>2192.0000000000005</v>
      </c>
      <c r="DR58" s="210">
        <f t="shared" si="556"/>
        <v>1243.0000000000005</v>
      </c>
      <c r="DS58" s="210">
        <f t="shared" si="556"/>
        <v>1485.0000000000005</v>
      </c>
      <c r="DT58" s="210">
        <f t="shared" si="556"/>
        <v>2913.0000000000005</v>
      </c>
      <c r="DU58" s="210">
        <f t="shared" si="556"/>
        <v>2160.0000000000005</v>
      </c>
      <c r="DV58" s="210">
        <f t="shared" si="556"/>
        <v>2459.0000000000005</v>
      </c>
      <c r="DW58" s="210">
        <f t="shared" ref="DW58:EB58" si="557">DW57+DW55+DW56</f>
        <v>2880.0000000000005</v>
      </c>
      <c r="DX58" s="210">
        <f t="shared" si="557"/>
        <v>4150</v>
      </c>
      <c r="DY58" s="210">
        <f t="shared" si="557"/>
        <v>2287</v>
      </c>
      <c r="DZ58" s="210">
        <f t="shared" si="557"/>
        <v>4140</v>
      </c>
      <c r="EA58" s="210">
        <f t="shared" si="557"/>
        <v>5109</v>
      </c>
      <c r="EB58" s="210">
        <f t="shared" si="557"/>
        <v>14846.052040939896</v>
      </c>
      <c r="EC58" s="210">
        <f t="shared" ref="EC58:ED58" si="558">EC57+EC55+EC56</f>
        <v>19959.946412183035</v>
      </c>
      <c r="ED58" s="210">
        <f t="shared" si="558"/>
        <v>21626.147928009636</v>
      </c>
      <c r="EE58" s="18"/>
      <c r="EF58" s="211"/>
      <c r="EG58" s="210"/>
      <c r="EH58" s="210">
        <f t="shared" ref="EH58:EO58" si="559">EH57+EH55+EH56</f>
        <v>342.4000000000002</v>
      </c>
      <c r="EI58" s="210">
        <f t="shared" si="559"/>
        <v>765.70000000000027</v>
      </c>
      <c r="EJ58" s="210">
        <f t="shared" si="559"/>
        <v>441.60000000000099</v>
      </c>
      <c r="EK58" s="210">
        <f t="shared" si="559"/>
        <v>568.70000000000027</v>
      </c>
      <c r="EL58" s="210">
        <f t="shared" si="559"/>
        <v>357.90000000000049</v>
      </c>
      <c r="EM58" s="210">
        <f t="shared" si="559"/>
        <v>401.3</v>
      </c>
      <c r="EN58" s="210">
        <f t="shared" si="559"/>
        <v>486.30000000000007</v>
      </c>
      <c r="EO58" s="210">
        <f t="shared" si="559"/>
        <v>318.79999999999995</v>
      </c>
      <c r="EP58" s="210">
        <f t="shared" ref="EP58:FB58" si="560">EP57+EP55+EP56</f>
        <v>661.10000000000014</v>
      </c>
      <c r="EQ58" s="210">
        <f t="shared" si="560"/>
        <v>1303.0000000000002</v>
      </c>
      <c r="ER58" s="210">
        <f t="shared" si="560"/>
        <v>1880.0000000000002</v>
      </c>
      <c r="ES58" s="210">
        <f t="shared" si="560"/>
        <v>1025.0000000000002</v>
      </c>
      <c r="ET58" s="210">
        <f t="shared" si="560"/>
        <v>1565.0000000000002</v>
      </c>
      <c r="EU58" s="210">
        <f t="shared" si="560"/>
        <v>2411</v>
      </c>
      <c r="EV58" s="210">
        <f t="shared" si="560"/>
        <v>1915</v>
      </c>
      <c r="EW58" s="210">
        <f t="shared" si="560"/>
        <v>2102</v>
      </c>
      <c r="EX58" s="210">
        <f t="shared" si="560"/>
        <v>3654</v>
      </c>
      <c r="EY58" s="210">
        <f t="shared" si="560"/>
        <v>3764</v>
      </c>
      <c r="EZ58" s="210">
        <f t="shared" si="560"/>
        <v>2605</v>
      </c>
      <c r="FA58" s="210">
        <f t="shared" si="560"/>
        <v>4139</v>
      </c>
      <c r="FB58" s="210">
        <f t="shared" si="560"/>
        <v>6008</v>
      </c>
      <c r="FC58" s="210">
        <f t="shared" ref="FC58:FD58" si="561">FC57+FC55+FC56</f>
        <v>16698.994975012749</v>
      </c>
      <c r="FD58" s="212">
        <f t="shared" si="561"/>
        <v>20733.594652083244</v>
      </c>
      <c r="FP58" s="330"/>
    </row>
    <row r="59" spans="1:172" ht="14.25" customHeight="1">
      <c r="A59" s="7"/>
      <c r="B59" s="213"/>
      <c r="C59" s="213"/>
      <c r="D59" s="202"/>
      <c r="E59" s="202"/>
      <c r="F59" s="202"/>
      <c r="G59" s="202"/>
      <c r="H59" s="202"/>
      <c r="I59" s="202"/>
      <c r="J59" s="202"/>
      <c r="K59" s="202"/>
      <c r="L59" s="202"/>
      <c r="M59" s="202"/>
      <c r="N59" s="202"/>
      <c r="O59" s="202"/>
      <c r="P59" s="202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202"/>
      <c r="BL59" s="202"/>
      <c r="BM59" s="202"/>
      <c r="BN59" s="202"/>
      <c r="BO59" s="202"/>
      <c r="BP59" s="202"/>
      <c r="BQ59" s="202"/>
      <c r="BR59" s="202"/>
      <c r="BS59" s="202"/>
      <c r="BT59" s="202"/>
      <c r="BU59" s="202"/>
      <c r="BV59" s="202"/>
      <c r="BW59" s="202"/>
      <c r="BX59" s="202"/>
      <c r="BY59" s="202"/>
      <c r="BZ59" s="202"/>
      <c r="CA59" s="202"/>
      <c r="CB59" s="202"/>
      <c r="CC59" s="202"/>
      <c r="CD59" s="202"/>
      <c r="CE59" s="202"/>
      <c r="CF59" s="202"/>
      <c r="CG59" s="202"/>
      <c r="CH59" s="202"/>
      <c r="CI59" s="202"/>
      <c r="CJ59" s="202"/>
      <c r="CK59" s="202"/>
      <c r="CL59" s="202"/>
      <c r="CM59" s="202"/>
      <c r="CN59" s="202"/>
      <c r="CO59" s="202"/>
      <c r="CP59" s="202"/>
      <c r="CQ59" s="202"/>
      <c r="CR59" s="202"/>
      <c r="CS59" s="202"/>
      <c r="CT59" s="202"/>
      <c r="CU59" s="202"/>
      <c r="CV59" s="202"/>
      <c r="CW59" s="202"/>
      <c r="CX59" s="202"/>
      <c r="CY59" s="202"/>
      <c r="CZ59" s="202"/>
      <c r="DA59" s="202"/>
      <c r="DB59" s="202"/>
      <c r="DC59" s="202"/>
      <c r="DD59" s="895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7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P59" s="330"/>
    </row>
    <row r="60" spans="1:172" ht="14.25" customHeight="1">
      <c r="A60" s="7"/>
      <c r="B60" s="63" t="str">
        <f t="shared" si="493"/>
        <v>vs. Balance Sheet</v>
      </c>
      <c r="C60" s="215"/>
      <c r="D60" s="149">
        <f>BS!D8</f>
        <v>0</v>
      </c>
      <c r="E60" s="149">
        <f>BS!E8</f>
        <v>0</v>
      </c>
      <c r="F60" s="149">
        <f>BS!F8</f>
        <v>0</v>
      </c>
      <c r="G60" s="150">
        <f>BS!G8</f>
        <v>0</v>
      </c>
      <c r="H60" s="149">
        <f>BS!H8</f>
        <v>0</v>
      </c>
      <c r="I60" s="149">
        <f>BS!I8</f>
        <v>0</v>
      </c>
      <c r="J60" s="149">
        <f>BS!J8</f>
        <v>0</v>
      </c>
      <c r="K60" s="150">
        <f>BS!K8</f>
        <v>0</v>
      </c>
      <c r="L60" s="149">
        <f>BS!L8</f>
        <v>222.3</v>
      </c>
      <c r="M60" s="149">
        <f>BS!M8</f>
        <v>582.9</v>
      </c>
      <c r="N60" s="149">
        <f>BS!N8</f>
        <v>433.5</v>
      </c>
      <c r="O60" s="150">
        <f>BS!O8</f>
        <v>619.5</v>
      </c>
      <c r="P60" s="149">
        <f>BS!P8</f>
        <v>342.4</v>
      </c>
      <c r="Q60" s="149">
        <f>BS!Q8</f>
        <v>560.5</v>
      </c>
      <c r="R60" s="149">
        <f>BS!R8</f>
        <v>506.8</v>
      </c>
      <c r="S60" s="150">
        <f>BS!S8</f>
        <v>558.6</v>
      </c>
      <c r="T60" s="149">
        <f>BS!T8</f>
        <v>765.7</v>
      </c>
      <c r="U60" s="149">
        <f>BS!U8</f>
        <v>428.900000000001</v>
      </c>
      <c r="V60" s="149">
        <f>BS!V8</f>
        <v>350.6</v>
      </c>
      <c r="W60" s="150">
        <f>BS!W8</f>
        <v>294.60000000000002</v>
      </c>
      <c r="X60" s="149">
        <f>BS!X8</f>
        <v>441.60000000000099</v>
      </c>
      <c r="Y60" s="149">
        <f>BS!Y8</f>
        <v>429.9</v>
      </c>
      <c r="Z60" s="149">
        <f>BS!Z8</f>
        <v>383.2</v>
      </c>
      <c r="AA60" s="150">
        <f>BS!AA8</f>
        <v>701.7</v>
      </c>
      <c r="AB60" s="149">
        <f>BS!AB8</f>
        <v>568.70000000000005</v>
      </c>
      <c r="AC60" s="149">
        <f>BS!AC8</f>
        <v>599.9</v>
      </c>
      <c r="AD60" s="149">
        <f>BS!AD8</f>
        <v>622.70000000000005</v>
      </c>
      <c r="AE60" s="150">
        <f>BS!AE8</f>
        <v>469.1</v>
      </c>
      <c r="AF60" s="149">
        <f>BS!AF8</f>
        <v>357.9</v>
      </c>
      <c r="AG60" s="149">
        <f>BS!AG8</f>
        <v>677.9</v>
      </c>
      <c r="AH60" s="149">
        <f>BS!AH8</f>
        <v>333.7</v>
      </c>
      <c r="AI60" s="150">
        <f>BS!AI8</f>
        <v>398.2</v>
      </c>
      <c r="AJ60" s="149">
        <f>BS!AJ8</f>
        <v>401.3</v>
      </c>
      <c r="AK60" s="149">
        <f>BS!AK8</f>
        <v>913.1</v>
      </c>
      <c r="AL60" s="149">
        <f>BS!AL8</f>
        <v>677.8</v>
      </c>
      <c r="AM60" s="150">
        <f>BS!AM8</f>
        <v>568.29999999999995</v>
      </c>
      <c r="AN60" s="149">
        <f>BS!AN8</f>
        <v>486.3</v>
      </c>
      <c r="AO60" s="149">
        <f>BS!AO8</f>
        <v>507.2</v>
      </c>
      <c r="AP60" s="149">
        <f>BS!AP8</f>
        <v>327.10000000000002</v>
      </c>
      <c r="AQ60" s="150">
        <f>BS!AQ8</f>
        <v>484.1</v>
      </c>
      <c r="AR60" s="149">
        <f>BS!AR8</f>
        <v>318.8</v>
      </c>
      <c r="AS60" s="149">
        <f>BS!AS8</f>
        <v>357.5</v>
      </c>
      <c r="AT60" s="149">
        <f>BS!AT8</f>
        <v>468.3</v>
      </c>
      <c r="AU60" s="150">
        <f>BS!AU8</f>
        <v>522.5</v>
      </c>
      <c r="AV60" s="149">
        <f>BS!AV8</f>
        <v>661.1</v>
      </c>
      <c r="AW60" s="149">
        <f>BS!AW8</f>
        <v>1535.6</v>
      </c>
      <c r="AX60" s="149">
        <f>BS!AX8</f>
        <v>1467.7</v>
      </c>
      <c r="AY60" s="150">
        <f>BS!AY8</f>
        <v>1431.3</v>
      </c>
      <c r="AZ60" s="149">
        <f>BS!AZ8</f>
        <v>1303</v>
      </c>
      <c r="BA60" s="149">
        <f>BS!BA8</f>
        <v>1566</v>
      </c>
      <c r="BB60" s="149">
        <f>BS!BB8</f>
        <v>2667</v>
      </c>
      <c r="BC60" s="150">
        <f>BS!BC8</f>
        <v>2192</v>
      </c>
      <c r="BD60" s="149">
        <f>BS!BD8</f>
        <v>1880</v>
      </c>
      <c r="BE60" s="149">
        <f>BS!BE8</f>
        <v>1708</v>
      </c>
      <c r="BF60" s="149">
        <f>BS!BF8</f>
        <v>1474</v>
      </c>
      <c r="BG60" s="150">
        <f>BS!BG8</f>
        <v>1243</v>
      </c>
      <c r="BH60" s="149">
        <f>BS!BH8</f>
        <v>1025</v>
      </c>
      <c r="BI60" s="149">
        <f>BS!BI8</f>
        <v>932</v>
      </c>
      <c r="BJ60" s="149">
        <f>BS!BJ8</f>
        <v>1306</v>
      </c>
      <c r="BK60" s="150">
        <f>BS!BK8</f>
        <v>1485</v>
      </c>
      <c r="BL60" s="149">
        <f>BS!BL8</f>
        <v>1565</v>
      </c>
      <c r="BM60" s="149">
        <f>BS!BM8</f>
        <v>1870</v>
      </c>
      <c r="BN60" s="149">
        <f>BS!BN8</f>
        <v>2313</v>
      </c>
      <c r="BO60" s="150">
        <f>BS!BO8</f>
        <v>2913</v>
      </c>
      <c r="BP60" s="149">
        <f>BS!BP8</f>
        <v>2411</v>
      </c>
      <c r="BQ60" s="149">
        <f>BS!BQ8</f>
        <v>2184</v>
      </c>
      <c r="BR60" s="149">
        <f>BS!BR8</f>
        <v>2395</v>
      </c>
      <c r="BS60" s="150">
        <f>BS!BS8</f>
        <v>2160</v>
      </c>
      <c r="BT60" s="149">
        <f>BS!BT8</f>
        <v>1915</v>
      </c>
      <c r="BU60" s="149">
        <f>BS!BU8</f>
        <v>2094</v>
      </c>
      <c r="BV60" s="149">
        <f>BS!BV8</f>
        <v>2191</v>
      </c>
      <c r="BW60" s="150">
        <f>BS!BW8</f>
        <v>2459</v>
      </c>
      <c r="BX60" s="149">
        <f>BS!BX8</f>
        <v>2102</v>
      </c>
      <c r="BY60" s="149">
        <f>BS!BY8</f>
        <v>2061</v>
      </c>
      <c r="BZ60" s="149">
        <f>BS!BZ8</f>
        <v>2440</v>
      </c>
      <c r="CA60" s="150">
        <f>BS!CA8</f>
        <v>2880</v>
      </c>
      <c r="CB60" s="149">
        <f>BS!CB8</f>
        <v>3654</v>
      </c>
      <c r="CC60" s="149">
        <f>BS!CC8</f>
        <v>4305</v>
      </c>
      <c r="CD60" s="149">
        <f>BS!CD8</f>
        <v>4062</v>
      </c>
      <c r="CE60" s="150">
        <f>BS!CE8</f>
        <v>4150</v>
      </c>
      <c r="CF60" s="149">
        <f>BS!CF8</f>
        <v>3764</v>
      </c>
      <c r="CG60" s="149">
        <f>BS!CG8</f>
        <v>3547</v>
      </c>
      <c r="CH60" s="149">
        <f>BS!CH8</f>
        <v>3694</v>
      </c>
      <c r="CI60" s="150">
        <f>BS!CI8</f>
        <v>2287</v>
      </c>
      <c r="CJ60" s="149">
        <f>BS!CJ8</f>
        <v>2605</v>
      </c>
      <c r="CK60" s="149">
        <f>BS!CK8</f>
        <v>3078</v>
      </c>
      <c r="CL60" s="149">
        <f>BS!CL8</f>
        <v>4627</v>
      </c>
      <c r="CM60" s="150">
        <f>BS!CM8</f>
        <v>4140</v>
      </c>
      <c r="CN60" s="1246">
        <f>BS!CN8</f>
        <v>4139</v>
      </c>
      <c r="CO60" s="1246">
        <f>BS!CO8</f>
        <v>3633</v>
      </c>
      <c r="CP60" s="1246">
        <f>BS!CP8</f>
        <v>4065</v>
      </c>
      <c r="CQ60" s="150">
        <f>BS!CQ8</f>
        <v>5109</v>
      </c>
      <c r="CR60" s="1246">
        <f>BS!CR8</f>
        <v>6008</v>
      </c>
      <c r="CS60" s="1246">
        <f>BS!CS8</f>
        <v>7876</v>
      </c>
      <c r="CT60" s="1246">
        <f>BS!CT8</f>
        <v>11875.975169087404</v>
      </c>
      <c r="CU60" s="150">
        <f>BS!CU8</f>
        <v>14846.052040939898</v>
      </c>
      <c r="CV60" s="1246">
        <f>BS!CV8</f>
        <v>16698.994975012749</v>
      </c>
      <c r="CW60" s="1246">
        <f>BS!CW8</f>
        <v>18237.158819485157</v>
      </c>
      <c r="CX60" s="1246">
        <f>BS!CX8</f>
        <v>19274.015362767506</v>
      </c>
      <c r="CY60" s="150">
        <f>BS!CY8</f>
        <v>19959.946412183035</v>
      </c>
      <c r="CZ60" s="1246">
        <f>BS!CZ8</f>
        <v>20733.594652083244</v>
      </c>
      <c r="DA60" s="1246">
        <f>BS!DA8</f>
        <v>21021.860888705571</v>
      </c>
      <c r="DB60" s="1246">
        <f>BS!DB8</f>
        <v>21359.305480133407</v>
      </c>
      <c r="DC60" s="150">
        <f>BS!DC8</f>
        <v>21626.147928009636</v>
      </c>
      <c r="DD60" s="895"/>
      <c r="DE60" s="216">
        <f>BS!DE8</f>
        <v>0</v>
      </c>
      <c r="DF60" s="216">
        <f>BS!DF8</f>
        <v>0</v>
      </c>
      <c r="DG60" s="216">
        <f>BS!DG8</f>
        <v>619.5</v>
      </c>
      <c r="DH60" s="216">
        <f>BS!DH8</f>
        <v>558.6</v>
      </c>
      <c r="DI60" s="216">
        <f>BS!DI8</f>
        <v>294.60000000000002</v>
      </c>
      <c r="DJ60" s="216">
        <f>BS!DJ8</f>
        <v>701.7</v>
      </c>
      <c r="DK60" s="216">
        <f>BS!DK8</f>
        <v>469.1</v>
      </c>
      <c r="DL60" s="216">
        <f>BS!DL8</f>
        <v>398.2</v>
      </c>
      <c r="DM60" s="216">
        <f>BS!DM8</f>
        <v>568.29999999999995</v>
      </c>
      <c r="DN60" s="216">
        <f>BS!DN8</f>
        <v>484.1</v>
      </c>
      <c r="DO60" s="216">
        <f>BS!DO8</f>
        <v>522.5</v>
      </c>
      <c r="DP60" s="216">
        <f>BS!DP8</f>
        <v>1431.3</v>
      </c>
      <c r="DQ60" s="216">
        <f>BS!DQ8</f>
        <v>2192</v>
      </c>
      <c r="DR60" s="216">
        <f>BS!DR8</f>
        <v>1243</v>
      </c>
      <c r="DS60" s="216">
        <f>BS!DS8</f>
        <v>1485</v>
      </c>
      <c r="DT60" s="216">
        <f>BS!DT8</f>
        <v>2913</v>
      </c>
      <c r="DU60" s="1249">
        <f>BS!DU8</f>
        <v>2160</v>
      </c>
      <c r="DV60" s="1249">
        <f>BS!DV8</f>
        <v>2459</v>
      </c>
      <c r="DW60" s="1249">
        <f>BS!DW8</f>
        <v>2880</v>
      </c>
      <c r="DX60" s="1249">
        <f>BS!DX8</f>
        <v>4150</v>
      </c>
      <c r="DY60" s="1249">
        <f>BS!DY8</f>
        <v>2287</v>
      </c>
      <c r="DZ60" s="1249">
        <f>BS!DZ8</f>
        <v>4140</v>
      </c>
      <c r="EA60" s="216">
        <f>BS!EA8</f>
        <v>5109</v>
      </c>
      <c r="EB60" s="1249">
        <f>BS!EB8</f>
        <v>14846.052040939898</v>
      </c>
      <c r="EC60" s="1249">
        <f>BS!EC8</f>
        <v>19959.946412183035</v>
      </c>
      <c r="ED60" s="1249">
        <f>BS!ED8</f>
        <v>21626.147928009636</v>
      </c>
      <c r="EE60" s="18"/>
      <c r="EF60" s="319"/>
      <c r="EG60" s="216"/>
      <c r="EH60" s="216">
        <f>BS!EH8</f>
        <v>342.4</v>
      </c>
      <c r="EI60" s="216">
        <f>BS!EI8</f>
        <v>765.7</v>
      </c>
      <c r="EJ60" s="216">
        <f>BS!EJ8</f>
        <v>441.60000000000099</v>
      </c>
      <c r="EK60" s="216">
        <f>BS!EK8</f>
        <v>568.70000000000005</v>
      </c>
      <c r="EL60" s="216">
        <f>BS!EL8</f>
        <v>357.9</v>
      </c>
      <c r="EM60" s="216">
        <f>BS!EM8</f>
        <v>401.3</v>
      </c>
      <c r="EN60" s="216">
        <f>BS!EN8</f>
        <v>486.3</v>
      </c>
      <c r="EO60" s="216">
        <f>BS!EO8</f>
        <v>318.8</v>
      </c>
      <c r="EP60" s="216">
        <f>BS!EP8</f>
        <v>661.1</v>
      </c>
      <c r="EQ60" s="216">
        <f>BS!EQ8</f>
        <v>1303</v>
      </c>
      <c r="ER60" s="216">
        <f>BS!ER8</f>
        <v>1880</v>
      </c>
      <c r="ES60" s="216">
        <f>BS!ES8</f>
        <v>1025</v>
      </c>
      <c r="ET60" s="1249">
        <f>BS!ET8</f>
        <v>1565</v>
      </c>
      <c r="EU60" s="1249">
        <f>BS!EU8</f>
        <v>2411</v>
      </c>
      <c r="EV60" s="216">
        <f>BS!EV8</f>
        <v>1915</v>
      </c>
      <c r="EW60" s="216">
        <f>BS!EW8</f>
        <v>2102</v>
      </c>
      <c r="EX60" s="1249">
        <f>BS!EX8</f>
        <v>3654</v>
      </c>
      <c r="EY60" s="1249">
        <f>BS!EY8</f>
        <v>3764</v>
      </c>
      <c r="EZ60" s="1249">
        <f>BS!EZ8</f>
        <v>2605</v>
      </c>
      <c r="FA60" s="1249">
        <f>BS!FA8</f>
        <v>4139</v>
      </c>
      <c r="FB60" s="1249">
        <f>BS!FB8</f>
        <v>6008</v>
      </c>
      <c r="FC60" s="1249">
        <f>BS!FC8</f>
        <v>16698.994975012749</v>
      </c>
      <c r="FD60" s="150">
        <f>BS!FD8</f>
        <v>20733.594652083244</v>
      </c>
      <c r="FP60" s="330"/>
    </row>
    <row r="61" spans="1:172" ht="14.25" customHeight="1">
      <c r="A61" s="7"/>
      <c r="B61" s="120" t="str">
        <f t="shared" si="493"/>
        <v>Check</v>
      </c>
      <c r="C61" s="121"/>
      <c r="D61" s="124">
        <f t="shared" ref="D61:AY61" si="562">IF(ROUND(D60,4)=ROUND(D58,4),0,(D60-D58))</f>
        <v>0</v>
      </c>
      <c r="E61" s="122">
        <f t="shared" si="562"/>
        <v>0</v>
      </c>
      <c r="F61" s="122">
        <f t="shared" si="562"/>
        <v>-29.000000000000057</v>
      </c>
      <c r="G61" s="123">
        <f t="shared" si="562"/>
        <v>-29.000000000000057</v>
      </c>
      <c r="H61" s="124">
        <f t="shared" si="562"/>
        <v>-25.299999999999955</v>
      </c>
      <c r="I61" s="122">
        <f t="shared" si="562"/>
        <v>2.6000000000000796</v>
      </c>
      <c r="J61" s="122">
        <f t="shared" si="562"/>
        <v>4.6000000000001435</v>
      </c>
      <c r="K61" s="123">
        <f t="shared" si="562"/>
        <v>9.0000000000002025</v>
      </c>
      <c r="L61" s="124">
        <f t="shared" si="562"/>
        <v>0</v>
      </c>
      <c r="M61" s="122">
        <f t="shared" si="562"/>
        <v>0</v>
      </c>
      <c r="N61" s="122">
        <f t="shared" si="562"/>
        <v>0</v>
      </c>
      <c r="O61" s="123">
        <f t="shared" si="562"/>
        <v>0</v>
      </c>
      <c r="P61" s="124">
        <f t="shared" si="562"/>
        <v>0</v>
      </c>
      <c r="Q61" s="122">
        <f t="shared" si="562"/>
        <v>0</v>
      </c>
      <c r="R61" s="122">
        <f t="shared" si="562"/>
        <v>0</v>
      </c>
      <c r="S61" s="123">
        <f t="shared" si="562"/>
        <v>0</v>
      </c>
      <c r="T61" s="124">
        <f t="shared" si="562"/>
        <v>0</v>
      </c>
      <c r="U61" s="122">
        <f t="shared" si="562"/>
        <v>0</v>
      </c>
      <c r="V61" s="122">
        <f t="shared" si="562"/>
        <v>0</v>
      </c>
      <c r="W61" s="123">
        <f t="shared" si="562"/>
        <v>0</v>
      </c>
      <c r="X61" s="124">
        <f t="shared" si="562"/>
        <v>0</v>
      </c>
      <c r="Y61" s="122">
        <f t="shared" si="562"/>
        <v>0</v>
      </c>
      <c r="Z61" s="122">
        <f t="shared" si="562"/>
        <v>0</v>
      </c>
      <c r="AA61" s="123">
        <f t="shared" si="562"/>
        <v>0</v>
      </c>
      <c r="AB61" s="124">
        <f t="shared" si="562"/>
        <v>0</v>
      </c>
      <c r="AC61" s="122">
        <f t="shared" si="562"/>
        <v>0</v>
      </c>
      <c r="AD61" s="122">
        <f t="shared" si="562"/>
        <v>0</v>
      </c>
      <c r="AE61" s="123">
        <f t="shared" si="562"/>
        <v>0</v>
      </c>
      <c r="AF61" s="124">
        <f t="shared" si="562"/>
        <v>0</v>
      </c>
      <c r="AG61" s="122">
        <f t="shared" si="562"/>
        <v>0</v>
      </c>
      <c r="AH61" s="122">
        <f t="shared" si="562"/>
        <v>0</v>
      </c>
      <c r="AI61" s="123">
        <f t="shared" si="562"/>
        <v>0</v>
      </c>
      <c r="AJ61" s="124">
        <f t="shared" si="562"/>
        <v>0</v>
      </c>
      <c r="AK61" s="122">
        <f t="shared" si="562"/>
        <v>0</v>
      </c>
      <c r="AL61" s="122">
        <f t="shared" si="562"/>
        <v>0</v>
      </c>
      <c r="AM61" s="123">
        <f t="shared" si="562"/>
        <v>0</v>
      </c>
      <c r="AN61" s="124">
        <f t="shared" si="562"/>
        <v>0</v>
      </c>
      <c r="AO61" s="122">
        <f t="shared" si="562"/>
        <v>0</v>
      </c>
      <c r="AP61" s="122">
        <f t="shared" si="562"/>
        <v>0</v>
      </c>
      <c r="AQ61" s="123">
        <f t="shared" si="562"/>
        <v>0</v>
      </c>
      <c r="AR61" s="124">
        <f t="shared" si="562"/>
        <v>0</v>
      </c>
      <c r="AS61" s="122">
        <f t="shared" si="562"/>
        <v>0</v>
      </c>
      <c r="AT61" s="122">
        <f t="shared" si="562"/>
        <v>0</v>
      </c>
      <c r="AU61" s="123">
        <f t="shared" si="562"/>
        <v>0</v>
      </c>
      <c r="AV61" s="124">
        <f t="shared" si="562"/>
        <v>0</v>
      </c>
      <c r="AW61" s="122">
        <f t="shared" si="562"/>
        <v>0</v>
      </c>
      <c r="AX61" s="122">
        <f t="shared" si="562"/>
        <v>0</v>
      </c>
      <c r="AY61" s="123">
        <f t="shared" si="562"/>
        <v>0</v>
      </c>
      <c r="AZ61" s="124">
        <f>IF(ROUND(AZ60,4)=ROUND(AZ58,4),0,(AZ60-AZ58))</f>
        <v>0</v>
      </c>
      <c r="BA61" s="122">
        <f>IF(ROUND(BA60,4)=ROUND(BA58,4),0,(BA60-BA58))</f>
        <v>0</v>
      </c>
      <c r="BB61" s="122">
        <f>IF(ROUND(BB60,4)=ROUND(BB58,4),0,(BB60-BB58))</f>
        <v>0</v>
      </c>
      <c r="BC61" s="123">
        <f>IF(ROUND(BC60,4)=ROUND(BC58,4),0,(BC60-BC58))</f>
        <v>0</v>
      </c>
      <c r="BD61" s="124">
        <f t="shared" ref="BD61:BO61" si="563">IF(ROUND(BD60,4)=ROUND(BD58,4),0,(BD60-BD58))</f>
        <v>0</v>
      </c>
      <c r="BE61" s="122">
        <f t="shared" si="563"/>
        <v>0</v>
      </c>
      <c r="BF61" s="122">
        <f t="shared" si="563"/>
        <v>0</v>
      </c>
      <c r="BG61" s="123">
        <f t="shared" si="563"/>
        <v>0</v>
      </c>
      <c r="BH61" s="124">
        <f t="shared" si="563"/>
        <v>0</v>
      </c>
      <c r="BI61" s="122">
        <f t="shared" si="563"/>
        <v>0</v>
      </c>
      <c r="BJ61" s="122">
        <f t="shared" si="563"/>
        <v>0</v>
      </c>
      <c r="BK61" s="123">
        <f t="shared" si="563"/>
        <v>0</v>
      </c>
      <c r="BL61" s="124">
        <f t="shared" si="563"/>
        <v>0</v>
      </c>
      <c r="BM61" s="122">
        <f t="shared" si="563"/>
        <v>0</v>
      </c>
      <c r="BN61" s="122">
        <f t="shared" si="563"/>
        <v>0</v>
      </c>
      <c r="BO61" s="123">
        <f t="shared" si="563"/>
        <v>0</v>
      </c>
      <c r="BP61" s="124">
        <f t="shared" ref="BP61:CC61" si="564">IF(ROUND(BP60,4)=ROUND(BP58,4),0,(BP60-BP58))</f>
        <v>0</v>
      </c>
      <c r="BQ61" s="122">
        <f t="shared" si="564"/>
        <v>0</v>
      </c>
      <c r="BR61" s="122">
        <f t="shared" si="564"/>
        <v>0</v>
      </c>
      <c r="BS61" s="123">
        <f t="shared" si="564"/>
        <v>0</v>
      </c>
      <c r="BT61" s="124">
        <f t="shared" si="564"/>
        <v>0</v>
      </c>
      <c r="BU61" s="122">
        <f t="shared" si="564"/>
        <v>0</v>
      </c>
      <c r="BV61" s="122">
        <f t="shared" si="564"/>
        <v>0</v>
      </c>
      <c r="BW61" s="123">
        <f>IF(ROUND(BW60,4)=ROUND(BW58,4),0,(BW60-BW58))</f>
        <v>0</v>
      </c>
      <c r="BX61" s="124">
        <f t="shared" si="564"/>
        <v>0</v>
      </c>
      <c r="BY61" s="122">
        <f t="shared" si="564"/>
        <v>0</v>
      </c>
      <c r="BZ61" s="122">
        <f t="shared" si="564"/>
        <v>0</v>
      </c>
      <c r="CA61" s="123">
        <f>IF(ROUND(CA60,4)=ROUND(CA58,4),0,(CA60-CA58))</f>
        <v>0</v>
      </c>
      <c r="CB61" s="124">
        <f t="shared" si="564"/>
        <v>0</v>
      </c>
      <c r="CC61" s="122">
        <f t="shared" si="564"/>
        <v>0</v>
      </c>
      <c r="CD61" s="122">
        <f t="shared" ref="CD61:CG61" si="565">IF(ROUND(CD60,4)=ROUND(CD58,4),0,(CD60-CD58))</f>
        <v>0</v>
      </c>
      <c r="CE61" s="123">
        <f>IF(ROUND(CE60,4)=ROUND(CE58,4),0,(CE60-CE58))</f>
        <v>0</v>
      </c>
      <c r="CF61" s="124">
        <f t="shared" si="565"/>
        <v>0</v>
      </c>
      <c r="CG61" s="122">
        <f t="shared" si="565"/>
        <v>0</v>
      </c>
      <c r="CH61" s="122">
        <f t="shared" ref="CH61" si="566">IF(ROUND(CH60,4)=ROUND(CH58,4),0,(CH60-CH58))</f>
        <v>0</v>
      </c>
      <c r="CI61" s="123">
        <f>IF(ROUND(CI60,4)=ROUND(CI58,4),0,(CI60-CI58))</f>
        <v>0</v>
      </c>
      <c r="CJ61" s="124">
        <f t="shared" ref="CJ61" si="567">IF(ROUND(CJ60,4)=ROUND(CJ58,4),0,(CJ60-CJ58))</f>
        <v>0</v>
      </c>
      <c r="CK61" s="122">
        <f>IF(ROUND(CK60,4)=ROUND(CK58,4),0,(CK60-CK58))</f>
        <v>0</v>
      </c>
      <c r="CL61" s="122">
        <f t="shared" ref="CL61" si="568">IF(ROUND(CL60,4)=ROUND(CL58,4),0,(CL60-CL58))</f>
        <v>0</v>
      </c>
      <c r="CM61" s="123">
        <f>IF(ROUND(CM60,4)=ROUND(CM58,4),0,(CM60-CM58))</f>
        <v>0</v>
      </c>
      <c r="CN61" s="1240">
        <f t="shared" ref="CN61" si="569">IF(ROUND(CN60,4)=ROUND(CN58,4),0,(CN60-CN58))</f>
        <v>0</v>
      </c>
      <c r="CO61" s="1239">
        <f>IF(ROUND(CO60,4)=ROUND(CO58,4),0,(CO60-CO58))</f>
        <v>0</v>
      </c>
      <c r="CP61" s="1239">
        <f t="shared" ref="CP61" si="570">IF(ROUND(CP60,4)=ROUND(CP58,4),0,(CP60-CP58))</f>
        <v>0</v>
      </c>
      <c r="CQ61" s="123">
        <f>IF(ROUND(CQ60,4)=ROUND(CQ58,4),0,(CQ60-CQ58))</f>
        <v>0</v>
      </c>
      <c r="CR61" s="1240">
        <f t="shared" ref="CR61" si="571">IF(ROUND(CR60,4)=ROUND(CR58,4),0,(CR60-CR58))</f>
        <v>0</v>
      </c>
      <c r="CS61" s="1239">
        <f t="shared" ref="CS61:CU61" si="572">IF(ROUND(CS60,4)=ROUND(CS58,4),0,(CS60-CS58))</f>
        <v>0</v>
      </c>
      <c r="CT61" s="1239">
        <f t="shared" si="572"/>
        <v>0</v>
      </c>
      <c r="CU61" s="123">
        <f t="shared" si="572"/>
        <v>0</v>
      </c>
      <c r="CV61" s="1240">
        <f t="shared" ref="CV61:CY61" si="573">IF(ROUND(CV60,4)=ROUND(CV58,4),0,(CV60-CV58))</f>
        <v>0</v>
      </c>
      <c r="CW61" s="1239">
        <f t="shared" si="573"/>
        <v>0</v>
      </c>
      <c r="CX61" s="1239">
        <f t="shared" si="573"/>
        <v>0</v>
      </c>
      <c r="CY61" s="123">
        <f t="shared" si="573"/>
        <v>0</v>
      </c>
      <c r="CZ61" s="1240">
        <f t="shared" ref="CZ61:DC61" si="574">IF(ROUND(CZ60,4)=ROUND(CZ58,4),0,(CZ60-CZ58))</f>
        <v>0</v>
      </c>
      <c r="DA61" s="1239">
        <f t="shared" si="574"/>
        <v>0</v>
      </c>
      <c r="DB61" s="1239">
        <f t="shared" si="574"/>
        <v>0</v>
      </c>
      <c r="DC61" s="123">
        <f t="shared" si="574"/>
        <v>0</v>
      </c>
      <c r="DD61" s="893"/>
      <c r="DE61" s="217">
        <f t="shared" ref="DE61:DN61" si="575">IF(ROUND(DE60,4)=ROUND(DE58,4),0,(DE60-DE58))</f>
        <v>-58.000000000000114</v>
      </c>
      <c r="DF61" s="217">
        <f t="shared" si="575"/>
        <v>-19.999999999999858</v>
      </c>
      <c r="DG61" s="217">
        <f t="shared" si="575"/>
        <v>0</v>
      </c>
      <c r="DH61" s="217">
        <f t="shared" si="575"/>
        <v>0</v>
      </c>
      <c r="DI61" s="217">
        <f t="shared" si="575"/>
        <v>0</v>
      </c>
      <c r="DJ61" s="217">
        <f t="shared" si="575"/>
        <v>0</v>
      </c>
      <c r="DK61" s="217">
        <f t="shared" si="575"/>
        <v>0</v>
      </c>
      <c r="DL61" s="217">
        <f t="shared" si="575"/>
        <v>0</v>
      </c>
      <c r="DM61" s="217">
        <f t="shared" si="575"/>
        <v>0</v>
      </c>
      <c r="DN61" s="217">
        <f t="shared" si="575"/>
        <v>0</v>
      </c>
      <c r="DO61" s="217">
        <f t="shared" ref="DO61:DT61" si="576">IF(ROUND(DO60,4)=ROUND(DO58,4),0,(DO60-DO58))</f>
        <v>0</v>
      </c>
      <c r="DP61" s="217">
        <f t="shared" si="576"/>
        <v>0</v>
      </c>
      <c r="DQ61" s="217">
        <f t="shared" si="576"/>
        <v>0</v>
      </c>
      <c r="DR61" s="217">
        <f t="shared" si="576"/>
        <v>0</v>
      </c>
      <c r="DS61" s="217">
        <f t="shared" si="576"/>
        <v>0</v>
      </c>
      <c r="DT61" s="217">
        <f t="shared" si="576"/>
        <v>0</v>
      </c>
      <c r="DU61" s="217">
        <f t="shared" ref="DU61:EB61" si="577">IF(ROUND(DU60,4)=ROUND(DU58,4),0,(DU60-DU58))</f>
        <v>0</v>
      </c>
      <c r="DV61" s="217">
        <f t="shared" si="577"/>
        <v>0</v>
      </c>
      <c r="DW61" s="217">
        <f t="shared" si="577"/>
        <v>0</v>
      </c>
      <c r="DX61" s="217">
        <f t="shared" si="577"/>
        <v>0</v>
      </c>
      <c r="DY61" s="217">
        <f t="shared" si="577"/>
        <v>0</v>
      </c>
      <c r="DZ61" s="217">
        <f t="shared" si="577"/>
        <v>0</v>
      </c>
      <c r="EA61" s="217">
        <f t="shared" si="577"/>
        <v>0</v>
      </c>
      <c r="EB61" s="217">
        <f t="shared" si="577"/>
        <v>0</v>
      </c>
      <c r="EC61" s="217">
        <f t="shared" ref="EC61:ED61" si="578">IF(ROUND(EC60,4)=ROUND(EC58,4),0,(EC60-EC58))</f>
        <v>0</v>
      </c>
      <c r="ED61" s="217">
        <f t="shared" si="578"/>
        <v>0</v>
      </c>
      <c r="EE61" s="18"/>
      <c r="EF61" s="320"/>
      <c r="EG61" s="217"/>
      <c r="EH61" s="217">
        <f t="shared" ref="EH61:EO61" si="579">IF(ROUND(EH60,4)=ROUND(EH58,4),0,(EH60-EH58))</f>
        <v>0</v>
      </c>
      <c r="EI61" s="217">
        <f t="shared" si="579"/>
        <v>0</v>
      </c>
      <c r="EJ61" s="217">
        <f t="shared" si="579"/>
        <v>0</v>
      </c>
      <c r="EK61" s="217">
        <f t="shared" si="579"/>
        <v>0</v>
      </c>
      <c r="EL61" s="217">
        <f t="shared" si="579"/>
        <v>0</v>
      </c>
      <c r="EM61" s="217">
        <f t="shared" si="579"/>
        <v>0</v>
      </c>
      <c r="EN61" s="217">
        <f t="shared" si="579"/>
        <v>0</v>
      </c>
      <c r="EO61" s="217">
        <f t="shared" si="579"/>
        <v>0</v>
      </c>
      <c r="EP61" s="217">
        <f t="shared" ref="EP61:EY61" si="580">IF(ROUND(EP60,4)=ROUND(EP58,4),0,(EP60-EP58))</f>
        <v>0</v>
      </c>
      <c r="EQ61" s="217">
        <f t="shared" si="580"/>
        <v>0</v>
      </c>
      <c r="ER61" s="217">
        <f t="shared" si="580"/>
        <v>0</v>
      </c>
      <c r="ES61" s="217">
        <f t="shared" si="580"/>
        <v>0</v>
      </c>
      <c r="ET61" s="217">
        <f t="shared" si="580"/>
        <v>0</v>
      </c>
      <c r="EU61" s="217">
        <f t="shared" si="580"/>
        <v>0</v>
      </c>
      <c r="EV61" s="217">
        <f t="shared" si="580"/>
        <v>0</v>
      </c>
      <c r="EW61" s="217">
        <f t="shared" si="580"/>
        <v>0</v>
      </c>
      <c r="EX61" s="217">
        <f t="shared" si="580"/>
        <v>0</v>
      </c>
      <c r="EY61" s="217">
        <f t="shared" si="580"/>
        <v>0</v>
      </c>
      <c r="EZ61" s="217">
        <f t="shared" ref="EZ61:FB61" si="581">IF(ROUND(EZ60,4)=ROUND(EZ58,4),0,(EZ60-EZ58))</f>
        <v>0</v>
      </c>
      <c r="FA61" s="217">
        <f t="shared" si="581"/>
        <v>0</v>
      </c>
      <c r="FB61" s="217">
        <f t="shared" si="581"/>
        <v>0</v>
      </c>
      <c r="FC61" s="217">
        <f t="shared" ref="FC61:FD61" si="582">IF(ROUND(FC60,4)=ROUND(FC58,4),0,(FC60-FC58))</f>
        <v>0</v>
      </c>
      <c r="FD61" s="218">
        <f t="shared" si="582"/>
        <v>0</v>
      </c>
      <c r="FP61" s="330"/>
    </row>
    <row r="62" spans="1:172" s="596" customFormat="1" ht="14.25" customHeight="1">
      <c r="A62" s="592"/>
      <c r="B62" s="593"/>
      <c r="C62" s="593"/>
      <c r="D62" s="594"/>
      <c r="E62" s="594"/>
      <c r="F62" s="594"/>
      <c r="G62" s="594"/>
      <c r="H62" s="594"/>
      <c r="I62" s="594"/>
      <c r="J62" s="594"/>
      <c r="K62" s="594"/>
      <c r="L62" s="594"/>
      <c r="M62" s="594"/>
      <c r="N62" s="594"/>
      <c r="O62" s="594"/>
      <c r="P62" s="594"/>
      <c r="Q62" s="594"/>
      <c r="R62" s="594"/>
      <c r="S62" s="594"/>
      <c r="T62" s="594"/>
      <c r="U62" s="594"/>
      <c r="V62" s="594"/>
      <c r="W62" s="594"/>
      <c r="X62" s="594"/>
      <c r="Y62" s="594"/>
      <c r="Z62" s="594"/>
      <c r="AA62" s="594"/>
      <c r="AB62" s="594"/>
      <c r="AC62" s="594"/>
      <c r="AD62" s="594"/>
      <c r="AE62" s="594"/>
      <c r="AF62" s="594"/>
      <c r="AG62" s="594"/>
      <c r="AH62" s="594"/>
      <c r="AI62" s="594"/>
      <c r="AJ62" s="594"/>
      <c r="AK62" s="594"/>
      <c r="AL62" s="594"/>
      <c r="AM62" s="594"/>
      <c r="AN62" s="594"/>
      <c r="AO62" s="594"/>
      <c r="AP62" s="594"/>
      <c r="AQ62" s="594"/>
      <c r="AR62" s="594"/>
      <c r="AS62" s="594"/>
      <c r="AT62" s="594"/>
      <c r="AU62" s="594"/>
      <c r="AV62" s="594"/>
      <c r="AW62" s="594"/>
      <c r="AX62" s="594"/>
      <c r="AY62" s="594"/>
      <c r="AZ62" s="594"/>
      <c r="BA62" s="594"/>
      <c r="BB62" s="594"/>
      <c r="BC62" s="594"/>
      <c r="BD62" s="594"/>
      <c r="BE62" s="594"/>
      <c r="BF62" s="594"/>
      <c r="BG62" s="594"/>
      <c r="BH62" s="594"/>
      <c r="BI62" s="594"/>
      <c r="BJ62" s="594"/>
      <c r="BK62" s="594"/>
      <c r="BL62" s="594"/>
      <c r="BM62" s="594"/>
      <c r="BN62" s="594"/>
      <c r="BO62" s="594"/>
      <c r="BP62" s="594"/>
      <c r="BQ62" s="594"/>
      <c r="BR62" s="594"/>
      <c r="BS62" s="594"/>
      <c r="BT62" s="594"/>
      <c r="BU62" s="594"/>
      <c r="BV62" s="594"/>
      <c r="BW62" s="594"/>
      <c r="BX62" s="594"/>
      <c r="BY62" s="594"/>
      <c r="BZ62" s="594"/>
      <c r="CA62" s="594"/>
      <c r="CB62" s="594"/>
      <c r="CC62" s="594"/>
      <c r="CD62" s="594"/>
      <c r="CE62" s="594"/>
      <c r="CF62" s="594"/>
      <c r="CG62" s="594"/>
      <c r="CH62" s="594"/>
      <c r="CI62" s="594"/>
      <c r="CJ62" s="594"/>
      <c r="CK62" s="594"/>
      <c r="CL62" s="594"/>
      <c r="CM62" s="594"/>
      <c r="CN62" s="594"/>
      <c r="CO62" s="594"/>
      <c r="CP62" s="594"/>
      <c r="CQ62" s="594"/>
      <c r="CR62" s="594"/>
      <c r="CS62" s="594"/>
      <c r="CT62" s="594"/>
      <c r="CU62" s="594"/>
      <c r="CV62" s="594"/>
      <c r="CW62" s="594"/>
      <c r="CX62" s="594"/>
      <c r="CY62" s="594"/>
      <c r="CZ62" s="594"/>
      <c r="DA62" s="594"/>
      <c r="DB62" s="594"/>
      <c r="DC62" s="594"/>
      <c r="DD62" s="595"/>
      <c r="DE62" s="594"/>
      <c r="DF62" s="594"/>
      <c r="DG62" s="594"/>
      <c r="DH62" s="594"/>
      <c r="DI62" s="594"/>
      <c r="DJ62" s="594"/>
      <c r="DK62" s="594"/>
      <c r="DL62" s="594"/>
      <c r="DM62" s="594"/>
      <c r="DN62" s="594"/>
      <c r="DO62" s="594"/>
      <c r="DP62" s="594"/>
      <c r="DQ62" s="594"/>
      <c r="DR62" s="594"/>
      <c r="DS62" s="594"/>
      <c r="DT62" s="594"/>
      <c r="DU62" s="594"/>
      <c r="DV62" s="594"/>
      <c r="DW62" s="594"/>
      <c r="DX62" s="594"/>
      <c r="DY62" s="594"/>
      <c r="DZ62" s="594"/>
      <c r="EA62" s="594"/>
      <c r="EB62" s="594"/>
      <c r="EC62" s="594"/>
      <c r="ED62" s="594"/>
      <c r="EE62" s="592"/>
      <c r="EF62" s="594"/>
      <c r="EG62" s="594"/>
      <c r="EH62" s="594"/>
      <c r="EI62" s="594"/>
      <c r="EJ62" s="594"/>
      <c r="EK62" s="594"/>
      <c r="EL62" s="594"/>
      <c r="EM62" s="594"/>
      <c r="EN62" s="594"/>
      <c r="EO62" s="594"/>
      <c r="EP62" s="594"/>
      <c r="EQ62" s="594"/>
      <c r="ER62" s="594"/>
      <c r="ES62" s="594"/>
      <c r="ET62" s="594"/>
      <c r="EU62" s="594"/>
      <c r="EV62" s="594"/>
      <c r="EW62" s="594"/>
      <c r="EX62" s="594"/>
      <c r="EY62" s="594"/>
      <c r="EZ62" s="594"/>
      <c r="FA62" s="594"/>
      <c r="FB62" s="594"/>
      <c r="FC62" s="594"/>
      <c r="FD62" s="594"/>
      <c r="FE62"/>
      <c r="FF62"/>
      <c r="FG62"/>
      <c r="FH62"/>
      <c r="FI62"/>
      <c r="FJ62"/>
      <c r="FK62"/>
      <c r="FL62"/>
      <c r="FM62"/>
      <c r="FN62"/>
      <c r="FP62" s="858"/>
    </row>
    <row r="63" spans="1:172" ht="14.25" customHeight="1">
      <c r="A63" s="7"/>
      <c r="B63" s="13"/>
      <c r="C63" s="13"/>
      <c r="D63" s="221"/>
      <c r="E63" s="221"/>
      <c r="F63" s="221"/>
      <c r="G63" s="221"/>
      <c r="H63" s="221"/>
      <c r="I63" s="221"/>
      <c r="J63" s="221"/>
      <c r="K63" s="221"/>
      <c r="L63" s="221"/>
      <c r="M63" s="221"/>
      <c r="N63" s="221"/>
      <c r="O63" s="221"/>
      <c r="P63" s="221"/>
      <c r="Q63" s="221"/>
      <c r="R63" s="221"/>
      <c r="S63" s="221"/>
      <c r="T63" s="221"/>
      <c r="U63" s="221"/>
      <c r="V63" s="221"/>
      <c r="W63" s="221"/>
      <c r="X63" s="221"/>
      <c r="Y63" s="221"/>
      <c r="Z63" s="221"/>
      <c r="AA63" s="221"/>
      <c r="AB63" s="221"/>
      <c r="AC63" s="221"/>
      <c r="AD63" s="221"/>
      <c r="AE63" s="221"/>
      <c r="AF63" s="221"/>
      <c r="AG63" s="221"/>
      <c r="AH63" s="221"/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  <c r="AU63" s="221"/>
      <c r="AV63" s="221"/>
      <c r="AW63" s="221"/>
      <c r="AX63" s="221"/>
      <c r="AY63" s="221"/>
      <c r="AZ63" s="221"/>
      <c r="BA63" s="221"/>
      <c r="BB63" s="221"/>
      <c r="BC63" s="221"/>
      <c r="BD63" s="221"/>
      <c r="BE63" s="221"/>
      <c r="BF63" s="221"/>
      <c r="BG63" s="221"/>
      <c r="BH63" s="221"/>
      <c r="BI63" s="221"/>
      <c r="BJ63" s="221"/>
      <c r="BK63" s="221"/>
      <c r="BL63" s="221"/>
      <c r="BM63" s="221"/>
      <c r="BN63" s="221"/>
      <c r="BO63" s="221"/>
      <c r="BP63" s="221"/>
      <c r="BQ63" s="221"/>
      <c r="BR63" s="221"/>
      <c r="BS63" s="221"/>
      <c r="BT63" s="221"/>
      <c r="BU63" s="381"/>
      <c r="BV63" s="221"/>
      <c r="BW63" s="381"/>
      <c r="BX63" s="221"/>
      <c r="BY63" s="381"/>
      <c r="BZ63" s="381"/>
      <c r="CA63" s="381"/>
      <c r="CB63" s="381"/>
      <c r="CC63" s="221"/>
      <c r="CD63" s="381"/>
      <c r="CE63" s="863"/>
      <c r="CF63" s="381"/>
      <c r="CG63" s="221"/>
      <c r="CH63" s="381"/>
      <c r="CI63" s="863"/>
      <c r="CJ63" s="381"/>
      <c r="CK63" s="221"/>
      <c r="CL63" s="381"/>
      <c r="CM63" s="221"/>
      <c r="CN63" s="1261"/>
      <c r="CO63" s="221"/>
      <c r="CP63" s="221"/>
      <c r="CQ63" s="221"/>
      <c r="CR63" s="1261"/>
      <c r="CS63" s="221"/>
      <c r="CT63" s="221"/>
      <c r="CU63" s="221"/>
      <c r="CV63" s="1261"/>
      <c r="CW63" s="221"/>
      <c r="CX63" s="221"/>
      <c r="CY63" s="221"/>
      <c r="CZ63" s="1261"/>
      <c r="DA63" s="221"/>
      <c r="DB63" s="221"/>
      <c r="DC63" s="221"/>
      <c r="DD63" s="13"/>
      <c r="DE63" s="221"/>
      <c r="DF63" s="221"/>
      <c r="DG63" s="221"/>
      <c r="DH63" s="221"/>
      <c r="DI63" s="221"/>
      <c r="DJ63" s="221"/>
      <c r="DK63" s="221"/>
      <c r="DL63" s="221"/>
      <c r="DM63" s="221"/>
      <c r="DN63" s="221"/>
      <c r="DO63" s="221"/>
      <c r="DP63" s="221"/>
      <c r="DQ63" s="221"/>
      <c r="DR63" s="221"/>
      <c r="DS63" s="221"/>
      <c r="DT63" s="221"/>
      <c r="DU63" s="221"/>
      <c r="DV63" s="221"/>
      <c r="DW63" s="221"/>
      <c r="DX63" s="221"/>
      <c r="DY63" s="221"/>
      <c r="DZ63" s="221"/>
      <c r="EA63" s="221"/>
      <c r="EB63" s="221"/>
      <c r="EC63" s="221"/>
      <c r="ED63" s="221"/>
      <c r="EE63" s="7"/>
      <c r="EF63" s="221"/>
      <c r="EG63" s="221"/>
      <c r="EH63" s="221"/>
      <c r="EI63" s="221"/>
      <c r="EJ63" s="221"/>
      <c r="EK63" s="221"/>
      <c r="EL63" s="221"/>
      <c r="EM63" s="221"/>
      <c r="EN63" s="221"/>
      <c r="EO63" s="221"/>
      <c r="EP63" s="221"/>
      <c r="EQ63" s="221"/>
      <c r="ER63" s="221"/>
      <c r="ES63" s="221"/>
      <c r="ET63" s="221"/>
      <c r="EU63" s="221"/>
      <c r="EV63" s="221"/>
      <c r="EW63" s="221"/>
      <c r="EX63" s="221"/>
      <c r="EY63" s="221"/>
      <c r="EZ63" s="221"/>
      <c r="FA63" s="221"/>
      <c r="FB63" s="221"/>
      <c r="FC63" s="221"/>
      <c r="FD63" s="221"/>
      <c r="FP63" s="330"/>
    </row>
    <row r="64" spans="1:172" ht="14.25" customHeight="1">
      <c r="A64" s="7"/>
      <c r="B64" s="13"/>
      <c r="C64" s="222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21"/>
      <c r="X64" s="221"/>
      <c r="Y64" s="221"/>
      <c r="Z64" s="221"/>
      <c r="AA64" s="221"/>
      <c r="AB64" s="221"/>
      <c r="AC64" s="221"/>
      <c r="AD64" s="221"/>
      <c r="AE64" s="221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  <c r="AU64" s="221"/>
      <c r="AV64" s="221"/>
      <c r="AW64" s="221"/>
      <c r="AX64" s="221"/>
      <c r="AY64" s="221"/>
      <c r="AZ64" s="221"/>
      <c r="BA64" s="221"/>
      <c r="BB64" s="221"/>
      <c r="BC64" s="221"/>
      <c r="BD64" s="221"/>
      <c r="BE64" s="221"/>
      <c r="BF64" s="221"/>
      <c r="BG64" s="221"/>
      <c r="BH64" s="221"/>
      <c r="BI64" s="221"/>
      <c r="BJ64" s="221"/>
      <c r="BK64" s="221"/>
      <c r="BL64" s="221"/>
      <c r="BM64" s="221"/>
      <c r="BN64" s="221"/>
      <c r="BO64" s="221"/>
      <c r="BP64" s="221"/>
      <c r="BQ64" s="221"/>
      <c r="BR64" s="221"/>
      <c r="BS64" s="221"/>
      <c r="BT64" s="221"/>
      <c r="BU64" s="221"/>
      <c r="BV64" s="221"/>
      <c r="BW64" s="221"/>
      <c r="BX64" s="221"/>
      <c r="BY64" s="221"/>
      <c r="BZ64" s="221"/>
      <c r="CA64" s="221"/>
      <c r="CB64" s="221"/>
      <c r="CC64" s="221"/>
      <c r="CD64" s="221"/>
      <c r="CE64" s="221"/>
      <c r="CF64" s="221"/>
      <c r="CG64" s="877"/>
      <c r="CH64" s="877"/>
      <c r="CI64" s="877"/>
      <c r="CJ64" s="877"/>
      <c r="CK64" s="221"/>
      <c r="CL64" s="877"/>
      <c r="CM64" s="221"/>
      <c r="CN64" s="877"/>
      <c r="CO64" s="221"/>
      <c r="CP64" s="221"/>
      <c r="CQ64" s="221"/>
      <c r="CR64" s="877"/>
      <c r="CS64" s="254"/>
      <c r="CT64" s="221"/>
      <c r="CU64" s="221"/>
      <c r="CV64" s="877"/>
      <c r="CW64" s="221"/>
      <c r="CX64" s="221"/>
      <c r="CY64" s="221"/>
      <c r="CZ64" s="877"/>
      <c r="DA64" s="221"/>
      <c r="DB64" s="221"/>
      <c r="DC64" s="221"/>
      <c r="DD64" s="13"/>
      <c r="DE64" s="221"/>
      <c r="DF64" s="221"/>
      <c r="DG64" s="221"/>
      <c r="DH64" s="221"/>
      <c r="DI64" s="221"/>
      <c r="DJ64" s="221"/>
      <c r="DK64" s="221"/>
      <c r="DL64" s="221"/>
      <c r="DM64" s="221"/>
      <c r="DN64" s="221"/>
      <c r="DO64" s="221"/>
      <c r="DP64" s="221"/>
      <c r="DQ64" s="221"/>
      <c r="DR64" s="221"/>
      <c r="DS64" s="221"/>
      <c r="DT64" s="221"/>
      <c r="DU64" s="221"/>
      <c r="DV64" s="221"/>
      <c r="DW64" s="221"/>
      <c r="DX64" s="221"/>
      <c r="DY64" s="221"/>
      <c r="DZ64" s="221"/>
      <c r="EA64" s="221"/>
      <c r="EB64" s="221"/>
      <c r="EC64" s="221"/>
      <c r="ED64" s="221"/>
      <c r="EE64" s="7"/>
      <c r="EF64" s="221"/>
      <c r="EG64" s="221"/>
      <c r="EH64" s="221"/>
      <c r="EI64" s="221"/>
      <c r="EJ64" s="221"/>
      <c r="EK64" s="221"/>
      <c r="EL64" s="221"/>
      <c r="EM64" s="221"/>
      <c r="EN64" s="221"/>
      <c r="EO64" s="221"/>
      <c r="EP64" s="221"/>
      <c r="EQ64" s="221"/>
      <c r="ER64" s="221"/>
      <c r="ES64" s="221"/>
      <c r="ET64" s="221"/>
      <c r="EU64" s="221"/>
      <c r="FP64" s="330"/>
    </row>
    <row r="65" spans="1:172" ht="14.25" customHeight="1">
      <c r="A65" s="7"/>
      <c r="B65" s="129" t="s">
        <v>344</v>
      </c>
      <c r="C65" s="130"/>
      <c r="D65" s="223" t="str">
        <f t="shared" ref="D65:AY65" si="583">D6</f>
        <v>F1Q95A</v>
      </c>
      <c r="E65" s="223" t="str">
        <f t="shared" si="583"/>
        <v>F2Q95A</v>
      </c>
      <c r="F65" s="223" t="str">
        <f t="shared" si="583"/>
        <v>F3Q95A</v>
      </c>
      <c r="G65" s="224" t="str">
        <f t="shared" si="583"/>
        <v>F4Q95A</v>
      </c>
      <c r="H65" s="223" t="str">
        <f t="shared" si="583"/>
        <v>F1Q96A</v>
      </c>
      <c r="I65" s="223" t="str">
        <f t="shared" si="583"/>
        <v>F2Q96A</v>
      </c>
      <c r="J65" s="223" t="str">
        <f t="shared" si="583"/>
        <v>F3Q96A</v>
      </c>
      <c r="K65" s="224" t="str">
        <f t="shared" si="583"/>
        <v>F4Q96A</v>
      </c>
      <c r="L65" s="223" t="str">
        <f t="shared" si="583"/>
        <v>F1Q97A</v>
      </c>
      <c r="M65" s="223" t="str">
        <f t="shared" si="583"/>
        <v>F2Q97A</v>
      </c>
      <c r="N65" s="223" t="str">
        <f t="shared" si="583"/>
        <v>F3Q97A</v>
      </c>
      <c r="O65" s="224" t="str">
        <f t="shared" si="583"/>
        <v>F4Q97A</v>
      </c>
      <c r="P65" s="223" t="str">
        <f t="shared" si="583"/>
        <v>F1Q98A</v>
      </c>
      <c r="Q65" s="223" t="str">
        <f t="shared" si="583"/>
        <v>F2Q98A</v>
      </c>
      <c r="R65" s="223" t="str">
        <f t="shared" si="583"/>
        <v>F3Q98A</v>
      </c>
      <c r="S65" s="224" t="str">
        <f t="shared" si="583"/>
        <v>F4Q98A</v>
      </c>
      <c r="T65" s="223" t="str">
        <f t="shared" si="583"/>
        <v>F1Q99A</v>
      </c>
      <c r="U65" s="223" t="str">
        <f t="shared" si="583"/>
        <v>F2Q99A</v>
      </c>
      <c r="V65" s="223" t="str">
        <f t="shared" si="583"/>
        <v>F3Q99A</v>
      </c>
      <c r="W65" s="224" t="str">
        <f t="shared" si="583"/>
        <v>F4Q99A</v>
      </c>
      <c r="X65" s="223" t="str">
        <f t="shared" si="583"/>
        <v>F1Q00A</v>
      </c>
      <c r="Y65" s="223" t="str">
        <f t="shared" si="583"/>
        <v>F2Q00A</v>
      </c>
      <c r="Z65" s="223" t="str">
        <f t="shared" si="583"/>
        <v>F3Q00A</v>
      </c>
      <c r="AA65" s="224" t="str">
        <f t="shared" si="583"/>
        <v>F4Q00A</v>
      </c>
      <c r="AB65" s="223" t="str">
        <f t="shared" si="583"/>
        <v>F1Q01A</v>
      </c>
      <c r="AC65" s="223" t="str">
        <f t="shared" si="583"/>
        <v>F2Q01A</v>
      </c>
      <c r="AD65" s="223" t="str">
        <f t="shared" si="583"/>
        <v>F3Q01A</v>
      </c>
      <c r="AE65" s="224" t="str">
        <f t="shared" si="583"/>
        <v>F4Q01A</v>
      </c>
      <c r="AF65" s="223" t="str">
        <f t="shared" si="583"/>
        <v>F1Q02A</v>
      </c>
      <c r="AG65" s="223" t="str">
        <f t="shared" si="583"/>
        <v>F2Q02A</v>
      </c>
      <c r="AH65" s="223" t="str">
        <f t="shared" si="583"/>
        <v>F3Q02A</v>
      </c>
      <c r="AI65" s="224" t="str">
        <f t="shared" si="583"/>
        <v>F4Q02A</v>
      </c>
      <c r="AJ65" s="223" t="str">
        <f t="shared" si="583"/>
        <v>F1Q03A</v>
      </c>
      <c r="AK65" s="223" t="str">
        <f t="shared" si="583"/>
        <v>F2Q03A</v>
      </c>
      <c r="AL65" s="223" t="str">
        <f t="shared" si="583"/>
        <v>F3Q03A</v>
      </c>
      <c r="AM65" s="224" t="str">
        <f t="shared" si="583"/>
        <v>F4Q03A</v>
      </c>
      <c r="AN65" s="223" t="str">
        <f t="shared" si="583"/>
        <v>F1Q04A</v>
      </c>
      <c r="AO65" s="223" t="str">
        <f t="shared" si="583"/>
        <v>F2Q04A</v>
      </c>
      <c r="AP65" s="223" t="str">
        <f t="shared" si="583"/>
        <v>F3Q04A</v>
      </c>
      <c r="AQ65" s="224" t="str">
        <f t="shared" si="583"/>
        <v>F4Q04A</v>
      </c>
      <c r="AR65" s="223" t="str">
        <f t="shared" si="583"/>
        <v>F1Q05A</v>
      </c>
      <c r="AS65" s="223" t="str">
        <f t="shared" si="583"/>
        <v>F2Q05A</v>
      </c>
      <c r="AT65" s="223" t="str">
        <f t="shared" si="583"/>
        <v>F3Q05A</v>
      </c>
      <c r="AU65" s="224" t="str">
        <f t="shared" si="583"/>
        <v>F4Q05A</v>
      </c>
      <c r="AV65" s="223" t="str">
        <f t="shared" si="583"/>
        <v>F1Q06A</v>
      </c>
      <c r="AW65" s="223" t="str">
        <f t="shared" si="583"/>
        <v>F2Q06A</v>
      </c>
      <c r="AX65" s="223" t="str">
        <f t="shared" si="583"/>
        <v>F3Q06A</v>
      </c>
      <c r="AY65" s="224" t="str">
        <f t="shared" si="583"/>
        <v>F4Q06A</v>
      </c>
      <c r="AZ65" s="223" t="str">
        <f>AZ6</f>
        <v>F1Q07A</v>
      </c>
      <c r="BA65" s="223" t="str">
        <f>BA6</f>
        <v>F2Q07A</v>
      </c>
      <c r="BB65" s="223" t="str">
        <f>BB6</f>
        <v>F3Q07A</v>
      </c>
      <c r="BC65" s="224" t="str">
        <f>BC6</f>
        <v>F4Q07A</v>
      </c>
      <c r="BD65" s="223" t="str">
        <f t="shared" ref="BD65:CI65" si="584">BD6</f>
        <v>F1Q08A</v>
      </c>
      <c r="BE65" s="223" t="str">
        <f t="shared" si="584"/>
        <v>F2Q08A</v>
      </c>
      <c r="BF65" s="223" t="str">
        <f t="shared" si="584"/>
        <v>F3Q08A</v>
      </c>
      <c r="BG65" s="224" t="str">
        <f t="shared" si="584"/>
        <v>F4Q08A</v>
      </c>
      <c r="BH65" s="223" t="str">
        <f>BH6</f>
        <v>F1Q09A</v>
      </c>
      <c r="BI65" s="223" t="str">
        <f>BI6</f>
        <v>F2Q09A</v>
      </c>
      <c r="BJ65" s="223" t="str">
        <f>BJ6</f>
        <v>F3Q09A</v>
      </c>
      <c r="BK65" s="224" t="str">
        <f>BK6</f>
        <v>F4Q09A</v>
      </c>
      <c r="BL65" s="223" t="str">
        <f t="shared" si="584"/>
        <v>F1Q10A</v>
      </c>
      <c r="BM65" s="223" t="str">
        <f t="shared" si="584"/>
        <v>F2Q10A</v>
      </c>
      <c r="BN65" s="223" t="str">
        <f t="shared" si="584"/>
        <v>F3Q10A</v>
      </c>
      <c r="BO65" s="224" t="str">
        <f t="shared" si="584"/>
        <v>F4Q10A</v>
      </c>
      <c r="BP65" s="223" t="str">
        <f t="shared" si="584"/>
        <v>F1Q11A</v>
      </c>
      <c r="BQ65" s="223" t="str">
        <f t="shared" si="584"/>
        <v>F2Q11A</v>
      </c>
      <c r="BR65" s="223" t="str">
        <f t="shared" si="584"/>
        <v>F3Q11A</v>
      </c>
      <c r="BS65" s="224" t="str">
        <f t="shared" si="584"/>
        <v>F4Q11A</v>
      </c>
      <c r="BT65" s="223" t="str">
        <f t="shared" ref="BT65:BY65" si="585">BT6</f>
        <v>F1Q12A</v>
      </c>
      <c r="BU65" s="223" t="str">
        <f t="shared" si="585"/>
        <v>F2Q12A</v>
      </c>
      <c r="BV65" s="223" t="str">
        <f t="shared" si="585"/>
        <v>F3Q12A</v>
      </c>
      <c r="BW65" s="224" t="str">
        <f t="shared" si="585"/>
        <v>F4Q12A</v>
      </c>
      <c r="BX65" s="223" t="str">
        <f t="shared" si="585"/>
        <v>F1Q13A</v>
      </c>
      <c r="BY65" s="223" t="str">
        <f t="shared" si="585"/>
        <v>F2Q13A</v>
      </c>
      <c r="BZ65" s="223" t="str">
        <f t="shared" si="584"/>
        <v>F3Q13</v>
      </c>
      <c r="CA65" s="224" t="str">
        <f t="shared" si="584"/>
        <v>F4Q13</v>
      </c>
      <c r="CB65" s="223" t="str">
        <f t="shared" si="584"/>
        <v>F1Q14</v>
      </c>
      <c r="CC65" s="223" t="str">
        <f>CC6</f>
        <v>F2Q14A</v>
      </c>
      <c r="CD65" s="223" t="str">
        <f t="shared" si="584"/>
        <v>F3Q14A</v>
      </c>
      <c r="CE65" s="224" t="str">
        <f t="shared" si="584"/>
        <v>F4Q14</v>
      </c>
      <c r="CF65" s="223" t="str">
        <f t="shared" si="584"/>
        <v>F1Q15A</v>
      </c>
      <c r="CG65" s="223" t="str">
        <f t="shared" si="584"/>
        <v>F2Q15A</v>
      </c>
      <c r="CH65" s="223" t="str">
        <f t="shared" si="584"/>
        <v>F3Q15A</v>
      </c>
      <c r="CI65" s="224" t="str">
        <f t="shared" si="584"/>
        <v>F4Q15A</v>
      </c>
      <c r="CJ65" s="223" t="str">
        <f>CJ6</f>
        <v>F1Q16A</v>
      </c>
      <c r="CK65" s="223" t="str">
        <f>CK6</f>
        <v>F2Q16A</v>
      </c>
      <c r="CL65" s="223" t="str">
        <f t="shared" ref="CL65" si="586">CL6</f>
        <v>F3Q16A</v>
      </c>
      <c r="CM65" s="224" t="str">
        <f>CM6</f>
        <v>F4Q16A</v>
      </c>
      <c r="CN65" s="1250" t="str">
        <f>CN6</f>
        <v>F1Q17A</v>
      </c>
      <c r="CO65" s="1250" t="str">
        <f t="shared" ref="CO65" si="587">CO6</f>
        <v>F2Q17A</v>
      </c>
      <c r="CP65" s="223" t="str">
        <f t="shared" ref="CP65:CQ65" si="588">CP6</f>
        <v>F3Q17A</v>
      </c>
      <c r="CQ65" s="224" t="str">
        <f t="shared" si="588"/>
        <v>F4Q17A</v>
      </c>
      <c r="CR65" s="1328" t="str">
        <f t="shared" ref="CR65:CU65" si="589">CR6</f>
        <v>F1Q18A</v>
      </c>
      <c r="CS65" s="1328" t="str">
        <f t="shared" si="589"/>
        <v>F2Q18A</v>
      </c>
      <c r="CT65" s="1328" t="str">
        <f t="shared" si="589"/>
        <v>F3Q18E</v>
      </c>
      <c r="CU65" s="1329" t="str">
        <f t="shared" si="589"/>
        <v>F4Q18E</v>
      </c>
      <c r="CV65" s="1328" t="str">
        <f t="shared" ref="CV65:CY65" si="590">CV6</f>
        <v>F1Q19E</v>
      </c>
      <c r="CW65" s="1328" t="str">
        <f t="shared" si="590"/>
        <v>F2Q19E</v>
      </c>
      <c r="CX65" s="1328" t="str">
        <f t="shared" si="590"/>
        <v>F3Q19E</v>
      </c>
      <c r="CY65" s="1329" t="str">
        <f t="shared" si="590"/>
        <v>F4Q19E</v>
      </c>
      <c r="CZ65" s="1328" t="str">
        <f t="shared" ref="CZ65:DC65" si="591">CZ6</f>
        <v>F1Q20E</v>
      </c>
      <c r="DA65" s="1328" t="str">
        <f t="shared" si="591"/>
        <v>F2Q20E</v>
      </c>
      <c r="DB65" s="1328" t="str">
        <f t="shared" si="591"/>
        <v>F3Q20E</v>
      </c>
      <c r="DC65" s="1329" t="str">
        <f t="shared" si="591"/>
        <v>F4Q20E</v>
      </c>
      <c r="DD65" s="18"/>
      <c r="DE65" s="16" t="str">
        <f>DE6</f>
        <v>FY1995A</v>
      </c>
      <c r="DF65" s="16" t="str">
        <f>DF6</f>
        <v>FY1996A</v>
      </c>
      <c r="DG65" s="16" t="str">
        <f>DG6</f>
        <v>FY1997A</v>
      </c>
      <c r="DH65" s="16" t="str">
        <f t="shared" ref="DH65:DN65" si="592">DH6</f>
        <v>FY1998A</v>
      </c>
      <c r="DI65" s="16" t="str">
        <f t="shared" si="592"/>
        <v>FY1999A</v>
      </c>
      <c r="DJ65" s="16" t="str">
        <f t="shared" si="592"/>
        <v>FY2000A</v>
      </c>
      <c r="DK65" s="16" t="str">
        <f t="shared" si="592"/>
        <v>FY2001A</v>
      </c>
      <c r="DL65" s="16" t="str">
        <f t="shared" si="592"/>
        <v>FY2002A</v>
      </c>
      <c r="DM65" s="16" t="str">
        <f t="shared" si="592"/>
        <v>FY2003A</v>
      </c>
      <c r="DN65" s="16" t="str">
        <f t="shared" si="592"/>
        <v>FY2004A</v>
      </c>
      <c r="DO65" s="16" t="str">
        <f>DO6</f>
        <v>FY2005A</v>
      </c>
      <c r="DP65" s="16" t="str">
        <f>DP6</f>
        <v>FY2006A</v>
      </c>
      <c r="DQ65" s="16" t="str">
        <f>DQ6</f>
        <v>FY2007A</v>
      </c>
      <c r="DR65" s="16" t="str">
        <f>DR6</f>
        <v>FY2008A</v>
      </c>
      <c r="DS65" s="16" t="str">
        <f>DS6</f>
        <v>FY2009A</v>
      </c>
      <c r="DT65" s="16" t="str">
        <f t="shared" ref="DT65:DY65" si="593">DT6</f>
        <v>FY2010A</v>
      </c>
      <c r="DU65" s="1319" t="str">
        <f t="shared" si="593"/>
        <v>FY2011A</v>
      </c>
      <c r="DV65" s="1319" t="str">
        <f t="shared" si="593"/>
        <v>FY2012A</v>
      </c>
      <c r="DW65" s="1319" t="str">
        <f t="shared" si="593"/>
        <v>FY2013A</v>
      </c>
      <c r="DX65" s="1319" t="str">
        <f t="shared" si="593"/>
        <v>FY2014A</v>
      </c>
      <c r="DY65" s="1319" t="str">
        <f t="shared" si="593"/>
        <v>FY2015A</v>
      </c>
      <c r="DZ65" s="1319" t="str">
        <f>DZ6</f>
        <v>FY2016A</v>
      </c>
      <c r="EA65" s="16" t="str">
        <f>EA6</f>
        <v>FY2017A</v>
      </c>
      <c r="EB65" s="1319" t="str">
        <f>EB6</f>
        <v>FY2018E</v>
      </c>
      <c r="EC65" s="1319" t="str">
        <f>EC6</f>
        <v>FY2019E</v>
      </c>
      <c r="ED65" s="1319" t="str">
        <f>ED6</f>
        <v>FY2020E</v>
      </c>
      <c r="EE65" s="18"/>
      <c r="EF65" s="15" t="str">
        <f t="shared" ref="EF65:EO65" si="594">EF4</f>
        <v>CY1995</v>
      </c>
      <c r="EG65" s="16" t="str">
        <f t="shared" si="594"/>
        <v>CY1996</v>
      </c>
      <c r="EH65" s="16" t="str">
        <f t="shared" si="594"/>
        <v>CY1997</v>
      </c>
      <c r="EI65" s="16" t="str">
        <f t="shared" si="594"/>
        <v>CY1998</v>
      </c>
      <c r="EJ65" s="16" t="str">
        <f t="shared" si="594"/>
        <v>CY1999</v>
      </c>
      <c r="EK65" s="16" t="str">
        <f t="shared" si="594"/>
        <v>CY2000</v>
      </c>
      <c r="EL65" s="16" t="str">
        <f t="shared" si="594"/>
        <v>CY2001</v>
      </c>
      <c r="EM65" s="16" t="str">
        <f t="shared" si="594"/>
        <v>CY2002</v>
      </c>
      <c r="EN65" s="16" t="str">
        <f t="shared" si="594"/>
        <v>CY2003</v>
      </c>
      <c r="EO65" s="16" t="str">
        <f t="shared" si="594"/>
        <v>CY2004</v>
      </c>
      <c r="EP65" s="16" t="str">
        <f>EP4</f>
        <v>CY2005</v>
      </c>
      <c r="EQ65" s="16" t="str">
        <f t="shared" ref="EQ65:EX65" si="595">EQ4</f>
        <v>CY2006</v>
      </c>
      <c r="ER65" s="16" t="str">
        <f t="shared" si="595"/>
        <v>CY2007</v>
      </c>
      <c r="ES65" s="16" t="str">
        <f t="shared" si="595"/>
        <v>CY2008</v>
      </c>
      <c r="ET65" s="1319" t="str">
        <f t="shared" si="595"/>
        <v>CY2009</v>
      </c>
      <c r="EU65" s="1319" t="str">
        <f t="shared" si="595"/>
        <v>CY2010</v>
      </c>
      <c r="EV65" s="16" t="str">
        <f t="shared" si="595"/>
        <v>CY2011</v>
      </c>
      <c r="EW65" s="16" t="str">
        <f t="shared" si="595"/>
        <v>CY2012</v>
      </c>
      <c r="EX65" s="1319" t="str">
        <f t="shared" si="595"/>
        <v>CY2013</v>
      </c>
      <c r="EY65" s="1319" t="str">
        <f>EY4</f>
        <v>CY2014</v>
      </c>
      <c r="EZ65" s="1319" t="str">
        <f t="shared" ref="EZ65:FA65" si="596">EZ4</f>
        <v>CY2015</v>
      </c>
      <c r="FA65" s="1319" t="str">
        <f t="shared" si="596"/>
        <v>CY2016</v>
      </c>
      <c r="FB65" s="1319" t="s">
        <v>574</v>
      </c>
      <c r="FC65" s="1319" t="s">
        <v>602</v>
      </c>
      <c r="FD65" s="399" t="s">
        <v>602</v>
      </c>
      <c r="FP65" s="330"/>
    </row>
    <row r="66" spans="1:172" ht="14.25" customHeight="1">
      <c r="A66" s="7"/>
      <c r="B66" s="21" t="s">
        <v>345</v>
      </c>
      <c r="C66" s="225"/>
      <c r="D66" s="226"/>
      <c r="E66" s="226"/>
      <c r="F66" s="226"/>
      <c r="G66" s="227"/>
      <c r="H66" s="226"/>
      <c r="I66" s="226"/>
      <c r="J66" s="226"/>
      <c r="K66" s="227"/>
      <c r="L66" s="226">
        <f t="shared" ref="L66:AY66" si="597">-L31</f>
        <v>82.8</v>
      </c>
      <c r="M66" s="226">
        <f t="shared" si="597"/>
        <v>67.8</v>
      </c>
      <c r="N66" s="226">
        <f t="shared" si="597"/>
        <v>209.29999999999995</v>
      </c>
      <c r="O66" s="227">
        <f t="shared" si="597"/>
        <v>141.5</v>
      </c>
      <c r="P66" s="226">
        <f t="shared" si="597"/>
        <v>187.9</v>
      </c>
      <c r="Q66" s="226">
        <f t="shared" si="597"/>
        <v>162.4</v>
      </c>
      <c r="R66" s="226">
        <f t="shared" si="597"/>
        <v>213.90000000000006</v>
      </c>
      <c r="S66" s="227">
        <f t="shared" si="597"/>
        <v>109.49999999999997</v>
      </c>
      <c r="T66" s="226">
        <f t="shared" si="597"/>
        <v>117.5</v>
      </c>
      <c r="U66" s="226">
        <f t="shared" si="597"/>
        <v>170.09999999999997</v>
      </c>
      <c r="V66" s="226">
        <f t="shared" si="597"/>
        <v>226.2</v>
      </c>
      <c r="W66" s="227">
        <f t="shared" si="597"/>
        <v>248.90000000000003</v>
      </c>
      <c r="X66" s="226">
        <f t="shared" si="597"/>
        <v>219.8</v>
      </c>
      <c r="Y66" s="226">
        <f t="shared" si="597"/>
        <v>229.3</v>
      </c>
      <c r="Z66" s="226">
        <f t="shared" si="597"/>
        <v>264.79999999999995</v>
      </c>
      <c r="AA66" s="227">
        <f t="shared" si="597"/>
        <v>262.30000000000007</v>
      </c>
      <c r="AB66" s="226">
        <f t="shared" si="597"/>
        <v>489.5</v>
      </c>
      <c r="AC66" s="226">
        <f t="shared" si="597"/>
        <v>385.19999999999993</v>
      </c>
      <c r="AD66" s="226">
        <f t="shared" si="597"/>
        <v>331.00000000000011</v>
      </c>
      <c r="AE66" s="227">
        <f t="shared" si="597"/>
        <v>259.1999999999997</v>
      </c>
      <c r="AF66" s="226">
        <f t="shared" si="597"/>
        <v>182.6</v>
      </c>
      <c r="AG66" s="226">
        <f t="shared" si="597"/>
        <v>139.50000000000003</v>
      </c>
      <c r="AH66" s="226">
        <f t="shared" si="597"/>
        <v>150.99999999999991</v>
      </c>
      <c r="AI66" s="227">
        <f t="shared" si="597"/>
        <v>282.30000000000007</v>
      </c>
      <c r="AJ66" s="226">
        <f t="shared" si="597"/>
        <v>326.39999999999998</v>
      </c>
      <c r="AK66" s="226">
        <f t="shared" si="597"/>
        <v>214.50000000000011</v>
      </c>
      <c r="AL66" s="226">
        <f t="shared" si="597"/>
        <v>124.09999999999991</v>
      </c>
      <c r="AM66" s="227">
        <f t="shared" si="597"/>
        <v>136.5</v>
      </c>
      <c r="AN66" s="226">
        <f t="shared" si="597"/>
        <v>238.60000000000002</v>
      </c>
      <c r="AO66" s="226">
        <f t="shared" si="597"/>
        <v>160</v>
      </c>
      <c r="AP66" s="226">
        <f t="shared" si="597"/>
        <v>261.39999999999998</v>
      </c>
      <c r="AQ66" s="227">
        <f t="shared" si="597"/>
        <v>328</v>
      </c>
      <c r="AR66" s="226">
        <f t="shared" si="597"/>
        <v>355.59999999999997</v>
      </c>
      <c r="AS66" s="226">
        <f t="shared" si="597"/>
        <v>301.90000000000003</v>
      </c>
      <c r="AT66" s="226">
        <f t="shared" si="597"/>
        <v>225.49999999999994</v>
      </c>
      <c r="AU66" s="227">
        <f t="shared" si="597"/>
        <v>134.59999999999991</v>
      </c>
      <c r="AV66" s="226">
        <f t="shared" si="597"/>
        <v>263.3</v>
      </c>
      <c r="AW66" s="226">
        <f t="shared" si="597"/>
        <v>174.7</v>
      </c>
      <c r="AX66" s="226">
        <f t="shared" si="597"/>
        <v>319.90000000000003</v>
      </c>
      <c r="AY66" s="227">
        <f t="shared" si="597"/>
        <v>552.09999999999991</v>
      </c>
      <c r="AZ66" s="226">
        <f>-AZ31</f>
        <v>1088</v>
      </c>
      <c r="BA66" s="226">
        <f>-BA31</f>
        <v>1068</v>
      </c>
      <c r="BB66" s="226">
        <f>-BB31</f>
        <v>646</v>
      </c>
      <c r="BC66" s="227">
        <f>-BC31</f>
        <v>707</v>
      </c>
      <c r="BD66" s="226">
        <f t="shared" ref="BD66:BO66" si="598">-BD31</f>
        <v>701</v>
      </c>
      <c r="BE66" s="226">
        <f t="shared" si="598"/>
        <v>605</v>
      </c>
      <c r="BF66" s="226">
        <f t="shared" si="598"/>
        <v>328</v>
      </c>
      <c r="BG66" s="227">
        <f t="shared" si="598"/>
        <v>708</v>
      </c>
      <c r="BH66" s="226">
        <f t="shared" si="598"/>
        <v>270</v>
      </c>
      <c r="BI66" s="226">
        <f t="shared" si="598"/>
        <v>105</v>
      </c>
      <c r="BJ66" s="226">
        <f t="shared" si="598"/>
        <v>51</v>
      </c>
      <c r="BK66" s="227">
        <f t="shared" si="598"/>
        <v>36</v>
      </c>
      <c r="BL66" s="226">
        <f t="shared" si="598"/>
        <v>62</v>
      </c>
      <c r="BM66" s="226">
        <f t="shared" si="598"/>
        <v>93</v>
      </c>
      <c r="BN66" s="226">
        <f t="shared" si="598"/>
        <v>114</v>
      </c>
      <c r="BO66" s="227">
        <f t="shared" si="598"/>
        <v>347</v>
      </c>
      <c r="BP66" s="226">
        <f t="shared" ref="BP66:BU66" si="599">-BP31</f>
        <v>465</v>
      </c>
      <c r="BQ66" s="226">
        <f t="shared" si="599"/>
        <v>724</v>
      </c>
      <c r="BR66" s="226">
        <f t="shared" si="599"/>
        <v>493</v>
      </c>
      <c r="BS66" s="227">
        <f t="shared" si="599"/>
        <v>868</v>
      </c>
      <c r="BT66" s="226">
        <f t="shared" si="599"/>
        <v>697</v>
      </c>
      <c r="BU66" s="226">
        <f t="shared" si="599"/>
        <v>392</v>
      </c>
      <c r="BV66" s="226">
        <f t="shared" ref="BV66:CA66" si="600">-BV31</f>
        <v>278</v>
      </c>
      <c r="BW66" s="229">
        <f t="shared" si="600"/>
        <v>332</v>
      </c>
      <c r="BX66" s="226">
        <f t="shared" si="600"/>
        <v>434</v>
      </c>
      <c r="BY66" s="226">
        <f t="shared" si="600"/>
        <v>327</v>
      </c>
      <c r="BZ66" s="226">
        <f t="shared" si="600"/>
        <v>203</v>
      </c>
      <c r="CA66" s="229">
        <f t="shared" si="600"/>
        <v>280</v>
      </c>
      <c r="CB66" s="226">
        <f t="shared" ref="CB66:CH66" si="601">-CB31</f>
        <v>526</v>
      </c>
      <c r="CC66" s="226">
        <f t="shared" si="601"/>
        <v>505</v>
      </c>
      <c r="CD66" s="226">
        <f t="shared" si="601"/>
        <v>487</v>
      </c>
      <c r="CE66" s="229">
        <f t="shared" si="601"/>
        <v>1140</v>
      </c>
      <c r="CF66" s="226">
        <f t="shared" si="601"/>
        <v>669</v>
      </c>
      <c r="CG66" s="226">
        <f t="shared" si="601"/>
        <v>853</v>
      </c>
      <c r="CH66" s="1163">
        <f t="shared" si="601"/>
        <v>734</v>
      </c>
      <c r="CI66" s="152">
        <f t="shared" ref="CI66:CN66" si="602">-CI31</f>
        <v>1765</v>
      </c>
      <c r="CJ66" s="226">
        <f t="shared" si="602"/>
        <v>990</v>
      </c>
      <c r="CK66" s="226">
        <f t="shared" si="602"/>
        <v>1219</v>
      </c>
      <c r="CL66" s="1163">
        <f t="shared" si="602"/>
        <v>1685</v>
      </c>
      <c r="CM66" s="152">
        <f t="shared" si="602"/>
        <v>1923</v>
      </c>
      <c r="CN66" s="1251">
        <f t="shared" si="602"/>
        <v>1264</v>
      </c>
      <c r="CO66" s="1251">
        <f t="shared" ref="CO66" si="603">(4500)/4</f>
        <v>1125</v>
      </c>
      <c r="CP66" s="1251">
        <f t="shared" ref="CP66" si="604">(4500)/4</f>
        <v>1125</v>
      </c>
      <c r="CQ66" s="152">
        <f t="shared" ref="CQ66:CR66" si="605">-CQ31</f>
        <v>1004</v>
      </c>
      <c r="CR66" s="1251">
        <f t="shared" si="605"/>
        <v>1956</v>
      </c>
      <c r="CS66" s="1251">
        <f t="shared" ref="CS66" si="606">(7500)/4</f>
        <v>1875</v>
      </c>
      <c r="CT66" s="1251">
        <v>1800</v>
      </c>
      <c r="CU66" s="1331">
        <v>1800</v>
      </c>
      <c r="CV66" s="1251">
        <v>2500</v>
      </c>
      <c r="CW66" s="1251">
        <v>2350</v>
      </c>
      <c r="CX66" s="1251">
        <f t="shared" ref="CX66:DC66" si="607">CW66</f>
        <v>2350</v>
      </c>
      <c r="CY66" s="1331">
        <f t="shared" si="607"/>
        <v>2350</v>
      </c>
      <c r="CZ66" s="1251">
        <v>2400</v>
      </c>
      <c r="DA66" s="1251">
        <f t="shared" si="607"/>
        <v>2400</v>
      </c>
      <c r="DB66" s="1251">
        <f t="shared" si="607"/>
        <v>2400</v>
      </c>
      <c r="DC66" s="1331">
        <f t="shared" si="607"/>
        <v>2400</v>
      </c>
      <c r="DD66" s="18"/>
      <c r="DE66" s="230"/>
      <c r="DF66" s="400"/>
      <c r="DG66" s="400">
        <f>-DG31</f>
        <v>501.4</v>
      </c>
      <c r="DH66" s="400">
        <f t="shared" ref="DH66:DN66" si="608">-DH31</f>
        <v>673.7</v>
      </c>
      <c r="DI66" s="400">
        <f t="shared" si="608"/>
        <v>762.7</v>
      </c>
      <c r="DJ66" s="400">
        <f t="shared" si="608"/>
        <v>976.2</v>
      </c>
      <c r="DK66" s="400">
        <f t="shared" si="608"/>
        <v>1464.8999999999996</v>
      </c>
      <c r="DL66" s="400">
        <f t="shared" si="608"/>
        <v>755.4</v>
      </c>
      <c r="DM66" s="400">
        <f t="shared" si="608"/>
        <v>801.5</v>
      </c>
      <c r="DN66" s="400">
        <f t="shared" si="608"/>
        <v>988</v>
      </c>
      <c r="DO66" s="400">
        <f>-DO31</f>
        <v>1017.5999999999999</v>
      </c>
      <c r="DP66" s="400">
        <f>-DP31</f>
        <v>1310</v>
      </c>
      <c r="DQ66" s="400">
        <f>-DQ31</f>
        <v>3509</v>
      </c>
      <c r="DR66" s="400">
        <f>-DR31</f>
        <v>2342</v>
      </c>
      <c r="DS66" s="400">
        <f>-DS31</f>
        <v>462</v>
      </c>
      <c r="DT66" s="400">
        <f t="shared" ref="DT66:DX66" si="609">-DT31</f>
        <v>616</v>
      </c>
      <c r="DU66" s="400">
        <f t="shared" si="609"/>
        <v>2550</v>
      </c>
      <c r="DV66" s="400">
        <f t="shared" si="609"/>
        <v>1699</v>
      </c>
      <c r="DW66" s="400">
        <f t="shared" si="609"/>
        <v>1244</v>
      </c>
      <c r="DX66" s="400">
        <f t="shared" si="609"/>
        <v>2658</v>
      </c>
      <c r="DY66" s="400">
        <f t="shared" ref="DY66:ED66" si="610">-DY31</f>
        <v>4021</v>
      </c>
      <c r="DZ66" s="400">
        <f t="shared" si="610"/>
        <v>5817</v>
      </c>
      <c r="EA66" s="245">
        <f t="shared" si="610"/>
        <v>4734</v>
      </c>
      <c r="EB66" s="245">
        <f t="shared" si="610"/>
        <v>7970</v>
      </c>
      <c r="EC66" s="245">
        <f t="shared" si="610"/>
        <v>9550</v>
      </c>
      <c r="ED66" s="245">
        <f t="shared" si="610"/>
        <v>9600</v>
      </c>
      <c r="EE66" s="18"/>
      <c r="EF66" s="321"/>
      <c r="EG66" s="400"/>
      <c r="EH66" s="400">
        <f t="shared" ref="EH66:EO66" si="611">-EH31</f>
        <v>606.5</v>
      </c>
      <c r="EI66" s="400">
        <f t="shared" si="611"/>
        <v>603.30000000000007</v>
      </c>
      <c r="EJ66" s="400">
        <f t="shared" si="611"/>
        <v>865</v>
      </c>
      <c r="EK66" s="400">
        <f t="shared" si="611"/>
        <v>1245.9000000000001</v>
      </c>
      <c r="EL66" s="400">
        <f t="shared" si="611"/>
        <v>1157.9999999999998</v>
      </c>
      <c r="EM66" s="400">
        <f t="shared" si="611"/>
        <v>899.19999999999993</v>
      </c>
      <c r="EN66" s="400">
        <f t="shared" si="611"/>
        <v>713.7</v>
      </c>
      <c r="EO66" s="400">
        <f t="shared" si="611"/>
        <v>1105</v>
      </c>
      <c r="EP66" s="400">
        <f t="shared" ref="EP66:EX66" si="612">-EP31</f>
        <v>925.3</v>
      </c>
      <c r="EQ66" s="400">
        <f t="shared" si="612"/>
        <v>2134.6999999999998</v>
      </c>
      <c r="ER66" s="400">
        <f t="shared" si="612"/>
        <v>3122</v>
      </c>
      <c r="ES66" s="400">
        <f t="shared" si="612"/>
        <v>1911</v>
      </c>
      <c r="ET66" s="400">
        <f t="shared" si="612"/>
        <v>254</v>
      </c>
      <c r="EU66" s="400">
        <f t="shared" si="612"/>
        <v>1019</v>
      </c>
      <c r="EV66" s="245">
        <f t="shared" si="612"/>
        <v>2782</v>
      </c>
      <c r="EW66" s="245">
        <f t="shared" si="612"/>
        <v>1436</v>
      </c>
      <c r="EX66" s="245">
        <f t="shared" si="612"/>
        <v>1336</v>
      </c>
      <c r="EY66" s="245">
        <f>-EY31</f>
        <v>2801</v>
      </c>
      <c r="EZ66" s="245">
        <f t="shared" ref="EZ66:FA66" si="613">-EZ31</f>
        <v>4342</v>
      </c>
      <c r="FA66" s="245">
        <f t="shared" si="613"/>
        <v>6091</v>
      </c>
      <c r="FB66" s="245">
        <f t="shared" ref="FB66:FC66" si="614">-FB31</f>
        <v>5426</v>
      </c>
      <c r="FC66" s="245">
        <f t="shared" si="614"/>
        <v>8514</v>
      </c>
      <c r="FD66" s="152">
        <f t="shared" ref="FD66" si="615">-FD31</f>
        <v>9450</v>
      </c>
      <c r="FP66" s="330"/>
    </row>
    <row r="67" spans="1:172" ht="14.25" customHeight="1">
      <c r="A67" s="7"/>
      <c r="B67" s="21" t="s">
        <v>346</v>
      </c>
      <c r="C67" s="231"/>
      <c r="D67" s="232"/>
      <c r="E67" s="232"/>
      <c r="F67" s="232"/>
      <c r="G67" s="233"/>
      <c r="H67" s="232"/>
      <c r="I67" s="232"/>
      <c r="J67" s="232"/>
      <c r="K67" s="233"/>
      <c r="L67" s="232">
        <v>0</v>
      </c>
      <c r="M67" s="232">
        <v>0</v>
      </c>
      <c r="N67" s="232">
        <v>0</v>
      </c>
      <c r="O67" s="233">
        <v>0</v>
      </c>
      <c r="P67" s="232">
        <v>0</v>
      </c>
      <c r="Q67" s="232">
        <v>0</v>
      </c>
      <c r="R67" s="232">
        <v>0</v>
      </c>
      <c r="S67" s="233">
        <v>0</v>
      </c>
      <c r="T67" s="232">
        <v>0</v>
      </c>
      <c r="U67" s="232">
        <v>0</v>
      </c>
      <c r="V67" s="232">
        <v>0</v>
      </c>
      <c r="W67" s="233">
        <v>0</v>
      </c>
      <c r="X67" s="232">
        <v>0</v>
      </c>
      <c r="Y67" s="232">
        <v>0</v>
      </c>
      <c r="Z67" s="232">
        <v>0</v>
      </c>
      <c r="AA67" s="233">
        <v>0</v>
      </c>
      <c r="AB67" s="232">
        <v>0</v>
      </c>
      <c r="AC67" s="232">
        <v>0</v>
      </c>
      <c r="AD67" s="232">
        <v>0</v>
      </c>
      <c r="AE67" s="233">
        <v>0</v>
      </c>
      <c r="AF67" s="232">
        <v>0</v>
      </c>
      <c r="AG67" s="232">
        <v>0</v>
      </c>
      <c r="AH67" s="232">
        <v>0</v>
      </c>
      <c r="AI67" s="233">
        <v>0</v>
      </c>
      <c r="AJ67" s="232">
        <v>0</v>
      </c>
      <c r="AK67" s="232">
        <v>0</v>
      </c>
      <c r="AL67" s="232">
        <v>0</v>
      </c>
      <c r="AM67" s="233">
        <v>0</v>
      </c>
      <c r="AN67" s="232">
        <v>0</v>
      </c>
      <c r="AO67" s="232">
        <v>0</v>
      </c>
      <c r="AP67" s="232">
        <v>0</v>
      </c>
      <c r="AQ67" s="233">
        <v>0</v>
      </c>
      <c r="AR67" s="232">
        <v>0</v>
      </c>
      <c r="AS67" s="232">
        <v>0</v>
      </c>
      <c r="AT67" s="232">
        <v>0</v>
      </c>
      <c r="AU67" s="233">
        <v>0</v>
      </c>
      <c r="AV67" s="232">
        <v>0</v>
      </c>
      <c r="AW67" s="232">
        <v>0</v>
      </c>
      <c r="AX67" s="232">
        <v>0</v>
      </c>
      <c r="AY67" s="233">
        <v>0</v>
      </c>
      <c r="AZ67" s="232">
        <v>0</v>
      </c>
      <c r="BA67" s="232">
        <v>0</v>
      </c>
      <c r="BB67" s="232">
        <v>0</v>
      </c>
      <c r="BC67" s="233">
        <v>0</v>
      </c>
      <c r="BD67" s="232">
        <v>0</v>
      </c>
      <c r="BE67" s="232">
        <v>0</v>
      </c>
      <c r="BF67" s="232">
        <v>0</v>
      </c>
      <c r="BG67" s="233">
        <v>0</v>
      </c>
      <c r="BH67" s="232">
        <v>0</v>
      </c>
      <c r="BI67" s="232">
        <v>0</v>
      </c>
      <c r="BJ67" s="232">
        <v>0</v>
      </c>
      <c r="BK67" s="233">
        <v>0</v>
      </c>
      <c r="BL67" s="232">
        <v>0</v>
      </c>
      <c r="BM67" s="232">
        <v>0</v>
      </c>
      <c r="BN67" s="232">
        <v>0</v>
      </c>
      <c r="BO67" s="233">
        <v>0</v>
      </c>
      <c r="BP67" s="232">
        <v>0</v>
      </c>
      <c r="BQ67" s="232">
        <v>0</v>
      </c>
      <c r="BR67" s="232">
        <v>0</v>
      </c>
      <c r="BS67" s="233">
        <v>0</v>
      </c>
      <c r="BT67" s="232">
        <v>0</v>
      </c>
      <c r="BU67" s="234">
        <v>0</v>
      </c>
      <c r="BV67" s="232">
        <v>0</v>
      </c>
      <c r="BW67" s="233">
        <v>0</v>
      </c>
      <c r="BX67" s="232">
        <v>0</v>
      </c>
      <c r="BY67" s="234">
        <v>0</v>
      </c>
      <c r="BZ67" s="232">
        <v>0</v>
      </c>
      <c r="CA67" s="233">
        <v>0</v>
      </c>
      <c r="CB67" s="232">
        <v>0</v>
      </c>
      <c r="CC67" s="234">
        <v>0</v>
      </c>
      <c r="CD67" s="232">
        <v>0</v>
      </c>
      <c r="CE67" s="233">
        <v>0</v>
      </c>
      <c r="CF67" s="232">
        <v>0</v>
      </c>
      <c r="CG67" s="234">
        <v>0</v>
      </c>
      <c r="CH67" s="232">
        <v>0</v>
      </c>
      <c r="CI67" s="233">
        <v>0</v>
      </c>
      <c r="CJ67" s="232">
        <v>0</v>
      </c>
      <c r="CK67" s="234">
        <v>0</v>
      </c>
      <c r="CL67" s="232">
        <v>0</v>
      </c>
      <c r="CM67" s="1165">
        <v>0</v>
      </c>
      <c r="CN67" s="1253">
        <v>0</v>
      </c>
      <c r="CO67" s="1254"/>
      <c r="CP67" s="1253">
        <v>0</v>
      </c>
      <c r="CQ67" s="1332">
        <v>0</v>
      </c>
      <c r="CR67" s="1434">
        <v>0</v>
      </c>
      <c r="CS67" s="1446">
        <v>405</v>
      </c>
      <c r="CT67" s="1253">
        <v>0</v>
      </c>
      <c r="CU67" s="1371">
        <v>0</v>
      </c>
      <c r="CV67" s="1253">
        <v>0</v>
      </c>
      <c r="CW67" s="1254">
        <v>0</v>
      </c>
      <c r="CX67" s="1253">
        <v>0</v>
      </c>
      <c r="CY67" s="1371">
        <v>0</v>
      </c>
      <c r="CZ67" s="1253">
        <v>0</v>
      </c>
      <c r="DA67" s="1254">
        <v>0</v>
      </c>
      <c r="DB67" s="1253">
        <v>0</v>
      </c>
      <c r="DC67" s="1371">
        <v>0</v>
      </c>
      <c r="DD67" s="18"/>
      <c r="DE67" s="236"/>
      <c r="DF67" s="236"/>
      <c r="DG67" s="236">
        <v>0</v>
      </c>
      <c r="DH67" s="236">
        <v>0</v>
      </c>
      <c r="DI67" s="236">
        <v>0</v>
      </c>
      <c r="DJ67" s="236">
        <v>0</v>
      </c>
      <c r="DK67" s="236">
        <v>0</v>
      </c>
      <c r="DL67" s="236">
        <v>0</v>
      </c>
      <c r="DM67" s="236">
        <v>0</v>
      </c>
      <c r="DN67" s="236">
        <v>0</v>
      </c>
      <c r="DO67" s="236">
        <v>0</v>
      </c>
      <c r="DP67" s="236">
        <v>0</v>
      </c>
      <c r="DQ67" s="236">
        <v>0</v>
      </c>
      <c r="DR67" s="236">
        <v>0</v>
      </c>
      <c r="DS67" s="236">
        <v>0</v>
      </c>
      <c r="DT67" s="236">
        <v>0</v>
      </c>
      <c r="DU67" s="1333">
        <v>0</v>
      </c>
      <c r="DV67" s="1333">
        <v>0</v>
      </c>
      <c r="DW67" s="1333">
        <v>0</v>
      </c>
      <c r="DX67" s="1333">
        <v>0</v>
      </c>
      <c r="DY67" s="1333">
        <v>0</v>
      </c>
      <c r="DZ67" s="1333">
        <v>0</v>
      </c>
      <c r="EA67" s="236">
        <v>0</v>
      </c>
      <c r="EB67" s="1333">
        <v>0</v>
      </c>
      <c r="EC67" s="1333">
        <v>0</v>
      </c>
      <c r="ED67" s="1333">
        <v>0</v>
      </c>
      <c r="EE67" s="18"/>
      <c r="EF67" s="235"/>
      <c r="EG67" s="236"/>
      <c r="EH67" s="236">
        <v>0</v>
      </c>
      <c r="EI67" s="236">
        <v>0</v>
      </c>
      <c r="EJ67" s="236">
        <v>0</v>
      </c>
      <c r="EK67" s="236">
        <v>0</v>
      </c>
      <c r="EL67" s="236">
        <v>0</v>
      </c>
      <c r="EM67" s="236">
        <v>0</v>
      </c>
      <c r="EN67" s="236">
        <v>0</v>
      </c>
      <c r="EO67" s="236">
        <v>0</v>
      </c>
      <c r="EP67" s="236">
        <v>0</v>
      </c>
      <c r="EQ67" s="236">
        <v>0</v>
      </c>
      <c r="ER67" s="236">
        <v>0</v>
      </c>
      <c r="ES67" s="236">
        <v>0</v>
      </c>
      <c r="ET67" s="1333">
        <v>0</v>
      </c>
      <c r="EU67" s="1333">
        <v>0</v>
      </c>
      <c r="EV67" s="236">
        <v>0</v>
      </c>
      <c r="EW67" s="236">
        <v>0</v>
      </c>
      <c r="EX67" s="1333">
        <v>0</v>
      </c>
      <c r="EY67" s="1333">
        <v>0</v>
      </c>
      <c r="EZ67" s="1333">
        <v>0</v>
      </c>
      <c r="FA67" s="1333">
        <v>0</v>
      </c>
      <c r="FB67" s="1333">
        <v>0</v>
      </c>
      <c r="FC67" s="1333">
        <v>0</v>
      </c>
      <c r="FD67" s="1332">
        <v>0</v>
      </c>
    </row>
    <row r="68" spans="1:172" ht="14.25" customHeight="1">
      <c r="A68" s="7"/>
      <c r="B68" s="30" t="s">
        <v>347</v>
      </c>
      <c r="C68" s="237"/>
      <c r="D68" s="132"/>
      <c r="E68" s="77"/>
      <c r="F68" s="77"/>
      <c r="G68" s="78"/>
      <c r="H68" s="132"/>
      <c r="I68" s="77"/>
      <c r="J68" s="77"/>
      <c r="K68" s="78"/>
      <c r="L68" s="132">
        <f>L66/IS!L7</f>
        <v>0.11372064276885042</v>
      </c>
      <c r="M68" s="77">
        <f>M66/IS!M7</f>
        <v>7.7379593700068472E-2</v>
      </c>
      <c r="N68" s="77">
        <f>N66/IS!N7</f>
        <v>0.2168911917098445</v>
      </c>
      <c r="O68" s="78">
        <f>O66/IS!O7</f>
        <v>0.14954555062354682</v>
      </c>
      <c r="P68" s="132">
        <f>P66/IS!P7</f>
        <v>0.19628120756293743</v>
      </c>
      <c r="Q68" s="77">
        <f>Q66/IS!Q7</f>
        <v>0.21278825995807127</v>
      </c>
      <c r="R68" s="77">
        <f>R66/IS!R7</f>
        <v>0.34911049453239767</v>
      </c>
      <c r="S68" s="78">
        <f>S66/IS!S7</f>
        <v>0.15821413090593839</v>
      </c>
      <c r="T68" s="132">
        <f>T66/IS!T7</f>
        <v>0.1480594758064516</v>
      </c>
      <c r="U68" s="77">
        <f>U66/IS!U7</f>
        <v>0.16582179762136867</v>
      </c>
      <c r="V68" s="77">
        <f>V66/IS!V7</f>
        <v>0.26186617272516788</v>
      </c>
      <c r="W68" s="78">
        <f>W66/IS!W7</f>
        <v>0.23029237601776467</v>
      </c>
      <c r="X68" s="132">
        <f>X66/IS!X7</f>
        <v>0.1635781796531964</v>
      </c>
      <c r="Y68" s="77">
        <f>Y66/IS!Y7</f>
        <v>0.19782589940471057</v>
      </c>
      <c r="Z68" s="77">
        <f>Z66/IS!Z7</f>
        <v>0.17042090359119574</v>
      </c>
      <c r="AA68" s="78">
        <f>AA66/IS!AA7</f>
        <v>0.11375661375661378</v>
      </c>
      <c r="AB68" s="132">
        <f>AB66/IS!AB7</f>
        <v>0.31146602188852129</v>
      </c>
      <c r="AC68" s="77">
        <f>AC66/IS!AC7</f>
        <v>0.36145256638828932</v>
      </c>
      <c r="AD68" s="77">
        <f>AD66/IS!AD7</f>
        <v>0.40449712819259459</v>
      </c>
      <c r="AE68" s="78">
        <f>AE66/IS!AE7</f>
        <v>0.53966271080574513</v>
      </c>
      <c r="AF68" s="132">
        <f>AF66/IS!AF7</f>
        <v>0.43076197216324608</v>
      </c>
      <c r="AG68" s="77">
        <f>AG66/IS!AG7</f>
        <v>0.21597770552717144</v>
      </c>
      <c r="AH68" s="77">
        <f>AH66/IS!AH7</f>
        <v>0.19579875518672188</v>
      </c>
      <c r="AI68" s="78">
        <f>AI66/IS!AI7</f>
        <v>0.37740641711229955</v>
      </c>
      <c r="AJ68" s="132">
        <f>AJ66/IS!AJ7</f>
        <v>0.47642679900744411</v>
      </c>
      <c r="AK68" s="77">
        <f>AK66/IS!AK7</f>
        <v>0.27324840764331226</v>
      </c>
      <c r="AL68" s="77">
        <f>AL66/IS!AL7</f>
        <v>0.16937354988399059</v>
      </c>
      <c r="AM68" s="78">
        <f>AM66/IS!AM7</f>
        <v>0.15362971299943726</v>
      </c>
      <c r="AN68" s="132">
        <f>AN66/IS!AN7</f>
        <v>0.21549855491329481</v>
      </c>
      <c r="AO68" s="77">
        <f>AO66/IS!AO7</f>
        <v>0.16145307769929365</v>
      </c>
      <c r="AP68" s="77">
        <f>AP66/IS!AP7</f>
        <v>0.23406160458452721</v>
      </c>
      <c r="AQ68" s="78">
        <f>AQ66/IS!AQ7</f>
        <v>0.27581567440295995</v>
      </c>
      <c r="AR68" s="132">
        <f>AR66/IS!AR7</f>
        <v>0.28215504245021023</v>
      </c>
      <c r="AS68" s="77">
        <f>AS66/IS!AS7</f>
        <v>0.23082804495756556</v>
      </c>
      <c r="AT68" s="77">
        <f>AT66/IS!AT7</f>
        <v>0.21390627964333137</v>
      </c>
      <c r="AU68" s="78">
        <f>AU66/IS!AU7</f>
        <v>0.10701224359993633</v>
      </c>
      <c r="AV68" s="132">
        <f>AV66/IS!AV7</f>
        <v>0.19334704068145103</v>
      </c>
      <c r="AW68" s="77">
        <f>AW66/IS!AW7</f>
        <v>0.14261224489795918</v>
      </c>
      <c r="AX68" s="77">
        <f>AX66/IS!AX7</f>
        <v>0.24377047931113316</v>
      </c>
      <c r="AY68" s="78">
        <f>AY66/IS!AY7</f>
        <v>0.40199504878403952</v>
      </c>
      <c r="AZ68" s="132">
        <f>AZ66/IS!AZ7</f>
        <v>0.71111111111111114</v>
      </c>
      <c r="BA68" s="77">
        <f>BA66/IS!BA7</f>
        <v>0.74842326559215133</v>
      </c>
      <c r="BB68" s="77">
        <f>BB66/IS!BB7</f>
        <v>0.4992272024729521</v>
      </c>
      <c r="BC68" s="78">
        <f>BC66/IS!BC7</f>
        <v>0.49199721642310368</v>
      </c>
      <c r="BD68" s="132">
        <f>BD66/IS!BD7</f>
        <v>0.45667752442996745</v>
      </c>
      <c r="BE68" s="77">
        <f>BE66/IS!BE7</f>
        <v>0.44518027961736573</v>
      </c>
      <c r="BF68" s="77">
        <f>BF66/IS!BF7</f>
        <v>0.21895861148197596</v>
      </c>
      <c r="BG68" s="78">
        <f>BG66/IS!BG7</f>
        <v>0.48861283643892339</v>
      </c>
      <c r="BH68" s="132">
        <f>BH66/IS!BH7</f>
        <v>0.19258202567760344</v>
      </c>
      <c r="BI68" s="77">
        <f>BI66/IS!BI7</f>
        <v>0.10574018126888217</v>
      </c>
      <c r="BJ68" s="77">
        <f>BJ66/IS!BJ7</f>
        <v>4.6112115732368897E-2</v>
      </c>
      <c r="BK68" s="78">
        <f>BK66/IS!BK7</f>
        <v>2.7649769585253458E-2</v>
      </c>
      <c r="BL68" s="132">
        <f>BL66/IS!BL7</f>
        <v>3.5632183908045977E-2</v>
      </c>
      <c r="BM68" s="77">
        <f>BM66/IS!BM7</f>
        <v>4.7424783273839879E-2</v>
      </c>
      <c r="BN68" s="77">
        <f>BN66/IS!BN7</f>
        <v>4.9825174825174824E-2</v>
      </c>
      <c r="BO68" s="78">
        <f>BO66/IS!BO7</f>
        <v>0.13918973124749298</v>
      </c>
      <c r="BP68" s="132">
        <f>BP66/IS!BP7</f>
        <v>0.20648312611012434</v>
      </c>
      <c r="BQ68" s="77">
        <f>BQ66/IS!BQ7</f>
        <v>0.32077979618963226</v>
      </c>
      <c r="BR68" s="77">
        <f>BR66/IS!BR7</f>
        <v>0.23048153342683497</v>
      </c>
      <c r="BS68" s="78">
        <f>BS66/IS!BS7</f>
        <v>0.405607476635514</v>
      </c>
      <c r="BT68" s="132">
        <f>BT66/IS!BT7</f>
        <v>0.33349282296650717</v>
      </c>
      <c r="BU68" s="77">
        <f>BU66/IS!BU7</f>
        <v>0.1951219512195122</v>
      </c>
      <c r="BV68" s="77">
        <f>BV66/IS!BV7</f>
        <v>0.1279926335174954</v>
      </c>
      <c r="BW68" s="78">
        <f>BW66/IS!BW7</f>
        <v>0.16912888436067244</v>
      </c>
      <c r="BX68" s="132">
        <f>BX66/IS!BX7</f>
        <v>0.23664122137404581</v>
      </c>
      <c r="BY68" s="77">
        <f>BY66/IS!BY7</f>
        <v>0.15736284889316651</v>
      </c>
      <c r="BZ68" s="77">
        <f>BZ66/IS!BZ7</f>
        <v>8.7575496117342541E-2</v>
      </c>
      <c r="CA68" s="78">
        <f>CA66/IS!CA7</f>
        <v>9.8487513190291948E-2</v>
      </c>
      <c r="CB68" s="132">
        <f>CB66/IS!CB7</f>
        <v>0.13013359722909451</v>
      </c>
      <c r="CC68" s="77">
        <f>CC66/IS!CC7</f>
        <v>0.12296079863647431</v>
      </c>
      <c r="CD68" s="77">
        <f>CD66/IS!CD7</f>
        <v>0.12230035158211953</v>
      </c>
      <c r="CE68" s="78">
        <v>0.35</v>
      </c>
      <c r="CF68" s="132">
        <v>0.35</v>
      </c>
      <c r="CG68" s="77">
        <v>0.35</v>
      </c>
      <c r="CH68" s="77">
        <v>0.35</v>
      </c>
      <c r="CI68" s="78">
        <v>0.35</v>
      </c>
      <c r="CJ68" s="132">
        <v>0.35</v>
      </c>
      <c r="CK68" s="77">
        <v>0.35</v>
      </c>
      <c r="CL68" s="77">
        <v>0.35</v>
      </c>
      <c r="CM68" s="78">
        <v>0.35</v>
      </c>
      <c r="CN68" s="1242">
        <v>0.35</v>
      </c>
      <c r="CO68" s="1231">
        <v>0.35</v>
      </c>
      <c r="CP68" s="1231">
        <v>0.35</v>
      </c>
      <c r="CQ68" s="78">
        <v>0.35</v>
      </c>
      <c r="CR68" s="1242">
        <v>0.35</v>
      </c>
      <c r="CS68" s="1231">
        <f>CS66/IS!CS7</f>
        <v>0.25506733777717316</v>
      </c>
      <c r="CT68" s="1231">
        <f>CT66/IS!CT7</f>
        <v>0.23667801801400928</v>
      </c>
      <c r="CU68" s="78">
        <f>CU66/IS!CU7</f>
        <v>0.23438262766867043</v>
      </c>
      <c r="CV68" s="1242">
        <f>CV66/IS!CV7</f>
        <v>0.33564858305027734</v>
      </c>
      <c r="CW68" s="1231">
        <f>CW66/IS!CW7</f>
        <v>0.34635226547424319</v>
      </c>
      <c r="CX68" s="1231">
        <f>CX66/IS!CX7</f>
        <v>0.35289171770756056</v>
      </c>
      <c r="CY68" s="78">
        <f>CY66/IS!CY7</f>
        <v>0.35207063259724714</v>
      </c>
      <c r="CZ68" s="1242">
        <f>CZ66/IS!CZ7</f>
        <v>0.36545948530044731</v>
      </c>
      <c r="DA68" s="1231">
        <f>DA66/IS!DA7</f>
        <v>0.36593699755448045</v>
      </c>
      <c r="DB68" s="1231">
        <f>DB66/IS!DB7</f>
        <v>0.36435570016024521</v>
      </c>
      <c r="DC68" s="78">
        <f>DC66/IS!DC7</f>
        <v>0.35984573634183031</v>
      </c>
      <c r="DD68" s="18"/>
      <c r="DE68" s="238"/>
      <c r="DF68" s="238"/>
      <c r="DG68" s="238">
        <f>DG66/IS!DG7</f>
        <v>0.14262551557388706</v>
      </c>
      <c r="DH68" s="238">
        <f>DH66/IS!DH7</f>
        <v>0.22268865897596937</v>
      </c>
      <c r="DI68" s="238">
        <f>DI66/IS!DI7</f>
        <v>0.20263018065887356</v>
      </c>
      <c r="DJ68" s="238">
        <f>DJ66/IS!DJ7</f>
        <v>0.15343266691814408</v>
      </c>
      <c r="DK68" s="238">
        <f>DK66/IS!DK7</f>
        <v>0.37218933407860955</v>
      </c>
      <c r="DL68" s="238">
        <f>DL66/IS!DL7</f>
        <v>0.29177288528389339</v>
      </c>
      <c r="DM68" s="238">
        <f>DM66/IS!DM7</f>
        <v>0.2592760327370362</v>
      </c>
      <c r="DN68" s="238">
        <f>DN66/IS!DN7</f>
        <v>0.22433132010353754</v>
      </c>
      <c r="DO68" s="238">
        <f>DO66/IS!DO7</f>
        <v>0.20851604442440883</v>
      </c>
      <c r="DP68" s="238">
        <f>DP66/IS!DP7</f>
        <v>0.24845898530109056</v>
      </c>
      <c r="DQ68" s="238">
        <f>DQ66/IS!DQ7</f>
        <v>0.6169127988748242</v>
      </c>
      <c r="DR68" s="238">
        <f>DR66/IS!DR7</f>
        <v>0.40095873994179076</v>
      </c>
      <c r="DS68" s="238">
        <f>DS66/IS!DS7</f>
        <v>9.6189881324172388E-2</v>
      </c>
      <c r="DT68" s="238">
        <f>DT66/IS!DT7</f>
        <v>7.2624381042207031E-2</v>
      </c>
      <c r="DU68" s="238">
        <f>DU66/IS!DU7</f>
        <v>0.29016841147018663</v>
      </c>
      <c r="DV68" s="238">
        <f>DV66/IS!DV7</f>
        <v>0.20633956764634442</v>
      </c>
      <c r="DW68" s="238">
        <f>DW66/IS!DW7</f>
        <v>0.1371101069106139</v>
      </c>
      <c r="DX68" s="238">
        <f>DX66/IS!DX7</f>
        <v>0.16248930187064434</v>
      </c>
      <c r="DY68" s="238">
        <f>DY66/IS!DY7</f>
        <v>0.24833250988142291</v>
      </c>
      <c r="DZ68" s="238">
        <f>DZ66/IS!DZ7</f>
        <v>0.46915073796273893</v>
      </c>
      <c r="EA68" s="77">
        <f>EA66/IS!EA7</f>
        <v>0.2329495128432241</v>
      </c>
      <c r="EB68" s="1231">
        <f>EB66/IS!EB7</f>
        <v>0.27072912908269026</v>
      </c>
      <c r="EC68" s="1231">
        <f>EC66/IS!EC7</f>
        <v>0.34642456188057352</v>
      </c>
      <c r="ED68" s="1231">
        <f>ED66/IS!ED7</f>
        <v>0.36388342018952663</v>
      </c>
      <c r="EE68" s="18"/>
      <c r="EF68" s="322"/>
      <c r="EG68" s="238"/>
      <c r="EH68" s="238">
        <f>EH66/IS!EH7</f>
        <v>0.16196223996581838</v>
      </c>
      <c r="EI68" s="238">
        <f>EI66/IS!EI7</f>
        <v>0.21082611126642442</v>
      </c>
      <c r="EJ68" s="238">
        <f>EJ66/IS!EJ7</f>
        <v>0.20050531976542038</v>
      </c>
      <c r="EK68" s="238">
        <f>EK66/IS!EK7</f>
        <v>0.18905057432893801</v>
      </c>
      <c r="EL68" s="238">
        <f>EL66/IS!EL7</f>
        <v>0.4153217129330749</v>
      </c>
      <c r="EM68" s="238">
        <f>EM66/IS!EM7</f>
        <v>0.31548663251701636</v>
      </c>
      <c r="EN68" s="238">
        <f>EN66/IS!EN7</f>
        <v>0.20313656287356979</v>
      </c>
      <c r="EO68" s="238">
        <f>EO66/IS!EO7</f>
        <v>0.24246812805828011</v>
      </c>
      <c r="EP68" s="238">
        <f>EP66/IS!EP7</f>
        <v>0.18573980769616794</v>
      </c>
      <c r="EQ68" s="238">
        <f>EQ66/IS!EQ7</f>
        <v>0.39235760104398321</v>
      </c>
      <c r="ER68" s="238">
        <f>ER66/IS!ER7</f>
        <v>0.54839276304233264</v>
      </c>
      <c r="ES68" s="238">
        <f>ES66/IS!ES7</f>
        <v>0.33479327259985986</v>
      </c>
      <c r="ET68" s="238">
        <f>ET66/IS!ET7</f>
        <v>4.9406730208130717E-2</v>
      </c>
      <c r="EU68" s="238">
        <f>EU66/IS!EU7</f>
        <v>0.11329775405826106</v>
      </c>
      <c r="EV68" s="77">
        <f>EV66/IS!EV7</f>
        <v>0.32251333178761882</v>
      </c>
      <c r="EW68" s="77">
        <f>EW66/IS!EW7</f>
        <v>0.17999498621208324</v>
      </c>
      <c r="EX68" s="1231">
        <f>EX66/IS!EX7</f>
        <v>0.1184292172679727</v>
      </c>
      <c r="EY68" s="1231">
        <f>EY66/IS!EY7</f>
        <v>0.16584759310794009</v>
      </c>
      <c r="EZ68" s="1231">
        <f>EZ66/IS!EZ7</f>
        <v>0.2900661366824771</v>
      </c>
      <c r="FA68" s="1231">
        <f>FA66/IS!FA7</f>
        <v>0.46785467393809049</v>
      </c>
      <c r="FB68" s="1231">
        <f>FB66/IS!FB7</f>
        <v>0.23433383718419348</v>
      </c>
      <c r="FC68" s="1231">
        <f>FC66/IS!FC7</f>
        <v>0.2830048948807003</v>
      </c>
      <c r="FD68" s="78">
        <f>FD66/IS!FD7</f>
        <v>0.35411642543040894</v>
      </c>
    </row>
    <row r="69" spans="1:172" ht="14.25" customHeight="1">
      <c r="A69" s="7"/>
      <c r="B69" s="56" t="s">
        <v>348</v>
      </c>
      <c r="C69" s="14"/>
      <c r="D69" s="239"/>
      <c r="E69" s="239"/>
      <c r="F69" s="241"/>
      <c r="G69" s="242"/>
      <c r="H69" s="239"/>
      <c r="I69" s="239"/>
      <c r="J69" s="241"/>
      <c r="K69" s="242"/>
      <c r="L69" s="239"/>
      <c r="M69" s="239"/>
      <c r="N69" s="241"/>
      <c r="O69" s="242"/>
      <c r="P69" s="239"/>
      <c r="Q69" s="239"/>
      <c r="R69" s="241"/>
      <c r="S69" s="242"/>
      <c r="T69" s="239"/>
      <c r="U69" s="239"/>
      <c r="V69" s="241"/>
      <c r="W69" s="242"/>
      <c r="X69" s="239"/>
      <c r="Y69" s="239"/>
      <c r="Z69" s="241"/>
      <c r="AA69" s="242"/>
      <c r="AB69" s="239"/>
      <c r="AC69" s="239"/>
      <c r="AD69" s="241"/>
      <c r="AE69" s="242"/>
      <c r="AF69" s="239"/>
      <c r="AG69" s="239"/>
      <c r="AH69" s="241"/>
      <c r="AI69" s="242"/>
      <c r="AJ69" s="239"/>
      <c r="AK69" s="239"/>
      <c r="AL69" s="241"/>
      <c r="AM69" s="242"/>
      <c r="AN69" s="239"/>
      <c r="AO69" s="239"/>
      <c r="AP69" s="241"/>
      <c r="AQ69" s="242"/>
      <c r="AR69" s="239"/>
      <c r="AS69" s="239"/>
      <c r="AT69" s="241"/>
      <c r="AU69" s="242"/>
      <c r="AV69" s="239"/>
      <c r="AW69" s="239"/>
      <c r="AX69" s="241"/>
      <c r="AY69" s="242"/>
      <c r="AZ69" s="239"/>
      <c r="BA69" s="239"/>
      <c r="BB69" s="241"/>
      <c r="BC69" s="242"/>
      <c r="BD69" s="239"/>
      <c r="BE69" s="239"/>
      <c r="BF69" s="241"/>
      <c r="BG69" s="242"/>
      <c r="BH69" s="239"/>
      <c r="BI69" s="239"/>
      <c r="BJ69" s="241"/>
      <c r="BK69" s="242"/>
      <c r="BL69" s="239"/>
      <c r="BM69" s="239"/>
      <c r="BN69" s="241"/>
      <c r="BO69" s="242"/>
      <c r="BP69" s="239"/>
      <c r="BQ69" s="239"/>
      <c r="BR69" s="241"/>
      <c r="BS69" s="242"/>
      <c r="BT69" s="239">
        <f t="shared" ref="BT69:BY69" si="616">BT13</f>
        <v>74</v>
      </c>
      <c r="BU69" s="243">
        <f t="shared" si="616"/>
        <v>73</v>
      </c>
      <c r="BV69" s="241">
        <f t="shared" si="616"/>
        <v>115</v>
      </c>
      <c r="BW69" s="242">
        <f t="shared" si="616"/>
        <v>32</v>
      </c>
      <c r="BX69" s="239">
        <f t="shared" si="616"/>
        <v>52</v>
      </c>
      <c r="BY69" s="243">
        <f t="shared" si="616"/>
        <v>58</v>
      </c>
      <c r="BZ69" s="241">
        <f t="shared" ref="BZ69:CI69" si="617">BZ13</f>
        <v>10</v>
      </c>
      <c r="CA69" s="242">
        <f t="shared" si="617"/>
        <v>-37</v>
      </c>
      <c r="CB69" s="243">
        <f t="shared" si="617"/>
        <v>-86</v>
      </c>
      <c r="CC69" s="243">
        <f t="shared" si="617"/>
        <v>-134</v>
      </c>
      <c r="CD69" s="241">
        <f t="shared" si="617"/>
        <v>-135</v>
      </c>
      <c r="CE69" s="242">
        <f t="shared" si="617"/>
        <v>-119</v>
      </c>
      <c r="CF69" s="243">
        <f>CF13</f>
        <v>-124</v>
      </c>
      <c r="CG69" s="243">
        <f t="shared" si="617"/>
        <v>-208</v>
      </c>
      <c r="CH69" s="241">
        <f>CH13</f>
        <v>-68</v>
      </c>
      <c r="CI69" s="242">
        <f t="shared" si="617"/>
        <v>-47</v>
      </c>
      <c r="CJ69" s="243">
        <f t="shared" ref="CJ69:CR69" si="618">CJ13</f>
        <v>-59</v>
      </c>
      <c r="CK69" s="243">
        <f t="shared" si="618"/>
        <v>-5</v>
      </c>
      <c r="CL69" s="241">
        <f>CL13</f>
        <v>40</v>
      </c>
      <c r="CM69" s="242">
        <f t="shared" ref="CM69:CO69" si="619">CM13</f>
        <v>-1</v>
      </c>
      <c r="CN69" s="1257">
        <f t="shared" si="619"/>
        <v>2</v>
      </c>
      <c r="CO69" s="1257">
        <f t="shared" si="619"/>
        <v>-7</v>
      </c>
      <c r="CP69" s="241">
        <f t="shared" si="618"/>
        <v>0</v>
      </c>
      <c r="CQ69" s="242">
        <f t="shared" si="618"/>
        <v>-3</v>
      </c>
      <c r="CR69" s="1257">
        <f t="shared" si="618"/>
        <v>0</v>
      </c>
      <c r="CS69" s="1257">
        <f t="shared" ref="CS69:CU69" si="620">CS13</f>
        <v>-1</v>
      </c>
      <c r="CT69" s="241">
        <f t="shared" si="620"/>
        <v>0</v>
      </c>
      <c r="CU69" s="242">
        <f t="shared" si="620"/>
        <v>0</v>
      </c>
      <c r="CV69" s="1257">
        <f t="shared" ref="CV69:CY69" si="621">CV13</f>
        <v>0</v>
      </c>
      <c r="CW69" s="1257">
        <f t="shared" si="621"/>
        <v>0</v>
      </c>
      <c r="CX69" s="241">
        <f t="shared" si="621"/>
        <v>0</v>
      </c>
      <c r="CY69" s="242">
        <f t="shared" si="621"/>
        <v>0</v>
      </c>
      <c r="CZ69" s="1257">
        <f t="shared" ref="CZ69:DC69" si="622">CZ13</f>
        <v>0</v>
      </c>
      <c r="DA69" s="1257">
        <f t="shared" si="622"/>
        <v>0</v>
      </c>
      <c r="DB69" s="241">
        <f t="shared" si="622"/>
        <v>0</v>
      </c>
      <c r="DC69" s="242">
        <f t="shared" si="622"/>
        <v>0</v>
      </c>
      <c r="DD69" s="18"/>
      <c r="DE69" s="241"/>
      <c r="DF69" s="241"/>
      <c r="DG69" s="241">
        <f>DG13</f>
        <v>-215.8</v>
      </c>
      <c r="DH69" s="241">
        <f t="shared" ref="DH69:DN69" si="623">DH13</f>
        <v>-157</v>
      </c>
      <c r="DI69" s="241">
        <f t="shared" si="623"/>
        <v>0</v>
      </c>
      <c r="DJ69" s="241">
        <f t="shared" si="623"/>
        <v>10.7</v>
      </c>
      <c r="DK69" s="241">
        <f t="shared" si="623"/>
        <v>234.29999999999998</v>
      </c>
      <c r="DL69" s="241">
        <f t="shared" si="623"/>
        <v>11.5</v>
      </c>
      <c r="DM69" s="241">
        <f t="shared" si="623"/>
        <v>-0.6</v>
      </c>
      <c r="DN69" s="241">
        <f t="shared" si="623"/>
        <v>0.6</v>
      </c>
      <c r="DO69" s="241">
        <f>DO13</f>
        <v>0.8</v>
      </c>
      <c r="DP69" s="241">
        <f>DP13</f>
        <v>0</v>
      </c>
      <c r="DQ69" s="241">
        <f>DQ13</f>
        <v>-30</v>
      </c>
      <c r="DR69" s="241">
        <f>DR13</f>
        <v>0</v>
      </c>
      <c r="DS69" s="241">
        <f>DS13</f>
        <v>0</v>
      </c>
      <c r="DT69" s="241">
        <f t="shared" ref="DT69:DY69" si="624">DT13</f>
        <v>39</v>
      </c>
      <c r="DU69" s="241">
        <f t="shared" si="624"/>
        <v>158</v>
      </c>
      <c r="DV69" s="241">
        <f t="shared" si="624"/>
        <v>294</v>
      </c>
      <c r="DW69" s="241">
        <f t="shared" si="624"/>
        <v>83</v>
      </c>
      <c r="DX69" s="241">
        <f t="shared" si="624"/>
        <v>-474</v>
      </c>
      <c r="DY69" s="241">
        <f t="shared" si="624"/>
        <v>-447</v>
      </c>
      <c r="DZ69" s="241">
        <f>DZ13</f>
        <v>-25</v>
      </c>
      <c r="EA69" s="243">
        <f>EA13</f>
        <v>-8</v>
      </c>
      <c r="EB69" s="1257">
        <f>EB13</f>
        <v>-1</v>
      </c>
      <c r="EC69" s="1257">
        <f>EC13</f>
        <v>0</v>
      </c>
      <c r="ED69" s="1257">
        <f>ED13</f>
        <v>0</v>
      </c>
      <c r="EE69" s="18"/>
      <c r="EF69" s="323"/>
      <c r="EG69" s="241"/>
      <c r="EH69" s="241">
        <f t="shared" ref="EH69:EO69" si="625">EH13</f>
        <v>-205.70000000000002</v>
      </c>
      <c r="EI69" s="241">
        <f t="shared" si="625"/>
        <v>-157</v>
      </c>
      <c r="EJ69" s="241">
        <f t="shared" si="625"/>
        <v>0</v>
      </c>
      <c r="EK69" s="241">
        <f t="shared" si="625"/>
        <v>10.799999999999999</v>
      </c>
      <c r="EL69" s="241">
        <f t="shared" si="625"/>
        <v>241.6</v>
      </c>
      <c r="EM69" s="241">
        <f t="shared" si="625"/>
        <v>4.5</v>
      </c>
      <c r="EN69" s="241">
        <f t="shared" si="625"/>
        <v>-0.6</v>
      </c>
      <c r="EO69" s="241">
        <f t="shared" si="625"/>
        <v>0.79999999999999993</v>
      </c>
      <c r="EP69" s="241">
        <f t="shared" ref="EP69:EX69" si="626">EP13</f>
        <v>0.40000000000000008</v>
      </c>
      <c r="EQ69" s="241">
        <f t="shared" si="626"/>
        <v>-30.2</v>
      </c>
      <c r="ER69" s="241">
        <f t="shared" si="626"/>
        <v>0</v>
      </c>
      <c r="ES69" s="241">
        <f t="shared" si="626"/>
        <v>0</v>
      </c>
      <c r="ET69" s="241">
        <f t="shared" si="626"/>
        <v>17</v>
      </c>
      <c r="EU69" s="241">
        <f t="shared" si="626"/>
        <v>48</v>
      </c>
      <c r="EV69" s="243">
        <f t="shared" si="626"/>
        <v>206</v>
      </c>
      <c r="EW69" s="243">
        <f t="shared" si="626"/>
        <v>272</v>
      </c>
      <c r="EX69" s="1257">
        <f t="shared" si="626"/>
        <v>-55</v>
      </c>
      <c r="EY69" s="1257">
        <f>EY13</f>
        <v>-512</v>
      </c>
      <c r="EZ69" s="1257">
        <f t="shared" ref="EZ69:FA69" si="627">EZ13</f>
        <v>-382</v>
      </c>
      <c r="FA69" s="1257">
        <f t="shared" si="627"/>
        <v>36</v>
      </c>
      <c r="FB69" s="1257">
        <f t="shared" ref="FB69:FC69" si="628">FB13</f>
        <v>-10</v>
      </c>
      <c r="FC69" s="1257">
        <f t="shared" si="628"/>
        <v>-1</v>
      </c>
      <c r="FD69" s="242">
        <f t="shared" ref="FD69" si="629">FD13</f>
        <v>0</v>
      </c>
    </row>
    <row r="70" spans="1:172" ht="14.25" customHeight="1">
      <c r="A70" s="10"/>
      <c r="B70" s="22" t="s">
        <v>349</v>
      </c>
      <c r="C70" s="23"/>
      <c r="D70" s="236"/>
      <c r="E70" s="236"/>
      <c r="F70" s="236"/>
      <c r="G70" s="377"/>
      <c r="H70" s="236"/>
      <c r="I70" s="236"/>
      <c r="J70" s="236"/>
      <c r="K70" s="377"/>
      <c r="L70" s="236">
        <v>3644</v>
      </c>
      <c r="M70" s="236">
        <v>3720.3</v>
      </c>
      <c r="N70" s="236">
        <v>3807.6</v>
      </c>
      <c r="O70" s="377">
        <v>3951.4</v>
      </c>
      <c r="P70" s="236">
        <v>4159.3999999999996</v>
      </c>
      <c r="Q70" s="236">
        <v>4213.7</v>
      </c>
      <c r="R70" s="236">
        <v>4485.7</v>
      </c>
      <c r="S70" s="377">
        <v>4672.3</v>
      </c>
      <c r="T70" s="236">
        <v>5404.9</v>
      </c>
      <c r="U70" s="236">
        <v>5542.8</v>
      </c>
      <c r="V70" s="236">
        <v>5748.3</v>
      </c>
      <c r="W70" s="377">
        <v>6015</v>
      </c>
      <c r="X70" s="236">
        <v>6206.4</v>
      </c>
      <c r="Y70" s="236">
        <v>6421.4</v>
      </c>
      <c r="Z70" s="236">
        <v>6734.7</v>
      </c>
      <c r="AA70" s="377">
        <v>7086.1</v>
      </c>
      <c r="AB70" s="236">
        <v>7524.5</v>
      </c>
      <c r="AC70" s="236">
        <v>7673.4</v>
      </c>
      <c r="AD70" s="236">
        <v>8100.6</v>
      </c>
      <c r="AE70" s="377">
        <v>8198.9</v>
      </c>
      <c r="AF70" s="236">
        <v>8061.6</v>
      </c>
      <c r="AG70" s="236">
        <v>8137.7</v>
      </c>
      <c r="AH70" s="236">
        <v>8635</v>
      </c>
      <c r="AI70" s="377">
        <v>8839.7999999999993</v>
      </c>
      <c r="AJ70" s="236">
        <v>9209.4</v>
      </c>
      <c r="AK70" s="236">
        <v>9179.4</v>
      </c>
      <c r="AL70" s="236">
        <v>9296</v>
      </c>
      <c r="AM70" s="377">
        <v>9346.4</v>
      </c>
      <c r="AN70" s="236">
        <v>9588.7000000000007</v>
      </c>
      <c r="AO70" s="236">
        <v>9759.7999999999993</v>
      </c>
      <c r="AP70" s="236">
        <v>10001.5</v>
      </c>
      <c r="AQ70" s="377">
        <v>10223.1</v>
      </c>
      <c r="AR70" s="236">
        <v>10513.1</v>
      </c>
      <c r="AS70" s="236">
        <v>10718.9</v>
      </c>
      <c r="AT70" s="236">
        <v>10933</v>
      </c>
      <c r="AU70" s="377">
        <v>11029.1</v>
      </c>
      <c r="AV70" s="236">
        <v>11270.4</v>
      </c>
      <c r="AW70" s="236">
        <v>11510.3</v>
      </c>
      <c r="AX70" s="236">
        <v>12421.1</v>
      </c>
      <c r="AY70" s="377">
        <v>13133</v>
      </c>
      <c r="AZ70" s="236">
        <v>14529</v>
      </c>
      <c r="BA70" s="236">
        <v>15359</v>
      </c>
      <c r="BB70" s="236">
        <v>15899</v>
      </c>
      <c r="BC70" s="377">
        <v>16598</v>
      </c>
      <c r="BD70" s="236">
        <v>17139</v>
      </c>
      <c r="BE70" s="236">
        <v>17490</v>
      </c>
      <c r="BF70" s="236">
        <v>17925</v>
      </c>
      <c r="BG70" s="377">
        <v>18413</v>
      </c>
      <c r="BH70" s="236">
        <v>17828</v>
      </c>
      <c r="BI70" s="236">
        <v>17487</v>
      </c>
      <c r="BJ70" s="236">
        <v>17402</v>
      </c>
      <c r="BK70" s="377">
        <v>16718</v>
      </c>
      <c r="BL70" s="236">
        <v>17077</v>
      </c>
      <c r="BM70" s="236">
        <v>16971</v>
      </c>
      <c r="BN70" s="236">
        <v>17447</v>
      </c>
      <c r="BO70" s="377">
        <v>17813</v>
      </c>
      <c r="BP70" s="236">
        <v>18718</v>
      </c>
      <c r="BQ70" s="236">
        <v>19154</v>
      </c>
      <c r="BR70" s="236">
        <v>18829</v>
      </c>
      <c r="BS70" s="377">
        <v>19756</v>
      </c>
      <c r="BT70" s="236">
        <v>20082</v>
      </c>
      <c r="BU70" s="234">
        <v>20384</v>
      </c>
      <c r="BV70" s="236">
        <v>20544</v>
      </c>
      <c r="BW70" s="377">
        <v>20825</v>
      </c>
      <c r="BX70" s="599">
        <v>21297</v>
      </c>
      <c r="BY70" s="494">
        <v>20206</v>
      </c>
      <c r="BZ70" s="599">
        <v>20111</v>
      </c>
      <c r="CA70" s="785">
        <v>20920</v>
      </c>
      <c r="CB70" s="599">
        <v>21401</v>
      </c>
      <c r="CC70" s="494">
        <v>21939</v>
      </c>
      <c r="CD70" s="599">
        <v>22379</v>
      </c>
      <c r="CE70" s="785">
        <v>23432</v>
      </c>
      <c r="CF70" s="599">
        <v>24349</v>
      </c>
      <c r="CG70" s="494">
        <v>24905</v>
      </c>
      <c r="CH70" s="599">
        <v>26014</v>
      </c>
      <c r="CI70" s="785">
        <v>27275</v>
      </c>
      <c r="CJ70" s="599">
        <v>28381</v>
      </c>
      <c r="CK70" s="494">
        <v>29736</v>
      </c>
      <c r="CL70" s="599">
        <v>31614</v>
      </c>
      <c r="CM70" s="785">
        <v>33605</v>
      </c>
      <c r="CN70" s="1280">
        <v>34885</v>
      </c>
      <c r="CO70" s="1273">
        <f t="shared" ref="CO70" si="630">CN70+CO66+CO67-CO69</f>
        <v>36017</v>
      </c>
      <c r="CP70" s="1280">
        <v>40269</v>
      </c>
      <c r="CQ70" s="785">
        <v>41533</v>
      </c>
      <c r="CR70" s="1280">
        <v>43598</v>
      </c>
      <c r="CS70" s="1259">
        <f t="shared" ref="CS70" si="631">CR70+CS66+CS67-CS69</f>
        <v>45879</v>
      </c>
      <c r="CT70" s="1277">
        <f t="shared" ref="CT70" si="632">CS70+CT66+CT67-CT69</f>
        <v>47679</v>
      </c>
      <c r="CU70" s="472">
        <f t="shared" ref="CU70" si="633">CT70+CU66+CU67-CU69</f>
        <v>49479</v>
      </c>
      <c r="CV70" s="1277">
        <f t="shared" ref="CV70" si="634">CU70+CV66+CV67-CV69</f>
        <v>51979</v>
      </c>
      <c r="CW70" s="1259">
        <f t="shared" ref="CW70" si="635">CV70+CW66+CW67-CW69</f>
        <v>54329</v>
      </c>
      <c r="CX70" s="1277">
        <f t="shared" ref="CX70" si="636">CW70+CX66+CX67-CX69</f>
        <v>56679</v>
      </c>
      <c r="CY70" s="472">
        <f t="shared" ref="CY70" si="637">CX70+CY66+CY67-CY69</f>
        <v>59029</v>
      </c>
      <c r="CZ70" s="1277">
        <f t="shared" ref="CZ70" si="638">CY70+CZ66+CZ67-CZ69</f>
        <v>61429</v>
      </c>
      <c r="DA70" s="1259">
        <f t="shared" ref="DA70" si="639">CZ70+DA66+DA67-DA69</f>
        <v>63829</v>
      </c>
      <c r="DB70" s="1277">
        <f t="shared" ref="DB70" si="640">DA70+DB66+DB67-DB69</f>
        <v>66229</v>
      </c>
      <c r="DC70" s="472">
        <f t="shared" ref="DC70" si="641">DB70+DC66+DC67-DC69</f>
        <v>68629</v>
      </c>
      <c r="DD70" s="786"/>
      <c r="DE70" s="635"/>
      <c r="DF70" s="635"/>
      <c r="DG70" s="635">
        <f>O70</f>
        <v>3951.4</v>
      </c>
      <c r="DH70" s="635">
        <f>S70</f>
        <v>4672.3</v>
      </c>
      <c r="DI70" s="635">
        <f>W70</f>
        <v>6015</v>
      </c>
      <c r="DJ70" s="635">
        <f>AA70</f>
        <v>7086.1</v>
      </c>
      <c r="DK70" s="635">
        <f>AE70</f>
        <v>8198.9</v>
      </c>
      <c r="DL70" s="635">
        <f>AI70</f>
        <v>8839.7999999999993</v>
      </c>
      <c r="DM70" s="635">
        <f>AM70</f>
        <v>9346.4</v>
      </c>
      <c r="DN70" s="635">
        <f>AQ70</f>
        <v>10223.1</v>
      </c>
      <c r="DO70" s="635">
        <f>AU70</f>
        <v>11029.1</v>
      </c>
      <c r="DP70" s="635">
        <f>AY70</f>
        <v>13133</v>
      </c>
      <c r="DQ70" s="635">
        <f>BC70</f>
        <v>16598</v>
      </c>
      <c r="DR70" s="635">
        <f>BG70</f>
        <v>18413</v>
      </c>
      <c r="DS70" s="635">
        <f>BK70</f>
        <v>16718</v>
      </c>
      <c r="DT70" s="635">
        <f>BO70</f>
        <v>17813</v>
      </c>
      <c r="DU70" s="1277">
        <f>BS70</f>
        <v>19756</v>
      </c>
      <c r="DV70" s="1277">
        <f>BW70</f>
        <v>20825</v>
      </c>
      <c r="DW70" s="1277">
        <f>CA70</f>
        <v>20920</v>
      </c>
      <c r="DX70" s="1277">
        <f>CE70</f>
        <v>23432</v>
      </c>
      <c r="DY70" s="1277">
        <f>CI70</f>
        <v>27275</v>
      </c>
      <c r="DZ70" s="1277">
        <f>CM70</f>
        <v>33605</v>
      </c>
      <c r="EA70" s="635">
        <f>CQ70</f>
        <v>41533</v>
      </c>
      <c r="EB70" s="1277">
        <f>CU70</f>
        <v>49479</v>
      </c>
      <c r="EC70" s="1277">
        <f>CY70</f>
        <v>59029</v>
      </c>
      <c r="ED70" s="1277">
        <f>DC70</f>
        <v>68629</v>
      </c>
      <c r="EE70" s="18"/>
      <c r="EF70" s="246"/>
      <c r="EG70" s="245"/>
      <c r="EH70" s="245">
        <f>P70</f>
        <v>4159.3999999999996</v>
      </c>
      <c r="EI70" s="245">
        <f>T70</f>
        <v>5404.9</v>
      </c>
      <c r="EJ70" s="245">
        <f>X70</f>
        <v>6206.4</v>
      </c>
      <c r="EK70" s="245">
        <f>AB70</f>
        <v>7524.5</v>
      </c>
      <c r="EL70" s="245">
        <f>AF70</f>
        <v>8061.6</v>
      </c>
      <c r="EM70" s="245">
        <f>AJ70</f>
        <v>9209.4</v>
      </c>
      <c r="EN70" s="245">
        <f>AN70</f>
        <v>9588.7000000000007</v>
      </c>
      <c r="EO70" s="245">
        <f>AR70</f>
        <v>10513.1</v>
      </c>
      <c r="EP70" s="245">
        <f>AV70</f>
        <v>11270.4</v>
      </c>
      <c r="EQ70" s="245">
        <f>AZ70</f>
        <v>14529</v>
      </c>
      <c r="ER70" s="245">
        <f>BD70</f>
        <v>17139</v>
      </c>
      <c r="ES70" s="245">
        <f>BH70</f>
        <v>17828</v>
      </c>
      <c r="ET70" s="245">
        <f>BL70</f>
        <v>17077</v>
      </c>
      <c r="EU70" s="245">
        <f>BP70</f>
        <v>18718</v>
      </c>
      <c r="EV70" s="245">
        <f>BT70</f>
        <v>20082</v>
      </c>
      <c r="EW70" s="245">
        <f>BX70</f>
        <v>21297</v>
      </c>
      <c r="EX70" s="245">
        <f>CB70</f>
        <v>21401</v>
      </c>
      <c r="EY70" s="245">
        <f>CF70</f>
        <v>24349</v>
      </c>
      <c r="EZ70" s="245">
        <f>CJ70</f>
        <v>28381</v>
      </c>
      <c r="FA70" s="245">
        <f>CN70</f>
        <v>34885</v>
      </c>
      <c r="FB70" s="245">
        <f>CR70</f>
        <v>43598</v>
      </c>
      <c r="FC70" s="245">
        <f>CV70</f>
        <v>51979</v>
      </c>
      <c r="FD70" s="227">
        <f>CZ70</f>
        <v>61429</v>
      </c>
    </row>
    <row r="71" spans="1:172" ht="14.25" customHeight="1">
      <c r="A71" s="10"/>
      <c r="B71" s="30" t="s">
        <v>350</v>
      </c>
      <c r="C71" s="31"/>
      <c r="D71" s="77"/>
      <c r="E71" s="77"/>
      <c r="F71" s="77"/>
      <c r="G71" s="78"/>
      <c r="H71" s="77"/>
      <c r="I71" s="77"/>
      <c r="J71" s="77"/>
      <c r="K71" s="78"/>
      <c r="L71" s="77">
        <f>L70/BS!L24</f>
        <v>0.97938559948396808</v>
      </c>
      <c r="M71" s="77">
        <f>M70/BS!M24</f>
        <v>0.91538310122533351</v>
      </c>
      <c r="N71" s="77">
        <f>N70/BS!N24</f>
        <v>0.91650018052713922</v>
      </c>
      <c r="O71" s="78">
        <f>O70/BS!O24</f>
        <v>0.81450332900459688</v>
      </c>
      <c r="P71" s="77">
        <f>P70/BS!P24</f>
        <v>0.84838966283884387</v>
      </c>
      <c r="Q71" s="77">
        <f>Q70/BS!Q24</f>
        <v>0.87076109193858353</v>
      </c>
      <c r="R71" s="77">
        <f>R70/BS!R24</f>
        <v>0.94768977246318631</v>
      </c>
      <c r="S71" s="78">
        <f>S70/BS!S24</f>
        <v>0.99658724910948526</v>
      </c>
      <c r="T71" s="77">
        <f>T70/BS!T24</f>
        <v>0.796290294065649</v>
      </c>
      <c r="U71" s="77">
        <f>U70/BS!U24</f>
        <v>0.8185845935727788</v>
      </c>
      <c r="V71" s="77">
        <f>V70/BS!V24</f>
        <v>0.84713216222589005</v>
      </c>
      <c r="W71" s="78">
        <f>W70/BS!W24</f>
        <v>0.86357893527824048</v>
      </c>
      <c r="X71" s="77">
        <f>X70/BS!X24</f>
        <v>0.81863508059197498</v>
      </c>
      <c r="Y71" s="77">
        <f>Y70/BS!Y24</f>
        <v>0.83019599731085492</v>
      </c>
      <c r="Z71" s="77">
        <f>Z70/BS!Z24</f>
        <v>0.82022458225751438</v>
      </c>
      <c r="AA71" s="78">
        <f>AA70/BS!AA24</f>
        <v>0.7357213310491616</v>
      </c>
      <c r="AB71" s="77">
        <f>AB70/BS!AB24</f>
        <v>0.76768861908891495</v>
      </c>
      <c r="AC71" s="77">
        <f>AC70/BS!AC24</f>
        <v>0.84168613643094525</v>
      </c>
      <c r="AD71" s="77">
        <f>AD70/BS!AD24</f>
        <v>0.9154875457709869</v>
      </c>
      <c r="AE71" s="78">
        <f>AE70/BS!AE24</f>
        <v>0.98035440979529354</v>
      </c>
      <c r="AF71" s="77">
        <f>AF70/BS!AF24</f>
        <v>1.0049238977325139</v>
      </c>
      <c r="AG71" s="77">
        <f>AG70/BS!AG24</f>
        <v>0.99283831926211508</v>
      </c>
      <c r="AH71" s="77">
        <f>AH70/BS!AH24</f>
        <v>1.0633712624993843</v>
      </c>
      <c r="AI71" s="78">
        <f>AI70/BS!AI24</f>
        <v>1.1699976175980091</v>
      </c>
      <c r="AJ71" s="77">
        <f>AJ70/BS!AJ24</f>
        <v>1.2470075285706548</v>
      </c>
      <c r="AK71" s="77">
        <f>AK70/BS!AK24</f>
        <v>1.2512131290551225</v>
      </c>
      <c r="AL71" s="77">
        <f>AL70/BS!AL24</f>
        <v>1.301486853526727</v>
      </c>
      <c r="AM71" s="78">
        <f>AM70/BS!AM24</f>
        <v>1.3056913749266574</v>
      </c>
      <c r="AN71" s="77">
        <f>AN70/BS!AN24</f>
        <v>1.2696733358933276</v>
      </c>
      <c r="AO71" s="77">
        <f>AO70/BS!AO24</f>
        <v>1.2968282863179155</v>
      </c>
      <c r="AP71" s="77">
        <f>AP70/BS!AP24</f>
        <v>1.3094910771567356</v>
      </c>
      <c r="AQ71" s="78">
        <f>AQ70/BS!AQ24</f>
        <v>1.3174097938144331</v>
      </c>
      <c r="AR71" s="77">
        <f>AR70/BS!AR24</f>
        <v>1.3320198667105896</v>
      </c>
      <c r="AS71" s="77">
        <f>AS70/BS!AS24</f>
        <v>1.3267771602569658</v>
      </c>
      <c r="AT71" s="77">
        <f>AT70/BS!AT24</f>
        <v>1.3520565902401622</v>
      </c>
      <c r="AU71" s="78">
        <f>AU70/BS!AU24</f>
        <v>1.377535471622702</v>
      </c>
      <c r="AV71" s="77">
        <f>AV70/BS!AV24</f>
        <v>1.4071290342718021</v>
      </c>
      <c r="AW71" s="77">
        <f>AW70/BS!AW24</f>
        <v>1.227451105850236</v>
      </c>
      <c r="AX71" s="77">
        <f>AX70/BS!AX24</f>
        <v>1.2058500878581067</v>
      </c>
      <c r="AY71" s="78">
        <f>AY70/BS!AY24</f>
        <v>1.0745992652172847</v>
      </c>
      <c r="AZ71" s="77">
        <f>AZ70/BS!AZ24</f>
        <v>1.1112895823772373</v>
      </c>
      <c r="BA71" s="77">
        <f>BA70/BS!BA24</f>
        <v>1.1482505980861244</v>
      </c>
      <c r="BB71" s="77">
        <f>BB70/BS!BB24</f>
        <v>1.1027953110910731</v>
      </c>
      <c r="BC71" s="78">
        <f>BC70/BS!BC24</f>
        <v>1.1201241733027398</v>
      </c>
      <c r="BD71" s="77">
        <f>BD70/BS!BD24</f>
        <v>1.1821630569733756</v>
      </c>
      <c r="BE71" s="77">
        <f>BE70/BS!BE24</f>
        <v>1.2687704026115343</v>
      </c>
      <c r="BF71" s="77">
        <f>BF70/BS!BF24</f>
        <v>1.3164659224441833</v>
      </c>
      <c r="BG71" s="78">
        <f>BG70/BS!BG24</f>
        <v>1.3710349962769919</v>
      </c>
      <c r="BH71" s="77">
        <f>BH70/BS!BH24</f>
        <v>1.4064373619438308</v>
      </c>
      <c r="BI71" s="77">
        <f>BI70/BS!BI24</f>
        <v>1.517178552837064</v>
      </c>
      <c r="BJ71" s="77">
        <f>BJ70/BS!BJ24</f>
        <v>1.4919410150891632</v>
      </c>
      <c r="BK71" s="78">
        <f>BK70/BS!BK24</f>
        <v>1.4589405707304302</v>
      </c>
      <c r="BL71" s="77">
        <f>BL70/BS!BL24</f>
        <v>1.456336346580249</v>
      </c>
      <c r="BM71" s="77">
        <f>BM70/BS!BM24</f>
        <v>1.419929718875502</v>
      </c>
      <c r="BN71" s="77">
        <f>BN70/BS!BN24</f>
        <v>1.2135355081032204</v>
      </c>
      <c r="BO71" s="78">
        <f>BO70/BS!BO24</f>
        <v>1.2123460151092358</v>
      </c>
      <c r="BP71" s="77">
        <f>BP70/BS!BP24</f>
        <v>1.2805637271669974</v>
      </c>
      <c r="BQ71" s="77">
        <f>BQ70/BS!BQ24</f>
        <v>1.3303236560633422</v>
      </c>
      <c r="BR71" s="77">
        <f>BR70/BS!BR24</f>
        <v>1.2923129718599862</v>
      </c>
      <c r="BS71" s="78">
        <f>BS70/BS!BS24</f>
        <v>1.3392082429501084</v>
      </c>
      <c r="BT71" s="77">
        <f>BT70/BS!BT24</f>
        <v>1.4131306734219971</v>
      </c>
      <c r="BU71" s="77">
        <f>BU70/BS!BU24</f>
        <v>1.4416861164155881</v>
      </c>
      <c r="BV71" s="77">
        <f>BV70/BS!BV24</f>
        <v>1.4350377200335289</v>
      </c>
      <c r="BW71" s="78">
        <f>BW70/BS!BW24</f>
        <v>1.4534477945281965</v>
      </c>
      <c r="BX71" s="908">
        <f>BX70/BS!BX24</f>
        <v>1.5139688632970782</v>
      </c>
      <c r="BY71" s="908">
        <f>BY70/BS!BY24</f>
        <v>1.4524151811385855</v>
      </c>
      <c r="BZ71" s="908">
        <f>BZ70/BS!BZ24</f>
        <v>1.4308786908573461</v>
      </c>
      <c r="CA71" s="909">
        <f>CA70/BS!CA24</f>
        <v>1.0942567214143739</v>
      </c>
      <c r="CB71" s="908">
        <f>CB70/BS!CB24</f>
        <v>1.0811862180458724</v>
      </c>
      <c r="CC71" s="908">
        <f>CC70/BS!CC24</f>
        <v>1.0642250788260974</v>
      </c>
      <c r="CD71" s="908">
        <f>CD70/BS!CD24</f>
        <v>1.0919248597218834</v>
      </c>
      <c r="CE71" s="909">
        <f>CE70/BS!CE24</f>
        <v>1.0415148013156725</v>
      </c>
      <c r="CF71" s="908">
        <f>CF70/BS!CF24</f>
        <v>1.0801614763552481</v>
      </c>
      <c r="CG71" s="908">
        <f>CG70/BS!CG24</f>
        <v>1.0456377529599463</v>
      </c>
      <c r="CH71" s="908">
        <f>CH70/BS!CH24</f>
        <v>1.0349299809038828</v>
      </c>
      <c r="CI71" s="909">
        <f>CI70/BS!CI24</f>
        <v>1.1297270430352484</v>
      </c>
      <c r="CJ71" s="908">
        <f>CJ70/BS!CJ24</f>
        <v>1.1637280629817943</v>
      </c>
      <c r="CK71" s="908">
        <f>CK70/BS!CK24</f>
        <v>1.1981143478786414</v>
      </c>
      <c r="CL71" s="908">
        <f>CL70/BS!CL24</f>
        <v>1.170845524239843</v>
      </c>
      <c r="CM71" s="909">
        <f>CM70/BS!CM24</f>
        <v>1.2202251270878721</v>
      </c>
      <c r="CN71" s="1288">
        <f>CN70/BS!CN24</f>
        <v>1.2532332231642478</v>
      </c>
      <c r="CO71" s="1288">
        <f>CO70/BS!CO24</f>
        <v>1.113181888425282</v>
      </c>
      <c r="CP71" s="1288">
        <f>CP70/BS!CP24</f>
        <v>1.2104788529173054</v>
      </c>
      <c r="CQ71" s="909">
        <f>CQ70/BS!CQ24</f>
        <v>1.1753735567127008</v>
      </c>
      <c r="CR71" s="1288">
        <f>CR70/BS!CR24</f>
        <v>1.1722728617138556</v>
      </c>
      <c r="CS71" s="1288">
        <f>CS70/BS!CS24</f>
        <v>1.1118677750042412</v>
      </c>
      <c r="CT71" s="1288">
        <f>CT70/BS!CT24</f>
        <v>1.0271618549768737</v>
      </c>
      <c r="CU71" s="909">
        <f>CU70/BS!CU24</f>
        <v>0.98564418742412985</v>
      </c>
      <c r="CV71" s="1288">
        <f>CV70/BS!CV24</f>
        <v>0.97752710938099041</v>
      </c>
      <c r="CW71" s="1288">
        <f>CW70/BS!CW24</f>
        <v>0.98114523696866185</v>
      </c>
      <c r="CX71" s="1288">
        <f>CX70/BS!CX24</f>
        <v>0.98096984251550123</v>
      </c>
      <c r="CY71" s="909">
        <f>CY70/BS!CY24</f>
        <v>0.98653964274354333</v>
      </c>
      <c r="CZ71" s="1288">
        <f>CZ70/BS!CZ24</f>
        <v>0.99868825288023266</v>
      </c>
      <c r="DA71" s="1288">
        <f>DA70/BS!DA24</f>
        <v>1.0117389435983368</v>
      </c>
      <c r="DB71" s="1288">
        <f>DB70/BS!DB24</f>
        <v>1.0258757157642024</v>
      </c>
      <c r="DC71" s="909">
        <f>DC70/BS!DC24</f>
        <v>1.0395408289234667</v>
      </c>
      <c r="DD71" s="786"/>
      <c r="DE71" s="787"/>
      <c r="DF71" s="787"/>
      <c r="DG71" s="787">
        <f>DG70/BS!DG24</f>
        <v>0.81450332900459688</v>
      </c>
      <c r="DH71" s="787">
        <f>DH70/BS!DH24</f>
        <v>0.99658724910948526</v>
      </c>
      <c r="DI71" s="787">
        <f>DI70/BS!DI24</f>
        <v>0.86357893527824048</v>
      </c>
      <c r="DJ71" s="787">
        <f>DJ70/BS!DJ24</f>
        <v>0.7357213310491616</v>
      </c>
      <c r="DK71" s="787">
        <f>DK70/BS!DK24</f>
        <v>0.98035440979529354</v>
      </c>
      <c r="DL71" s="787">
        <f>DL70/BS!DL24</f>
        <v>1.1699976175980091</v>
      </c>
      <c r="DM71" s="787">
        <f>DM70/BS!DM24</f>
        <v>1.3056913749266574</v>
      </c>
      <c r="DN71" s="787">
        <f>DN70/BS!DN24</f>
        <v>1.3174097938144331</v>
      </c>
      <c r="DO71" s="787">
        <f>DO70/BS!DO24</f>
        <v>1.377535471622702</v>
      </c>
      <c r="DP71" s="787">
        <f>DP70/BS!DP24</f>
        <v>1.0745992652172847</v>
      </c>
      <c r="DQ71" s="787">
        <f>DQ70/BS!DQ24</f>
        <v>1.1201241733027398</v>
      </c>
      <c r="DR71" s="787">
        <f>DR70/BS!DR24</f>
        <v>1.3710349962769919</v>
      </c>
      <c r="DS71" s="787">
        <f>DS70/BS!DS24</f>
        <v>1.4589405707304302</v>
      </c>
      <c r="DT71" s="787">
        <f>DT70/BS!DT24</f>
        <v>1.2123460151092358</v>
      </c>
      <c r="DU71" s="787">
        <f>DU70/BS!DU24</f>
        <v>1.3392082429501084</v>
      </c>
      <c r="DV71" s="787">
        <f>DV70/BS!DV24</f>
        <v>1.4534477945281965</v>
      </c>
      <c r="DW71" s="787">
        <f>DW70/BS!DW24</f>
        <v>1.0942567214143739</v>
      </c>
      <c r="DX71" s="787">
        <f>DX70/BS!DX24</f>
        <v>1.0415148013156725</v>
      </c>
      <c r="DY71" s="787">
        <f>DY70/BS!DY24</f>
        <v>1.1297270430352484</v>
      </c>
      <c r="DZ71" s="787">
        <f>DZ70/BS!DZ24</f>
        <v>1.2202251270878721</v>
      </c>
      <c r="EA71" s="1126">
        <f>EA70/BS!EA24</f>
        <v>1.1753735567127008</v>
      </c>
      <c r="EB71" s="1126">
        <f>EB70/BS!EB24</f>
        <v>0.98564418742412985</v>
      </c>
      <c r="EC71" s="1126">
        <f>EC70/BS!EC24</f>
        <v>0.98653964274354333</v>
      </c>
      <c r="ED71" s="1126">
        <f>ED70/BS!ED24</f>
        <v>1.0395408289234667</v>
      </c>
      <c r="EE71" s="18"/>
      <c r="EF71" s="132"/>
      <c r="EG71" s="77"/>
      <c r="EH71" s="77">
        <f>EH70/BS!EH24</f>
        <v>0.84838966283884387</v>
      </c>
      <c r="EI71" s="77">
        <f>EI70/BS!EI24</f>
        <v>0.796290294065649</v>
      </c>
      <c r="EJ71" s="77">
        <f>EJ70/BS!EJ24</f>
        <v>0.81863508059197498</v>
      </c>
      <c r="EK71" s="77">
        <f>EK70/BS!EK24</f>
        <v>0.76768861908891495</v>
      </c>
      <c r="EL71" s="77">
        <f>EL70/BS!EL24</f>
        <v>1.0049238977325139</v>
      </c>
      <c r="EM71" s="77">
        <f>EM70/BS!EM24</f>
        <v>1.2470075285706548</v>
      </c>
      <c r="EN71" s="77">
        <f>EN70/BS!EN24</f>
        <v>1.2696733358933276</v>
      </c>
      <c r="EO71" s="77">
        <f>EO70/BS!EO24</f>
        <v>1.3320198667105896</v>
      </c>
      <c r="EP71" s="77">
        <f>EP70/BS!EP24</f>
        <v>1.4071290342718021</v>
      </c>
      <c r="EQ71" s="77">
        <f>EQ70/BS!EQ24</f>
        <v>1.1112895823772373</v>
      </c>
      <c r="ER71" s="77">
        <f>ER70/BS!ER24</f>
        <v>1.1821630569733756</v>
      </c>
      <c r="ES71" s="77">
        <f>ES70/BS!ES24</f>
        <v>1.4064373619438308</v>
      </c>
      <c r="ET71" s="1231">
        <f>ET70/BS!ET24</f>
        <v>1.456336346580249</v>
      </c>
      <c r="EU71" s="1231">
        <f>EU70/BS!EU24</f>
        <v>1.2805637271669974</v>
      </c>
      <c r="EV71" s="77">
        <f>EV70/BS!EV24</f>
        <v>1.4131306734219971</v>
      </c>
      <c r="EW71" s="77">
        <f>EW70/BS!EW24</f>
        <v>1.5139688632970782</v>
      </c>
      <c r="EX71" s="1231">
        <f>EX70/BS!EX24</f>
        <v>1.0811862180458724</v>
      </c>
      <c r="EY71" s="1231">
        <f>EY70/BS!EY24</f>
        <v>1.0801614763552481</v>
      </c>
      <c r="EZ71" s="1231">
        <f>EZ70/BS!EZ24</f>
        <v>1.1637280629817943</v>
      </c>
      <c r="FA71" s="1231">
        <f>FA70/BS!FA24</f>
        <v>1.2532332231642478</v>
      </c>
      <c r="FB71" s="1231">
        <f>FB70/BS!FB24</f>
        <v>1.1722728617138556</v>
      </c>
      <c r="FC71" s="1231">
        <f>FC70/BS!FC24</f>
        <v>0.97752710938099041</v>
      </c>
      <c r="FD71" s="78">
        <f>FD70/BS!FD24</f>
        <v>0.99868825288023266</v>
      </c>
    </row>
    <row r="72" spans="1:172" ht="14.25" customHeight="1">
      <c r="A72" s="10"/>
      <c r="B72" s="56" t="s">
        <v>221</v>
      </c>
      <c r="C72" s="57"/>
      <c r="D72" s="379"/>
      <c r="E72" s="379"/>
      <c r="F72" s="379"/>
      <c r="G72" s="378"/>
      <c r="H72" s="379"/>
      <c r="I72" s="379"/>
      <c r="J72" s="379"/>
      <c r="K72" s="378"/>
      <c r="L72" s="379">
        <v>903.9</v>
      </c>
      <c r="M72" s="379">
        <v>1004.9</v>
      </c>
      <c r="N72" s="379">
        <v>1094.5999999999999</v>
      </c>
      <c r="O72" s="378">
        <v>1190.2</v>
      </c>
      <c r="P72" s="379">
        <v>1304.3</v>
      </c>
      <c r="Q72" s="379">
        <v>1365.4</v>
      </c>
      <c r="R72" s="379">
        <v>1489.9</v>
      </c>
      <c r="S72" s="378">
        <v>1641.5</v>
      </c>
      <c r="T72" s="379">
        <v>1802.6</v>
      </c>
      <c r="U72" s="379">
        <v>1961.2</v>
      </c>
      <c r="V72" s="379">
        <v>2103.8000000000002</v>
      </c>
      <c r="W72" s="378">
        <v>2215.4</v>
      </c>
      <c r="X72" s="379">
        <v>2377.6999999999998</v>
      </c>
      <c r="Y72" s="379">
        <v>2494.5</v>
      </c>
      <c r="Z72" s="379">
        <v>2679.1</v>
      </c>
      <c r="AA72" s="378">
        <v>2828.5</v>
      </c>
      <c r="AB72" s="379">
        <v>3016</v>
      </c>
      <c r="AC72" s="379">
        <v>3084.8</v>
      </c>
      <c r="AD72" s="379">
        <v>3298.2</v>
      </c>
      <c r="AE72" s="378">
        <v>3494.8</v>
      </c>
      <c r="AF72" s="379">
        <v>3491</v>
      </c>
      <c r="AG72" s="379">
        <v>3708</v>
      </c>
      <c r="AH72" s="379">
        <v>3928.8</v>
      </c>
      <c r="AI72" s="378">
        <v>4140.3</v>
      </c>
      <c r="AJ72" s="379">
        <v>4327</v>
      </c>
      <c r="AK72" s="379">
        <v>4526.2</v>
      </c>
      <c r="AL72" s="379">
        <v>4719.8</v>
      </c>
      <c r="AM72" s="378">
        <v>4835.8999999999996</v>
      </c>
      <c r="AN72" s="379">
        <v>5045.3</v>
      </c>
      <c r="AO72" s="379">
        <v>5223.8999999999996</v>
      </c>
      <c r="AP72" s="379">
        <v>5388.5</v>
      </c>
      <c r="AQ72" s="378">
        <v>5510.4</v>
      </c>
      <c r="AR72" s="379">
        <v>5706.8</v>
      </c>
      <c r="AS72" s="379">
        <v>5927.2</v>
      </c>
      <c r="AT72" s="379">
        <v>6162.1</v>
      </c>
      <c r="AU72" s="378">
        <v>6345.3</v>
      </c>
      <c r="AV72" s="379">
        <v>6593.8</v>
      </c>
      <c r="AW72" s="379">
        <v>6798.4</v>
      </c>
      <c r="AX72" s="379">
        <v>6983</v>
      </c>
      <c r="AY72" s="378">
        <v>7245.4</v>
      </c>
      <c r="AZ72" s="379">
        <v>7519</v>
      </c>
      <c r="BA72" s="379">
        <v>7766</v>
      </c>
      <c r="BB72" s="379">
        <v>8033</v>
      </c>
      <c r="BC72" s="378">
        <v>8319</v>
      </c>
      <c r="BD72" s="379">
        <v>8563</v>
      </c>
      <c r="BE72" s="379">
        <v>8856</v>
      </c>
      <c r="BF72" s="379">
        <v>9204</v>
      </c>
      <c r="BG72" s="378">
        <v>9602</v>
      </c>
      <c r="BH72" s="379">
        <v>9368</v>
      </c>
      <c r="BI72" s="379">
        <v>9577</v>
      </c>
      <c r="BJ72" s="379">
        <v>9866</v>
      </c>
      <c r="BK72" s="378">
        <v>9629</v>
      </c>
      <c r="BL72" s="379">
        <v>10201</v>
      </c>
      <c r="BM72" s="379">
        <v>10446</v>
      </c>
      <c r="BN72" s="379">
        <v>10812</v>
      </c>
      <c r="BO72" s="378">
        <v>11212</v>
      </c>
      <c r="BP72" s="379">
        <v>11674</v>
      </c>
      <c r="BQ72" s="379">
        <v>12099</v>
      </c>
      <c r="BR72" s="379">
        <v>11726</v>
      </c>
      <c r="BS72" s="378">
        <v>12201</v>
      </c>
      <c r="BT72" s="379">
        <v>12610</v>
      </c>
      <c r="BU72" s="232">
        <v>13027</v>
      </c>
      <c r="BV72" s="379">
        <v>13386</v>
      </c>
      <c r="BW72" s="378">
        <v>13722</v>
      </c>
      <c r="BX72" s="788">
        <v>14098</v>
      </c>
      <c r="BY72" s="789">
        <v>13233</v>
      </c>
      <c r="BZ72" s="788">
        <v>13281</v>
      </c>
      <c r="CA72" s="790">
        <v>13294</v>
      </c>
      <c r="CB72" s="788">
        <v>13668</v>
      </c>
      <c r="CC72" s="789">
        <v>14080</v>
      </c>
      <c r="CD72" s="788">
        <v>14358</v>
      </c>
      <c r="CE72" s="790">
        <v>14750</v>
      </c>
      <c r="CF72" s="788">
        <v>15217</v>
      </c>
      <c r="CG72" s="789">
        <v>15672</v>
      </c>
      <c r="CH72" s="788">
        <v>16157</v>
      </c>
      <c r="CI72" s="790">
        <v>16721</v>
      </c>
      <c r="CJ72" s="788">
        <v>17321</v>
      </c>
      <c r="CK72" s="789">
        <v>17917</v>
      </c>
      <c r="CL72" s="788">
        <v>18405</v>
      </c>
      <c r="CM72" s="790">
        <v>18919</v>
      </c>
      <c r="CN72" s="1284">
        <v>19564</v>
      </c>
      <c r="CO72" s="1285">
        <f>CO70-BS!CO17</f>
        <v>16919</v>
      </c>
      <c r="CP72" s="1284">
        <v>21255</v>
      </c>
      <c r="CQ72" s="790">
        <v>22102</v>
      </c>
      <c r="CR72" s="1284">
        <v>22875</v>
      </c>
      <c r="CS72" s="718">
        <f t="shared" ref="CS72" si="642">CR72+CS81</f>
        <v>24015</v>
      </c>
      <c r="CT72" s="791">
        <f t="shared" ref="CT72" si="643">CS72+CT81</f>
        <v>25233.415450132117</v>
      </c>
      <c r="CU72" s="605">
        <f t="shared" ref="CU72" si="644">CT72+CU81</f>
        <v>26464.831739006459</v>
      </c>
      <c r="CV72" s="791">
        <f t="shared" ref="CV72" si="645">CU72+CV81</f>
        <v>27714.831739006459</v>
      </c>
      <c r="CW72" s="718">
        <f>CV72+CW81</f>
        <v>28964.831739006459</v>
      </c>
      <c r="CX72" s="791">
        <f t="shared" ref="CX72" si="646">CW72+CX81</f>
        <v>30214.831739006459</v>
      </c>
      <c r="CY72" s="605">
        <f t="shared" ref="CY72" si="647">CX72+CY81</f>
        <v>31464.831739006459</v>
      </c>
      <c r="CZ72" s="791">
        <f t="shared" ref="CZ72" si="648">CY72+CZ81</f>
        <v>32839.831739006462</v>
      </c>
      <c r="DA72" s="718">
        <f t="shared" ref="DA72" si="649">CZ72+DA81</f>
        <v>34214.831739006462</v>
      </c>
      <c r="DB72" s="791">
        <f t="shared" ref="DB72" si="650">DA72+DB81</f>
        <v>35589.831739006462</v>
      </c>
      <c r="DC72" s="605">
        <f t="shared" ref="DC72" si="651">DB72+DC81</f>
        <v>36964.831739006462</v>
      </c>
      <c r="DD72" s="786"/>
      <c r="DE72" s="791"/>
      <c r="DF72" s="791"/>
      <c r="DG72" s="791">
        <f>O72</f>
        <v>1190.2</v>
      </c>
      <c r="DH72" s="791">
        <f>S72</f>
        <v>1641.5</v>
      </c>
      <c r="DI72" s="791">
        <f>W72</f>
        <v>2215.4</v>
      </c>
      <c r="DJ72" s="791">
        <f>AA72</f>
        <v>2828.5</v>
      </c>
      <c r="DK72" s="791">
        <f>AE72</f>
        <v>3494.8</v>
      </c>
      <c r="DL72" s="791">
        <f>AI72</f>
        <v>4140.3</v>
      </c>
      <c r="DM72" s="791">
        <f>AM72</f>
        <v>4835.8999999999996</v>
      </c>
      <c r="DN72" s="791">
        <f>AQ72</f>
        <v>5510.4</v>
      </c>
      <c r="DO72" s="791">
        <f>AU72</f>
        <v>6345.3</v>
      </c>
      <c r="DP72" s="791">
        <f>AY72</f>
        <v>7245.4</v>
      </c>
      <c r="DQ72" s="791">
        <f>BC72</f>
        <v>8319</v>
      </c>
      <c r="DR72" s="791">
        <f>BG72</f>
        <v>9602</v>
      </c>
      <c r="DS72" s="791">
        <f>BK72</f>
        <v>9629</v>
      </c>
      <c r="DT72" s="791">
        <f>BO72</f>
        <v>11212</v>
      </c>
      <c r="DU72" s="791">
        <f>BS72</f>
        <v>12201</v>
      </c>
      <c r="DV72" s="791">
        <f>BW72</f>
        <v>13722</v>
      </c>
      <c r="DW72" s="791">
        <f>CA72</f>
        <v>13294</v>
      </c>
      <c r="DX72" s="791">
        <f>CE72</f>
        <v>14750</v>
      </c>
      <c r="DY72" s="791">
        <f>CI72</f>
        <v>16721</v>
      </c>
      <c r="DZ72" s="791">
        <f>CM72</f>
        <v>18919</v>
      </c>
      <c r="EA72" s="791">
        <f>CQ72</f>
        <v>22102</v>
      </c>
      <c r="EB72" s="791">
        <f>CU72</f>
        <v>26464.831739006459</v>
      </c>
      <c r="EC72" s="791">
        <f>CY72</f>
        <v>31464.831739006459</v>
      </c>
      <c r="ED72" s="791">
        <f>DC72</f>
        <v>36964.831739006462</v>
      </c>
      <c r="EE72" s="18"/>
      <c r="EF72" s="244"/>
      <c r="EG72" s="243"/>
      <c r="EH72" s="243">
        <f>P72</f>
        <v>1304.3</v>
      </c>
      <c r="EI72" s="243">
        <f>T72</f>
        <v>1802.6</v>
      </c>
      <c r="EJ72" s="243">
        <f>X72</f>
        <v>2377.6999999999998</v>
      </c>
      <c r="EK72" s="243">
        <f>AB72</f>
        <v>3016</v>
      </c>
      <c r="EL72" s="243">
        <f>AF72</f>
        <v>3491</v>
      </c>
      <c r="EM72" s="243">
        <f>AJ72</f>
        <v>4327</v>
      </c>
      <c r="EN72" s="243">
        <f>AN72</f>
        <v>5045.3</v>
      </c>
      <c r="EO72" s="243">
        <f>AR72</f>
        <v>5706.8</v>
      </c>
      <c r="EP72" s="243">
        <f>AV72</f>
        <v>6593.8</v>
      </c>
      <c r="EQ72" s="243">
        <f>AZ72</f>
        <v>7519</v>
      </c>
      <c r="ER72" s="243">
        <f>BD72</f>
        <v>8563</v>
      </c>
      <c r="ES72" s="243">
        <f>BH72</f>
        <v>9368</v>
      </c>
      <c r="ET72" s="1257">
        <f>BL72</f>
        <v>10201</v>
      </c>
      <c r="EU72" s="1257">
        <f>BP72</f>
        <v>11674</v>
      </c>
      <c r="EV72" s="243">
        <f>BT72</f>
        <v>12610</v>
      </c>
      <c r="EW72" s="243">
        <f>BX72</f>
        <v>14098</v>
      </c>
      <c r="EX72" s="1257">
        <f>CB72</f>
        <v>13668</v>
      </c>
      <c r="EY72" s="1257">
        <f>CF72</f>
        <v>15217</v>
      </c>
      <c r="EZ72" s="1257">
        <f>CJ72</f>
        <v>17321</v>
      </c>
      <c r="FA72" s="1257">
        <f>CN72</f>
        <v>19564</v>
      </c>
      <c r="FB72" s="1257">
        <f>CR72</f>
        <v>22875</v>
      </c>
      <c r="FC72" s="1257">
        <f>CV72</f>
        <v>27714.831739006459</v>
      </c>
      <c r="FD72" s="242">
        <f>CZ72</f>
        <v>32839.831739006462</v>
      </c>
    </row>
    <row r="73" spans="1:172" ht="14.25" customHeight="1">
      <c r="A73" s="7"/>
      <c r="B73" s="331" t="s">
        <v>351</v>
      </c>
      <c r="C73" s="247"/>
      <c r="D73" s="248"/>
      <c r="E73" s="248"/>
      <c r="F73" s="248"/>
      <c r="G73" s="249"/>
      <c r="H73" s="248"/>
      <c r="I73" s="248"/>
      <c r="J73" s="248"/>
      <c r="K73" s="249"/>
      <c r="L73" s="248">
        <f t="shared" ref="L73:AY73" si="652">L70-L72</f>
        <v>2740.1</v>
      </c>
      <c r="M73" s="248">
        <f t="shared" si="652"/>
        <v>2715.4</v>
      </c>
      <c r="N73" s="248">
        <f t="shared" si="652"/>
        <v>2713</v>
      </c>
      <c r="O73" s="249">
        <f t="shared" si="652"/>
        <v>2761.2</v>
      </c>
      <c r="P73" s="248">
        <f t="shared" si="652"/>
        <v>2855.0999999999995</v>
      </c>
      <c r="Q73" s="248">
        <f t="shared" si="652"/>
        <v>2848.2999999999997</v>
      </c>
      <c r="R73" s="248">
        <f t="shared" si="652"/>
        <v>2995.7999999999997</v>
      </c>
      <c r="S73" s="249">
        <f t="shared" si="652"/>
        <v>3030.8</v>
      </c>
      <c r="T73" s="248">
        <f t="shared" si="652"/>
        <v>3602.2999999999997</v>
      </c>
      <c r="U73" s="248">
        <f t="shared" si="652"/>
        <v>3581.6000000000004</v>
      </c>
      <c r="V73" s="248">
        <f t="shared" si="652"/>
        <v>3644.5</v>
      </c>
      <c r="W73" s="249">
        <f t="shared" si="652"/>
        <v>3799.6</v>
      </c>
      <c r="X73" s="248">
        <f t="shared" si="652"/>
        <v>3828.7</v>
      </c>
      <c r="Y73" s="248">
        <f t="shared" si="652"/>
        <v>3926.8999999999996</v>
      </c>
      <c r="Z73" s="248">
        <f t="shared" si="652"/>
        <v>4055.6</v>
      </c>
      <c r="AA73" s="380">
        <f t="shared" si="652"/>
        <v>4257.6000000000004</v>
      </c>
      <c r="AB73" s="248">
        <f t="shared" si="652"/>
        <v>4508.5</v>
      </c>
      <c r="AC73" s="248">
        <f t="shared" si="652"/>
        <v>4588.5999999999995</v>
      </c>
      <c r="AD73" s="248">
        <f t="shared" si="652"/>
        <v>4802.4000000000005</v>
      </c>
      <c r="AE73" s="249">
        <f t="shared" si="652"/>
        <v>4704.0999999999995</v>
      </c>
      <c r="AF73" s="248">
        <f t="shared" si="652"/>
        <v>4570.6000000000004</v>
      </c>
      <c r="AG73" s="248">
        <f t="shared" si="652"/>
        <v>4429.7</v>
      </c>
      <c r="AH73" s="248">
        <f t="shared" si="652"/>
        <v>4706.2</v>
      </c>
      <c r="AI73" s="249">
        <f t="shared" si="652"/>
        <v>4699.4999999999991</v>
      </c>
      <c r="AJ73" s="248">
        <f t="shared" si="652"/>
        <v>4882.3999999999996</v>
      </c>
      <c r="AK73" s="248">
        <f t="shared" si="652"/>
        <v>4653.2</v>
      </c>
      <c r="AL73" s="248">
        <f t="shared" si="652"/>
        <v>4576.2</v>
      </c>
      <c r="AM73" s="249">
        <f t="shared" si="652"/>
        <v>4510.5</v>
      </c>
      <c r="AN73" s="248">
        <f t="shared" si="652"/>
        <v>4543.4000000000005</v>
      </c>
      <c r="AO73" s="248">
        <f t="shared" si="652"/>
        <v>4535.8999999999996</v>
      </c>
      <c r="AP73" s="248">
        <f t="shared" si="652"/>
        <v>4613</v>
      </c>
      <c r="AQ73" s="249">
        <f t="shared" si="652"/>
        <v>4712.7000000000007</v>
      </c>
      <c r="AR73" s="382">
        <f t="shared" si="652"/>
        <v>4806.3</v>
      </c>
      <c r="AS73" s="248">
        <f t="shared" si="652"/>
        <v>4791.7</v>
      </c>
      <c r="AT73" s="248">
        <f t="shared" si="652"/>
        <v>4770.8999999999996</v>
      </c>
      <c r="AU73" s="249">
        <f t="shared" si="652"/>
        <v>4683.8</v>
      </c>
      <c r="AV73" s="248">
        <f t="shared" si="652"/>
        <v>4676.5999999999995</v>
      </c>
      <c r="AW73" s="248">
        <f t="shared" si="652"/>
        <v>4711.8999999999996</v>
      </c>
      <c r="AX73" s="248">
        <f t="shared" si="652"/>
        <v>5438.1</v>
      </c>
      <c r="AY73" s="249">
        <f t="shared" si="652"/>
        <v>5887.6</v>
      </c>
      <c r="AZ73" s="248">
        <f>AZ70-AZ72</f>
        <v>7010</v>
      </c>
      <c r="BA73" s="248">
        <f>BA70-BA72</f>
        <v>7593</v>
      </c>
      <c r="BB73" s="248">
        <f>BB70-BB72</f>
        <v>7866</v>
      </c>
      <c r="BC73" s="249">
        <f>BC70-BC72</f>
        <v>8279</v>
      </c>
      <c r="BD73" s="382">
        <f t="shared" ref="BD73:BO73" si="653">BD70-BD72</f>
        <v>8576</v>
      </c>
      <c r="BE73" s="382">
        <f t="shared" si="653"/>
        <v>8634</v>
      </c>
      <c r="BF73" s="248">
        <f t="shared" si="653"/>
        <v>8721</v>
      </c>
      <c r="BG73" s="249">
        <f t="shared" si="653"/>
        <v>8811</v>
      </c>
      <c r="BH73" s="248">
        <f t="shared" si="653"/>
        <v>8460</v>
      </c>
      <c r="BI73" s="248">
        <f t="shared" si="653"/>
        <v>7910</v>
      </c>
      <c r="BJ73" s="248">
        <f t="shared" si="653"/>
        <v>7536</v>
      </c>
      <c r="BK73" s="380">
        <f t="shared" si="653"/>
        <v>7089</v>
      </c>
      <c r="BL73" s="248">
        <f t="shared" si="653"/>
        <v>6876</v>
      </c>
      <c r="BM73" s="248">
        <f t="shared" si="653"/>
        <v>6525</v>
      </c>
      <c r="BN73" s="248">
        <f t="shared" si="653"/>
        <v>6635</v>
      </c>
      <c r="BO73" s="249">
        <f t="shared" si="653"/>
        <v>6601</v>
      </c>
      <c r="BP73" s="248">
        <f t="shared" ref="BP73:CC73" si="654">BP70-BP72</f>
        <v>7044</v>
      </c>
      <c r="BQ73" s="248">
        <f t="shared" si="654"/>
        <v>7055</v>
      </c>
      <c r="BR73" s="248">
        <f t="shared" si="654"/>
        <v>7103</v>
      </c>
      <c r="BS73" s="249">
        <f t="shared" si="654"/>
        <v>7555</v>
      </c>
      <c r="BT73" s="248">
        <f t="shared" si="654"/>
        <v>7472</v>
      </c>
      <c r="BU73" s="248">
        <f t="shared" si="654"/>
        <v>7357</v>
      </c>
      <c r="BV73" s="248">
        <f t="shared" si="654"/>
        <v>7158</v>
      </c>
      <c r="BW73" s="249">
        <f t="shared" si="654"/>
        <v>7103</v>
      </c>
      <c r="BX73" s="792">
        <f t="shared" si="654"/>
        <v>7199</v>
      </c>
      <c r="BY73" s="792">
        <f t="shared" si="654"/>
        <v>6973</v>
      </c>
      <c r="BZ73" s="792">
        <f t="shared" si="654"/>
        <v>6830</v>
      </c>
      <c r="CA73" s="793">
        <f t="shared" si="654"/>
        <v>7626</v>
      </c>
      <c r="CB73" s="792">
        <f t="shared" si="654"/>
        <v>7733</v>
      </c>
      <c r="CC73" s="792">
        <f t="shared" si="654"/>
        <v>7859</v>
      </c>
      <c r="CD73" s="792">
        <f t="shared" ref="CD73:CI73" si="655">CD70-CD72</f>
        <v>8021</v>
      </c>
      <c r="CE73" s="793">
        <f t="shared" si="655"/>
        <v>8682</v>
      </c>
      <c r="CF73" s="792">
        <f t="shared" si="655"/>
        <v>9132</v>
      </c>
      <c r="CG73" s="792">
        <f t="shared" si="655"/>
        <v>9233</v>
      </c>
      <c r="CH73" s="792">
        <f t="shared" si="655"/>
        <v>9857</v>
      </c>
      <c r="CI73" s="793">
        <f t="shared" si="655"/>
        <v>10554</v>
      </c>
      <c r="CJ73" s="792">
        <f t="shared" ref="CJ73:CP73" si="656">CJ70-CJ72</f>
        <v>11060</v>
      </c>
      <c r="CK73" s="792">
        <f t="shared" si="656"/>
        <v>11819</v>
      </c>
      <c r="CL73" s="792">
        <f t="shared" si="656"/>
        <v>13209</v>
      </c>
      <c r="CM73" s="793">
        <f t="shared" si="656"/>
        <v>14686</v>
      </c>
      <c r="CN73" s="1286">
        <f t="shared" ref="CN73:CO73" si="657">CN70-CN72</f>
        <v>15321</v>
      </c>
      <c r="CO73" s="1286">
        <f t="shared" si="657"/>
        <v>19098</v>
      </c>
      <c r="CP73" s="1286">
        <f t="shared" si="656"/>
        <v>19014</v>
      </c>
      <c r="CQ73" s="793">
        <f t="shared" ref="CQ73:CR73" si="658">CQ70-CQ72</f>
        <v>19431</v>
      </c>
      <c r="CR73" s="1286">
        <f t="shared" si="658"/>
        <v>20723</v>
      </c>
      <c r="CS73" s="1286">
        <f t="shared" ref="CS73:CU73" si="659">CS70-CS72</f>
        <v>21864</v>
      </c>
      <c r="CT73" s="1286">
        <f t="shared" si="659"/>
        <v>22445.584549867883</v>
      </c>
      <c r="CU73" s="793">
        <f t="shared" si="659"/>
        <v>23014.168260993541</v>
      </c>
      <c r="CV73" s="1286">
        <f t="shared" ref="CV73:CY73" si="660">CV70-CV72</f>
        <v>24264.168260993541</v>
      </c>
      <c r="CW73" s="1286">
        <f t="shared" si="660"/>
        <v>25364.168260993541</v>
      </c>
      <c r="CX73" s="1286">
        <f t="shared" si="660"/>
        <v>26464.168260993541</v>
      </c>
      <c r="CY73" s="793">
        <f t="shared" si="660"/>
        <v>27564.168260993541</v>
      </c>
      <c r="CZ73" s="1286">
        <f t="shared" ref="CZ73:DC73" si="661">CZ70-CZ72</f>
        <v>28589.168260993538</v>
      </c>
      <c r="DA73" s="1286">
        <f t="shared" si="661"/>
        <v>29614.168260993538</v>
      </c>
      <c r="DB73" s="1286">
        <f t="shared" si="661"/>
        <v>30639.168260993538</v>
      </c>
      <c r="DC73" s="793">
        <f t="shared" si="661"/>
        <v>31664.168260993538</v>
      </c>
      <c r="DD73" s="786"/>
      <c r="DE73" s="792"/>
      <c r="DF73" s="792"/>
      <c r="DG73" s="792">
        <f>DG70-DG72</f>
        <v>2761.2</v>
      </c>
      <c r="DH73" s="792">
        <f t="shared" ref="DH73:DN73" si="662">DH70-DH72</f>
        <v>3030.8</v>
      </c>
      <c r="DI73" s="792">
        <f t="shared" si="662"/>
        <v>3799.6</v>
      </c>
      <c r="DJ73" s="792">
        <f t="shared" si="662"/>
        <v>4257.6000000000004</v>
      </c>
      <c r="DK73" s="792">
        <f t="shared" si="662"/>
        <v>4704.0999999999995</v>
      </c>
      <c r="DL73" s="792">
        <f t="shared" si="662"/>
        <v>4699.4999999999991</v>
      </c>
      <c r="DM73" s="792">
        <f t="shared" si="662"/>
        <v>4510.5</v>
      </c>
      <c r="DN73" s="792">
        <f t="shared" si="662"/>
        <v>4712.7000000000007</v>
      </c>
      <c r="DO73" s="792">
        <f>DO70-DO72</f>
        <v>4683.8</v>
      </c>
      <c r="DP73" s="792">
        <f>DP70-DP72</f>
        <v>5887.6</v>
      </c>
      <c r="DQ73" s="792">
        <f>DQ70-DQ72</f>
        <v>8279</v>
      </c>
      <c r="DR73" s="792">
        <f>DR70-DR72</f>
        <v>8811</v>
      </c>
      <c r="DS73" s="792">
        <f>DS70-DS72</f>
        <v>7089</v>
      </c>
      <c r="DT73" s="792">
        <f t="shared" ref="DT73:DY73" si="663">DT70-DT72</f>
        <v>6601</v>
      </c>
      <c r="DU73" s="1286">
        <f t="shared" si="663"/>
        <v>7555</v>
      </c>
      <c r="DV73" s="1286">
        <f t="shared" si="663"/>
        <v>7103</v>
      </c>
      <c r="DW73" s="1286">
        <f t="shared" si="663"/>
        <v>7626</v>
      </c>
      <c r="DX73" s="1286">
        <f t="shared" si="663"/>
        <v>8682</v>
      </c>
      <c r="DY73" s="1286">
        <f t="shared" si="663"/>
        <v>10554</v>
      </c>
      <c r="DZ73" s="1286">
        <f>DZ70-DZ72</f>
        <v>14686</v>
      </c>
      <c r="EA73" s="792">
        <f>EA70-EA72</f>
        <v>19431</v>
      </c>
      <c r="EB73" s="1286">
        <f>EB70-EB72</f>
        <v>23014.168260993541</v>
      </c>
      <c r="EC73" s="1286">
        <f>EC70-EC72</f>
        <v>27564.168260993541</v>
      </c>
      <c r="ED73" s="1286">
        <f>ED70-ED72</f>
        <v>31664.168260993538</v>
      </c>
      <c r="EE73" s="18"/>
      <c r="EF73" s="250"/>
      <c r="EG73" s="248"/>
      <c r="EH73" s="248">
        <f t="shared" ref="EH73:EO73" si="664">EH70-EH72</f>
        <v>2855.0999999999995</v>
      </c>
      <c r="EI73" s="248">
        <f t="shared" si="664"/>
        <v>3602.2999999999997</v>
      </c>
      <c r="EJ73" s="248">
        <f t="shared" si="664"/>
        <v>3828.7</v>
      </c>
      <c r="EK73" s="248">
        <f t="shared" si="664"/>
        <v>4508.5</v>
      </c>
      <c r="EL73" s="248">
        <f t="shared" si="664"/>
        <v>4570.6000000000004</v>
      </c>
      <c r="EM73" s="248">
        <f t="shared" si="664"/>
        <v>4882.3999999999996</v>
      </c>
      <c r="EN73" s="248">
        <f t="shared" si="664"/>
        <v>4543.4000000000005</v>
      </c>
      <c r="EO73" s="248">
        <f t="shared" si="664"/>
        <v>4806.3</v>
      </c>
      <c r="EP73" s="248">
        <f t="shared" ref="EP73:EY73" si="665">EP70-EP72</f>
        <v>4676.5999999999995</v>
      </c>
      <c r="EQ73" s="248">
        <f t="shared" si="665"/>
        <v>7010</v>
      </c>
      <c r="ER73" s="248">
        <f t="shared" si="665"/>
        <v>8576</v>
      </c>
      <c r="ES73" s="248">
        <f t="shared" si="665"/>
        <v>8460</v>
      </c>
      <c r="ET73" s="248">
        <f t="shared" si="665"/>
        <v>6876</v>
      </c>
      <c r="EU73" s="248">
        <f t="shared" si="665"/>
        <v>7044</v>
      </c>
      <c r="EV73" s="248">
        <f t="shared" si="665"/>
        <v>7472</v>
      </c>
      <c r="EW73" s="248">
        <f t="shared" si="665"/>
        <v>7199</v>
      </c>
      <c r="EX73" s="248">
        <f t="shared" si="665"/>
        <v>7733</v>
      </c>
      <c r="EY73" s="248">
        <f t="shared" si="665"/>
        <v>9132</v>
      </c>
      <c r="EZ73" s="248">
        <f t="shared" ref="EZ73:FA73" si="666">EZ70-EZ72</f>
        <v>11060</v>
      </c>
      <c r="FA73" s="248">
        <f t="shared" si="666"/>
        <v>15321</v>
      </c>
      <c r="FB73" s="248">
        <f t="shared" ref="FB73:FC73" si="667">FB70-FB72</f>
        <v>20723</v>
      </c>
      <c r="FC73" s="248">
        <f t="shared" si="667"/>
        <v>24264.168260993541</v>
      </c>
      <c r="FD73" s="249">
        <f t="shared" ref="FD73" si="668">FD70-FD72</f>
        <v>28589.168260993538</v>
      </c>
    </row>
    <row r="74" spans="1:172" ht="14.25" customHeight="1">
      <c r="A74" s="7"/>
      <c r="B74" s="59"/>
      <c r="C74" s="13"/>
      <c r="D74" s="228"/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  <c r="U74" s="228"/>
      <c r="V74" s="228"/>
      <c r="W74" s="228"/>
      <c r="X74" s="228"/>
      <c r="Y74" s="228"/>
      <c r="Z74" s="228"/>
      <c r="AA74" s="228"/>
      <c r="AB74" s="228"/>
      <c r="AC74" s="228"/>
      <c r="AD74" s="228"/>
      <c r="AE74" s="228"/>
      <c r="AF74" s="228"/>
      <c r="AG74" s="228"/>
      <c r="AH74" s="228"/>
      <c r="AI74" s="228"/>
      <c r="AJ74" s="228"/>
      <c r="AK74" s="228"/>
      <c r="AL74" s="228"/>
      <c r="AM74" s="228"/>
      <c r="AN74" s="228"/>
      <c r="AO74" s="228"/>
      <c r="AP74" s="228"/>
      <c r="AQ74" s="228"/>
      <c r="AR74" s="228"/>
      <c r="AS74" s="228"/>
      <c r="AT74" s="228"/>
      <c r="AU74" s="228"/>
      <c r="AV74" s="228"/>
      <c r="AW74" s="228"/>
      <c r="AX74" s="228"/>
      <c r="AY74" s="228"/>
      <c r="AZ74" s="228"/>
      <c r="BA74" s="228"/>
      <c r="BB74" s="228"/>
      <c r="BC74" s="228"/>
      <c r="BD74" s="228"/>
      <c r="BE74" s="228"/>
      <c r="BF74" s="228"/>
      <c r="BG74" s="228"/>
      <c r="BH74" s="228"/>
      <c r="BI74" s="228"/>
      <c r="BJ74" s="228"/>
      <c r="BK74" s="228"/>
      <c r="BL74" s="228"/>
      <c r="BM74" s="228"/>
      <c r="BN74" s="228"/>
      <c r="BO74" s="228"/>
      <c r="BP74" s="228"/>
      <c r="BQ74" s="228"/>
      <c r="BR74" s="228"/>
      <c r="BS74" s="228"/>
      <c r="BT74" s="228"/>
      <c r="BU74" s="228"/>
      <c r="BV74" s="228"/>
      <c r="BW74" s="228"/>
      <c r="BX74" s="228"/>
      <c r="BY74" s="228"/>
      <c r="BZ74" s="228"/>
      <c r="CA74" s="228"/>
      <c r="CB74" s="228"/>
      <c r="CC74" s="228"/>
      <c r="CD74" s="228"/>
      <c r="CE74" s="228"/>
      <c r="CF74" s="228"/>
      <c r="CG74" s="228"/>
      <c r="CH74" s="228"/>
      <c r="CI74" s="228"/>
      <c r="CJ74" s="228"/>
      <c r="CK74" s="228"/>
      <c r="CL74" s="228"/>
      <c r="CM74" s="228"/>
      <c r="CN74" s="1252"/>
      <c r="CO74" s="1252"/>
      <c r="CP74" s="228"/>
      <c r="CQ74" s="1330"/>
      <c r="CR74" s="1330"/>
      <c r="CS74" s="1330"/>
      <c r="CT74" s="1330"/>
      <c r="CU74" s="1330"/>
      <c r="CV74" s="1330"/>
      <c r="CW74" s="1330"/>
      <c r="CX74" s="1330"/>
      <c r="CY74" s="1330"/>
      <c r="CZ74" s="1330"/>
      <c r="DA74" s="1330"/>
      <c r="DB74" s="1330"/>
      <c r="DC74" s="1330"/>
      <c r="DD74" s="13"/>
      <c r="DE74" s="251"/>
      <c r="DF74" s="251"/>
      <c r="DG74" s="251"/>
      <c r="DH74" s="251"/>
      <c r="DI74" s="251"/>
      <c r="DJ74" s="251"/>
      <c r="DK74" s="251"/>
      <c r="DL74" s="251"/>
      <c r="DM74" s="251"/>
      <c r="DN74" s="251"/>
      <c r="DO74" s="251"/>
      <c r="DP74" s="251"/>
      <c r="DQ74" s="251"/>
      <c r="DR74" s="251"/>
      <c r="DS74" s="228"/>
      <c r="DT74" s="228"/>
      <c r="DU74" s="251"/>
      <c r="DV74" s="251"/>
      <c r="DW74" s="251"/>
      <c r="DX74" s="251"/>
      <c r="DY74" s="251"/>
      <c r="DZ74" s="251"/>
      <c r="EA74" s="228"/>
      <c r="EB74" s="1330"/>
      <c r="EC74" s="1330"/>
      <c r="ED74" s="1330"/>
      <c r="EE74" s="7"/>
      <c r="EF74" s="251"/>
      <c r="EG74" s="251"/>
      <c r="EH74" s="251"/>
      <c r="EI74" s="251"/>
      <c r="EJ74" s="251"/>
      <c r="EK74" s="251"/>
      <c r="EL74" s="251"/>
      <c r="EM74" s="251"/>
      <c r="EN74" s="251"/>
      <c r="EO74" s="251"/>
      <c r="EP74" s="251"/>
      <c r="EQ74" s="251"/>
      <c r="ER74" s="251"/>
      <c r="ES74" s="228"/>
      <c r="ET74" s="1330"/>
      <c r="EU74" s="1330"/>
      <c r="EV74" s="228"/>
      <c r="EW74" s="228"/>
      <c r="EX74" s="1330"/>
      <c r="EY74" s="1330"/>
      <c r="EZ74" s="1330"/>
      <c r="FA74" s="1330"/>
      <c r="FB74" s="1330"/>
      <c r="FC74" s="1330"/>
      <c r="FD74" s="1330"/>
    </row>
    <row r="75" spans="1:172" ht="14.25" customHeight="1">
      <c r="A75" s="7"/>
      <c r="B75" s="63" t="s">
        <v>316</v>
      </c>
      <c r="C75" s="215"/>
      <c r="D75" s="151"/>
      <c r="E75" s="149"/>
      <c r="F75" s="149"/>
      <c r="G75" s="152"/>
      <c r="H75" s="151"/>
      <c r="I75" s="149"/>
      <c r="J75" s="149"/>
      <c r="K75" s="152"/>
      <c r="L75" s="151">
        <f>BS!L17</f>
        <v>2740.1</v>
      </c>
      <c r="M75" s="149">
        <f>BS!M17</f>
        <v>2715.4</v>
      </c>
      <c r="N75" s="149">
        <f>BS!N17</f>
        <v>2713</v>
      </c>
      <c r="O75" s="152">
        <f>BS!O17</f>
        <v>2761.2</v>
      </c>
      <c r="P75" s="151">
        <f>BS!P17</f>
        <v>2855.1</v>
      </c>
      <c r="Q75" s="149">
        <f>BS!Q17</f>
        <v>2848.3</v>
      </c>
      <c r="R75" s="149">
        <f>BS!R17</f>
        <v>2995.8</v>
      </c>
      <c r="S75" s="152">
        <f>BS!S17</f>
        <v>3030.8</v>
      </c>
      <c r="T75" s="151">
        <f>BS!T17</f>
        <v>3602.3</v>
      </c>
      <c r="U75" s="149">
        <f>BS!U17</f>
        <v>3581.6</v>
      </c>
      <c r="V75" s="149">
        <f>BS!V17</f>
        <v>3644.5</v>
      </c>
      <c r="W75" s="152">
        <f>BS!W17</f>
        <v>3799.6</v>
      </c>
      <c r="X75" s="151">
        <f>BS!X17</f>
        <v>3828.7</v>
      </c>
      <c r="Y75" s="149">
        <f>BS!Y17</f>
        <v>3926.9</v>
      </c>
      <c r="Z75" s="149">
        <f>BS!Z17</f>
        <v>4055.6</v>
      </c>
      <c r="AA75" s="152">
        <f>BS!AA17</f>
        <v>4257.6000000000004</v>
      </c>
      <c r="AB75" s="151">
        <f>BS!AB17</f>
        <v>4508.5</v>
      </c>
      <c r="AC75" s="149">
        <f>BS!AC17</f>
        <v>4588.6000000000004</v>
      </c>
      <c r="AD75" s="149">
        <f>BS!AD17</f>
        <v>4802.3999999999996</v>
      </c>
      <c r="AE75" s="152">
        <f>BS!AE17</f>
        <v>4704.1000000000004</v>
      </c>
      <c r="AF75" s="151">
        <f>BS!AF17</f>
        <v>4570.6000000000004</v>
      </c>
      <c r="AG75" s="149">
        <f>BS!AG17</f>
        <v>4429.7</v>
      </c>
      <c r="AH75" s="149">
        <f>BS!AH17</f>
        <v>4706.2</v>
      </c>
      <c r="AI75" s="152">
        <f>BS!AI17</f>
        <v>4699.5</v>
      </c>
      <c r="AJ75" s="151">
        <f>BS!AJ17</f>
        <v>4882.3999999999996</v>
      </c>
      <c r="AK75" s="149">
        <f>BS!AK17</f>
        <v>4653.2</v>
      </c>
      <c r="AL75" s="149">
        <f>BS!AL17</f>
        <v>4576.2</v>
      </c>
      <c r="AM75" s="152">
        <f>BS!AM17</f>
        <v>4510.5</v>
      </c>
      <c r="AN75" s="151">
        <f>BS!AN17</f>
        <v>4543.3999999999996</v>
      </c>
      <c r="AO75" s="149">
        <f>BS!AO17</f>
        <v>4535.8999999999996</v>
      </c>
      <c r="AP75" s="149">
        <f>BS!AP17</f>
        <v>4613</v>
      </c>
      <c r="AQ75" s="152">
        <f>BS!AQ17</f>
        <v>4712.7</v>
      </c>
      <c r="AR75" s="151">
        <f>BS!AR17</f>
        <v>4806.3</v>
      </c>
      <c r="AS75" s="149">
        <f>BS!AS17</f>
        <v>4791.7</v>
      </c>
      <c r="AT75" s="149">
        <f>BS!AT17</f>
        <v>4770.8999999999996</v>
      </c>
      <c r="AU75" s="152">
        <f>BS!AU17</f>
        <v>4683.8</v>
      </c>
      <c r="AV75" s="151">
        <f>BS!AV17</f>
        <v>4676.6000000000004</v>
      </c>
      <c r="AW75" s="149">
        <f>BS!AW17</f>
        <v>4711.8999999999996</v>
      </c>
      <c r="AX75" s="149">
        <f>BS!AX17</f>
        <v>5438.1</v>
      </c>
      <c r="AY75" s="152">
        <f>BS!AY17</f>
        <v>5887.6</v>
      </c>
      <c r="AZ75" s="151">
        <f>BS!AZ17</f>
        <v>7010</v>
      </c>
      <c r="BA75" s="149">
        <f>BS!BA17</f>
        <v>7593</v>
      </c>
      <c r="BB75" s="149">
        <f>BS!BB17</f>
        <v>7866</v>
      </c>
      <c r="BC75" s="152">
        <f>BS!BC17</f>
        <v>8279</v>
      </c>
      <c r="BD75" s="151">
        <f>BS!BD17</f>
        <v>8576</v>
      </c>
      <c r="BE75" s="149">
        <f>BS!BE17</f>
        <v>8634</v>
      </c>
      <c r="BF75" s="149">
        <f>BS!BF17</f>
        <v>8721</v>
      </c>
      <c r="BG75" s="152">
        <f>BS!BG17</f>
        <v>8811</v>
      </c>
      <c r="BH75" s="151">
        <f>BS!BH17</f>
        <v>8460</v>
      </c>
      <c r="BI75" s="149">
        <f>BS!BI17</f>
        <v>7910</v>
      </c>
      <c r="BJ75" s="149">
        <f>BS!BJ17</f>
        <v>7536</v>
      </c>
      <c r="BK75" s="152">
        <f>BS!BK17</f>
        <v>7089</v>
      </c>
      <c r="BL75" s="151">
        <f>BS!BL17</f>
        <v>6876</v>
      </c>
      <c r="BM75" s="149">
        <f>BS!BM17</f>
        <v>6525</v>
      </c>
      <c r="BN75" s="149">
        <f>BS!BN17</f>
        <v>6635</v>
      </c>
      <c r="BO75" s="152">
        <f>BS!BO17</f>
        <v>6601</v>
      </c>
      <c r="BP75" s="151">
        <f>BS!BP17</f>
        <v>7044</v>
      </c>
      <c r="BQ75" s="149">
        <f>BS!BQ17</f>
        <v>7055</v>
      </c>
      <c r="BR75" s="149">
        <f>BS!BR17</f>
        <v>7103</v>
      </c>
      <c r="BS75" s="152">
        <f>BS!BS17</f>
        <v>7555</v>
      </c>
      <c r="BT75" s="151">
        <f>BS!BT17</f>
        <v>7472</v>
      </c>
      <c r="BU75" s="149">
        <f>BS!BU17</f>
        <v>7357</v>
      </c>
      <c r="BV75" s="149">
        <f>BS!BV17</f>
        <v>7158</v>
      </c>
      <c r="BW75" s="150">
        <f>BS!BW17</f>
        <v>7103</v>
      </c>
      <c r="BX75" s="151">
        <f>BS!BX17</f>
        <v>7199</v>
      </c>
      <c r="BY75" s="149">
        <f>BS!BY17</f>
        <v>6973</v>
      </c>
      <c r="BZ75" s="149">
        <f>BS!BZ17</f>
        <v>6830</v>
      </c>
      <c r="CA75" s="150">
        <f>BS!CA17</f>
        <v>7626</v>
      </c>
      <c r="CB75" s="151">
        <f>BS!CB17</f>
        <v>7733</v>
      </c>
      <c r="CC75" s="149">
        <f>BS!CC17</f>
        <v>7859</v>
      </c>
      <c r="CD75" s="149">
        <f>BS!CD17</f>
        <v>8021</v>
      </c>
      <c r="CE75" s="150">
        <f>BS!CE17</f>
        <v>8682</v>
      </c>
      <c r="CF75" s="151">
        <f>BS!CF17</f>
        <v>9132</v>
      </c>
      <c r="CG75" s="149">
        <f>BS!CG17</f>
        <v>9233</v>
      </c>
      <c r="CH75" s="149">
        <f>BS!CH17</f>
        <v>9857</v>
      </c>
      <c r="CI75" s="150">
        <f>BS!CI17</f>
        <v>10554</v>
      </c>
      <c r="CJ75" s="151">
        <f>BS!CJ17</f>
        <v>11060</v>
      </c>
      <c r="CK75" s="149">
        <f>BS!CK17</f>
        <v>11819</v>
      </c>
      <c r="CL75" s="149">
        <f>BS!CL17</f>
        <v>13209</v>
      </c>
      <c r="CM75" s="150">
        <f>BS!CM17</f>
        <v>14686</v>
      </c>
      <c r="CN75" s="1247">
        <f>BS!CN17</f>
        <v>15321</v>
      </c>
      <c r="CO75" s="1246">
        <f>BS!CO17</f>
        <v>19098</v>
      </c>
      <c r="CP75" s="149">
        <f>BS!CP17</f>
        <v>19014</v>
      </c>
      <c r="CQ75" s="150">
        <f>BS!CQ17</f>
        <v>19431</v>
      </c>
      <c r="CR75" s="1247">
        <f>BS!CR17</f>
        <v>20723</v>
      </c>
      <c r="CS75" s="1246">
        <f>BS!CS17</f>
        <v>21864</v>
      </c>
      <c r="CT75" s="1246">
        <f>BS!CT17</f>
        <v>22445.584549867883</v>
      </c>
      <c r="CU75" s="150">
        <f>BS!CU17</f>
        <v>23014.168260993541</v>
      </c>
      <c r="CV75" s="1247">
        <f>BS!CV17</f>
        <v>24264.168260993541</v>
      </c>
      <c r="CW75" s="1246">
        <f>BS!CW17</f>
        <v>25364.168260993541</v>
      </c>
      <c r="CX75" s="1246">
        <f>BS!CX17</f>
        <v>26464.168260993541</v>
      </c>
      <c r="CY75" s="150">
        <f>BS!CY17</f>
        <v>27564.168260993541</v>
      </c>
      <c r="CZ75" s="1247">
        <f>BS!CZ17</f>
        <v>28589.168260993538</v>
      </c>
      <c r="DA75" s="1246">
        <f>BS!DA17</f>
        <v>29614.168260993538</v>
      </c>
      <c r="DB75" s="1246">
        <f>BS!DB17</f>
        <v>30639.168260993538</v>
      </c>
      <c r="DC75" s="150">
        <f>BS!DC17</f>
        <v>31664.168260993538</v>
      </c>
      <c r="DD75" s="153"/>
      <c r="DE75" s="149"/>
      <c r="DF75" s="149"/>
      <c r="DG75" s="149">
        <f>BS!DG17</f>
        <v>2761.2</v>
      </c>
      <c r="DH75" s="149">
        <f>BS!DH17</f>
        <v>3030.8</v>
      </c>
      <c r="DI75" s="149">
        <f>BS!DI17</f>
        <v>3799.6</v>
      </c>
      <c r="DJ75" s="149">
        <f>BS!DJ17</f>
        <v>4257.6000000000004</v>
      </c>
      <c r="DK75" s="149">
        <f>BS!DK17</f>
        <v>4704.1000000000004</v>
      </c>
      <c r="DL75" s="149">
        <f>BS!DL17</f>
        <v>4699.5</v>
      </c>
      <c r="DM75" s="149">
        <f>BS!DM17</f>
        <v>4510.5</v>
      </c>
      <c r="DN75" s="149">
        <f>BS!DN17</f>
        <v>4712.7</v>
      </c>
      <c r="DO75" s="149">
        <f>BS!DO17</f>
        <v>4683.8</v>
      </c>
      <c r="DP75" s="149">
        <f>BS!DP17</f>
        <v>5887.6</v>
      </c>
      <c r="DQ75" s="149">
        <f>BS!DQ17</f>
        <v>8279</v>
      </c>
      <c r="DR75" s="149">
        <f>BS!DR17</f>
        <v>8811</v>
      </c>
      <c r="DS75" s="149">
        <f>BS!DS17</f>
        <v>7089</v>
      </c>
      <c r="DT75" s="149">
        <f>BS!DT17</f>
        <v>6601</v>
      </c>
      <c r="DU75" s="1246">
        <f>BS!DU17</f>
        <v>7555</v>
      </c>
      <c r="DV75" s="1246">
        <f>BS!DV17</f>
        <v>7103</v>
      </c>
      <c r="DW75" s="1246">
        <f>BS!DW17</f>
        <v>7626</v>
      </c>
      <c r="DX75" s="1246">
        <f>BS!DX17</f>
        <v>8682</v>
      </c>
      <c r="DY75" s="1246">
        <f>BS!DY17</f>
        <v>10554</v>
      </c>
      <c r="DZ75" s="1246">
        <f>BS!DZ17</f>
        <v>14686</v>
      </c>
      <c r="EA75" s="149">
        <f>BS!EA17</f>
        <v>19431</v>
      </c>
      <c r="EB75" s="1246">
        <f>BS!EB17</f>
        <v>23014.168260993541</v>
      </c>
      <c r="EC75" s="1246">
        <f>BS!EC17</f>
        <v>27564.168260993541</v>
      </c>
      <c r="ED75" s="1246">
        <f>BS!ED17</f>
        <v>31664.168260993538</v>
      </c>
      <c r="EE75" s="18"/>
      <c r="EF75" s="151"/>
      <c r="EG75" s="149"/>
      <c r="EH75" s="149">
        <f>BS!EH17</f>
        <v>2855.1</v>
      </c>
      <c r="EI75" s="149">
        <f>BS!EI17</f>
        <v>3602.3</v>
      </c>
      <c r="EJ75" s="149">
        <f>BS!EJ17</f>
        <v>3828.7</v>
      </c>
      <c r="EK75" s="149">
        <f>BS!EK17</f>
        <v>4508.5</v>
      </c>
      <c r="EL75" s="149">
        <f>BS!EL17</f>
        <v>4570.6000000000004</v>
      </c>
      <c r="EM75" s="149">
        <f>BS!EM17</f>
        <v>4882.3999999999996</v>
      </c>
      <c r="EN75" s="149">
        <f>BS!EN17</f>
        <v>4543.3999999999996</v>
      </c>
      <c r="EO75" s="149">
        <f>BS!EO17</f>
        <v>4806.3</v>
      </c>
      <c r="EP75" s="149">
        <f>BS!EP17</f>
        <v>4676.6000000000004</v>
      </c>
      <c r="EQ75" s="149">
        <f>BS!EQ17</f>
        <v>7010</v>
      </c>
      <c r="ER75" s="149">
        <f>BS!ER17</f>
        <v>8576</v>
      </c>
      <c r="ES75" s="149">
        <f>BS!ES17</f>
        <v>8460</v>
      </c>
      <c r="ET75" s="1246">
        <f>BS!ET17</f>
        <v>6876</v>
      </c>
      <c r="EU75" s="1246">
        <f>BS!EU17</f>
        <v>7044</v>
      </c>
      <c r="EV75" s="149">
        <f>BS!EV17</f>
        <v>7472</v>
      </c>
      <c r="EW75" s="149">
        <f>BS!EW17</f>
        <v>7199</v>
      </c>
      <c r="EX75" s="1246">
        <f>BS!EX17</f>
        <v>7733</v>
      </c>
      <c r="EY75" s="1246">
        <f>BS!EY17</f>
        <v>9132</v>
      </c>
      <c r="EZ75" s="1246">
        <f>BS!EZ17</f>
        <v>11060</v>
      </c>
      <c r="FA75" s="1246">
        <f>BS!FA17</f>
        <v>15321</v>
      </c>
      <c r="FB75" s="1246">
        <f>BS!FB17</f>
        <v>20723</v>
      </c>
      <c r="FC75" s="1246">
        <f>BS!FC17</f>
        <v>24264.168260993541</v>
      </c>
      <c r="FD75" s="152">
        <f>BS!FD17</f>
        <v>28589.168260993538</v>
      </c>
    </row>
    <row r="76" spans="1:172" ht="14.25" customHeight="1">
      <c r="A76" s="7"/>
      <c r="B76" s="120" t="s">
        <v>297</v>
      </c>
      <c r="C76" s="121"/>
      <c r="D76" s="122"/>
      <c r="E76" s="122"/>
      <c r="F76" s="154"/>
      <c r="G76" s="122"/>
      <c r="H76" s="122"/>
      <c r="I76" s="122"/>
      <c r="J76" s="154"/>
      <c r="K76" s="122"/>
      <c r="L76" s="122">
        <f t="shared" ref="L76:AY76" si="669">IF(ROUND(L75,4)=ROUND(L73,4),0,(L75-L73))</f>
        <v>0</v>
      </c>
      <c r="M76" s="122">
        <f t="shared" si="669"/>
        <v>0</v>
      </c>
      <c r="N76" s="154">
        <f t="shared" si="669"/>
        <v>0</v>
      </c>
      <c r="O76" s="122">
        <f t="shared" si="669"/>
        <v>0</v>
      </c>
      <c r="P76" s="122">
        <f t="shared" si="669"/>
        <v>0</v>
      </c>
      <c r="Q76" s="122">
        <f t="shared" si="669"/>
        <v>0</v>
      </c>
      <c r="R76" s="154">
        <f t="shared" si="669"/>
        <v>0</v>
      </c>
      <c r="S76" s="122">
        <f t="shared" si="669"/>
        <v>0</v>
      </c>
      <c r="T76" s="122">
        <f t="shared" si="669"/>
        <v>0</v>
      </c>
      <c r="U76" s="122">
        <f t="shared" si="669"/>
        <v>0</v>
      </c>
      <c r="V76" s="154">
        <f t="shared" si="669"/>
        <v>0</v>
      </c>
      <c r="W76" s="122">
        <f t="shared" si="669"/>
        <v>0</v>
      </c>
      <c r="X76" s="122">
        <f t="shared" si="669"/>
        <v>0</v>
      </c>
      <c r="Y76" s="122">
        <f t="shared" si="669"/>
        <v>0</v>
      </c>
      <c r="Z76" s="154">
        <f t="shared" si="669"/>
        <v>0</v>
      </c>
      <c r="AA76" s="122">
        <f t="shared" si="669"/>
        <v>0</v>
      </c>
      <c r="AB76" s="122">
        <f t="shared" si="669"/>
        <v>0</v>
      </c>
      <c r="AC76" s="122">
        <f t="shared" si="669"/>
        <v>0</v>
      </c>
      <c r="AD76" s="154">
        <f t="shared" si="669"/>
        <v>0</v>
      </c>
      <c r="AE76" s="122">
        <f t="shared" si="669"/>
        <v>0</v>
      </c>
      <c r="AF76" s="122">
        <f t="shared" si="669"/>
        <v>0</v>
      </c>
      <c r="AG76" s="122">
        <f t="shared" si="669"/>
        <v>0</v>
      </c>
      <c r="AH76" s="154">
        <f t="shared" si="669"/>
        <v>0</v>
      </c>
      <c r="AI76" s="122">
        <f t="shared" si="669"/>
        <v>0</v>
      </c>
      <c r="AJ76" s="122">
        <f t="shared" si="669"/>
        <v>0</v>
      </c>
      <c r="AK76" s="122">
        <f t="shared" si="669"/>
        <v>0</v>
      </c>
      <c r="AL76" s="154">
        <f t="shared" si="669"/>
        <v>0</v>
      </c>
      <c r="AM76" s="122">
        <f t="shared" si="669"/>
        <v>0</v>
      </c>
      <c r="AN76" s="122">
        <f t="shared" si="669"/>
        <v>0</v>
      </c>
      <c r="AO76" s="122">
        <f t="shared" si="669"/>
        <v>0</v>
      </c>
      <c r="AP76" s="154">
        <f t="shared" si="669"/>
        <v>0</v>
      </c>
      <c r="AQ76" s="122">
        <f t="shared" si="669"/>
        <v>0</v>
      </c>
      <c r="AR76" s="122">
        <f t="shared" si="669"/>
        <v>0</v>
      </c>
      <c r="AS76" s="122">
        <f t="shared" si="669"/>
        <v>0</v>
      </c>
      <c r="AT76" s="154">
        <f t="shared" si="669"/>
        <v>0</v>
      </c>
      <c r="AU76" s="122">
        <f t="shared" si="669"/>
        <v>0</v>
      </c>
      <c r="AV76" s="122">
        <f t="shared" si="669"/>
        <v>0</v>
      </c>
      <c r="AW76" s="122">
        <f t="shared" si="669"/>
        <v>0</v>
      </c>
      <c r="AX76" s="154">
        <f t="shared" si="669"/>
        <v>0</v>
      </c>
      <c r="AY76" s="122">
        <f t="shared" si="669"/>
        <v>0</v>
      </c>
      <c r="AZ76" s="122">
        <f>IF(ROUND(AZ75,4)=ROUND(AZ73,4),0,(AZ75-AZ73))</f>
        <v>0</v>
      </c>
      <c r="BA76" s="122">
        <f>IF(ROUND(BA75,4)=ROUND(BA73,4),0,(BA75-BA73))</f>
        <v>0</v>
      </c>
      <c r="BB76" s="154">
        <f>IF(ROUND(BB75,4)=ROUND(BB73,4),0,(BB75-BB73))</f>
        <v>0</v>
      </c>
      <c r="BC76" s="122">
        <f>IF(ROUND(BC75,4)=ROUND(BC73,4),0,(BC75-BC73))</f>
        <v>0</v>
      </c>
      <c r="BD76" s="122">
        <f t="shared" ref="BD76:BO76" si="670">IF(ROUND(BD75,4)=ROUND(BD73,4),0,(BD75-BD73))</f>
        <v>0</v>
      </c>
      <c r="BE76" s="122">
        <f t="shared" si="670"/>
        <v>0</v>
      </c>
      <c r="BF76" s="154">
        <f t="shared" si="670"/>
        <v>0</v>
      </c>
      <c r="BG76" s="122">
        <f t="shared" si="670"/>
        <v>0</v>
      </c>
      <c r="BH76" s="122">
        <f t="shared" si="670"/>
        <v>0</v>
      </c>
      <c r="BI76" s="122">
        <f t="shared" si="670"/>
        <v>0</v>
      </c>
      <c r="BJ76" s="154">
        <f t="shared" si="670"/>
        <v>0</v>
      </c>
      <c r="BK76" s="122">
        <f t="shared" si="670"/>
        <v>0</v>
      </c>
      <c r="BL76" s="122">
        <f t="shared" si="670"/>
        <v>0</v>
      </c>
      <c r="BM76" s="122">
        <f t="shared" si="670"/>
        <v>0</v>
      </c>
      <c r="BN76" s="154">
        <f t="shared" si="670"/>
        <v>0</v>
      </c>
      <c r="BO76" s="122">
        <f t="shared" si="670"/>
        <v>0</v>
      </c>
      <c r="BP76" s="122">
        <f t="shared" ref="BP76:CC76" si="671">IF(ROUND(BP75,4)=ROUND(BP73,4),0,(BP75-BP73))</f>
        <v>0</v>
      </c>
      <c r="BQ76" s="122">
        <f t="shared" si="671"/>
        <v>0</v>
      </c>
      <c r="BR76" s="154">
        <f t="shared" si="671"/>
        <v>0</v>
      </c>
      <c r="BS76" s="122">
        <f t="shared" si="671"/>
        <v>0</v>
      </c>
      <c r="BT76" s="122">
        <f t="shared" si="671"/>
        <v>0</v>
      </c>
      <c r="BU76" s="122">
        <f t="shared" si="671"/>
        <v>0</v>
      </c>
      <c r="BV76" s="154">
        <f t="shared" si="671"/>
        <v>0</v>
      </c>
      <c r="BW76" s="123">
        <f t="shared" si="671"/>
        <v>0</v>
      </c>
      <c r="BX76" s="122">
        <f t="shared" si="671"/>
        <v>0</v>
      </c>
      <c r="BY76" s="122">
        <f t="shared" si="671"/>
        <v>0</v>
      </c>
      <c r="BZ76" s="154">
        <f t="shared" si="671"/>
        <v>0</v>
      </c>
      <c r="CA76" s="123">
        <f t="shared" si="671"/>
        <v>0</v>
      </c>
      <c r="CB76" s="122">
        <f t="shared" si="671"/>
        <v>0</v>
      </c>
      <c r="CC76" s="122">
        <f t="shared" si="671"/>
        <v>0</v>
      </c>
      <c r="CD76" s="154">
        <f t="shared" ref="CD76:CI76" si="672">IF(ROUND(CD75,4)=ROUND(CD73,4),0,(CD75-CD73))</f>
        <v>0</v>
      </c>
      <c r="CE76" s="123">
        <f t="shared" si="672"/>
        <v>0</v>
      </c>
      <c r="CF76" s="122">
        <f t="shared" si="672"/>
        <v>0</v>
      </c>
      <c r="CG76" s="122">
        <f t="shared" si="672"/>
        <v>0</v>
      </c>
      <c r="CH76" s="154">
        <f t="shared" si="672"/>
        <v>0</v>
      </c>
      <c r="CI76" s="123">
        <f t="shared" si="672"/>
        <v>0</v>
      </c>
      <c r="CJ76" s="122">
        <f t="shared" ref="CJ76:CP76" si="673">IF(ROUND(CJ75,4)=ROUND(CJ73,4),0,(CJ75-CJ73))</f>
        <v>0</v>
      </c>
      <c r="CK76" s="122">
        <f t="shared" si="673"/>
        <v>0</v>
      </c>
      <c r="CL76" s="154">
        <f t="shared" si="673"/>
        <v>0</v>
      </c>
      <c r="CM76" s="123">
        <f t="shared" si="673"/>
        <v>0</v>
      </c>
      <c r="CN76" s="1239">
        <f t="shared" ref="CN76:CO76" si="674">IF(ROUND(CN75,4)=ROUND(CN73,4),0,(CN75-CN73))</f>
        <v>0</v>
      </c>
      <c r="CO76" s="1239">
        <f t="shared" si="674"/>
        <v>0</v>
      </c>
      <c r="CP76" s="122">
        <f t="shared" si="673"/>
        <v>0</v>
      </c>
      <c r="CQ76" s="123">
        <f t="shared" ref="CQ76:CR76" si="675">IF(ROUND(CQ75,4)=ROUND(CQ73,4),0,(CQ75-CQ73))</f>
        <v>0</v>
      </c>
      <c r="CR76" s="1239">
        <f t="shared" si="675"/>
        <v>0</v>
      </c>
      <c r="CS76" s="1239">
        <f t="shared" ref="CS76:CU76" si="676">IF(ROUND(CS75,4)=ROUND(CS73,4),0,(CS75-CS73))</f>
        <v>0</v>
      </c>
      <c r="CT76" s="1239">
        <f t="shared" si="676"/>
        <v>0</v>
      </c>
      <c r="CU76" s="123">
        <f t="shared" si="676"/>
        <v>0</v>
      </c>
      <c r="CV76" s="1239">
        <f t="shared" ref="CV76:CY76" si="677">IF(ROUND(CV75,4)=ROUND(CV73,4),0,(CV75-CV73))</f>
        <v>0</v>
      </c>
      <c r="CW76" s="1239">
        <f t="shared" si="677"/>
        <v>0</v>
      </c>
      <c r="CX76" s="1239">
        <f t="shared" si="677"/>
        <v>0</v>
      </c>
      <c r="CY76" s="123">
        <f t="shared" si="677"/>
        <v>0</v>
      </c>
      <c r="CZ76" s="1239">
        <f t="shared" ref="CZ76:DC76" si="678">IF(ROUND(CZ75,4)=ROUND(CZ73,4),0,(CZ75-CZ73))</f>
        <v>0</v>
      </c>
      <c r="DA76" s="1239">
        <f t="shared" si="678"/>
        <v>0</v>
      </c>
      <c r="DB76" s="1239">
        <f t="shared" si="678"/>
        <v>0</v>
      </c>
      <c r="DC76" s="123">
        <f t="shared" si="678"/>
        <v>0</v>
      </c>
      <c r="DD76" s="153"/>
      <c r="DE76" s="122"/>
      <c r="DF76" s="122"/>
      <c r="DG76" s="122">
        <f>IF(ROUND(DG75,4)=ROUND(DG73,4),0,(DG75-DG73))</f>
        <v>0</v>
      </c>
      <c r="DH76" s="122">
        <f t="shared" ref="DH76:DN76" si="679">IF(ROUND(DH75,4)=ROUND(DH73,4),0,(DH75-DH73))</f>
        <v>0</v>
      </c>
      <c r="DI76" s="122">
        <f t="shared" si="679"/>
        <v>0</v>
      </c>
      <c r="DJ76" s="122">
        <f t="shared" si="679"/>
        <v>0</v>
      </c>
      <c r="DK76" s="122">
        <f t="shared" si="679"/>
        <v>0</v>
      </c>
      <c r="DL76" s="122">
        <f t="shared" si="679"/>
        <v>0</v>
      </c>
      <c r="DM76" s="122">
        <f t="shared" si="679"/>
        <v>0</v>
      </c>
      <c r="DN76" s="122">
        <f t="shared" si="679"/>
        <v>0</v>
      </c>
      <c r="DO76" s="122">
        <f>IF(ROUND(DO75,4)=ROUND(DO73,4),0,(DO75-DO73))</f>
        <v>0</v>
      </c>
      <c r="DP76" s="122">
        <f>IF(ROUND(DP75,4)=ROUND(DP73,4),0,(DP75-DP73))</f>
        <v>0</v>
      </c>
      <c r="DQ76" s="122">
        <f>IF(ROUND(DQ75,4)=ROUND(DQ73,4),0,(DQ75-DQ73))</f>
        <v>0</v>
      </c>
      <c r="DR76" s="122">
        <f>IF(ROUND(DR75,4)=ROUND(DR73,4),0,(DR75-DR73))</f>
        <v>0</v>
      </c>
      <c r="DS76" s="122">
        <f>IF(ROUND(DS75,4)=ROUND(DS73,4),0,(DS75-DS73))</f>
        <v>0</v>
      </c>
      <c r="DT76" s="122">
        <f t="shared" ref="DT76:EA76" si="680">IF(ROUND(DT75,4)=ROUND(DT73,4),0,(DT75-DT73))</f>
        <v>0</v>
      </c>
      <c r="DU76" s="1239">
        <f t="shared" si="680"/>
        <v>0</v>
      </c>
      <c r="DV76" s="1239">
        <f t="shared" si="680"/>
        <v>0</v>
      </c>
      <c r="DW76" s="1239">
        <f t="shared" si="680"/>
        <v>0</v>
      </c>
      <c r="DX76" s="1239">
        <f t="shared" si="680"/>
        <v>0</v>
      </c>
      <c r="DY76" s="1239">
        <f t="shared" si="680"/>
        <v>0</v>
      </c>
      <c r="DZ76" s="1239">
        <f t="shared" si="680"/>
        <v>0</v>
      </c>
      <c r="EA76" s="122">
        <f t="shared" si="680"/>
        <v>0</v>
      </c>
      <c r="EB76" s="1239">
        <f t="shared" ref="EB76:EC76" si="681">IF(ROUND(EB75,4)=ROUND(EB73,4),0,(EB75-EB73))</f>
        <v>0</v>
      </c>
      <c r="EC76" s="1239">
        <f t="shared" si="681"/>
        <v>0</v>
      </c>
      <c r="ED76" s="1239">
        <f t="shared" ref="ED76" si="682">IF(ROUND(ED75,4)=ROUND(ED73,4),0,(ED75-ED73))</f>
        <v>0</v>
      </c>
      <c r="EE76" s="18"/>
      <c r="EF76" s="124"/>
      <c r="EG76" s="122"/>
      <c r="EH76" s="122">
        <f t="shared" ref="EH76:EO76" si="683">IF(ROUND(EH75,4)=ROUND(EH73,4),0,(EH75-EH73))</f>
        <v>0</v>
      </c>
      <c r="EI76" s="122">
        <f t="shared" si="683"/>
        <v>0</v>
      </c>
      <c r="EJ76" s="122">
        <f t="shared" si="683"/>
        <v>0</v>
      </c>
      <c r="EK76" s="122">
        <f t="shared" si="683"/>
        <v>0</v>
      </c>
      <c r="EL76" s="122">
        <f t="shared" si="683"/>
        <v>0</v>
      </c>
      <c r="EM76" s="122">
        <f t="shared" si="683"/>
        <v>0</v>
      </c>
      <c r="EN76" s="122">
        <f t="shared" si="683"/>
        <v>0</v>
      </c>
      <c r="EO76" s="122">
        <f t="shared" si="683"/>
        <v>0</v>
      </c>
      <c r="EP76" s="122">
        <f t="shared" ref="EP76:EY76" si="684">IF(ROUND(EP75,4)=ROUND(EP73,4),0,(EP75-EP73))</f>
        <v>0</v>
      </c>
      <c r="EQ76" s="122">
        <f t="shared" si="684"/>
        <v>0</v>
      </c>
      <c r="ER76" s="122">
        <f t="shared" si="684"/>
        <v>0</v>
      </c>
      <c r="ES76" s="122">
        <f t="shared" si="684"/>
        <v>0</v>
      </c>
      <c r="ET76" s="1239">
        <f t="shared" si="684"/>
        <v>0</v>
      </c>
      <c r="EU76" s="1239">
        <f t="shared" si="684"/>
        <v>0</v>
      </c>
      <c r="EV76" s="122">
        <f t="shared" si="684"/>
        <v>0</v>
      </c>
      <c r="EW76" s="122">
        <f t="shared" si="684"/>
        <v>0</v>
      </c>
      <c r="EX76" s="1239">
        <f t="shared" si="684"/>
        <v>0</v>
      </c>
      <c r="EY76" s="1239">
        <f t="shared" si="684"/>
        <v>0</v>
      </c>
      <c r="EZ76" s="1239">
        <f t="shared" ref="EZ76:FA76" si="685">IF(ROUND(EZ75,4)=ROUND(EZ73,4),0,(EZ75-EZ73))</f>
        <v>0</v>
      </c>
      <c r="FA76" s="1239">
        <f t="shared" si="685"/>
        <v>0</v>
      </c>
      <c r="FB76" s="1239">
        <f t="shared" ref="FB76:FC76" si="686">IF(ROUND(FB75,4)=ROUND(FB73,4),0,(FB75-FB73))</f>
        <v>0</v>
      </c>
      <c r="FC76" s="1239">
        <f t="shared" si="686"/>
        <v>0</v>
      </c>
      <c r="FD76" s="123">
        <f t="shared" ref="FD76" si="687">IF(ROUND(FD75,4)=ROUND(FD73,4),0,(FD75-FD73))</f>
        <v>0</v>
      </c>
    </row>
    <row r="77" spans="1:172" ht="14.25" customHeight="1">
      <c r="A77" s="7"/>
      <c r="B77" s="59"/>
      <c r="C77" s="13"/>
      <c r="D77" s="253"/>
      <c r="E77" s="253"/>
      <c r="F77" s="253"/>
      <c r="G77" s="252"/>
      <c r="H77" s="253"/>
      <c r="I77" s="253"/>
      <c r="J77" s="253"/>
      <c r="K77" s="252"/>
      <c r="L77" s="253"/>
      <c r="M77" s="253"/>
      <c r="N77" s="253"/>
      <c r="O77" s="252"/>
      <c r="P77" s="253"/>
      <c r="Q77" s="253"/>
      <c r="R77" s="253"/>
      <c r="S77" s="252"/>
      <c r="T77" s="253"/>
      <c r="U77" s="253"/>
      <c r="V77" s="253"/>
      <c r="W77" s="252"/>
      <c r="X77" s="253"/>
      <c r="Y77" s="253"/>
      <c r="Z77" s="253"/>
      <c r="AA77" s="252"/>
      <c r="AB77" s="253"/>
      <c r="AC77" s="253"/>
      <c r="AD77" s="253"/>
      <c r="AE77" s="252"/>
      <c r="AF77" s="253"/>
      <c r="AG77" s="253"/>
      <c r="AH77" s="253"/>
      <c r="AI77" s="252"/>
      <c r="AJ77" s="253"/>
      <c r="AK77" s="253"/>
      <c r="AL77" s="253"/>
      <c r="AM77" s="252"/>
      <c r="AN77" s="253"/>
      <c r="AO77" s="253"/>
      <c r="AP77" s="253"/>
      <c r="AQ77" s="252"/>
      <c r="AR77" s="253"/>
      <c r="AS77" s="253"/>
      <c r="AT77" s="253"/>
      <c r="AU77" s="252"/>
      <c r="AV77" s="253"/>
      <c r="AW77" s="253"/>
      <c r="AX77" s="253"/>
      <c r="AY77" s="384"/>
      <c r="AZ77" s="253"/>
      <c r="BA77" s="253"/>
      <c r="BB77" s="253"/>
      <c r="BC77" s="252"/>
      <c r="BD77" s="253"/>
      <c r="BE77" s="253"/>
      <c r="BF77" s="253"/>
      <c r="BG77" s="252"/>
      <c r="BH77" s="253"/>
      <c r="BI77" s="253"/>
      <c r="BJ77" s="253"/>
      <c r="BK77" s="252"/>
      <c r="BL77" s="253"/>
      <c r="BM77" s="253"/>
      <c r="BN77" s="253"/>
      <c r="BO77" s="252"/>
      <c r="BP77" s="253"/>
      <c r="BQ77" s="253"/>
      <c r="BR77" s="253"/>
      <c r="BS77" s="252"/>
      <c r="BT77" s="253"/>
      <c r="BU77" s="254"/>
      <c r="BV77" s="253"/>
      <c r="BW77" s="254"/>
      <c r="BX77" s="253"/>
      <c r="BY77" s="254"/>
      <c r="BZ77" s="254"/>
      <c r="CA77" s="254"/>
      <c r="CB77" s="254"/>
      <c r="CC77" s="254"/>
      <c r="CD77" s="254"/>
      <c r="CE77" s="254"/>
      <c r="CF77" s="254"/>
      <c r="CG77" s="254"/>
      <c r="CH77" s="254"/>
      <c r="CI77" s="254"/>
      <c r="CJ77" s="254" t="s">
        <v>557</v>
      </c>
      <c r="CK77" s="254"/>
      <c r="CL77" s="254"/>
      <c r="CM77" s="254"/>
      <c r="CN77" s="254" t="s">
        <v>557</v>
      </c>
      <c r="CO77" s="254"/>
      <c r="CP77" s="254"/>
      <c r="CQ77" s="254"/>
      <c r="CR77" s="254"/>
      <c r="CS77" s="254"/>
      <c r="CT77" s="254"/>
      <c r="CU77" s="254"/>
      <c r="CV77" s="254"/>
      <c r="CW77" s="254"/>
      <c r="CX77" s="254"/>
      <c r="CY77" s="254"/>
      <c r="CZ77" s="254"/>
      <c r="DA77" s="254"/>
      <c r="DB77" s="254"/>
      <c r="DC77" s="254"/>
      <c r="DD77" s="7"/>
      <c r="DE77" s="221"/>
      <c r="DF77" s="221"/>
      <c r="DG77" s="221"/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7"/>
      <c r="EF77" s="221"/>
      <c r="EG77" s="221"/>
      <c r="EH77" s="221"/>
      <c r="EI77" s="221"/>
      <c r="EJ77" s="221"/>
      <c r="EK77" s="221"/>
      <c r="EL77" s="221"/>
      <c r="EM77" s="221"/>
      <c r="EN77" s="221"/>
      <c r="EO77" s="221"/>
      <c r="EP77" s="1173"/>
      <c r="EQ77" s="1173"/>
      <c r="ER77" s="1173"/>
      <c r="ES77" s="1173"/>
      <c r="ET77" s="1173"/>
      <c r="EU77" s="1173"/>
      <c r="EV77" s="1173"/>
      <c r="EW77" s="1173"/>
      <c r="EX77" s="1173"/>
      <c r="EY77" s="1173"/>
      <c r="EZ77" s="1173"/>
      <c r="FA77" s="1173"/>
      <c r="FB77" s="1173"/>
      <c r="FC77" s="1173"/>
      <c r="FD77" s="221"/>
    </row>
    <row r="78" spans="1:172" s="1172" customFormat="1" ht="14.25" customHeight="1">
      <c r="A78" s="7"/>
      <c r="B78" s="1175" t="s">
        <v>580</v>
      </c>
      <c r="C78" s="215"/>
      <c r="D78" s="319"/>
      <c r="E78" s="216"/>
      <c r="F78" s="216"/>
      <c r="G78" s="150"/>
      <c r="H78" s="319"/>
      <c r="I78" s="216"/>
      <c r="J78" s="216"/>
      <c r="K78" s="150"/>
      <c r="L78" s="319"/>
      <c r="M78" s="216"/>
      <c r="N78" s="216"/>
      <c r="O78" s="150"/>
      <c r="P78" s="319"/>
      <c r="Q78" s="216"/>
      <c r="R78" s="216"/>
      <c r="S78" s="150"/>
      <c r="T78" s="319"/>
      <c r="U78" s="216"/>
      <c r="V78" s="216"/>
      <c r="W78" s="150"/>
      <c r="X78" s="319"/>
      <c r="Y78" s="216"/>
      <c r="Z78" s="216"/>
      <c r="AA78" s="150"/>
      <c r="AB78" s="319"/>
      <c r="AC78" s="216"/>
      <c r="AD78" s="216"/>
      <c r="AE78" s="150"/>
      <c r="AF78" s="319"/>
      <c r="AG78" s="216"/>
      <c r="AH78" s="216"/>
      <c r="AI78" s="150"/>
      <c r="AJ78" s="319"/>
      <c r="AK78" s="216"/>
      <c r="AL78" s="216"/>
      <c r="AM78" s="150"/>
      <c r="AN78" s="319"/>
      <c r="AO78" s="216"/>
      <c r="AP78" s="216"/>
      <c r="AQ78" s="150"/>
      <c r="AR78" s="319"/>
      <c r="AS78" s="216"/>
      <c r="AT78" s="216"/>
      <c r="AU78" s="150"/>
      <c r="AV78" s="319"/>
      <c r="AW78" s="216"/>
      <c r="AX78" s="216"/>
      <c r="AY78" s="150"/>
      <c r="AZ78" s="319"/>
      <c r="BA78" s="216"/>
      <c r="BB78" s="216"/>
      <c r="BC78" s="150"/>
      <c r="BD78" s="319"/>
      <c r="BE78" s="216"/>
      <c r="BF78" s="216"/>
      <c r="BG78" s="150"/>
      <c r="BH78" s="319"/>
      <c r="BI78" s="216"/>
      <c r="BJ78" s="216"/>
      <c r="BK78" s="150"/>
      <c r="BL78" s="319"/>
      <c r="BM78" s="216"/>
      <c r="BN78" s="216"/>
      <c r="BO78" s="150"/>
      <c r="BP78" s="319"/>
      <c r="BQ78" s="216"/>
      <c r="BR78" s="216"/>
      <c r="BS78" s="150"/>
      <c r="BT78" s="319"/>
      <c r="BU78" s="216"/>
      <c r="BV78" s="216"/>
      <c r="BW78" s="150"/>
      <c r="BX78" s="319"/>
      <c r="BY78" s="216"/>
      <c r="BZ78" s="216"/>
      <c r="CA78" s="150"/>
      <c r="CB78" s="216"/>
      <c r="CC78" s="216"/>
      <c r="CD78" s="216"/>
      <c r="CE78" s="150"/>
      <c r="CF78" s="216"/>
      <c r="CG78" s="216"/>
      <c r="CH78" s="216"/>
      <c r="CI78" s="150"/>
      <c r="CJ78" s="216"/>
      <c r="CK78" s="216"/>
      <c r="CL78" s="216"/>
      <c r="CM78" s="150"/>
      <c r="CN78" s="1249"/>
      <c r="CO78" s="1249"/>
      <c r="CP78" s="216"/>
      <c r="CQ78" s="150"/>
      <c r="CR78" s="1249"/>
      <c r="CS78" s="1249"/>
      <c r="CT78" s="1249"/>
      <c r="CU78" s="150"/>
      <c r="CV78" s="1249"/>
      <c r="CW78" s="1249"/>
      <c r="CX78" s="1249"/>
      <c r="CY78" s="150"/>
      <c r="CZ78" s="1249"/>
      <c r="DA78" s="1249"/>
      <c r="DB78" s="1249"/>
      <c r="DC78" s="150"/>
      <c r="DD78" s="153"/>
      <c r="DE78" s="149"/>
      <c r="DF78" s="149"/>
      <c r="DG78" s="149"/>
      <c r="DH78" s="149"/>
      <c r="DI78" s="149"/>
      <c r="DJ78" s="149"/>
      <c r="DK78" s="149"/>
      <c r="DL78" s="149"/>
      <c r="DM78" s="149"/>
      <c r="DN78" s="149"/>
      <c r="DO78" s="149"/>
      <c r="DP78" s="149"/>
      <c r="DQ78" s="149"/>
      <c r="DR78" s="149"/>
      <c r="DS78" s="149"/>
      <c r="DT78" s="149"/>
      <c r="DU78" s="1246"/>
      <c r="DV78" s="1246"/>
      <c r="DW78" s="1246"/>
      <c r="DX78" s="1246"/>
      <c r="DY78" s="1246"/>
      <c r="DZ78" s="1246"/>
      <c r="EA78" s="1249"/>
      <c r="EB78" s="1249"/>
      <c r="EC78" s="1249"/>
      <c r="ED78" s="1249"/>
      <c r="EE78" s="18"/>
      <c r="EF78" s="319"/>
      <c r="EG78" s="216"/>
      <c r="EH78" s="216"/>
      <c r="EI78" s="216">
        <f>BS!EH100-BS!EI100</f>
        <v>-888.90000000000032</v>
      </c>
      <c r="EJ78" s="216">
        <f>BS!EI100-BS!EJ100</f>
        <v>-328.80000000000109</v>
      </c>
      <c r="EK78" s="216">
        <f>BS!EJ100-BS!EK100</f>
        <v>-881.79999999999927</v>
      </c>
      <c r="EL78" s="216">
        <f>BS!EK100-BS!EL100</f>
        <v>1347.2000000000007</v>
      </c>
      <c r="EM78" s="216">
        <f>BS!EL100-BS!EM100</f>
        <v>1032.2999999999997</v>
      </c>
      <c r="EN78" s="216">
        <f>BS!EM100-BS!EN100</f>
        <v>-523.00000000000034</v>
      </c>
      <c r="EO78" s="216">
        <f>BS!EN100-BS!EO100</f>
        <v>-364.49999999999955</v>
      </c>
      <c r="EP78" s="216">
        <f>BS!EO100-BS!EP100</f>
        <v>-289.70000000000027</v>
      </c>
      <c r="EQ78" s="216">
        <f>BS!EP100-BS!EQ100</f>
        <v>-976.19999999999982</v>
      </c>
      <c r="ER78" s="216">
        <f>BS!EQ100-BS!ER100</f>
        <v>6</v>
      </c>
      <c r="ES78" s="216">
        <f>BS!ER100-BS!ES100</f>
        <v>1144</v>
      </c>
      <c r="ET78" s="1249">
        <f>BS!ES100-BS!ET100</f>
        <v>-208</v>
      </c>
      <c r="EU78" s="1249">
        <f>BS!ET100-BS!EU100</f>
        <v>-1348</v>
      </c>
      <c r="EV78" s="216">
        <f>BS!EU100-BS!EV100</f>
        <v>-123</v>
      </c>
      <c r="EW78" s="216">
        <f>BS!EV100-BS!EW100</f>
        <v>439</v>
      </c>
      <c r="EX78" s="1249">
        <f>BS!EW100-BS!EX100</f>
        <v>-1679</v>
      </c>
      <c r="EY78" s="1249">
        <f>BS!EX100-BS!EY100</f>
        <v>-397</v>
      </c>
      <c r="EZ78" s="1249">
        <f>BS!EY100-BS!EZ100</f>
        <v>768</v>
      </c>
      <c r="FA78" s="1249">
        <f>BS!EZ100-BS!FA100</f>
        <v>527</v>
      </c>
      <c r="FB78" s="1249">
        <f>BS!FA100-BS!FB100</f>
        <v>-3817</v>
      </c>
      <c r="FC78" s="1249">
        <f>BS!FB100-BS!FC100</f>
        <v>-11382.848451338345</v>
      </c>
      <c r="FD78" s="150">
        <f>BS!FC100-BS!FD100</f>
        <v>-3294.6428849952172</v>
      </c>
      <c r="FE78"/>
      <c r="FF78"/>
      <c r="FG78"/>
      <c r="FH78"/>
      <c r="FI78"/>
      <c r="FJ78"/>
      <c r="FK78"/>
      <c r="FL78"/>
      <c r="FM78"/>
      <c r="FN78"/>
    </row>
    <row r="79" spans="1:172" ht="14.25" customHeight="1">
      <c r="A79" s="7"/>
      <c r="B79" s="59"/>
      <c r="C79" s="13"/>
      <c r="D79" s="221"/>
      <c r="E79" s="221"/>
      <c r="F79" s="221"/>
      <c r="G79" s="255"/>
      <c r="H79" s="221"/>
      <c r="I79" s="221"/>
      <c r="J79" s="221"/>
      <c r="K79" s="255"/>
      <c r="L79" s="221"/>
      <c r="M79" s="221"/>
      <c r="N79" s="221"/>
      <c r="O79" s="255"/>
      <c r="P79" s="221"/>
      <c r="Q79" s="221"/>
      <c r="R79" s="221"/>
      <c r="S79" s="255"/>
      <c r="T79" s="221"/>
      <c r="U79" s="221"/>
      <c r="V79" s="221"/>
      <c r="W79" s="255"/>
      <c r="X79" s="221"/>
      <c r="Y79" s="221"/>
      <c r="Z79" s="221"/>
      <c r="AA79" s="255"/>
      <c r="AB79" s="221"/>
      <c r="AC79" s="221"/>
      <c r="AD79" s="221"/>
      <c r="AE79" s="255"/>
      <c r="AF79" s="221"/>
      <c r="AG79" s="221"/>
      <c r="AH79" s="221"/>
      <c r="AI79" s="255"/>
      <c r="AJ79" s="221"/>
      <c r="AK79" s="221"/>
      <c r="AL79" s="221"/>
      <c r="AM79" s="255"/>
      <c r="AN79" s="221"/>
      <c r="AO79" s="221"/>
      <c r="AP79" s="221"/>
      <c r="AQ79" s="255"/>
      <c r="AR79" s="221"/>
      <c r="AS79" s="221"/>
      <c r="AT79" s="221"/>
      <c r="AU79" s="255"/>
      <c r="AV79" s="221"/>
      <c r="AW79" s="221"/>
      <c r="AX79" s="221"/>
      <c r="AY79" s="255"/>
      <c r="AZ79" s="221"/>
      <c r="BA79" s="221"/>
      <c r="BB79" s="221"/>
      <c r="BC79" s="255"/>
      <c r="BD79" s="221"/>
      <c r="BE79" s="221"/>
      <c r="BF79" s="221"/>
      <c r="BG79" s="255"/>
      <c r="BH79" s="221"/>
      <c r="BI79" s="221"/>
      <c r="BJ79" s="221"/>
      <c r="BK79" s="255"/>
      <c r="BL79" s="221"/>
      <c r="BM79" s="221"/>
      <c r="BN79" s="221"/>
      <c r="BO79" s="255"/>
      <c r="BP79" s="221"/>
      <c r="BQ79" s="221"/>
      <c r="BR79" s="221"/>
      <c r="BS79" s="255"/>
      <c r="BT79" s="221"/>
      <c r="BU79" s="221"/>
      <c r="BV79" s="221"/>
      <c r="BW79" s="221"/>
      <c r="BX79" s="221"/>
      <c r="BY79" s="221"/>
      <c r="BZ79" s="221"/>
      <c r="CA79" s="221"/>
      <c r="CB79" s="221"/>
      <c r="CC79" s="221"/>
      <c r="CD79" s="221"/>
      <c r="CE79" s="877"/>
      <c r="CF79" s="221"/>
      <c r="CG79" s="221"/>
      <c r="CH79" s="221"/>
      <c r="CI79" s="877"/>
      <c r="CJ79" s="221"/>
      <c r="CK79" s="281"/>
      <c r="CL79" s="281"/>
      <c r="CM79" s="281"/>
      <c r="CN79" s="221"/>
      <c r="CO79" s="281"/>
      <c r="CP79" s="281"/>
      <c r="CQ79" s="281"/>
      <c r="CR79" s="221"/>
      <c r="CS79" s="281"/>
      <c r="CT79" s="281"/>
      <c r="CU79" s="281"/>
      <c r="CV79" s="221"/>
      <c r="CW79" s="281"/>
      <c r="CX79" s="281"/>
      <c r="CY79" s="281"/>
      <c r="CZ79" s="221"/>
      <c r="DA79" s="281"/>
      <c r="DB79" s="281"/>
      <c r="DC79" s="281"/>
      <c r="DD79" s="281"/>
      <c r="DE79" s="281">
        <f t="shared" ref="DE79:DU79" si="688">DE81+DE92</f>
        <v>0</v>
      </c>
      <c r="DF79" s="281">
        <f t="shared" si="688"/>
        <v>0</v>
      </c>
      <c r="DG79" s="281">
        <f t="shared" si="688"/>
        <v>0</v>
      </c>
      <c r="DH79" s="281">
        <f t="shared" si="688"/>
        <v>0</v>
      </c>
      <c r="DI79" s="281">
        <f t="shared" si="688"/>
        <v>0</v>
      </c>
      <c r="DJ79" s="281">
        <f t="shared" si="688"/>
        <v>0</v>
      </c>
      <c r="DK79" s="281">
        <f t="shared" si="688"/>
        <v>0</v>
      </c>
      <c r="DL79" s="281">
        <f t="shared" si="688"/>
        <v>0</v>
      </c>
      <c r="DM79" s="281">
        <f t="shared" si="688"/>
        <v>0</v>
      </c>
      <c r="DN79" s="281">
        <f t="shared" si="688"/>
        <v>0</v>
      </c>
      <c r="DO79" s="281">
        <f t="shared" si="688"/>
        <v>0</v>
      </c>
      <c r="DP79" s="281">
        <f t="shared" si="688"/>
        <v>0</v>
      </c>
      <c r="DQ79" s="281">
        <f t="shared" si="688"/>
        <v>0</v>
      </c>
      <c r="DR79" s="281">
        <f t="shared" si="688"/>
        <v>0</v>
      </c>
      <c r="DS79" s="281">
        <f t="shared" si="688"/>
        <v>0</v>
      </c>
      <c r="DT79" s="281">
        <f t="shared" si="688"/>
        <v>0</v>
      </c>
      <c r="DU79" s="281">
        <f t="shared" si="688"/>
        <v>2026</v>
      </c>
      <c r="DV79" s="281"/>
      <c r="DW79" s="281"/>
      <c r="DX79" s="281"/>
      <c r="DY79" s="281"/>
      <c r="DZ79" s="281"/>
      <c r="EA79" s="221"/>
      <c r="EB79" s="221"/>
      <c r="EC79" s="221"/>
      <c r="ED79" s="221"/>
      <c r="EE79" s="7"/>
      <c r="EF79" s="221"/>
      <c r="EG79" s="221"/>
      <c r="EH79" s="221"/>
      <c r="EI79" s="221"/>
      <c r="EJ79" s="221"/>
      <c r="EK79" s="221"/>
      <c r="EL79" s="221"/>
      <c r="EM79" s="221"/>
      <c r="EN79" s="221"/>
      <c r="EO79" s="221"/>
      <c r="EP79" s="221"/>
      <c r="EQ79" s="221"/>
      <c r="ER79" s="221"/>
      <c r="ES79" s="221"/>
      <c r="ET79" s="221"/>
      <c r="EU79" s="221"/>
      <c r="EV79" s="221"/>
      <c r="EW79" s="221"/>
      <c r="EX79" s="221"/>
      <c r="EY79" s="221"/>
      <c r="EZ79" s="221"/>
      <c r="FA79" s="221"/>
      <c r="FB79" s="221"/>
      <c r="FC79" s="221"/>
      <c r="FD79" s="221"/>
    </row>
    <row r="80" spans="1:172" ht="14.25" customHeight="1">
      <c r="A80" s="7"/>
      <c r="B80" s="129" t="s">
        <v>152</v>
      </c>
      <c r="C80" s="130"/>
      <c r="D80" s="256" t="str">
        <f t="shared" ref="D80:AY80" si="689">D65</f>
        <v>F1Q95A</v>
      </c>
      <c r="E80" s="223" t="str">
        <f t="shared" si="689"/>
        <v>F2Q95A</v>
      </c>
      <c r="F80" s="223" t="str">
        <f t="shared" si="689"/>
        <v>F3Q95A</v>
      </c>
      <c r="G80" s="224" t="str">
        <f t="shared" si="689"/>
        <v>F4Q95A</v>
      </c>
      <c r="H80" s="256" t="str">
        <f t="shared" si="689"/>
        <v>F1Q96A</v>
      </c>
      <c r="I80" s="223" t="str">
        <f t="shared" si="689"/>
        <v>F2Q96A</v>
      </c>
      <c r="J80" s="223" t="str">
        <f t="shared" si="689"/>
        <v>F3Q96A</v>
      </c>
      <c r="K80" s="224" t="str">
        <f t="shared" si="689"/>
        <v>F4Q96A</v>
      </c>
      <c r="L80" s="256" t="str">
        <f t="shared" si="689"/>
        <v>F1Q97A</v>
      </c>
      <c r="M80" s="223" t="str">
        <f t="shared" si="689"/>
        <v>F2Q97A</v>
      </c>
      <c r="N80" s="223" t="str">
        <f t="shared" si="689"/>
        <v>F3Q97A</v>
      </c>
      <c r="O80" s="224" t="str">
        <f t="shared" si="689"/>
        <v>F4Q97A</v>
      </c>
      <c r="P80" s="256" t="str">
        <f t="shared" si="689"/>
        <v>F1Q98A</v>
      </c>
      <c r="Q80" s="223" t="str">
        <f t="shared" si="689"/>
        <v>F2Q98A</v>
      </c>
      <c r="R80" s="223" t="str">
        <f t="shared" si="689"/>
        <v>F3Q98A</v>
      </c>
      <c r="S80" s="224" t="str">
        <f t="shared" si="689"/>
        <v>F4Q98A</v>
      </c>
      <c r="T80" s="256" t="str">
        <f t="shared" si="689"/>
        <v>F1Q99A</v>
      </c>
      <c r="U80" s="223" t="str">
        <f t="shared" si="689"/>
        <v>F2Q99A</v>
      </c>
      <c r="V80" s="223" t="str">
        <f t="shared" si="689"/>
        <v>F3Q99A</v>
      </c>
      <c r="W80" s="224" t="str">
        <f t="shared" si="689"/>
        <v>F4Q99A</v>
      </c>
      <c r="X80" s="256" t="str">
        <f t="shared" si="689"/>
        <v>F1Q00A</v>
      </c>
      <c r="Y80" s="223" t="str">
        <f t="shared" si="689"/>
        <v>F2Q00A</v>
      </c>
      <c r="Z80" s="223" t="str">
        <f t="shared" si="689"/>
        <v>F3Q00A</v>
      </c>
      <c r="AA80" s="224" t="str">
        <f t="shared" si="689"/>
        <v>F4Q00A</v>
      </c>
      <c r="AB80" s="256" t="str">
        <f t="shared" si="689"/>
        <v>F1Q01A</v>
      </c>
      <c r="AC80" s="223" t="str">
        <f t="shared" si="689"/>
        <v>F2Q01A</v>
      </c>
      <c r="AD80" s="223" t="str">
        <f t="shared" si="689"/>
        <v>F3Q01A</v>
      </c>
      <c r="AE80" s="224" t="str">
        <f t="shared" si="689"/>
        <v>F4Q01A</v>
      </c>
      <c r="AF80" s="256" t="str">
        <f t="shared" si="689"/>
        <v>F1Q02A</v>
      </c>
      <c r="AG80" s="223" t="str">
        <f t="shared" si="689"/>
        <v>F2Q02A</v>
      </c>
      <c r="AH80" s="223" t="str">
        <f t="shared" si="689"/>
        <v>F3Q02A</v>
      </c>
      <c r="AI80" s="224" t="str">
        <f t="shared" si="689"/>
        <v>F4Q02A</v>
      </c>
      <c r="AJ80" s="256" t="str">
        <f t="shared" si="689"/>
        <v>F1Q03A</v>
      </c>
      <c r="AK80" s="223" t="str">
        <f t="shared" si="689"/>
        <v>F2Q03A</v>
      </c>
      <c r="AL80" s="223" t="str">
        <f t="shared" si="689"/>
        <v>F3Q03A</v>
      </c>
      <c r="AM80" s="224" t="str">
        <f t="shared" si="689"/>
        <v>F4Q03A</v>
      </c>
      <c r="AN80" s="256" t="str">
        <f t="shared" si="689"/>
        <v>F1Q04A</v>
      </c>
      <c r="AO80" s="223" t="str">
        <f t="shared" si="689"/>
        <v>F2Q04A</v>
      </c>
      <c r="AP80" s="223" t="str">
        <f t="shared" si="689"/>
        <v>F3Q04A</v>
      </c>
      <c r="AQ80" s="224" t="str">
        <f t="shared" si="689"/>
        <v>F4Q04A</v>
      </c>
      <c r="AR80" s="256" t="str">
        <f t="shared" si="689"/>
        <v>F1Q05A</v>
      </c>
      <c r="AS80" s="223" t="str">
        <f t="shared" si="689"/>
        <v>F2Q05A</v>
      </c>
      <c r="AT80" s="223" t="str">
        <f t="shared" si="689"/>
        <v>F3Q05A</v>
      </c>
      <c r="AU80" s="224" t="str">
        <f t="shared" si="689"/>
        <v>F4Q05A</v>
      </c>
      <c r="AV80" s="256" t="str">
        <f t="shared" si="689"/>
        <v>F1Q06A</v>
      </c>
      <c r="AW80" s="223" t="str">
        <f t="shared" si="689"/>
        <v>F2Q06A</v>
      </c>
      <c r="AX80" s="223" t="str">
        <f t="shared" si="689"/>
        <v>F3Q06A</v>
      </c>
      <c r="AY80" s="224" t="str">
        <f t="shared" si="689"/>
        <v>F4Q06A</v>
      </c>
      <c r="AZ80" s="256" t="str">
        <f>AZ65</f>
        <v>F1Q07A</v>
      </c>
      <c r="BA80" s="223" t="str">
        <f>BA65</f>
        <v>F2Q07A</v>
      </c>
      <c r="BB80" s="223" t="str">
        <f>BB65</f>
        <v>F3Q07A</v>
      </c>
      <c r="BC80" s="224" t="str">
        <f>BC65</f>
        <v>F4Q07A</v>
      </c>
      <c r="BD80" s="256" t="str">
        <f t="shared" ref="BD80:BO80" si="690">BD65</f>
        <v>F1Q08A</v>
      </c>
      <c r="BE80" s="223" t="str">
        <f t="shared" si="690"/>
        <v>F2Q08A</v>
      </c>
      <c r="BF80" s="223" t="str">
        <f t="shared" si="690"/>
        <v>F3Q08A</v>
      </c>
      <c r="BG80" s="224" t="str">
        <f t="shared" si="690"/>
        <v>F4Q08A</v>
      </c>
      <c r="BH80" s="256" t="str">
        <f t="shared" si="690"/>
        <v>F1Q09A</v>
      </c>
      <c r="BI80" s="223" t="str">
        <f t="shared" si="690"/>
        <v>F2Q09A</v>
      </c>
      <c r="BJ80" s="223" t="str">
        <f t="shared" si="690"/>
        <v>F3Q09A</v>
      </c>
      <c r="BK80" s="224" t="str">
        <f t="shared" si="690"/>
        <v>F4Q09A</v>
      </c>
      <c r="BL80" s="256" t="str">
        <f t="shared" si="690"/>
        <v>F1Q10A</v>
      </c>
      <c r="BM80" s="223" t="str">
        <f t="shared" si="690"/>
        <v>F2Q10A</v>
      </c>
      <c r="BN80" s="223" t="str">
        <f t="shared" si="690"/>
        <v>F3Q10A</v>
      </c>
      <c r="BO80" s="224" t="str">
        <f t="shared" si="690"/>
        <v>F4Q10A</v>
      </c>
      <c r="BP80" s="256" t="str">
        <f t="shared" ref="BP80:CI80" si="691">BP65</f>
        <v>F1Q11A</v>
      </c>
      <c r="BQ80" s="223" t="str">
        <f t="shared" si="691"/>
        <v>F2Q11A</v>
      </c>
      <c r="BR80" s="223" t="str">
        <f t="shared" si="691"/>
        <v>F3Q11A</v>
      </c>
      <c r="BS80" s="224" t="str">
        <f t="shared" si="691"/>
        <v>F4Q11A</v>
      </c>
      <c r="BT80" s="256" t="str">
        <f t="shared" ref="BT80:BY80" si="692">BT65</f>
        <v>F1Q12A</v>
      </c>
      <c r="BU80" s="223" t="str">
        <f t="shared" si="692"/>
        <v>F2Q12A</v>
      </c>
      <c r="BV80" s="223" t="str">
        <f t="shared" si="692"/>
        <v>F3Q12A</v>
      </c>
      <c r="BW80" s="224" t="str">
        <f t="shared" si="692"/>
        <v>F4Q12A</v>
      </c>
      <c r="BX80" s="256" t="str">
        <f t="shared" si="692"/>
        <v>F1Q13A</v>
      </c>
      <c r="BY80" s="223" t="str">
        <f t="shared" si="692"/>
        <v>F2Q13A</v>
      </c>
      <c r="BZ80" s="223" t="str">
        <f t="shared" si="691"/>
        <v>F3Q13</v>
      </c>
      <c r="CA80" s="224" t="str">
        <f t="shared" si="691"/>
        <v>F4Q13</v>
      </c>
      <c r="CB80" s="256" t="str">
        <f t="shared" si="691"/>
        <v>F1Q14</v>
      </c>
      <c r="CC80" s="223" t="str">
        <f>CC65</f>
        <v>F2Q14A</v>
      </c>
      <c r="CD80" s="223" t="str">
        <f t="shared" si="691"/>
        <v>F3Q14A</v>
      </c>
      <c r="CE80" s="224" t="str">
        <f t="shared" si="691"/>
        <v>F4Q14</v>
      </c>
      <c r="CF80" s="256" t="str">
        <f t="shared" si="691"/>
        <v>F1Q15A</v>
      </c>
      <c r="CG80" s="223" t="str">
        <f t="shared" si="691"/>
        <v>F2Q15A</v>
      </c>
      <c r="CH80" s="223" t="str">
        <f t="shared" si="691"/>
        <v>F3Q15A</v>
      </c>
      <c r="CI80" s="224" t="str">
        <f t="shared" si="691"/>
        <v>F4Q15A</v>
      </c>
      <c r="CJ80" s="256" t="str">
        <f t="shared" ref="CJ80:CQ80" si="693">CJ65</f>
        <v>F1Q16A</v>
      </c>
      <c r="CK80" s="223" t="str">
        <f t="shared" si="693"/>
        <v>F2Q16A</v>
      </c>
      <c r="CL80" s="223" t="str">
        <f t="shared" si="693"/>
        <v>F3Q16A</v>
      </c>
      <c r="CM80" s="224" t="str">
        <f t="shared" si="693"/>
        <v>F4Q16A</v>
      </c>
      <c r="CN80" s="1258" t="str">
        <f t="shared" ref="CN80:CO80" si="694">CN65</f>
        <v>F1Q17A</v>
      </c>
      <c r="CO80" s="1250" t="str">
        <f t="shared" si="694"/>
        <v>F2Q17A</v>
      </c>
      <c r="CP80" s="223" t="str">
        <f t="shared" si="693"/>
        <v>F3Q17A</v>
      </c>
      <c r="CQ80" s="1329" t="str">
        <f t="shared" si="693"/>
        <v>F4Q17A</v>
      </c>
      <c r="CR80" s="1336" t="str">
        <f t="shared" ref="CR80:CU80" si="695">CR65</f>
        <v>F1Q18A</v>
      </c>
      <c r="CS80" s="1328" t="str">
        <f t="shared" si="695"/>
        <v>F2Q18A</v>
      </c>
      <c r="CT80" s="1328" t="str">
        <f t="shared" si="695"/>
        <v>F3Q18E</v>
      </c>
      <c r="CU80" s="1329" t="str">
        <f t="shared" si="695"/>
        <v>F4Q18E</v>
      </c>
      <c r="CV80" s="1336" t="str">
        <f t="shared" ref="CV80:CY80" si="696">CV65</f>
        <v>F1Q19E</v>
      </c>
      <c r="CW80" s="1328" t="str">
        <f t="shared" si="696"/>
        <v>F2Q19E</v>
      </c>
      <c r="CX80" s="1328" t="str">
        <f t="shared" si="696"/>
        <v>F3Q19E</v>
      </c>
      <c r="CY80" s="1329" t="str">
        <f t="shared" si="696"/>
        <v>F4Q19E</v>
      </c>
      <c r="CZ80" s="1336" t="str">
        <f t="shared" ref="CZ80:DC80" si="697">CZ65</f>
        <v>F1Q20E</v>
      </c>
      <c r="DA80" s="1328" t="str">
        <f t="shared" si="697"/>
        <v>F2Q20E</v>
      </c>
      <c r="DB80" s="1328" t="str">
        <f t="shared" si="697"/>
        <v>F3Q20E</v>
      </c>
      <c r="DC80" s="1329" t="str">
        <f t="shared" si="697"/>
        <v>F4Q20E</v>
      </c>
      <c r="DD80" s="18"/>
      <c r="DE80" s="15" t="str">
        <f>DE65</f>
        <v>FY1995A</v>
      </c>
      <c r="DF80" s="16" t="str">
        <f>DF65</f>
        <v>FY1996A</v>
      </c>
      <c r="DG80" s="16" t="str">
        <f>DG65</f>
        <v>FY1997A</v>
      </c>
      <c r="DH80" s="16" t="str">
        <f t="shared" ref="DH80:DN80" si="698">DH65</f>
        <v>FY1998A</v>
      </c>
      <c r="DI80" s="16" t="str">
        <f t="shared" si="698"/>
        <v>FY1999A</v>
      </c>
      <c r="DJ80" s="16" t="str">
        <f t="shared" si="698"/>
        <v>FY2000A</v>
      </c>
      <c r="DK80" s="16" t="str">
        <f t="shared" si="698"/>
        <v>FY2001A</v>
      </c>
      <c r="DL80" s="16" t="str">
        <f t="shared" si="698"/>
        <v>FY2002A</v>
      </c>
      <c r="DM80" s="16" t="str">
        <f t="shared" si="698"/>
        <v>FY2003A</v>
      </c>
      <c r="DN80" s="16" t="str">
        <f t="shared" si="698"/>
        <v>FY2004A</v>
      </c>
      <c r="DO80" s="16" t="str">
        <f>DO65</f>
        <v>FY2005A</v>
      </c>
      <c r="DP80" s="16" t="str">
        <f>DP65</f>
        <v>FY2006A</v>
      </c>
      <c r="DQ80" s="16" t="str">
        <f>DQ65</f>
        <v>FY2007A</v>
      </c>
      <c r="DR80" s="16" t="str">
        <f>DR65</f>
        <v>FY2008A</v>
      </c>
      <c r="DS80" s="16" t="str">
        <f>DS65</f>
        <v>FY2009A</v>
      </c>
      <c r="DT80" s="16" t="str">
        <f t="shared" ref="DT80:DY80" si="699">DT65</f>
        <v>FY2010A</v>
      </c>
      <c r="DU80" s="1319" t="str">
        <f t="shared" si="699"/>
        <v>FY2011A</v>
      </c>
      <c r="DV80" s="1319" t="str">
        <f t="shared" si="699"/>
        <v>FY2012A</v>
      </c>
      <c r="DW80" s="1319" t="str">
        <f t="shared" si="699"/>
        <v>FY2013A</v>
      </c>
      <c r="DX80" s="1319" t="str">
        <f t="shared" si="699"/>
        <v>FY2014A</v>
      </c>
      <c r="DY80" s="1319" t="str">
        <f t="shared" si="699"/>
        <v>FY2015A</v>
      </c>
      <c r="DZ80" s="1319" t="str">
        <f>DZ65</f>
        <v>FY2016A</v>
      </c>
      <c r="EA80" s="16" t="str">
        <f>EA65</f>
        <v>FY2017A</v>
      </c>
      <c r="EB80" s="1319" t="str">
        <f>EB65</f>
        <v>FY2018E</v>
      </c>
      <c r="EC80" s="1319" t="str">
        <f>EC65</f>
        <v>FY2019E</v>
      </c>
      <c r="ED80" s="1319" t="str">
        <f>ED65</f>
        <v>FY2020E</v>
      </c>
      <c r="EE80" s="18"/>
      <c r="EF80" s="1318" t="str">
        <f t="shared" ref="EF80:EO80" si="700">EF65</f>
        <v>CY1995</v>
      </c>
      <c r="EG80" s="1319" t="str">
        <f t="shared" si="700"/>
        <v>CY1996</v>
      </c>
      <c r="EH80" s="1319" t="str">
        <f t="shared" si="700"/>
        <v>CY1997</v>
      </c>
      <c r="EI80" s="1319" t="str">
        <f t="shared" si="700"/>
        <v>CY1998</v>
      </c>
      <c r="EJ80" s="1319" t="str">
        <f t="shared" si="700"/>
        <v>CY1999</v>
      </c>
      <c r="EK80" s="1319" t="str">
        <f t="shared" si="700"/>
        <v>CY2000</v>
      </c>
      <c r="EL80" s="1319" t="str">
        <f t="shared" si="700"/>
        <v>CY2001</v>
      </c>
      <c r="EM80" s="1319" t="str">
        <f t="shared" si="700"/>
        <v>CY2002</v>
      </c>
      <c r="EN80" s="1319" t="str">
        <f t="shared" si="700"/>
        <v>CY2003</v>
      </c>
      <c r="EO80" s="1319" t="str">
        <f t="shared" si="700"/>
        <v>CY2004</v>
      </c>
      <c r="EP80" s="1319" t="str">
        <f t="shared" ref="EP80:EX80" si="701">EP65</f>
        <v>CY2005</v>
      </c>
      <c r="EQ80" s="1319" t="str">
        <f t="shared" si="701"/>
        <v>CY2006</v>
      </c>
      <c r="ER80" s="1319" t="str">
        <f t="shared" si="701"/>
        <v>CY2007</v>
      </c>
      <c r="ES80" s="1319" t="str">
        <f t="shared" si="701"/>
        <v>CY2008</v>
      </c>
      <c r="ET80" s="1319" t="str">
        <f t="shared" si="701"/>
        <v>CY2009</v>
      </c>
      <c r="EU80" s="1319" t="str">
        <f t="shared" si="701"/>
        <v>CY2010</v>
      </c>
      <c r="EV80" s="1319" t="str">
        <f t="shared" si="701"/>
        <v>CY2011</v>
      </c>
      <c r="EW80" s="1319" t="str">
        <f t="shared" si="701"/>
        <v>CY2012</v>
      </c>
      <c r="EX80" s="1319" t="str">
        <f t="shared" si="701"/>
        <v>CY2013</v>
      </c>
      <c r="EY80" s="1319" t="str">
        <f>EY65</f>
        <v>CY2014</v>
      </c>
      <c r="EZ80" s="1319" t="str">
        <f t="shared" ref="EZ80:FA80" si="702">EZ65</f>
        <v>CY2015</v>
      </c>
      <c r="FA80" s="1319" t="str">
        <f t="shared" si="702"/>
        <v>CY2016</v>
      </c>
      <c r="FB80" s="1319" t="s">
        <v>574</v>
      </c>
      <c r="FC80" s="1319" t="s">
        <v>602</v>
      </c>
      <c r="FD80" s="1182" t="s">
        <v>612</v>
      </c>
    </row>
    <row r="81" spans="1:170" ht="14.25" customHeight="1">
      <c r="A81" s="7"/>
      <c r="B81" s="326" t="s">
        <v>147</v>
      </c>
      <c r="C81" s="273"/>
      <c r="D81" s="228"/>
      <c r="E81" s="228"/>
      <c r="F81" s="228"/>
      <c r="G81" s="229"/>
      <c r="H81" s="228"/>
      <c r="I81" s="228"/>
      <c r="J81" s="228"/>
      <c r="K81" s="229"/>
      <c r="L81" s="228"/>
      <c r="M81" s="228"/>
      <c r="N81" s="228"/>
      <c r="O81" s="229"/>
      <c r="P81" s="228"/>
      <c r="Q81" s="228"/>
      <c r="R81" s="228"/>
      <c r="S81" s="229"/>
      <c r="T81" s="228"/>
      <c r="U81" s="228"/>
      <c r="V81" s="228"/>
      <c r="W81" s="229"/>
      <c r="X81" s="228"/>
      <c r="Y81" s="228"/>
      <c r="Z81" s="228"/>
      <c r="AA81" s="229"/>
      <c r="AB81" s="228"/>
      <c r="AC81" s="228"/>
      <c r="AD81" s="228"/>
      <c r="AE81" s="229"/>
      <c r="AF81" s="228"/>
      <c r="AG81" s="228"/>
      <c r="AH81" s="228"/>
      <c r="AI81" s="229"/>
      <c r="AJ81" s="228">
        <v>287.10000000000002</v>
      </c>
      <c r="AK81" s="228">
        <v>297.3</v>
      </c>
      <c r="AL81" s="228">
        <v>287.8</v>
      </c>
      <c r="AM81" s="229">
        <f>1157.8-SUM(AJ81:AL81)</f>
        <v>285.59999999999991</v>
      </c>
      <c r="AN81" s="1166">
        <v>298.8</v>
      </c>
      <c r="AO81" s="1166">
        <v>282.89999999999998</v>
      </c>
      <c r="AP81" s="1166">
        <v>287.7</v>
      </c>
      <c r="AQ81" s="1166">
        <f>1166.3-SUM(AN81:AP81)</f>
        <v>296.89999999999986</v>
      </c>
      <c r="AR81" s="1166">
        <v>299.60000000000002</v>
      </c>
      <c r="AS81" s="1166">
        <v>303.2</v>
      </c>
      <c r="AT81" s="1166">
        <v>305.10000000000002</v>
      </c>
      <c r="AU81" s="1166">
        <f>1211-SUM(AR81:AT81)</f>
        <v>303.10000000000002</v>
      </c>
      <c r="AV81" s="1166">
        <v>292.39999999999998</v>
      </c>
      <c r="AW81" s="1166">
        <v>285.7</v>
      </c>
      <c r="AX81" s="1166">
        <v>336</v>
      </c>
      <c r="AY81" s="1166">
        <f>1258-SUM(AV81:AX81)</f>
        <v>343.90000000000009</v>
      </c>
      <c r="AZ81" s="1166">
        <v>375</v>
      </c>
      <c r="BA81" s="1166">
        <v>407</v>
      </c>
      <c r="BB81" s="1166">
        <v>426</v>
      </c>
      <c r="BC81" s="1166">
        <f>1664-SUM(AZ81:BB81)</f>
        <v>456</v>
      </c>
      <c r="BD81" s="1166">
        <v>484</v>
      </c>
      <c r="BE81" s="1166">
        <v>490</v>
      </c>
      <c r="BF81" s="1166">
        <v>493</v>
      </c>
      <c r="BG81" s="1166">
        <f>1976-SUM(BD81:BF81)</f>
        <v>509</v>
      </c>
      <c r="BH81" s="1166">
        <v>569</v>
      </c>
      <c r="BI81" s="1166">
        <v>515</v>
      </c>
      <c r="BJ81" s="1166">
        <v>488</v>
      </c>
      <c r="BK81" s="1166">
        <f>2039-SUM(BH81:BJ81)</f>
        <v>467</v>
      </c>
      <c r="BL81" s="1166">
        <v>454</v>
      </c>
      <c r="BM81" s="1166">
        <v>449</v>
      </c>
      <c r="BN81" s="1166">
        <v>453</v>
      </c>
      <c r="BO81" s="1166">
        <f>1826-SUM(BL81:BN81)</f>
        <v>470</v>
      </c>
      <c r="BP81" s="236">
        <v>481</v>
      </c>
      <c r="BQ81" s="236">
        <v>485</v>
      </c>
      <c r="BR81" s="236">
        <v>528</v>
      </c>
      <c r="BS81" s="233">
        <f>2026-SUM(BP81:BR81)</f>
        <v>532</v>
      </c>
      <c r="BT81" s="236">
        <f>1089-547</f>
        <v>542</v>
      </c>
      <c r="BU81" s="236">
        <v>547</v>
      </c>
      <c r="BV81" s="234">
        <v>502</v>
      </c>
      <c r="BW81" s="233">
        <f>2053-SUM(BT81:BV81)</f>
        <v>462</v>
      </c>
      <c r="BX81" s="236">
        <v>437</v>
      </c>
      <c r="BY81" s="236">
        <v>434</v>
      </c>
      <c r="BZ81" s="234">
        <v>421</v>
      </c>
      <c r="CA81" s="233">
        <f>1721-SUM(BX81:BZ81)</f>
        <v>429</v>
      </c>
      <c r="CB81" s="236">
        <v>468</v>
      </c>
      <c r="CC81" s="236">
        <v>486</v>
      </c>
      <c r="CD81" s="236">
        <v>508</v>
      </c>
      <c r="CE81" s="233">
        <f>1993-SUM(CB81:CD81)</f>
        <v>531</v>
      </c>
      <c r="CF81" s="236">
        <v>613</v>
      </c>
      <c r="CG81" s="236">
        <v>611</v>
      </c>
      <c r="CH81" s="236">
        <v>644</v>
      </c>
      <c r="CI81" s="233">
        <f>2550-SUM(CF81:CH81)</f>
        <v>682</v>
      </c>
      <c r="CJ81" s="236">
        <v>706</v>
      </c>
      <c r="CK81" s="236">
        <v>745</v>
      </c>
      <c r="CL81" s="1166">
        <v>725</v>
      </c>
      <c r="CM81" s="1165">
        <f>2860-SUM(CJ81:CL81)</f>
        <v>684</v>
      </c>
      <c r="CN81" s="1255">
        <f>771-CN82</f>
        <v>741</v>
      </c>
      <c r="CO81" s="1255">
        <v>930</v>
      </c>
      <c r="CP81" s="1166">
        <v>940</v>
      </c>
      <c r="CQ81" s="1332">
        <v>950</v>
      </c>
      <c r="CR81" s="1333">
        <f>CQ81</f>
        <v>950</v>
      </c>
      <c r="CS81" s="1333">
        <v>1140</v>
      </c>
      <c r="CT81" s="1333">
        <v>1218.4154501321186</v>
      </c>
      <c r="CU81" s="1332">
        <v>1231.4162888743406</v>
      </c>
      <c r="CV81" s="1333">
        <f>5000/4</f>
        <v>1250</v>
      </c>
      <c r="CW81" s="1333">
        <f t="shared" ref="CW81:CY81" si="703">5000/4</f>
        <v>1250</v>
      </c>
      <c r="CX81" s="1333">
        <f t="shared" si="703"/>
        <v>1250</v>
      </c>
      <c r="CY81" s="377">
        <f t="shared" si="703"/>
        <v>1250</v>
      </c>
      <c r="CZ81" s="1333">
        <f>5500/4</f>
        <v>1375</v>
      </c>
      <c r="DA81" s="1333">
        <f t="shared" ref="DA81:DC81" si="704">5500/4</f>
        <v>1375</v>
      </c>
      <c r="DB81" s="1333">
        <f t="shared" si="704"/>
        <v>1375</v>
      </c>
      <c r="DC81" s="1333">
        <f t="shared" si="704"/>
        <v>1375</v>
      </c>
      <c r="DD81" s="18"/>
      <c r="DE81" s="230"/>
      <c r="DF81" s="400"/>
      <c r="DG81" s="400"/>
      <c r="DH81" s="400"/>
      <c r="DI81" s="400"/>
      <c r="DJ81" s="400"/>
      <c r="DK81" s="400"/>
      <c r="DL81" s="400"/>
      <c r="DM81" s="400"/>
      <c r="DN81" s="400"/>
      <c r="DO81" s="400"/>
      <c r="DP81" s="400"/>
      <c r="DQ81" s="400"/>
      <c r="DR81" s="400"/>
      <c r="DS81" s="400"/>
      <c r="DT81" s="400"/>
      <c r="DU81" s="400">
        <f>+SUM(BP81:BS81)</f>
        <v>2026</v>
      </c>
      <c r="DV81" s="400">
        <f>+SUM(BT81:BW81)</f>
        <v>2053</v>
      </c>
      <c r="DW81" s="400">
        <f>+SUM(BX81:CA81)</f>
        <v>1721</v>
      </c>
      <c r="DX81" s="400">
        <f>SUM(CB81:CE81)</f>
        <v>1993</v>
      </c>
      <c r="DY81" s="400">
        <f>SUM(CF81:CI81)</f>
        <v>2550</v>
      </c>
      <c r="DZ81" s="400">
        <f>SUM(CJ81:CM81)</f>
        <v>2860</v>
      </c>
      <c r="EA81" s="245">
        <f t="shared" ref="EA81:EA82" si="705">SUM(CN81:CQ81)</f>
        <v>3561</v>
      </c>
      <c r="EB81" s="245">
        <f>SUM(CR81:CU81)</f>
        <v>4539.8317390064594</v>
      </c>
      <c r="EC81" s="245">
        <f>SUM(CV81:CY81)</f>
        <v>5000</v>
      </c>
      <c r="ED81" s="245">
        <f>SUM(CZ81:DC81)</f>
        <v>5500</v>
      </c>
      <c r="EE81" s="18"/>
      <c r="EF81" s="604"/>
      <c r="EG81" s="400"/>
      <c r="EH81" s="400"/>
      <c r="EI81" s="400"/>
      <c r="EJ81" s="400"/>
      <c r="EK81" s="400"/>
      <c r="EL81" s="400"/>
      <c r="EM81" s="400"/>
      <c r="EN81" s="400"/>
      <c r="EO81" s="188">
        <f t="shared" ref="EO81" si="706">SUM(AO81:AR81)</f>
        <v>1167.0999999999999</v>
      </c>
      <c r="EP81" s="338">
        <f t="shared" ref="EP81" si="707">SUM(AS81:AV81)</f>
        <v>1203.8</v>
      </c>
      <c r="EQ81" s="338">
        <f t="shared" ref="EQ81" si="708">SUM(AW81:AZ81)</f>
        <v>1340.6000000000001</v>
      </c>
      <c r="ER81" s="338">
        <f t="shared" ref="ER81" si="709">SUM(BA81:BD81)</f>
        <v>1773</v>
      </c>
      <c r="ES81" s="338">
        <f t="shared" ref="ES81" si="710">SUM(BE81:BH81)</f>
        <v>2061</v>
      </c>
      <c r="ET81" s="338">
        <f t="shared" ref="ET81" si="711">SUM(BI81:BL81)</f>
        <v>1924</v>
      </c>
      <c r="EU81" s="338">
        <f t="shared" ref="EU81" si="712">SUM(BM81:BP81)</f>
        <v>1853</v>
      </c>
      <c r="EV81" s="338">
        <f t="shared" ref="EV81" si="713">SUM(BQ81:BT81)</f>
        <v>2087</v>
      </c>
      <c r="EW81" s="338">
        <f t="shared" ref="EW81" si="714">SUM(BU81:BX81)</f>
        <v>1948</v>
      </c>
      <c r="EX81" s="338">
        <f t="shared" ref="EX81" si="715">SUM(BY81:CB81)</f>
        <v>1752</v>
      </c>
      <c r="EY81" s="338">
        <f t="shared" ref="EY81" si="716">SUM(CC81:CF81)</f>
        <v>2138</v>
      </c>
      <c r="EZ81" s="338">
        <f t="shared" ref="EZ81" si="717">SUM(CG81:CJ81)</f>
        <v>2643</v>
      </c>
      <c r="FA81" s="338">
        <f t="shared" ref="FA81" si="718">SUM(CK81:CN81)</f>
        <v>2895</v>
      </c>
      <c r="FB81" s="338">
        <f>SUM(CO81:CR81)</f>
        <v>3770</v>
      </c>
      <c r="FC81" s="338">
        <f>SUM(CS81:CV81)</f>
        <v>4839.8317390064594</v>
      </c>
      <c r="FD81" s="152">
        <f>SUM(CW81:CZ81)</f>
        <v>5125</v>
      </c>
    </row>
    <row r="82" spans="1:170" s="1124" customFormat="1" ht="14.25" customHeight="1">
      <c r="A82" s="7"/>
      <c r="B82" s="22" t="s">
        <v>554</v>
      </c>
      <c r="C82" s="385"/>
      <c r="D82" s="228"/>
      <c r="E82" s="228"/>
      <c r="F82" s="228"/>
      <c r="G82" s="229"/>
      <c r="H82" s="228"/>
      <c r="I82" s="228"/>
      <c r="J82" s="228"/>
      <c r="K82" s="229"/>
      <c r="L82" s="228"/>
      <c r="M82" s="228"/>
      <c r="N82" s="228"/>
      <c r="O82" s="229"/>
      <c r="P82" s="228"/>
      <c r="Q82" s="228"/>
      <c r="R82" s="228"/>
      <c r="S82" s="229"/>
      <c r="T82" s="228"/>
      <c r="U82" s="228"/>
      <c r="V82" s="228"/>
      <c r="W82" s="229"/>
      <c r="X82" s="228"/>
      <c r="Y82" s="228"/>
      <c r="Z82" s="228"/>
      <c r="AA82" s="229"/>
      <c r="AB82" s="228"/>
      <c r="AC82" s="228"/>
      <c r="AD82" s="228"/>
      <c r="AE82" s="229"/>
      <c r="AF82" s="228"/>
      <c r="AG82" s="228"/>
      <c r="AH82" s="228"/>
      <c r="AI82" s="229"/>
      <c r="AJ82" s="228"/>
      <c r="AK82" s="228"/>
      <c r="AL82" s="228"/>
      <c r="AM82" s="229"/>
      <c r="AN82" s="228"/>
      <c r="AO82" s="228"/>
      <c r="AP82" s="228"/>
      <c r="AQ82" s="229"/>
      <c r="AR82" s="228"/>
      <c r="AS82" s="228"/>
      <c r="AT82" s="228"/>
      <c r="AU82" s="229"/>
      <c r="AV82" s="228"/>
      <c r="AW82" s="228"/>
      <c r="AX82" s="228"/>
      <c r="AY82" s="229"/>
      <c r="AZ82" s="228"/>
      <c r="BA82" s="228"/>
      <c r="BB82" s="228"/>
      <c r="BC82" s="229"/>
      <c r="BD82" s="228"/>
      <c r="BE82" s="228"/>
      <c r="BF82" s="228"/>
      <c r="BG82" s="229"/>
      <c r="BH82" s="228"/>
      <c r="BI82" s="228"/>
      <c r="BJ82" s="228"/>
      <c r="BK82" s="229"/>
      <c r="BL82" s="228"/>
      <c r="BM82" s="228"/>
      <c r="BN82" s="228"/>
      <c r="BO82" s="229"/>
      <c r="BP82" s="236">
        <v>19</v>
      </c>
      <c r="BQ82" s="236">
        <v>1</v>
      </c>
      <c r="BR82" s="236">
        <v>19</v>
      </c>
      <c r="BS82" s="233">
        <v>21</v>
      </c>
      <c r="BT82" s="236">
        <v>22</v>
      </c>
      <c r="BU82" s="236">
        <v>22</v>
      </c>
      <c r="BV82" s="234">
        <v>23</v>
      </c>
      <c r="BW82" s="233">
        <f>88-SUM(BT82:BV82)</f>
        <v>21</v>
      </c>
      <c r="BX82" s="236">
        <v>20</v>
      </c>
      <c r="BY82" s="236">
        <v>21</v>
      </c>
      <c r="BZ82" s="234">
        <v>21</v>
      </c>
      <c r="CA82" s="233">
        <f>83-SUM(BX82:BZ82)</f>
        <v>21</v>
      </c>
      <c r="CB82" s="236">
        <v>23</v>
      </c>
      <c r="CC82" s="236">
        <v>31</v>
      </c>
      <c r="CD82" s="236">
        <v>34</v>
      </c>
      <c r="CE82" s="233">
        <v>22</v>
      </c>
      <c r="CF82" s="236">
        <v>30</v>
      </c>
      <c r="CG82" s="236">
        <v>30</v>
      </c>
      <c r="CH82" s="236">
        <v>29</v>
      </c>
      <c r="CI82" s="233">
        <v>27</v>
      </c>
      <c r="CJ82" s="236">
        <v>31</v>
      </c>
      <c r="CK82" s="236">
        <v>29</v>
      </c>
      <c r="CL82" s="1166">
        <v>30</v>
      </c>
      <c r="CM82" s="1165">
        <v>30</v>
      </c>
      <c r="CN82" s="1255">
        <v>30</v>
      </c>
      <c r="CO82" s="1255">
        <v>30</v>
      </c>
      <c r="CP82" s="236">
        <v>30</v>
      </c>
      <c r="CQ82" s="1332">
        <v>30</v>
      </c>
      <c r="CR82" s="1333">
        <f>CQ82</f>
        <v>30</v>
      </c>
      <c r="CS82" s="1333">
        <v>30</v>
      </c>
      <c r="CT82" s="1333"/>
      <c r="CU82" s="1332"/>
      <c r="CV82" s="1333"/>
      <c r="CW82" s="1333"/>
      <c r="CX82" s="1333"/>
      <c r="CY82" s="1332"/>
      <c r="CZ82" s="1333"/>
      <c r="DA82" s="1333"/>
      <c r="DB82" s="1333"/>
      <c r="DC82" s="1332"/>
      <c r="DD82" s="18"/>
      <c r="DE82" s="230"/>
      <c r="DF82" s="400"/>
      <c r="DG82" s="400"/>
      <c r="DH82" s="400"/>
      <c r="DI82" s="400"/>
      <c r="DJ82" s="400"/>
      <c r="DK82" s="400"/>
      <c r="DL82" s="400"/>
      <c r="DM82" s="400"/>
      <c r="DN82" s="400"/>
      <c r="DO82" s="400"/>
      <c r="DP82" s="400"/>
      <c r="DQ82" s="400"/>
      <c r="DR82" s="400"/>
      <c r="DS82" s="400"/>
      <c r="DT82" s="400"/>
      <c r="DU82" s="400">
        <f>+SUM(BP82:BS82)</f>
        <v>60</v>
      </c>
      <c r="DV82" s="400">
        <f>+SUM(BT82:BW82)</f>
        <v>88</v>
      </c>
      <c r="DW82" s="400">
        <f>+SUM(BX82:CA82)</f>
        <v>83</v>
      </c>
      <c r="DX82" s="400">
        <f>SUM(CB82:CE82)</f>
        <v>110</v>
      </c>
      <c r="DY82" s="400">
        <f>SUM(CF82:CI82)</f>
        <v>116</v>
      </c>
      <c r="DZ82" s="400">
        <f>SUM(CJ82:CM82)</f>
        <v>120</v>
      </c>
      <c r="EA82" s="245">
        <f t="shared" si="705"/>
        <v>120</v>
      </c>
      <c r="EB82" s="245">
        <f t="shared" ref="EB82:EB83" si="719">SUM(CR82:CU82)</f>
        <v>60</v>
      </c>
      <c r="EC82" s="245">
        <f>SUM(CV82:CY82)</f>
        <v>0</v>
      </c>
      <c r="ED82" s="245">
        <f>SUM(CZ82:DC82)</f>
        <v>0</v>
      </c>
      <c r="EE82" s="18"/>
      <c r="EF82" s="604"/>
      <c r="EG82" s="400"/>
      <c r="EH82" s="400"/>
      <c r="EI82" s="400"/>
      <c r="EJ82" s="400"/>
      <c r="EK82" s="400"/>
      <c r="EL82" s="400"/>
      <c r="EM82" s="400"/>
      <c r="EN82" s="400"/>
      <c r="EO82" s="400"/>
      <c r="EP82" s="400"/>
      <c r="EQ82" s="400"/>
      <c r="ER82" s="400"/>
      <c r="ES82" s="400"/>
      <c r="ET82" s="245"/>
      <c r="EU82" s="245"/>
      <c r="EV82" s="245"/>
      <c r="EW82" s="245"/>
      <c r="EX82" s="245"/>
      <c r="EY82" s="245"/>
      <c r="EZ82" s="245"/>
      <c r="FA82" s="245"/>
      <c r="FB82" s="245"/>
      <c r="FC82" s="245"/>
      <c r="FD82" s="227"/>
      <c r="FE82"/>
      <c r="FF82"/>
      <c r="FG82"/>
      <c r="FH82"/>
      <c r="FI82"/>
      <c r="FJ82"/>
      <c r="FK82"/>
      <c r="FL82"/>
      <c r="FM82"/>
      <c r="FN82"/>
    </row>
    <row r="83" spans="1:170" s="415" customFormat="1" ht="14.25" customHeight="1">
      <c r="A83" s="413"/>
      <c r="B83" s="519" t="s">
        <v>553</v>
      </c>
      <c r="C83" s="529"/>
      <c r="D83" s="419"/>
      <c r="E83" s="419"/>
      <c r="F83" s="419"/>
      <c r="G83" s="485"/>
      <c r="H83" s="419"/>
      <c r="I83" s="419"/>
      <c r="J83" s="419"/>
      <c r="K83" s="485"/>
      <c r="L83" s="419"/>
      <c r="M83" s="419"/>
      <c r="N83" s="419"/>
      <c r="O83" s="485"/>
      <c r="P83" s="419"/>
      <c r="Q83" s="419"/>
      <c r="R83" s="419"/>
      <c r="S83" s="485"/>
      <c r="T83" s="419"/>
      <c r="U83" s="419"/>
      <c r="V83" s="419"/>
      <c r="W83" s="485"/>
      <c r="X83" s="419"/>
      <c r="Y83" s="419"/>
      <c r="Z83" s="419"/>
      <c r="AA83" s="485"/>
      <c r="AB83" s="419"/>
      <c r="AC83" s="419"/>
      <c r="AD83" s="419"/>
      <c r="AE83" s="485"/>
      <c r="AF83" s="419"/>
      <c r="AG83" s="419"/>
      <c r="AH83" s="419"/>
      <c r="AI83" s="485"/>
      <c r="AJ83" s="419"/>
      <c r="AK83" s="419"/>
      <c r="AL83" s="419"/>
      <c r="AM83" s="485"/>
      <c r="AN83" s="419"/>
      <c r="AO83" s="419"/>
      <c r="AP83" s="419"/>
      <c r="AQ83" s="485"/>
      <c r="AR83" s="419"/>
      <c r="AS83" s="419"/>
      <c r="AT83" s="419"/>
      <c r="AU83" s="485"/>
      <c r="AV83" s="419"/>
      <c r="AW83" s="419"/>
      <c r="AX83" s="419"/>
      <c r="AY83" s="485"/>
      <c r="AZ83" s="419"/>
      <c r="BA83" s="419"/>
      <c r="BB83" s="419"/>
      <c r="BC83" s="485"/>
      <c r="BD83" s="419"/>
      <c r="BE83" s="419"/>
      <c r="BF83" s="419"/>
      <c r="BG83" s="485"/>
      <c r="BH83" s="419"/>
      <c r="BI83" s="419"/>
      <c r="BJ83" s="419"/>
      <c r="BK83" s="485"/>
      <c r="BL83" s="419"/>
      <c r="BM83" s="419"/>
      <c r="BN83" s="419"/>
      <c r="BO83" s="485"/>
      <c r="BP83" s="535">
        <v>17</v>
      </c>
      <c r="BQ83" s="535">
        <v>30</v>
      </c>
      <c r="BR83" s="535">
        <v>12</v>
      </c>
      <c r="BS83" s="536">
        <v>17</v>
      </c>
      <c r="BT83" s="535">
        <v>17</v>
      </c>
      <c r="BU83" s="535">
        <v>17</v>
      </c>
      <c r="BV83" s="530">
        <v>21</v>
      </c>
      <c r="BW83" s="534">
        <v>26</v>
      </c>
      <c r="BX83" s="535">
        <v>28</v>
      </c>
      <c r="BY83" s="535">
        <v>30</v>
      </c>
      <c r="BZ83" s="530">
        <v>28</v>
      </c>
      <c r="CA83" s="534">
        <v>36</v>
      </c>
      <c r="CB83" s="530">
        <v>50</v>
      </c>
      <c r="CC83" s="530">
        <v>44</v>
      </c>
      <c r="CD83" s="530">
        <v>36</v>
      </c>
      <c r="CE83" s="534">
        <v>37</v>
      </c>
      <c r="CF83" s="530">
        <v>38</v>
      </c>
      <c r="CG83" s="530">
        <v>33</v>
      </c>
      <c r="CH83" s="530">
        <v>34</v>
      </c>
      <c r="CI83" s="534">
        <v>34</v>
      </c>
      <c r="CJ83" s="530">
        <v>33</v>
      </c>
      <c r="CK83" s="530">
        <v>31</v>
      </c>
      <c r="CL83" s="530">
        <f>94-SUM(CJ83:CK83)</f>
        <v>30</v>
      </c>
      <c r="CM83" s="534">
        <f>126-SUM(CJ83:CL83)</f>
        <v>32</v>
      </c>
      <c r="CN83" s="1274">
        <v>32</v>
      </c>
      <c r="CO83" s="1274">
        <v>74</v>
      </c>
      <c r="CP83" s="1337">
        <v>81</v>
      </c>
      <c r="CQ83" s="1338">
        <v>118</v>
      </c>
      <c r="CR83" s="1337">
        <v>139</v>
      </c>
      <c r="CS83" s="1337">
        <v>7</v>
      </c>
      <c r="CT83" s="1337"/>
      <c r="CU83" s="1338"/>
      <c r="CV83" s="1337"/>
      <c r="CW83" s="1337"/>
      <c r="CX83" s="1337"/>
      <c r="CY83" s="1338"/>
      <c r="CZ83" s="1337"/>
      <c r="DA83" s="1337"/>
      <c r="DB83" s="1337"/>
      <c r="DC83" s="1338"/>
      <c r="DD83" s="518"/>
      <c r="DE83" s="606"/>
      <c r="DF83" s="531"/>
      <c r="DG83" s="531"/>
      <c r="DH83" s="531"/>
      <c r="DI83" s="531"/>
      <c r="DJ83" s="531"/>
      <c r="DK83" s="531"/>
      <c r="DL83" s="531"/>
      <c r="DM83" s="531"/>
      <c r="DN83" s="531"/>
      <c r="DO83" s="531"/>
      <c r="DP83" s="531"/>
      <c r="DQ83" s="531"/>
      <c r="DR83" s="531"/>
      <c r="DS83" s="531"/>
      <c r="DT83" s="531"/>
      <c r="DU83" s="531">
        <f>+SUM(BP83:BS83)</f>
        <v>76</v>
      </c>
      <c r="DV83" s="531">
        <f>+SUM(BT83:BW83)</f>
        <v>81</v>
      </c>
      <c r="DW83" s="531">
        <f>+SUM(BX83:CA83)</f>
        <v>122</v>
      </c>
      <c r="DX83" s="531">
        <f>SUM(CB83:CE83)</f>
        <v>167</v>
      </c>
      <c r="DY83" s="531">
        <f>SUM(CF83:CI83)</f>
        <v>139</v>
      </c>
      <c r="DZ83" s="531">
        <f>SUM(CJ83:CM83)</f>
        <v>126</v>
      </c>
      <c r="EA83" s="245">
        <f t="shared" ref="EA83" si="720">SUM(CN83:CQ83)</f>
        <v>305</v>
      </c>
      <c r="EB83" s="245">
        <f t="shared" si="719"/>
        <v>146</v>
      </c>
      <c r="EC83" s="245">
        <f>SUM(CV83:CY83)</f>
        <v>0</v>
      </c>
      <c r="ED83" s="245">
        <f>SUM(CZ83:DC83)</f>
        <v>0</v>
      </c>
      <c r="EE83" s="518"/>
      <c r="EF83" s="606"/>
      <c r="EG83" s="531"/>
      <c r="EH83" s="531"/>
      <c r="EI83" s="531"/>
      <c r="EJ83" s="531"/>
      <c r="EK83" s="531"/>
      <c r="EL83" s="531"/>
      <c r="EM83" s="531"/>
      <c r="EN83" s="531"/>
      <c r="EO83" s="531"/>
      <c r="EP83" s="531"/>
      <c r="EQ83" s="531"/>
      <c r="ER83" s="531"/>
      <c r="ES83" s="531"/>
      <c r="ET83" s="532"/>
      <c r="EU83" s="532"/>
      <c r="EV83" s="532"/>
      <c r="EW83" s="532"/>
      <c r="EX83" s="532"/>
      <c r="EY83" s="532"/>
      <c r="EZ83" s="532"/>
      <c r="FA83" s="532"/>
      <c r="FB83" s="532"/>
      <c r="FC83" s="532"/>
      <c r="FD83" s="533"/>
      <c r="FE83"/>
      <c r="FF83"/>
      <c r="FG83"/>
      <c r="FH83"/>
      <c r="FI83"/>
      <c r="FJ83"/>
      <c r="FK83"/>
      <c r="FL83"/>
      <c r="FM83"/>
      <c r="FN83"/>
    </row>
    <row r="84" spans="1:170" ht="14.25" customHeight="1">
      <c r="A84" s="7"/>
      <c r="B84" s="43" t="s">
        <v>352</v>
      </c>
      <c r="C84" s="385"/>
      <c r="D84" s="228"/>
      <c r="E84" s="228"/>
      <c r="F84" s="228"/>
      <c r="G84" s="229"/>
      <c r="H84" s="228"/>
      <c r="I84" s="228"/>
      <c r="J84" s="228"/>
      <c r="K84" s="229"/>
      <c r="L84" s="228">
        <f t="shared" ref="L84:AQ84" si="721">L70*L89</f>
        <v>110.3</v>
      </c>
      <c r="M84" s="228">
        <f t="shared" si="721"/>
        <v>117.60000000000001</v>
      </c>
      <c r="N84" s="228">
        <f t="shared" si="721"/>
        <v>122.39999999999999</v>
      </c>
      <c r="O84" s="229">
        <f t="shared" si="721"/>
        <v>111.39999999999999</v>
      </c>
      <c r="P84" s="228">
        <f t="shared" si="721"/>
        <v>136.30000000000001</v>
      </c>
      <c r="Q84" s="228">
        <f t="shared" si="721"/>
        <v>147.30000000000001</v>
      </c>
      <c r="R84" s="228">
        <f t="shared" si="721"/>
        <v>151.09999999999997</v>
      </c>
      <c r="S84" s="229">
        <f t="shared" si="721"/>
        <v>171.90000000000003</v>
      </c>
      <c r="T84" s="228">
        <f t="shared" si="721"/>
        <v>189.5</v>
      </c>
      <c r="U84" s="228">
        <f t="shared" si="721"/>
        <v>219.39999999999998</v>
      </c>
      <c r="V84" s="228">
        <f t="shared" si="721"/>
        <v>203.99999999999997</v>
      </c>
      <c r="W84" s="229">
        <f t="shared" si="721"/>
        <v>230.39999999999998</v>
      </c>
      <c r="X84" s="228">
        <f t="shared" si="721"/>
        <v>229.5</v>
      </c>
      <c r="Y84" s="228">
        <f t="shared" si="721"/>
        <v>233.60000000000002</v>
      </c>
      <c r="Z84" s="228">
        <f t="shared" si="721"/>
        <v>250.1</v>
      </c>
      <c r="AA84" s="229">
        <f t="shared" si="721"/>
        <v>261.19999999999993</v>
      </c>
      <c r="AB84" s="228">
        <f t="shared" si="721"/>
        <v>268.2</v>
      </c>
      <c r="AC84" s="228">
        <f t="shared" si="721"/>
        <v>272.2</v>
      </c>
      <c r="AD84" s="228">
        <f t="shared" si="721"/>
        <v>278.8</v>
      </c>
      <c r="AE84" s="229">
        <f t="shared" si="721"/>
        <v>295.2000000000001</v>
      </c>
      <c r="AF84" s="228">
        <f t="shared" si="721"/>
        <v>297.60000000000002</v>
      </c>
      <c r="AG84" s="228">
        <f t="shared" si="721"/>
        <v>290.89999999999998</v>
      </c>
      <c r="AH84" s="228">
        <f t="shared" si="721"/>
        <v>293.39999999999998</v>
      </c>
      <c r="AI84" s="229">
        <f t="shared" si="721"/>
        <v>295.50000000000011</v>
      </c>
      <c r="AJ84" s="228">
        <f t="shared" si="721"/>
        <v>299.89999999999998</v>
      </c>
      <c r="AK84" s="228">
        <f t="shared" si="721"/>
        <v>310.20000000000005</v>
      </c>
      <c r="AL84" s="228">
        <f t="shared" si="721"/>
        <v>301</v>
      </c>
      <c r="AM84" s="229">
        <f t="shared" si="721"/>
        <v>298.80000000000007</v>
      </c>
      <c r="AN84" s="228">
        <f t="shared" si="721"/>
        <v>312.49999999999994</v>
      </c>
      <c r="AO84" s="228">
        <f t="shared" si="721"/>
        <v>295.60000000000002</v>
      </c>
      <c r="AP84" s="228">
        <f t="shared" si="721"/>
        <v>300.10000000000002</v>
      </c>
      <c r="AQ84" s="229">
        <f t="shared" si="721"/>
        <v>309.29999999999995</v>
      </c>
      <c r="AR84" s="228">
        <f t="shared" ref="AR84:BO84" si="722">AR70*AR89</f>
        <v>313.7</v>
      </c>
      <c r="AS84" s="228">
        <f t="shared" si="722"/>
        <v>317.2</v>
      </c>
      <c r="AT84" s="228">
        <f t="shared" si="722"/>
        <v>318.7000000000001</v>
      </c>
      <c r="AU84" s="229">
        <f t="shared" si="722"/>
        <v>314.89999999999992</v>
      </c>
      <c r="AV84" s="228">
        <f t="shared" si="722"/>
        <v>303.39999999999998</v>
      </c>
      <c r="AW84" s="228">
        <f t="shared" si="722"/>
        <v>291.20000000000005</v>
      </c>
      <c r="AX84" s="228">
        <f t="shared" si="722"/>
        <v>341.6</v>
      </c>
      <c r="AY84" s="229">
        <f t="shared" si="722"/>
        <v>344.79999999999995</v>
      </c>
      <c r="AZ84" s="228">
        <f t="shared" si="722"/>
        <v>380</v>
      </c>
      <c r="BA84" s="228">
        <f t="shared" si="722"/>
        <v>420</v>
      </c>
      <c r="BB84" s="228">
        <f t="shared" si="722"/>
        <v>444</v>
      </c>
      <c r="BC84" s="229">
        <f t="shared" si="722"/>
        <v>474</v>
      </c>
      <c r="BD84" s="228">
        <f t="shared" si="722"/>
        <v>504</v>
      </c>
      <c r="BE84" s="228">
        <f t="shared" si="722"/>
        <v>511</v>
      </c>
      <c r="BF84" s="228">
        <f t="shared" si="722"/>
        <v>513</v>
      </c>
      <c r="BG84" s="229">
        <f t="shared" si="722"/>
        <v>532</v>
      </c>
      <c r="BH84" s="228">
        <f t="shared" si="722"/>
        <v>594</v>
      </c>
      <c r="BI84" s="228">
        <f t="shared" si="722"/>
        <v>540</v>
      </c>
      <c r="BJ84" s="228">
        <f t="shared" si="722"/>
        <v>514</v>
      </c>
      <c r="BK84" s="229">
        <f t="shared" si="722"/>
        <v>490.99999999999994</v>
      </c>
      <c r="BL84" s="228">
        <f t="shared" si="722"/>
        <v>491</v>
      </c>
      <c r="BM84" s="228">
        <f t="shared" si="722"/>
        <v>446</v>
      </c>
      <c r="BN84" s="228">
        <f t="shared" si="722"/>
        <v>476</v>
      </c>
      <c r="BO84" s="229">
        <f t="shared" si="722"/>
        <v>509</v>
      </c>
      <c r="BP84" s="228">
        <f t="shared" ref="BP84:BZ84" si="723">+SUM(BP81:BP83)</f>
        <v>517</v>
      </c>
      <c r="BQ84" s="228">
        <f t="shared" si="723"/>
        <v>516</v>
      </c>
      <c r="BR84" s="228">
        <f>+SUM(BR81:BR83)</f>
        <v>559</v>
      </c>
      <c r="BS84" s="229">
        <f t="shared" si="723"/>
        <v>570</v>
      </c>
      <c r="BT84" s="228">
        <f t="shared" si="723"/>
        <v>581</v>
      </c>
      <c r="BU84" s="228">
        <f t="shared" si="723"/>
        <v>586</v>
      </c>
      <c r="BV84" s="228">
        <f t="shared" si="723"/>
        <v>546</v>
      </c>
      <c r="BW84" s="227">
        <f t="shared" si="723"/>
        <v>509</v>
      </c>
      <c r="BX84" s="228">
        <f t="shared" si="723"/>
        <v>485</v>
      </c>
      <c r="BY84" s="228">
        <f t="shared" si="723"/>
        <v>485</v>
      </c>
      <c r="BZ84" s="228">
        <f t="shared" si="723"/>
        <v>470</v>
      </c>
      <c r="CA84" s="227">
        <f>+SUM(CA81:CA83)</f>
        <v>486</v>
      </c>
      <c r="CB84" s="228">
        <f t="shared" ref="CB84:CQ84" si="724">+SUM(CB81:CB83)</f>
        <v>541</v>
      </c>
      <c r="CC84" s="228">
        <f t="shared" si="724"/>
        <v>561</v>
      </c>
      <c r="CD84" s="228">
        <f t="shared" si="724"/>
        <v>578</v>
      </c>
      <c r="CE84" s="227">
        <f t="shared" si="724"/>
        <v>590</v>
      </c>
      <c r="CF84" s="228">
        <f t="shared" si="724"/>
        <v>681</v>
      </c>
      <c r="CG84" s="228">
        <f t="shared" si="724"/>
        <v>674</v>
      </c>
      <c r="CH84" s="228">
        <f t="shared" si="724"/>
        <v>707</v>
      </c>
      <c r="CI84" s="227">
        <f t="shared" si="724"/>
        <v>743</v>
      </c>
      <c r="CJ84" s="228">
        <f t="shared" si="724"/>
        <v>770</v>
      </c>
      <c r="CK84" s="228">
        <f t="shared" si="724"/>
        <v>805</v>
      </c>
      <c r="CL84" s="228">
        <f>+SUM(CL81:CL83)</f>
        <v>785</v>
      </c>
      <c r="CM84" s="227">
        <f t="shared" si="724"/>
        <v>746</v>
      </c>
      <c r="CN84" s="1252">
        <f t="shared" ref="CN84:CO84" si="725">+SUM(CN81:CN83)</f>
        <v>803</v>
      </c>
      <c r="CO84" s="1252">
        <f t="shared" si="725"/>
        <v>1034</v>
      </c>
      <c r="CP84" s="228">
        <f t="shared" si="724"/>
        <v>1051</v>
      </c>
      <c r="CQ84" s="1331">
        <f t="shared" si="724"/>
        <v>1098</v>
      </c>
      <c r="CR84" s="1330">
        <f t="shared" ref="CR84:CU84" si="726">+SUM(CR81:CR83)</f>
        <v>1119</v>
      </c>
      <c r="CS84" s="1330">
        <f t="shared" si="726"/>
        <v>1177</v>
      </c>
      <c r="CT84" s="1330">
        <f t="shared" si="726"/>
        <v>1218.4154501321186</v>
      </c>
      <c r="CU84" s="1331">
        <f t="shared" si="726"/>
        <v>1231.4162888743406</v>
      </c>
      <c r="CV84" s="1330">
        <f t="shared" ref="CV84:CY84" si="727">+SUM(CV81:CV83)</f>
        <v>1250</v>
      </c>
      <c r="CW84" s="1330">
        <f t="shared" si="727"/>
        <v>1250</v>
      </c>
      <c r="CX84" s="1330">
        <f t="shared" si="727"/>
        <v>1250</v>
      </c>
      <c r="CY84" s="1331">
        <f t="shared" si="727"/>
        <v>1250</v>
      </c>
      <c r="CZ84" s="1330">
        <f t="shared" ref="CZ84:DC84" si="728">+SUM(CZ81:CZ83)</f>
        <v>1375</v>
      </c>
      <c r="DA84" s="1330">
        <f t="shared" si="728"/>
        <v>1375</v>
      </c>
      <c r="DB84" s="1330">
        <f t="shared" si="728"/>
        <v>1375</v>
      </c>
      <c r="DC84" s="1331">
        <f t="shared" si="728"/>
        <v>1375</v>
      </c>
      <c r="DD84" s="18"/>
      <c r="DE84" s="400"/>
      <c r="DF84" s="400"/>
      <c r="DG84" s="400">
        <f t="shared" ref="DG84:DW84" si="729">DG70*DG89</f>
        <v>461.7</v>
      </c>
      <c r="DH84" s="400">
        <f t="shared" si="729"/>
        <v>606.6</v>
      </c>
      <c r="DI84" s="400">
        <f t="shared" si="729"/>
        <v>843.30000000000007</v>
      </c>
      <c r="DJ84" s="400">
        <f t="shared" si="729"/>
        <v>974.4</v>
      </c>
      <c r="DK84" s="400">
        <f t="shared" si="729"/>
        <v>1114.4000000000001</v>
      </c>
      <c r="DL84" s="400">
        <f t="shared" si="729"/>
        <v>1177.3999999999999</v>
      </c>
      <c r="DM84" s="400">
        <f t="shared" si="729"/>
        <v>1209.9000000000003</v>
      </c>
      <c r="DN84" s="400">
        <f t="shared" si="729"/>
        <v>1217.5</v>
      </c>
      <c r="DO84" s="400">
        <f t="shared" si="729"/>
        <v>1264.5</v>
      </c>
      <c r="DP84" s="400">
        <f t="shared" si="729"/>
        <v>1281</v>
      </c>
      <c r="DQ84" s="400">
        <f t="shared" si="729"/>
        <v>1718</v>
      </c>
      <c r="DR84" s="400">
        <f t="shared" si="729"/>
        <v>2060</v>
      </c>
      <c r="DS84" s="400">
        <f t="shared" si="729"/>
        <v>2139</v>
      </c>
      <c r="DT84" s="400">
        <f t="shared" si="729"/>
        <v>1922</v>
      </c>
      <c r="DU84" s="400">
        <f t="shared" si="729"/>
        <v>2162</v>
      </c>
      <c r="DV84" s="400">
        <f t="shared" si="729"/>
        <v>2222</v>
      </c>
      <c r="DW84" s="400">
        <f t="shared" si="729"/>
        <v>1926</v>
      </c>
      <c r="DX84" s="400">
        <f t="shared" ref="DX84:EB84" si="730">+SUM(DX81:DX83)</f>
        <v>2270</v>
      </c>
      <c r="DY84" s="400">
        <f t="shared" si="730"/>
        <v>2805</v>
      </c>
      <c r="DZ84" s="400">
        <f t="shared" si="730"/>
        <v>3106</v>
      </c>
      <c r="EA84" s="245">
        <f t="shared" si="730"/>
        <v>3986</v>
      </c>
      <c r="EB84" s="245">
        <f t="shared" si="730"/>
        <v>4745.8317390064594</v>
      </c>
      <c r="EC84" s="245">
        <f t="shared" ref="EC84:ED84" si="731">+SUM(EC81:EC83)</f>
        <v>5000</v>
      </c>
      <c r="ED84" s="245">
        <f t="shared" si="731"/>
        <v>5500</v>
      </c>
      <c r="EE84" s="18"/>
      <c r="EF84" s="604"/>
      <c r="EG84" s="400"/>
      <c r="EH84" s="400">
        <f t="shared" ref="EH84:EY84" si="732">EH70*EH89</f>
        <v>487.7</v>
      </c>
      <c r="EI84" s="400">
        <f t="shared" si="732"/>
        <v>659.8</v>
      </c>
      <c r="EJ84" s="400">
        <f t="shared" si="732"/>
        <v>883.3</v>
      </c>
      <c r="EK84" s="400">
        <f t="shared" si="732"/>
        <v>1013.0999999999999</v>
      </c>
      <c r="EL84" s="400">
        <f t="shared" si="732"/>
        <v>1143.8000000000002</v>
      </c>
      <c r="EM84" s="400">
        <f t="shared" si="732"/>
        <v>1179.7</v>
      </c>
      <c r="EN84" s="400">
        <f t="shared" si="732"/>
        <v>1222.5</v>
      </c>
      <c r="EO84" s="400">
        <f t="shared" si="732"/>
        <v>1218.7</v>
      </c>
      <c r="EP84" s="400">
        <f t="shared" si="732"/>
        <v>1254.1999999999998</v>
      </c>
      <c r="EQ84" s="400">
        <f t="shared" si="732"/>
        <v>1357.6</v>
      </c>
      <c r="ER84" s="400">
        <f t="shared" si="732"/>
        <v>1842</v>
      </c>
      <c r="ES84" s="400">
        <f t="shared" si="732"/>
        <v>2150</v>
      </c>
      <c r="ET84" s="245">
        <f t="shared" si="732"/>
        <v>2036.0000000000002</v>
      </c>
      <c r="EU84" s="245">
        <f t="shared" si="732"/>
        <v>1948</v>
      </c>
      <c r="EV84" s="245">
        <f t="shared" si="732"/>
        <v>2226</v>
      </c>
      <c r="EW84" s="245">
        <f t="shared" si="732"/>
        <v>2126</v>
      </c>
      <c r="EX84" s="245">
        <f t="shared" si="732"/>
        <v>1982</v>
      </c>
      <c r="EY84" s="245">
        <f t="shared" si="732"/>
        <v>2410</v>
      </c>
      <c r="EZ84" s="245">
        <f t="shared" ref="EZ84:FA84" si="733">EZ70*EZ89</f>
        <v>2894</v>
      </c>
      <c r="FA84" s="245">
        <f t="shared" si="733"/>
        <v>3139</v>
      </c>
      <c r="FB84" s="245">
        <f t="shared" ref="FB84:FC84" si="734">FB70*FB89</f>
        <v>4302</v>
      </c>
      <c r="FC84" s="245">
        <f t="shared" si="734"/>
        <v>4876.8317390064594</v>
      </c>
      <c r="FD84" s="227">
        <f t="shared" ref="FD84" si="735">FD70*FD89</f>
        <v>5125</v>
      </c>
    </row>
    <row r="85" spans="1:170" s="505" customFormat="1" ht="14.25" customHeight="1">
      <c r="A85" s="615"/>
      <c r="B85" s="654"/>
      <c r="C85" s="655"/>
      <c r="D85" s="653"/>
      <c r="E85" s="653"/>
      <c r="F85" s="653"/>
      <c r="G85" s="656"/>
      <c r="H85" s="653"/>
      <c r="I85" s="653"/>
      <c r="J85" s="653"/>
      <c r="K85" s="656"/>
      <c r="L85" s="653"/>
      <c r="M85" s="653"/>
      <c r="N85" s="653"/>
      <c r="O85" s="656"/>
      <c r="P85" s="653"/>
      <c r="Q85" s="653"/>
      <c r="R85" s="653"/>
      <c r="S85" s="656"/>
      <c r="T85" s="653"/>
      <c r="U85" s="653"/>
      <c r="V85" s="653"/>
      <c r="W85" s="656"/>
      <c r="X85" s="653"/>
      <c r="Y85" s="653"/>
      <c r="Z85" s="653"/>
      <c r="AA85" s="656"/>
      <c r="AB85" s="653"/>
      <c r="AC85" s="653"/>
      <c r="AD85" s="653"/>
      <c r="AE85" s="656"/>
      <c r="AF85" s="653"/>
      <c r="AG85" s="653"/>
      <c r="AH85" s="653"/>
      <c r="AI85" s="656"/>
      <c r="AJ85" s="653"/>
      <c r="AK85" s="653"/>
      <c r="AL85" s="653"/>
      <c r="AM85" s="656"/>
      <c r="AN85" s="653"/>
      <c r="AO85" s="653"/>
      <c r="AP85" s="653"/>
      <c r="AQ85" s="656"/>
      <c r="AR85" s="653"/>
      <c r="AS85" s="653"/>
      <c r="AT85" s="653"/>
      <c r="AU85" s="656"/>
      <c r="AV85" s="653"/>
      <c r="AW85" s="653"/>
      <c r="AX85" s="653"/>
      <c r="AY85" s="656"/>
      <c r="AZ85" s="653"/>
      <c r="BA85" s="653"/>
      <c r="BB85" s="653"/>
      <c r="BC85" s="656"/>
      <c r="BD85" s="653"/>
      <c r="BE85" s="653"/>
      <c r="BF85" s="653"/>
      <c r="BG85" s="656"/>
      <c r="BH85" s="653"/>
      <c r="BI85" s="653"/>
      <c r="BJ85" s="653"/>
      <c r="BK85" s="656"/>
      <c r="BL85" s="653"/>
      <c r="BM85" s="653"/>
      <c r="BN85" s="653"/>
      <c r="BO85" s="656"/>
      <c r="BP85" s="653">
        <f t="shared" ref="BP85:BZ85" si="736">+BP81/BP86</f>
        <v>7.6276562004440218E-2</v>
      </c>
      <c r="BQ85" s="653">
        <f t="shared" si="736"/>
        <v>8.1348540758134857E-2</v>
      </c>
      <c r="BR85" s="653">
        <f t="shared" si="736"/>
        <v>9.0893441211912548E-2</v>
      </c>
      <c r="BS85" s="656">
        <f t="shared" si="736"/>
        <v>8.9112227805695138E-2</v>
      </c>
      <c r="BT85" s="653">
        <f t="shared" si="736"/>
        <v>9.0848139456922564E-2</v>
      </c>
      <c r="BU85" s="653">
        <f t="shared" si="736"/>
        <v>9.508082739440292E-2</v>
      </c>
      <c r="BV85" s="653">
        <f t="shared" si="736"/>
        <v>8.8023847098018582E-2</v>
      </c>
      <c r="BW85" s="616">
        <f t="shared" si="736"/>
        <v>8.6727989487516421E-2</v>
      </c>
      <c r="BX85" s="653">
        <f t="shared" si="736"/>
        <v>7.9584775086505188E-2</v>
      </c>
      <c r="BY85" s="653">
        <f t="shared" si="736"/>
        <v>7.5967092595834063E-2</v>
      </c>
      <c r="BZ85" s="653">
        <f t="shared" si="736"/>
        <v>7.1781756180733167E-2</v>
      </c>
      <c r="CA85" s="616">
        <f t="shared" ref="CA85" si="737">+CA81/CA86</f>
        <v>7.0224259289572766E-2</v>
      </c>
      <c r="CB85" s="653">
        <f t="shared" ref="CB85:CI85" si="738">+CB81/CB86</f>
        <v>7.1200365130077589E-2</v>
      </c>
      <c r="CC85" s="653">
        <f t="shared" si="738"/>
        <v>6.9577666428060125E-2</v>
      </c>
      <c r="CD85" s="653">
        <f t="shared" si="738"/>
        <v>6.9040500135906499E-2</v>
      </c>
      <c r="CE85" s="616">
        <f t="shared" si="738"/>
        <v>6.5145380934854613E-2</v>
      </c>
      <c r="CF85" s="653">
        <f t="shared" si="738"/>
        <v>7.3369239976062234E-2</v>
      </c>
      <c r="CG85" s="653">
        <f t="shared" si="738"/>
        <v>7.2017916077322011E-2</v>
      </c>
      <c r="CH85" s="653">
        <f t="shared" si="738"/>
        <v>7.3810888252149001E-2</v>
      </c>
      <c r="CI85" s="616">
        <f t="shared" si="738"/>
        <v>7.087923508626065E-2</v>
      </c>
      <c r="CJ85" s="653">
        <f t="shared" ref="CJ85:CM85" si="739">+CJ81/CJ86</f>
        <v>7.1205244578920829E-2</v>
      </c>
      <c r="CK85" s="653">
        <f t="shared" si="739"/>
        <v>6.9353937814187305E-2</v>
      </c>
      <c r="CL85" s="653">
        <f t="shared" si="739"/>
        <v>5.9675693472713801E-2</v>
      </c>
      <c r="CM85" s="616">
        <f t="shared" si="739"/>
        <v>4.9781659388646288E-2</v>
      </c>
      <c r="CN85" s="1282">
        <f t="shared" ref="CN85:CO85" si="740">+CN81/CN86</f>
        <v>5.0857927247769392E-2</v>
      </c>
      <c r="CO85" s="1282">
        <f t="shared" si="740"/>
        <v>6.0515356585111924E-2</v>
      </c>
      <c r="CP85" s="653">
        <f t="shared" ref="CP85:CQ85" si="741">+CP81/CP86</f>
        <v>5.7704112952731736E-2</v>
      </c>
      <c r="CQ85" s="1352">
        <f t="shared" si="741"/>
        <v>5.5836370048195604E-2</v>
      </c>
      <c r="CR85" s="1351">
        <f t="shared" ref="CR85:CU85" si="742">+CR81/CR86</f>
        <v>5.1507265235306875E-2</v>
      </c>
      <c r="CS85" s="1351">
        <f t="shared" si="742"/>
        <v>5.7535076208741293E-2</v>
      </c>
      <c r="CT85" s="1351">
        <f t="shared" si="742"/>
        <v>5.7671011034795223E-2</v>
      </c>
      <c r="CU85" s="1352">
        <f t="shared" si="742"/>
        <v>5.6520690727238289E-2</v>
      </c>
      <c r="CV85" s="1351">
        <f t="shared" ref="CV85:CY85" si="743">+CV81/CV86</f>
        <v>5.2925734609196376E-2</v>
      </c>
      <c r="CW85" s="1351">
        <f t="shared" si="743"/>
        <v>4.9771053155484773E-2</v>
      </c>
      <c r="CX85" s="1351">
        <f t="shared" si="743"/>
        <v>4.6762186225730425E-2</v>
      </c>
      <c r="CY85" s="1352">
        <f t="shared" si="743"/>
        <v>4.576072631424806E-2</v>
      </c>
      <c r="CZ85" s="1351">
        <f t="shared" ref="CZ85:DC85" si="744">+CZ81/CZ86</f>
        <v>4.7866044698182827E-2</v>
      </c>
      <c r="DA85" s="1351">
        <f t="shared" si="744"/>
        <v>4.5975858494666802E-2</v>
      </c>
      <c r="DB85" s="1351">
        <f t="shared" si="744"/>
        <v>4.4902357781986806E-2</v>
      </c>
      <c r="DC85" s="1352">
        <f t="shared" si="744"/>
        <v>4.4213640309977813E-2</v>
      </c>
      <c r="DD85" s="617"/>
      <c r="DE85" s="657"/>
      <c r="DF85" s="657"/>
      <c r="DG85" s="657"/>
      <c r="DH85" s="657"/>
      <c r="DI85" s="657"/>
      <c r="DJ85" s="657"/>
      <c r="DK85" s="657"/>
      <c r="DL85" s="657"/>
      <c r="DM85" s="657"/>
      <c r="DN85" s="657"/>
      <c r="DO85" s="657"/>
      <c r="DP85" s="657"/>
      <c r="DQ85" s="657"/>
      <c r="DR85" s="657"/>
      <c r="DS85" s="657"/>
      <c r="DT85" s="657"/>
      <c r="DU85" s="657"/>
      <c r="DV85" s="657"/>
      <c r="DW85" s="657"/>
      <c r="DX85" s="657"/>
      <c r="DY85" s="657"/>
      <c r="DZ85" s="657"/>
      <c r="EA85" s="658"/>
      <c r="EB85" s="658"/>
      <c r="EC85" s="658"/>
      <c r="ED85" s="658"/>
      <c r="EE85" s="617"/>
      <c r="EF85" s="659"/>
      <c r="EG85" s="657"/>
      <c r="EH85" s="657"/>
      <c r="EI85" s="657"/>
      <c r="EJ85" s="657"/>
      <c r="EK85" s="657"/>
      <c r="EL85" s="657"/>
      <c r="EM85" s="657"/>
      <c r="EN85" s="657"/>
      <c r="EO85" s="657"/>
      <c r="EP85" s="657"/>
      <c r="EQ85" s="657"/>
      <c r="ER85" s="657"/>
      <c r="ES85" s="657"/>
      <c r="ET85" s="658"/>
      <c r="EU85" s="658"/>
      <c r="EV85" s="658"/>
      <c r="EW85" s="658"/>
      <c r="EX85" s="658"/>
      <c r="EY85" s="658"/>
      <c r="EZ85" s="658"/>
      <c r="FA85" s="658"/>
      <c r="FB85" s="658"/>
      <c r="FC85" s="658"/>
      <c r="FD85" s="616"/>
      <c r="FE85"/>
      <c r="FF85"/>
      <c r="FG85"/>
      <c r="FH85"/>
      <c r="FI85"/>
      <c r="FJ85"/>
      <c r="FK85"/>
      <c r="FL85"/>
      <c r="FM85"/>
      <c r="FN85"/>
    </row>
    <row r="86" spans="1:170" ht="14.25" customHeight="1">
      <c r="A86" s="7"/>
      <c r="B86" s="633" t="s">
        <v>201</v>
      </c>
      <c r="C86" s="385"/>
      <c r="D86" s="228"/>
      <c r="E86" s="228"/>
      <c r="F86" s="228"/>
      <c r="G86" s="229"/>
      <c r="H86" s="228"/>
      <c r="I86" s="228"/>
      <c r="J86" s="228"/>
      <c r="K86" s="229"/>
      <c r="L86" s="228"/>
      <c r="M86" s="228"/>
      <c r="N86" s="228"/>
      <c r="O86" s="229"/>
      <c r="P86" s="228"/>
      <c r="Q86" s="228"/>
      <c r="R86" s="228"/>
      <c r="S86" s="229"/>
      <c r="T86" s="228"/>
      <c r="U86" s="228"/>
      <c r="V86" s="228"/>
      <c r="W86" s="229"/>
      <c r="X86" s="228"/>
      <c r="Y86" s="228"/>
      <c r="Z86" s="228"/>
      <c r="AA86" s="229"/>
      <c r="AB86" s="228"/>
      <c r="AC86" s="228"/>
      <c r="AD86" s="228"/>
      <c r="AE86" s="229"/>
      <c r="AF86" s="228"/>
      <c r="AG86" s="228"/>
      <c r="AH86" s="228"/>
      <c r="AI86" s="229"/>
      <c r="AJ86" s="228"/>
      <c r="AK86" s="228"/>
      <c r="AL86" s="228"/>
      <c r="AM86" s="229"/>
      <c r="AN86" s="228"/>
      <c r="AO86" s="228"/>
      <c r="AP86" s="228"/>
      <c r="AQ86" s="229"/>
      <c r="AR86" s="228"/>
      <c r="AS86" s="228"/>
      <c r="AT86" s="228"/>
      <c r="AU86" s="229"/>
      <c r="AV86" s="228"/>
      <c r="AW86" s="228"/>
      <c r="AX86" s="228"/>
      <c r="AY86" s="229"/>
      <c r="AZ86" s="275">
        <f t="shared" ref="AZ86:BK86" si="745">+SUM(AK66:AZ66)</f>
        <v>4878.7</v>
      </c>
      <c r="BA86" s="275">
        <f t="shared" si="745"/>
        <v>5732.2</v>
      </c>
      <c r="BB86" s="275">
        <f t="shared" si="745"/>
        <v>6254.1</v>
      </c>
      <c r="BC86" s="472">
        <f t="shared" si="745"/>
        <v>6824.6</v>
      </c>
      <c r="BD86" s="275">
        <f t="shared" si="745"/>
        <v>7287</v>
      </c>
      <c r="BE86" s="275">
        <f t="shared" si="745"/>
        <v>7732</v>
      </c>
      <c r="BF86" s="275">
        <f t="shared" si="745"/>
        <v>7798.6</v>
      </c>
      <c r="BG86" s="472">
        <f t="shared" si="745"/>
        <v>8178.6</v>
      </c>
      <c r="BH86" s="275">
        <f t="shared" si="745"/>
        <v>8093</v>
      </c>
      <c r="BI86" s="275">
        <f t="shared" si="745"/>
        <v>7896.1</v>
      </c>
      <c r="BJ86" s="275">
        <f t="shared" si="745"/>
        <v>7721.6</v>
      </c>
      <c r="BK86" s="472">
        <f t="shared" si="745"/>
        <v>7623</v>
      </c>
      <c r="BL86" s="275">
        <f t="shared" ref="BL86:BR86" si="746">+SUM(AW66:BL66)</f>
        <v>7421.7</v>
      </c>
      <c r="BM86" s="275">
        <f t="shared" si="746"/>
        <v>7340</v>
      </c>
      <c r="BN86" s="275">
        <f t="shared" si="746"/>
        <v>7134.1</v>
      </c>
      <c r="BO86" s="472">
        <f t="shared" si="746"/>
        <v>6929</v>
      </c>
      <c r="BP86" s="275">
        <f t="shared" si="746"/>
        <v>6306</v>
      </c>
      <c r="BQ86" s="275">
        <f t="shared" si="746"/>
        <v>5962</v>
      </c>
      <c r="BR86" s="275">
        <f t="shared" si="746"/>
        <v>5809</v>
      </c>
      <c r="BS86" s="472">
        <f t="shared" ref="BS86:CD86" si="747">+SUM(BD66:BS66)</f>
        <v>5970</v>
      </c>
      <c r="BT86" s="275">
        <f t="shared" si="747"/>
        <v>5966</v>
      </c>
      <c r="BU86" s="275">
        <f t="shared" si="747"/>
        <v>5753</v>
      </c>
      <c r="BV86" s="275">
        <f t="shared" si="747"/>
        <v>5703</v>
      </c>
      <c r="BW86" s="605">
        <f t="shared" si="747"/>
        <v>5327</v>
      </c>
      <c r="BX86" s="275">
        <f t="shared" si="747"/>
        <v>5491</v>
      </c>
      <c r="BY86" s="275">
        <f t="shared" si="747"/>
        <v>5713</v>
      </c>
      <c r="BZ86" s="275">
        <f t="shared" si="747"/>
        <v>5865</v>
      </c>
      <c r="CA86" s="605">
        <f t="shared" ref="CA86:CI86" si="748">+SUM(BL66:CA66)</f>
        <v>6109</v>
      </c>
      <c r="CB86" s="275">
        <f t="shared" si="747"/>
        <v>6573</v>
      </c>
      <c r="CC86" s="228">
        <f t="shared" si="748"/>
        <v>6985</v>
      </c>
      <c r="CD86" s="275">
        <f t="shared" si="747"/>
        <v>7358</v>
      </c>
      <c r="CE86" s="605">
        <f t="shared" si="748"/>
        <v>8151</v>
      </c>
      <c r="CF86" s="275">
        <f t="shared" si="748"/>
        <v>8355</v>
      </c>
      <c r="CG86" s="228">
        <f t="shared" si="748"/>
        <v>8484</v>
      </c>
      <c r="CH86" s="275">
        <f t="shared" si="748"/>
        <v>8725</v>
      </c>
      <c r="CI86" s="605">
        <f t="shared" si="748"/>
        <v>9622</v>
      </c>
      <c r="CJ86" s="275">
        <f t="shared" ref="CJ86:CQ86" si="749">+SUM(BU66:CJ66)</f>
        <v>9915</v>
      </c>
      <c r="CK86" s="228">
        <f t="shared" si="749"/>
        <v>10742</v>
      </c>
      <c r="CL86" s="228">
        <f t="shared" si="749"/>
        <v>12149</v>
      </c>
      <c r="CM86" s="605">
        <f t="shared" si="749"/>
        <v>13740</v>
      </c>
      <c r="CN86" s="1259">
        <f t="shared" si="749"/>
        <v>14570</v>
      </c>
      <c r="CO86" s="1252">
        <f t="shared" si="749"/>
        <v>15368</v>
      </c>
      <c r="CP86" s="228">
        <f t="shared" si="749"/>
        <v>16290</v>
      </c>
      <c r="CQ86" s="1331">
        <f t="shared" si="749"/>
        <v>17014</v>
      </c>
      <c r="CR86" s="1259">
        <f t="shared" ref="CR86" si="750">+SUM(CC66:CR66)</f>
        <v>18444</v>
      </c>
      <c r="CS86" s="1330">
        <f t="shared" ref="CS86" si="751">+SUM(CD66:CS66)</f>
        <v>19814</v>
      </c>
      <c r="CT86" s="1330">
        <f t="shared" ref="CT86" si="752">+SUM(CE66:CT66)</f>
        <v>21127</v>
      </c>
      <c r="CU86" s="1331">
        <f t="shared" ref="CU86" si="753">+SUM(CF66:CU66)</f>
        <v>21787</v>
      </c>
      <c r="CV86" s="1259">
        <f t="shared" ref="CV86" si="754">+SUM(CG66:CV66)</f>
        <v>23618</v>
      </c>
      <c r="CW86" s="1330">
        <f t="shared" ref="CW86" si="755">+SUM(CH66:CW66)</f>
        <v>25115</v>
      </c>
      <c r="CX86" s="1330">
        <f t="shared" ref="CX86" si="756">+SUM(CI66:CX66)</f>
        <v>26731</v>
      </c>
      <c r="CY86" s="1331">
        <f t="shared" ref="CY86" si="757">+SUM(CJ66:CY66)</f>
        <v>27316</v>
      </c>
      <c r="CZ86" s="1259">
        <f t="shared" ref="CZ86" si="758">+SUM(CK66:CZ66)</f>
        <v>28726</v>
      </c>
      <c r="DA86" s="1330">
        <f t="shared" ref="DA86" si="759">+SUM(CL66:DA66)</f>
        <v>29907</v>
      </c>
      <c r="DB86" s="1330">
        <f t="shared" ref="DB86" si="760">+SUM(CM66:DB66)</f>
        <v>30622</v>
      </c>
      <c r="DC86" s="1331">
        <f t="shared" ref="DC86" si="761">+SUM(CN66:DC66)</f>
        <v>31099</v>
      </c>
      <c r="DD86" s="18"/>
      <c r="DE86" s="400"/>
      <c r="DF86" s="400"/>
      <c r="DG86" s="400"/>
      <c r="DH86" s="400"/>
      <c r="DI86" s="400"/>
      <c r="DJ86" s="400"/>
      <c r="DK86" s="400"/>
      <c r="DL86" s="400"/>
      <c r="DM86" s="400"/>
      <c r="DN86" s="400"/>
      <c r="DO86" s="400"/>
      <c r="DP86" s="400"/>
      <c r="DQ86" s="400"/>
      <c r="DR86" s="400"/>
      <c r="DS86" s="400"/>
      <c r="DT86" s="400"/>
      <c r="DU86" s="400"/>
      <c r="DV86" s="400"/>
      <c r="DW86" s="400"/>
      <c r="DX86" s="400"/>
      <c r="DY86" s="400"/>
      <c r="DZ86" s="400"/>
      <c r="EA86" s="245"/>
      <c r="EB86" s="245"/>
      <c r="EC86" s="245"/>
      <c r="ED86" s="245"/>
      <c r="EE86" s="18"/>
      <c r="EF86" s="604"/>
      <c r="EG86" s="400"/>
      <c r="EH86" s="400"/>
      <c r="EI86" s="400"/>
      <c r="EJ86" s="400"/>
      <c r="EK86" s="400"/>
      <c r="EL86" s="400"/>
      <c r="EM86" s="400"/>
      <c r="EN86" s="400"/>
      <c r="EO86" s="400"/>
      <c r="EP86" s="400"/>
      <c r="EQ86" s="400"/>
      <c r="ER86" s="400"/>
      <c r="ES86" s="400"/>
      <c r="ET86" s="245"/>
      <c r="EU86" s="245"/>
      <c r="EV86" s="245"/>
      <c r="EW86" s="245"/>
      <c r="EX86" s="245"/>
      <c r="EY86" s="245"/>
      <c r="EZ86" s="245"/>
      <c r="FA86" s="245"/>
      <c r="FB86" s="245"/>
      <c r="FC86" s="245"/>
      <c r="FD86" s="227"/>
    </row>
    <row r="87" spans="1:170" ht="14.25" customHeight="1">
      <c r="A87" s="7"/>
      <c r="B87" s="633" t="s">
        <v>202</v>
      </c>
      <c r="C87" s="385"/>
      <c r="D87" s="228"/>
      <c r="E87" s="228"/>
      <c r="F87" s="228"/>
      <c r="G87" s="229"/>
      <c r="H87" s="228"/>
      <c r="I87" s="228"/>
      <c r="J87" s="228"/>
      <c r="K87" s="229"/>
      <c r="L87" s="228"/>
      <c r="M87" s="228"/>
      <c r="N87" s="228"/>
      <c r="O87" s="229"/>
      <c r="P87" s="228"/>
      <c r="Q87" s="228"/>
      <c r="R87" s="228"/>
      <c r="S87" s="229"/>
      <c r="T87" s="228"/>
      <c r="U87" s="228"/>
      <c r="V87" s="228"/>
      <c r="W87" s="229"/>
      <c r="X87" s="228"/>
      <c r="Y87" s="228"/>
      <c r="Z87" s="228"/>
      <c r="AA87" s="229"/>
      <c r="AB87" s="228"/>
      <c r="AC87" s="228"/>
      <c r="AD87" s="228"/>
      <c r="AE87" s="229"/>
      <c r="AF87" s="228"/>
      <c r="AG87" s="228"/>
      <c r="AH87" s="228"/>
      <c r="AI87" s="229"/>
      <c r="AJ87" s="228"/>
      <c r="AK87" s="228"/>
      <c r="AL87" s="228"/>
      <c r="AM87" s="229"/>
      <c r="AN87" s="228"/>
      <c r="AO87" s="228"/>
      <c r="AP87" s="228"/>
      <c r="AQ87" s="229"/>
      <c r="AR87" s="228"/>
      <c r="AS87" s="228"/>
      <c r="AT87" s="228"/>
      <c r="AU87" s="229"/>
      <c r="AV87" s="228"/>
      <c r="AW87" s="228"/>
      <c r="AX87" s="228"/>
      <c r="AY87" s="229"/>
      <c r="AZ87" s="275">
        <f t="shared" ref="AZ87:BO87" si="762">+SUM(AS66:AZ66)</f>
        <v>3060</v>
      </c>
      <c r="BA87" s="275">
        <f t="shared" si="762"/>
        <v>3826.1</v>
      </c>
      <c r="BB87" s="275">
        <f t="shared" si="762"/>
        <v>4246.6000000000004</v>
      </c>
      <c r="BC87" s="472">
        <f t="shared" si="762"/>
        <v>4819</v>
      </c>
      <c r="BD87" s="275">
        <f t="shared" si="762"/>
        <v>5256.7</v>
      </c>
      <c r="BE87" s="275">
        <f t="shared" si="762"/>
        <v>5687</v>
      </c>
      <c r="BF87" s="275">
        <f t="shared" si="762"/>
        <v>5695.1</v>
      </c>
      <c r="BG87" s="472">
        <f t="shared" si="762"/>
        <v>5851</v>
      </c>
      <c r="BH87" s="275">
        <f t="shared" si="762"/>
        <v>5033</v>
      </c>
      <c r="BI87" s="275">
        <f t="shared" si="762"/>
        <v>4070</v>
      </c>
      <c r="BJ87" s="275">
        <f t="shared" si="762"/>
        <v>3475</v>
      </c>
      <c r="BK87" s="472">
        <f t="shared" si="762"/>
        <v>2804</v>
      </c>
      <c r="BL87" s="275">
        <f t="shared" si="762"/>
        <v>2165</v>
      </c>
      <c r="BM87" s="275">
        <f t="shared" si="762"/>
        <v>1653</v>
      </c>
      <c r="BN87" s="275">
        <f t="shared" si="762"/>
        <v>1439</v>
      </c>
      <c r="BO87" s="472">
        <f t="shared" si="762"/>
        <v>1078</v>
      </c>
      <c r="BP87" s="275">
        <f t="shared" ref="BP87:CD87" si="763">+SUM(BI66:BP66)</f>
        <v>1273</v>
      </c>
      <c r="BQ87" s="275">
        <f t="shared" si="763"/>
        <v>1892</v>
      </c>
      <c r="BR87" s="275">
        <f t="shared" si="763"/>
        <v>2334</v>
      </c>
      <c r="BS87" s="472">
        <f t="shared" si="763"/>
        <v>3166</v>
      </c>
      <c r="BT87" s="275">
        <f t="shared" si="763"/>
        <v>3801</v>
      </c>
      <c r="BU87" s="275">
        <f t="shared" si="763"/>
        <v>4100</v>
      </c>
      <c r="BV87" s="275">
        <f t="shared" si="763"/>
        <v>4264</v>
      </c>
      <c r="BW87" s="605">
        <f>+SUM(BP66:BW66)</f>
        <v>4249</v>
      </c>
      <c r="BX87" s="275">
        <f t="shared" si="763"/>
        <v>4218</v>
      </c>
      <c r="BY87" s="275">
        <f t="shared" si="763"/>
        <v>3821</v>
      </c>
      <c r="BZ87" s="275">
        <f t="shared" si="763"/>
        <v>3531</v>
      </c>
      <c r="CA87" s="605">
        <f t="shared" ref="CA87:CI87" si="764">+SUM(BT66:CA66)</f>
        <v>2943</v>
      </c>
      <c r="CB87" s="275">
        <f t="shared" si="763"/>
        <v>2772</v>
      </c>
      <c r="CC87" s="228">
        <f t="shared" si="764"/>
        <v>2885</v>
      </c>
      <c r="CD87" s="275">
        <f t="shared" si="763"/>
        <v>3094</v>
      </c>
      <c r="CE87" s="605">
        <f t="shared" si="764"/>
        <v>3902</v>
      </c>
      <c r="CF87" s="275">
        <f t="shared" si="764"/>
        <v>4137</v>
      </c>
      <c r="CG87" s="228">
        <f t="shared" si="764"/>
        <v>4663</v>
      </c>
      <c r="CH87" s="275">
        <f t="shared" si="764"/>
        <v>5194</v>
      </c>
      <c r="CI87" s="605">
        <f t="shared" si="764"/>
        <v>6679</v>
      </c>
      <c r="CJ87" s="275">
        <f t="shared" ref="CJ87:CQ87" si="765">+SUM(CC66:CJ66)</f>
        <v>7143</v>
      </c>
      <c r="CK87" s="228">
        <f t="shared" si="765"/>
        <v>7857</v>
      </c>
      <c r="CL87" s="228">
        <f t="shared" si="765"/>
        <v>9055</v>
      </c>
      <c r="CM87" s="605">
        <f t="shared" si="765"/>
        <v>9838</v>
      </c>
      <c r="CN87" s="1259">
        <f t="shared" si="765"/>
        <v>10433</v>
      </c>
      <c r="CO87" s="1252">
        <f t="shared" si="765"/>
        <v>10705</v>
      </c>
      <c r="CP87" s="228">
        <f t="shared" si="765"/>
        <v>11096</v>
      </c>
      <c r="CQ87" s="1331">
        <f t="shared" si="765"/>
        <v>10335</v>
      </c>
      <c r="CR87" s="1259">
        <f t="shared" ref="CR87" si="766">+SUM(CK66:CR66)</f>
        <v>11301</v>
      </c>
      <c r="CS87" s="1330">
        <f t="shared" ref="CS87" si="767">+SUM(CL66:CS66)</f>
        <v>11957</v>
      </c>
      <c r="CT87" s="1330">
        <f t="shared" ref="CT87" si="768">+SUM(CM66:CT66)</f>
        <v>12072</v>
      </c>
      <c r="CU87" s="1331">
        <f t="shared" ref="CU87" si="769">+SUM(CN66:CU66)</f>
        <v>11949</v>
      </c>
      <c r="CV87" s="1259">
        <f t="shared" ref="CV87" si="770">+SUM(CO66:CV66)</f>
        <v>13185</v>
      </c>
      <c r="CW87" s="1330">
        <f t="shared" ref="CW87" si="771">+SUM(CP66:CW66)</f>
        <v>14410</v>
      </c>
      <c r="CX87" s="1330">
        <f t="shared" ref="CX87" si="772">+SUM(CQ66:CX66)</f>
        <v>15635</v>
      </c>
      <c r="CY87" s="1331">
        <f t="shared" ref="CY87" si="773">+SUM(CR66:CY66)</f>
        <v>16981</v>
      </c>
      <c r="CZ87" s="1259">
        <f t="shared" ref="CZ87" si="774">+SUM(CS66:CZ66)</f>
        <v>17425</v>
      </c>
      <c r="DA87" s="1330">
        <f t="shared" ref="DA87" si="775">+SUM(CT66:DA66)</f>
        <v>17950</v>
      </c>
      <c r="DB87" s="1330">
        <f t="shared" ref="DB87" si="776">+SUM(CU66:DB66)</f>
        <v>18550</v>
      </c>
      <c r="DC87" s="1331">
        <f t="shared" ref="DC87" si="777">+SUM(CV66:DC66)</f>
        <v>19150</v>
      </c>
      <c r="DD87" s="18"/>
      <c r="DE87" s="400"/>
      <c r="DF87" s="400"/>
      <c r="DG87" s="400"/>
      <c r="DH87" s="400"/>
      <c r="DI87" s="400"/>
      <c r="DJ87" s="400"/>
      <c r="DK87" s="400"/>
      <c r="DL87" s="400"/>
      <c r="DM87" s="400"/>
      <c r="DN87" s="400"/>
      <c r="DO87" s="400"/>
      <c r="DP87" s="400"/>
      <c r="DQ87" s="400"/>
      <c r="DR87" s="400"/>
      <c r="DS87" s="400"/>
      <c r="DT87" s="400"/>
      <c r="DU87" s="400"/>
      <c r="DV87" s="400"/>
      <c r="DW87" s="400"/>
      <c r="DX87" s="400"/>
      <c r="DY87" s="400"/>
      <c r="DZ87" s="400"/>
      <c r="EA87" s="245"/>
      <c r="EB87" s="245"/>
      <c r="EC87" s="245"/>
      <c r="ED87" s="245"/>
      <c r="EE87" s="18"/>
      <c r="EF87" s="604"/>
      <c r="EG87" s="400"/>
      <c r="EH87" s="400"/>
      <c r="EI87" s="400"/>
      <c r="EJ87" s="400"/>
      <c r="EK87" s="400"/>
      <c r="EL87" s="400"/>
      <c r="EM87" s="400"/>
      <c r="EN87" s="400"/>
      <c r="EO87" s="400"/>
      <c r="EP87" s="400"/>
      <c r="EQ87" s="400"/>
      <c r="ER87" s="400"/>
      <c r="ES87" s="400"/>
      <c r="ET87" s="245"/>
      <c r="EU87" s="245"/>
      <c r="EV87" s="245"/>
      <c r="EW87" s="245"/>
      <c r="EX87" s="245"/>
      <c r="EY87" s="245"/>
      <c r="EZ87" s="245"/>
      <c r="FA87" s="245"/>
      <c r="FB87" s="245"/>
      <c r="FC87" s="245"/>
      <c r="FD87" s="227"/>
    </row>
    <row r="88" spans="1:170" ht="14.25" customHeight="1">
      <c r="A88" s="7"/>
      <c r="B88" s="326"/>
      <c r="C88" s="385"/>
      <c r="D88" s="228"/>
      <c r="E88" s="228"/>
      <c r="F88" s="228"/>
      <c r="G88" s="229"/>
      <c r="H88" s="228"/>
      <c r="I88" s="228"/>
      <c r="J88" s="228"/>
      <c r="K88" s="229"/>
      <c r="L88" s="228"/>
      <c r="M88" s="228"/>
      <c r="N88" s="228"/>
      <c r="O88" s="229"/>
      <c r="P88" s="228"/>
      <c r="Q88" s="228"/>
      <c r="R88" s="228"/>
      <c r="S88" s="229"/>
      <c r="T88" s="228"/>
      <c r="U88" s="228"/>
      <c r="V88" s="228"/>
      <c r="W88" s="229"/>
      <c r="X88" s="228"/>
      <c r="Y88" s="228"/>
      <c r="Z88" s="228"/>
      <c r="AA88" s="229"/>
      <c r="AB88" s="228"/>
      <c r="AC88" s="228"/>
      <c r="AD88" s="228"/>
      <c r="AE88" s="229"/>
      <c r="AF88" s="228"/>
      <c r="AG88" s="228"/>
      <c r="AH88" s="228"/>
      <c r="AI88" s="229"/>
      <c r="AJ88" s="228"/>
      <c r="AK88" s="228"/>
      <c r="AL88" s="228"/>
      <c r="AM88" s="229"/>
      <c r="AN88" s="228"/>
      <c r="AO88" s="228"/>
      <c r="AP88" s="228"/>
      <c r="AQ88" s="229"/>
      <c r="AR88" s="228"/>
      <c r="AS88" s="228"/>
      <c r="AT88" s="228"/>
      <c r="AU88" s="229"/>
      <c r="AV88" s="228"/>
      <c r="AW88" s="228"/>
      <c r="AX88" s="228"/>
      <c r="AY88" s="229"/>
      <c r="AZ88" s="228"/>
      <c r="BA88" s="228"/>
      <c r="BB88" s="228"/>
      <c r="BC88" s="229"/>
      <c r="BD88" s="228"/>
      <c r="BE88" s="228"/>
      <c r="BF88" s="228"/>
      <c r="BG88" s="229"/>
      <c r="BH88" s="228"/>
      <c r="BI88" s="228"/>
      <c r="BJ88" s="228"/>
      <c r="BK88" s="229"/>
      <c r="BL88" s="228"/>
      <c r="BM88" s="228"/>
      <c r="BN88" s="228"/>
      <c r="BO88" s="229"/>
      <c r="BP88" s="228"/>
      <c r="BQ88" s="228"/>
      <c r="BR88" s="228"/>
      <c r="BS88" s="229"/>
      <c r="BT88" s="228"/>
      <c r="BU88" s="228"/>
      <c r="BV88" s="228"/>
      <c r="BW88" s="227"/>
      <c r="BX88" s="228"/>
      <c r="BY88" s="228"/>
      <c r="BZ88" s="228"/>
      <c r="CA88" s="227"/>
      <c r="CB88" s="228"/>
      <c r="CC88" s="228"/>
      <c r="CD88" s="228"/>
      <c r="CE88" s="227"/>
      <c r="CF88" s="228"/>
      <c r="CG88" s="228"/>
      <c r="CH88" s="228"/>
      <c r="CI88" s="227"/>
      <c r="CJ88" s="228"/>
      <c r="CK88" s="228"/>
      <c r="CL88" s="228"/>
      <c r="CM88" s="227"/>
      <c r="CN88" s="1252"/>
      <c r="CO88" s="1252"/>
      <c r="CP88" s="228"/>
      <c r="CQ88" s="1331"/>
      <c r="CR88" s="1330"/>
      <c r="CS88" s="1330"/>
      <c r="CT88" s="1330"/>
      <c r="CU88" s="1331"/>
      <c r="CV88" s="1330"/>
      <c r="CW88" s="1330"/>
      <c r="CX88" s="1330"/>
      <c r="CY88" s="1331"/>
      <c r="CZ88" s="1330"/>
      <c r="DA88" s="1330"/>
      <c r="DB88" s="1330"/>
      <c r="DC88" s="1331"/>
      <c r="DD88" s="18"/>
      <c r="DE88" s="400"/>
      <c r="DF88" s="400"/>
      <c r="DG88" s="400"/>
      <c r="DH88" s="400"/>
      <c r="DI88" s="400"/>
      <c r="DJ88" s="400"/>
      <c r="DK88" s="400"/>
      <c r="DL88" s="400"/>
      <c r="DM88" s="400"/>
      <c r="DN88" s="400"/>
      <c r="DO88" s="400"/>
      <c r="DP88" s="400"/>
      <c r="DQ88" s="400"/>
      <c r="DR88" s="400"/>
      <c r="DS88" s="400"/>
      <c r="DT88" s="400"/>
      <c r="DU88" s="400"/>
      <c r="DV88" s="400"/>
      <c r="DW88" s="400"/>
      <c r="DX88" s="400"/>
      <c r="DY88" s="400"/>
      <c r="DZ88" s="400"/>
      <c r="EA88" s="245"/>
      <c r="EB88" s="245"/>
      <c r="EC88" s="245"/>
      <c r="ED88" s="245"/>
      <c r="EE88" s="18"/>
      <c r="EF88" s="604"/>
      <c r="EG88" s="400"/>
      <c r="EH88" s="400"/>
      <c r="EI88" s="400"/>
      <c r="EJ88" s="400"/>
      <c r="EK88" s="400"/>
      <c r="EL88" s="400"/>
      <c r="EM88" s="400"/>
      <c r="EN88" s="400"/>
      <c r="EO88" s="400"/>
      <c r="EP88" s="400"/>
      <c r="EQ88" s="400"/>
      <c r="ER88" s="400"/>
      <c r="ES88" s="400"/>
      <c r="ET88" s="245"/>
      <c r="EU88" s="245"/>
      <c r="EV88" s="245"/>
      <c r="EW88" s="245"/>
      <c r="EX88" s="245"/>
      <c r="EY88" s="245"/>
      <c r="EZ88" s="245"/>
      <c r="FA88" s="245"/>
      <c r="FB88" s="245"/>
      <c r="FC88" s="245"/>
      <c r="FD88" s="227"/>
    </row>
    <row r="89" spans="1:170" ht="14.25" customHeight="1">
      <c r="A89" s="7"/>
      <c r="B89" s="332" t="s">
        <v>353</v>
      </c>
      <c r="C89" s="602"/>
      <c r="D89" s="603"/>
      <c r="E89" s="239"/>
      <c r="F89" s="239"/>
      <c r="G89" s="240"/>
      <c r="H89" s="603"/>
      <c r="I89" s="239"/>
      <c r="J89" s="239"/>
      <c r="K89" s="240"/>
      <c r="L89" s="603">
        <f t="shared" ref="L89:AQ89" si="778">L91/L70</f>
        <v>3.026893523600439E-2</v>
      </c>
      <c r="M89" s="239">
        <f t="shared" si="778"/>
        <v>3.161035400370938E-2</v>
      </c>
      <c r="N89" s="239">
        <f t="shared" si="778"/>
        <v>3.2146233848093286E-2</v>
      </c>
      <c r="O89" s="240">
        <f t="shared" si="778"/>
        <v>2.8192539353140655E-2</v>
      </c>
      <c r="P89" s="603">
        <f t="shared" si="778"/>
        <v>3.2769149396547584E-2</v>
      </c>
      <c r="Q89" s="239">
        <f t="shared" si="778"/>
        <v>3.4957400859102455E-2</v>
      </c>
      <c r="R89" s="239">
        <f t="shared" si="778"/>
        <v>3.3684820652295062E-2</v>
      </c>
      <c r="S89" s="240">
        <f t="shared" si="778"/>
        <v>3.6791301928386456E-2</v>
      </c>
      <c r="T89" s="603">
        <f t="shared" si="778"/>
        <v>3.5060778182760093E-2</v>
      </c>
      <c r="U89" s="239">
        <f t="shared" si="778"/>
        <v>3.9582882297755639E-2</v>
      </c>
      <c r="V89" s="239">
        <f t="shared" si="778"/>
        <v>3.548875319659725E-2</v>
      </c>
      <c r="W89" s="240">
        <f t="shared" si="778"/>
        <v>3.8304239401496257E-2</v>
      </c>
      <c r="X89" s="603">
        <f t="shared" si="778"/>
        <v>3.6977958236658934E-2</v>
      </c>
      <c r="Y89" s="239">
        <f t="shared" si="778"/>
        <v>3.6378359859220735E-2</v>
      </c>
      <c r="Z89" s="239">
        <f t="shared" si="778"/>
        <v>3.7136026846036202E-2</v>
      </c>
      <c r="AA89" s="240">
        <f t="shared" si="778"/>
        <v>3.6860896685059472E-2</v>
      </c>
      <c r="AB89" s="603">
        <f t="shared" si="778"/>
        <v>3.5643564356435641E-2</v>
      </c>
      <c r="AC89" s="239">
        <f t="shared" si="778"/>
        <v>3.5473193108661087E-2</v>
      </c>
      <c r="AD89" s="239">
        <f t="shared" si="778"/>
        <v>3.441720366392613E-2</v>
      </c>
      <c r="AE89" s="240">
        <f t="shared" si="778"/>
        <v>3.6004829916208285E-2</v>
      </c>
      <c r="AF89" s="603">
        <f t="shared" si="778"/>
        <v>3.6915748734742487E-2</v>
      </c>
      <c r="AG89" s="239">
        <f t="shared" si="778"/>
        <v>3.5747201297663955E-2</v>
      </c>
      <c r="AH89" s="239">
        <f t="shared" si="778"/>
        <v>3.3977996525767225E-2</v>
      </c>
      <c r="AI89" s="240">
        <f t="shared" si="778"/>
        <v>3.3428358107649513E-2</v>
      </c>
      <c r="AJ89" s="603">
        <f t="shared" si="778"/>
        <v>3.2564553608269813E-2</v>
      </c>
      <c r="AK89" s="239">
        <f t="shared" si="778"/>
        <v>3.37930583698281E-2</v>
      </c>
      <c r="AL89" s="239">
        <f t="shared" si="778"/>
        <v>3.2379518072289157E-2</v>
      </c>
      <c r="AM89" s="240">
        <f t="shared" si="778"/>
        <v>3.1969528374561337E-2</v>
      </c>
      <c r="AN89" s="603">
        <f t="shared" si="778"/>
        <v>3.2590445002972243E-2</v>
      </c>
      <c r="AO89" s="239">
        <f t="shared" si="778"/>
        <v>3.0287505891514174E-2</v>
      </c>
      <c r="AP89" s="239">
        <f t="shared" si="778"/>
        <v>3.0005499175123733E-2</v>
      </c>
      <c r="AQ89" s="240">
        <f t="shared" si="778"/>
        <v>3.0255010711036763E-2</v>
      </c>
      <c r="AR89" s="603">
        <f t="shared" ref="AR89:CI89" si="779">AR91/AR70</f>
        <v>2.9838962817817768E-2</v>
      </c>
      <c r="AS89" s="239">
        <f t="shared" si="779"/>
        <v>2.9592588791760348E-2</v>
      </c>
      <c r="AT89" s="239">
        <f t="shared" si="779"/>
        <v>2.9150278971919887E-2</v>
      </c>
      <c r="AU89" s="240">
        <f t="shared" si="779"/>
        <v>2.8551740395861849E-2</v>
      </c>
      <c r="AV89" s="603">
        <f t="shared" si="779"/>
        <v>2.692007382169222E-2</v>
      </c>
      <c r="AW89" s="239">
        <f t="shared" si="779"/>
        <v>2.5299079954475563E-2</v>
      </c>
      <c r="AX89" s="239">
        <f t="shared" si="779"/>
        <v>2.7501590036309184E-2</v>
      </c>
      <c r="AY89" s="240">
        <f t="shared" si="779"/>
        <v>2.6254473463793494E-2</v>
      </c>
      <c r="AZ89" s="603">
        <f t="shared" si="779"/>
        <v>2.6154587376970198E-2</v>
      </c>
      <c r="BA89" s="239">
        <f t="shared" si="779"/>
        <v>2.7345530307962759E-2</v>
      </c>
      <c r="BB89" s="239">
        <f t="shared" si="779"/>
        <v>2.7926284671991951E-2</v>
      </c>
      <c r="BC89" s="240">
        <f t="shared" si="779"/>
        <v>2.8557657549102302E-2</v>
      </c>
      <c r="BD89" s="603">
        <f t="shared" si="779"/>
        <v>2.9406616488709961E-2</v>
      </c>
      <c r="BE89" s="239">
        <f t="shared" si="779"/>
        <v>2.9216695254431102E-2</v>
      </c>
      <c r="BF89" s="239">
        <f t="shared" si="779"/>
        <v>2.8619246861924685E-2</v>
      </c>
      <c r="BG89" s="240">
        <f t="shared" si="779"/>
        <v>2.8892630206919026E-2</v>
      </c>
      <c r="BH89" s="603">
        <f t="shared" si="779"/>
        <v>3.3318375588961183E-2</v>
      </c>
      <c r="BI89" s="239">
        <f t="shared" si="779"/>
        <v>3.0880082346886259E-2</v>
      </c>
      <c r="BJ89" s="239">
        <f t="shared" si="779"/>
        <v>2.9536834846569361E-2</v>
      </c>
      <c r="BK89" s="240">
        <f t="shared" si="779"/>
        <v>2.9369541811221436E-2</v>
      </c>
      <c r="BL89" s="603">
        <f t="shared" si="779"/>
        <v>2.8752122738185865E-2</v>
      </c>
      <c r="BM89" s="239">
        <f t="shared" si="779"/>
        <v>2.6280124918979436E-2</v>
      </c>
      <c r="BN89" s="239">
        <f t="shared" si="779"/>
        <v>2.7282627385796985E-2</v>
      </c>
      <c r="BO89" s="240">
        <f t="shared" si="779"/>
        <v>2.8574636501431539E-2</v>
      </c>
      <c r="BP89" s="603">
        <f t="shared" si="779"/>
        <v>2.7620472272678706E-2</v>
      </c>
      <c r="BQ89" s="239">
        <f t="shared" si="779"/>
        <v>2.693954265427587E-2</v>
      </c>
      <c r="BR89" s="239">
        <f t="shared" si="779"/>
        <v>2.9688246853258271E-2</v>
      </c>
      <c r="BS89" s="240">
        <f t="shared" si="779"/>
        <v>2.8851994330836201E-2</v>
      </c>
      <c r="BT89" s="603">
        <f t="shared" si="779"/>
        <v>2.8931381336520266E-2</v>
      </c>
      <c r="BU89" s="239">
        <f t="shared" si="779"/>
        <v>2.8748037676609106E-2</v>
      </c>
      <c r="BV89" s="239">
        <f t="shared" si="779"/>
        <v>2.6577102803738317E-2</v>
      </c>
      <c r="BW89" s="240">
        <f>BW91/BW70</f>
        <v>2.4441776710684274E-2</v>
      </c>
      <c r="BX89" s="603">
        <f>BX91/BX70</f>
        <v>2.2773160539043057E-2</v>
      </c>
      <c r="BY89" s="239">
        <f>BY91/BY70</f>
        <v>2.4002771454023557E-2</v>
      </c>
      <c r="BZ89" s="239">
        <f>BZ91/BZ70</f>
        <v>2.3370294863507533E-2</v>
      </c>
      <c r="CA89" s="240">
        <f t="shared" si="779"/>
        <v>2.3231357552581263E-2</v>
      </c>
      <c r="CB89" s="239">
        <f>CB91/CB70</f>
        <v>2.5279192561095277E-2</v>
      </c>
      <c r="CC89" s="239">
        <f>CC91/CC70</f>
        <v>2.5570901134965129E-2</v>
      </c>
      <c r="CD89" s="239">
        <f>CD91/CD70</f>
        <v>2.5827784976987355E-2</v>
      </c>
      <c r="CE89" s="240">
        <f t="shared" si="779"/>
        <v>2.5179242062137248E-2</v>
      </c>
      <c r="CF89" s="239">
        <f t="shared" si="779"/>
        <v>2.7968294385806398E-2</v>
      </c>
      <c r="CG89" s="239">
        <f t="shared" si="779"/>
        <v>2.7062838787392091E-2</v>
      </c>
      <c r="CH89" s="239">
        <f t="shared" si="779"/>
        <v>2.717767356039056E-2</v>
      </c>
      <c r="CI89" s="240">
        <f t="shared" si="779"/>
        <v>2.7241063244729607E-2</v>
      </c>
      <c r="CJ89" s="239">
        <f t="shared" ref="CJ89:CQ89" si="780">CJ91/CJ70</f>
        <v>2.7130826961699727E-2</v>
      </c>
      <c r="CK89" s="239">
        <f t="shared" si="780"/>
        <v>2.7071563088512243E-2</v>
      </c>
      <c r="CL89" s="239">
        <f t="shared" si="780"/>
        <v>2.4830771177326502E-2</v>
      </c>
      <c r="CM89" s="240">
        <f t="shared" si="780"/>
        <v>2.2199077518226456E-2</v>
      </c>
      <c r="CN89" s="1256">
        <f t="shared" ref="CN89:CO89" si="781">CN91/CN70</f>
        <v>2.3018489322058192E-2</v>
      </c>
      <c r="CO89" s="1256">
        <f t="shared" si="781"/>
        <v>2.8708665352472445E-2</v>
      </c>
      <c r="CP89" s="239">
        <f t="shared" si="780"/>
        <v>2.6099480990339964E-2</v>
      </c>
      <c r="CQ89" s="1335">
        <f t="shared" si="780"/>
        <v>2.6436809284183661E-2</v>
      </c>
      <c r="CR89" s="1334">
        <f t="shared" ref="CR89:CU89" si="782">CR91/CR70</f>
        <v>2.5666314968576541E-2</v>
      </c>
      <c r="CS89" s="1334">
        <f t="shared" si="782"/>
        <v>2.5654438850018526E-2</v>
      </c>
      <c r="CT89" s="1334">
        <f t="shared" si="782"/>
        <v>2.5554551272722135E-2</v>
      </c>
      <c r="CU89" s="1335">
        <f t="shared" si="782"/>
        <v>2.4887655144088212E-2</v>
      </c>
      <c r="CV89" s="1334">
        <f t="shared" ref="CV89:CY89" si="783">CV91/CV70</f>
        <v>2.4048173300756075E-2</v>
      </c>
      <c r="CW89" s="1334">
        <f t="shared" si="783"/>
        <v>2.3007969960794419E-2</v>
      </c>
      <c r="CX89" s="1334">
        <f t="shared" si="783"/>
        <v>2.2054023536053919E-2</v>
      </c>
      <c r="CY89" s="1335">
        <f t="shared" si="783"/>
        <v>2.1176032119805521E-2</v>
      </c>
      <c r="CZ89" s="1334">
        <f t="shared" ref="CZ89:DC89" si="784">CZ91/CZ70</f>
        <v>2.2383564765827216E-2</v>
      </c>
      <c r="DA89" s="1334">
        <f t="shared" si="784"/>
        <v>2.1541932350498991E-2</v>
      </c>
      <c r="DB89" s="1334">
        <f t="shared" si="784"/>
        <v>2.0761297920850384E-2</v>
      </c>
      <c r="DC89" s="1335">
        <f t="shared" si="784"/>
        <v>2.0035262061227761E-2</v>
      </c>
      <c r="DD89" s="18"/>
      <c r="DE89" s="257"/>
      <c r="DF89" s="257"/>
      <c r="DG89" s="257">
        <f t="shared" ref="DG89:EB89" si="785">DG91/DG70</f>
        <v>0.11684466265121222</v>
      </c>
      <c r="DH89" s="257">
        <f t="shared" si="785"/>
        <v>0.12982899214519616</v>
      </c>
      <c r="DI89" s="257">
        <f t="shared" si="785"/>
        <v>0.1401995012468828</v>
      </c>
      <c r="DJ89" s="257">
        <f t="shared" si="785"/>
        <v>0.13750864368270274</v>
      </c>
      <c r="DK89" s="257">
        <f t="shared" si="785"/>
        <v>0.13592067228530658</v>
      </c>
      <c r="DL89" s="257">
        <f t="shared" si="785"/>
        <v>0.13319305866648568</v>
      </c>
      <c r="DM89" s="257">
        <f t="shared" si="785"/>
        <v>0.12945091158092958</v>
      </c>
      <c r="DN89" s="257">
        <f t="shared" si="785"/>
        <v>0.11909303440248065</v>
      </c>
      <c r="DO89" s="257">
        <f t="shared" si="785"/>
        <v>0.11465124080840684</v>
      </c>
      <c r="DP89" s="257">
        <f t="shared" si="785"/>
        <v>9.7540546714383614E-2</v>
      </c>
      <c r="DQ89" s="257">
        <f t="shared" si="785"/>
        <v>0.10350644655982648</v>
      </c>
      <c r="DR89" s="257">
        <f t="shared" si="785"/>
        <v>0.11187747786889697</v>
      </c>
      <c r="DS89" s="257">
        <f t="shared" si="785"/>
        <v>0.1279459265462376</v>
      </c>
      <c r="DT89" s="257">
        <f t="shared" si="785"/>
        <v>0.10789872564980632</v>
      </c>
      <c r="DU89" s="257">
        <f t="shared" si="785"/>
        <v>0.10943510832152258</v>
      </c>
      <c r="DV89" s="257">
        <f t="shared" si="785"/>
        <v>0.10669867947178871</v>
      </c>
      <c r="DW89" s="257">
        <f t="shared" si="785"/>
        <v>9.2065009560229449E-2</v>
      </c>
      <c r="DX89" s="257">
        <f t="shared" si="785"/>
        <v>9.6876066917036527E-2</v>
      </c>
      <c r="DY89" s="257">
        <f t="shared" si="785"/>
        <v>0.10284142988084326</v>
      </c>
      <c r="DZ89" s="257">
        <f t="shared" si="785"/>
        <v>9.2426722213956258E-2</v>
      </c>
      <c r="EA89" s="239">
        <f t="shared" si="785"/>
        <v>9.5971877783930848E-2</v>
      </c>
      <c r="EB89" s="1334">
        <f t="shared" si="785"/>
        <v>9.5916080337243262E-2</v>
      </c>
      <c r="EC89" s="1334">
        <f t="shared" ref="EC89:ED89" si="786">EC91/EC70</f>
        <v>8.4704128479222082E-2</v>
      </c>
      <c r="ED89" s="1334">
        <f t="shared" si="786"/>
        <v>8.0141048244911042E-2</v>
      </c>
      <c r="EE89" s="18"/>
      <c r="EF89" s="258"/>
      <c r="EG89" s="257"/>
      <c r="EH89" s="257">
        <f t="shared" ref="EH89:EY89" si="787">EH91/EH70</f>
        <v>0.11725248833966438</v>
      </c>
      <c r="EI89" s="257">
        <f t="shared" si="787"/>
        <v>0.12207441395770505</v>
      </c>
      <c r="EJ89" s="257">
        <f t="shared" si="787"/>
        <v>0.14232083011085331</v>
      </c>
      <c r="EK89" s="257">
        <f t="shared" si="787"/>
        <v>0.13464017542693865</v>
      </c>
      <c r="EL89" s="257">
        <f t="shared" si="787"/>
        <v>0.1418825047137045</v>
      </c>
      <c r="EM89" s="257">
        <f t="shared" si="787"/>
        <v>0.12809737876517471</v>
      </c>
      <c r="EN89" s="257">
        <f t="shared" si="787"/>
        <v>0.12749382085162742</v>
      </c>
      <c r="EO89" s="257">
        <f t="shared" si="787"/>
        <v>0.11592204012137239</v>
      </c>
      <c r="EP89" s="257">
        <f t="shared" si="787"/>
        <v>0.11128265190232821</v>
      </c>
      <c r="EQ89" s="257">
        <f t="shared" si="787"/>
        <v>9.3440704797301946E-2</v>
      </c>
      <c r="ER89" s="257">
        <f t="shared" si="787"/>
        <v>0.10747418169088045</v>
      </c>
      <c r="ES89" s="257">
        <f t="shared" si="787"/>
        <v>0.12059681400044873</v>
      </c>
      <c r="ET89" s="1334">
        <f t="shared" si="787"/>
        <v>0.11922468817708029</v>
      </c>
      <c r="EU89" s="1334">
        <f t="shared" si="787"/>
        <v>0.10407094775082808</v>
      </c>
      <c r="EV89" s="1334">
        <f t="shared" si="787"/>
        <v>0.110845533313415</v>
      </c>
      <c r="EW89" s="1334">
        <f t="shared" si="787"/>
        <v>9.9826266610320707E-2</v>
      </c>
      <c r="EX89" s="1334">
        <f t="shared" si="787"/>
        <v>9.2612494743236295E-2</v>
      </c>
      <c r="EY89" s="1334">
        <f t="shared" si="787"/>
        <v>9.8977370733911038E-2</v>
      </c>
      <c r="EZ89" s="1334">
        <f>EZ91/EZ70</f>
        <v>0.10196962756773897</v>
      </c>
      <c r="FA89" s="1334">
        <f t="shared" ref="FA89:FC89" si="788">FA91/FA70</f>
        <v>8.9981367349863839E-2</v>
      </c>
      <c r="FB89" s="1334">
        <f t="shared" si="788"/>
        <v>9.8674251112436356E-2</v>
      </c>
      <c r="FC89" s="1334">
        <f t="shared" si="788"/>
        <v>9.382311585460397E-2</v>
      </c>
      <c r="FD89" s="1335">
        <f t="shared" ref="FD89" si="789">FD91/FD70</f>
        <v>8.3429650490810525E-2</v>
      </c>
    </row>
    <row r="90" spans="1:170" ht="14.25" customHeight="1">
      <c r="A90" s="7"/>
      <c r="B90" s="601"/>
      <c r="C90" s="601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 s="77"/>
      <c r="AZ90" s="77"/>
      <c r="BA90" s="77"/>
      <c r="BB90" s="77"/>
      <c r="BC90" s="77"/>
      <c r="BD90" s="77"/>
      <c r="BE90" s="77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77"/>
      <c r="BS90" s="77"/>
      <c r="BT90" s="77"/>
      <c r="BU90" s="77"/>
      <c r="BV90" s="77"/>
      <c r="BW90" s="77"/>
      <c r="BX90" s="77"/>
      <c r="BY90" s="77"/>
      <c r="BZ90" s="77"/>
      <c r="CA90" s="77"/>
      <c r="CB90" s="79"/>
      <c r="CC90" s="79"/>
      <c r="CD90" s="79"/>
      <c r="CE90" s="77"/>
      <c r="CF90" s="79"/>
      <c r="CG90" s="79"/>
      <c r="CH90" s="79"/>
      <c r="CI90" s="77"/>
      <c r="CJ90" s="79"/>
      <c r="CK90" s="79"/>
      <c r="CL90" s="79"/>
      <c r="CM90" s="77"/>
      <c r="CN90" s="1232"/>
      <c r="CO90" s="1232"/>
      <c r="CP90" s="79"/>
      <c r="CQ90" s="79"/>
      <c r="CR90" s="1232"/>
      <c r="CS90" s="1232"/>
      <c r="CT90" s="1232"/>
      <c r="CU90" s="1232"/>
      <c r="CV90" s="1232"/>
      <c r="CW90" s="1232"/>
      <c r="CX90" s="1232"/>
      <c r="CY90" s="1232"/>
      <c r="CZ90" s="1232"/>
      <c r="DA90" s="1232"/>
      <c r="DB90" s="1232"/>
      <c r="DC90" s="1232"/>
      <c r="DD90" s="13"/>
      <c r="DE90" s="238"/>
      <c r="DF90" s="238"/>
      <c r="DG90" s="238"/>
      <c r="DH90" s="238"/>
      <c r="DI90" s="238"/>
      <c r="DJ90" s="238"/>
      <c r="DK90" s="238"/>
      <c r="DL90" s="238"/>
      <c r="DM90" s="238"/>
      <c r="DN90" s="238"/>
      <c r="DO90" s="238"/>
      <c r="DP90" s="238"/>
      <c r="DQ90" s="238"/>
      <c r="DR90" s="238"/>
      <c r="DS90" s="238"/>
      <c r="DT90" s="238"/>
      <c r="DU90" s="238"/>
      <c r="DV90" s="238"/>
      <c r="DW90" s="238"/>
      <c r="DX90" s="238"/>
      <c r="DY90" s="238"/>
      <c r="DZ90" s="238"/>
      <c r="EA90" s="77"/>
      <c r="EB90" s="1231"/>
      <c r="EC90" s="1231"/>
      <c r="ED90" s="1231"/>
      <c r="EE90" s="13"/>
      <c r="EF90" s="238"/>
      <c r="EG90" s="238"/>
      <c r="EH90" s="238"/>
      <c r="EI90" s="238"/>
      <c r="EJ90" s="238"/>
      <c r="EK90" s="238"/>
      <c r="EL90" s="238"/>
      <c r="EM90" s="238"/>
      <c r="EN90" s="238"/>
      <c r="EO90" s="238"/>
      <c r="EP90" s="238"/>
      <c r="EQ90" s="238"/>
      <c r="ER90" s="238"/>
      <c r="ES90" s="238"/>
      <c r="ET90" s="1231"/>
      <c r="EU90" s="1231"/>
      <c r="EV90" s="1231"/>
      <c r="EW90" s="77"/>
      <c r="EX90" s="1231"/>
      <c r="EY90" s="1231"/>
      <c r="EZ90" s="1231"/>
      <c r="FA90" s="1231"/>
      <c r="FB90" s="1231"/>
      <c r="FC90" s="1231"/>
      <c r="FD90" s="1231"/>
    </row>
    <row r="91" spans="1:170" ht="14.25" customHeight="1">
      <c r="A91" s="7"/>
      <c r="B91" s="63" t="s">
        <v>354</v>
      </c>
      <c r="C91" s="215"/>
      <c r="D91" s="151"/>
      <c r="E91" s="149"/>
      <c r="F91" s="149"/>
      <c r="G91" s="152"/>
      <c r="H91" s="151"/>
      <c r="I91" s="149"/>
      <c r="J91" s="149"/>
      <c r="K91" s="152"/>
      <c r="L91" s="151">
        <f t="shared" ref="L91:AY91" si="790">L10</f>
        <v>110.3</v>
      </c>
      <c r="M91" s="149">
        <f t="shared" si="790"/>
        <v>117.60000000000001</v>
      </c>
      <c r="N91" s="149">
        <f t="shared" si="790"/>
        <v>122.39999999999999</v>
      </c>
      <c r="O91" s="152">
        <f t="shared" si="790"/>
        <v>111.39999999999999</v>
      </c>
      <c r="P91" s="151">
        <f t="shared" si="790"/>
        <v>136.30000000000001</v>
      </c>
      <c r="Q91" s="149">
        <f t="shared" si="790"/>
        <v>147.30000000000001</v>
      </c>
      <c r="R91" s="149">
        <f t="shared" si="790"/>
        <v>151.09999999999997</v>
      </c>
      <c r="S91" s="152">
        <f t="shared" si="790"/>
        <v>171.90000000000003</v>
      </c>
      <c r="T91" s="151">
        <f t="shared" si="790"/>
        <v>189.5</v>
      </c>
      <c r="U91" s="149">
        <f t="shared" si="790"/>
        <v>219.39999999999998</v>
      </c>
      <c r="V91" s="149">
        <f t="shared" si="790"/>
        <v>204</v>
      </c>
      <c r="W91" s="152">
        <f t="shared" si="790"/>
        <v>230.39999999999998</v>
      </c>
      <c r="X91" s="151">
        <f t="shared" si="790"/>
        <v>229.5</v>
      </c>
      <c r="Y91" s="149">
        <f t="shared" si="790"/>
        <v>233.60000000000002</v>
      </c>
      <c r="Z91" s="149">
        <f t="shared" si="790"/>
        <v>250.10000000000002</v>
      </c>
      <c r="AA91" s="152">
        <f t="shared" si="790"/>
        <v>261.19999999999993</v>
      </c>
      <c r="AB91" s="151">
        <f t="shared" si="790"/>
        <v>268.2</v>
      </c>
      <c r="AC91" s="149">
        <f t="shared" si="790"/>
        <v>272.2</v>
      </c>
      <c r="AD91" s="149">
        <f t="shared" si="790"/>
        <v>278.8</v>
      </c>
      <c r="AE91" s="152">
        <f t="shared" si="790"/>
        <v>295.2000000000001</v>
      </c>
      <c r="AF91" s="151">
        <f t="shared" si="790"/>
        <v>297.60000000000002</v>
      </c>
      <c r="AG91" s="149">
        <f t="shared" si="790"/>
        <v>290.89999999999998</v>
      </c>
      <c r="AH91" s="149">
        <f t="shared" si="790"/>
        <v>293.39999999999998</v>
      </c>
      <c r="AI91" s="152">
        <f t="shared" si="790"/>
        <v>295.50000000000011</v>
      </c>
      <c r="AJ91" s="151">
        <f t="shared" si="790"/>
        <v>299.89999999999998</v>
      </c>
      <c r="AK91" s="149">
        <f t="shared" si="790"/>
        <v>310.20000000000005</v>
      </c>
      <c r="AL91" s="149">
        <f t="shared" si="790"/>
        <v>301</v>
      </c>
      <c r="AM91" s="152">
        <f t="shared" si="790"/>
        <v>298.80000000000007</v>
      </c>
      <c r="AN91" s="151">
        <f t="shared" si="790"/>
        <v>312.5</v>
      </c>
      <c r="AO91" s="149">
        <f t="shared" si="790"/>
        <v>295.60000000000002</v>
      </c>
      <c r="AP91" s="149">
        <f t="shared" si="790"/>
        <v>300.10000000000002</v>
      </c>
      <c r="AQ91" s="152">
        <f t="shared" si="790"/>
        <v>309.29999999999995</v>
      </c>
      <c r="AR91" s="151">
        <f t="shared" si="790"/>
        <v>313.7</v>
      </c>
      <c r="AS91" s="149">
        <f t="shared" si="790"/>
        <v>317.2</v>
      </c>
      <c r="AT91" s="149">
        <f t="shared" si="790"/>
        <v>318.7000000000001</v>
      </c>
      <c r="AU91" s="152">
        <f t="shared" si="790"/>
        <v>314.89999999999992</v>
      </c>
      <c r="AV91" s="151">
        <f t="shared" si="790"/>
        <v>303.39999999999998</v>
      </c>
      <c r="AW91" s="149">
        <f t="shared" si="790"/>
        <v>291.20000000000005</v>
      </c>
      <c r="AX91" s="149">
        <f t="shared" si="790"/>
        <v>341.6</v>
      </c>
      <c r="AY91" s="152">
        <f t="shared" si="790"/>
        <v>344.79999999999995</v>
      </c>
      <c r="AZ91" s="151">
        <f>AZ10</f>
        <v>380</v>
      </c>
      <c r="BA91" s="149">
        <f>BA10</f>
        <v>420</v>
      </c>
      <c r="BB91" s="149">
        <f>BB10</f>
        <v>444</v>
      </c>
      <c r="BC91" s="152">
        <f>BC10</f>
        <v>474</v>
      </c>
      <c r="BD91" s="151">
        <f t="shared" ref="BD91:BO91" si="791">BD10</f>
        <v>504</v>
      </c>
      <c r="BE91" s="149">
        <f t="shared" si="791"/>
        <v>511</v>
      </c>
      <c r="BF91" s="149">
        <f t="shared" si="791"/>
        <v>513</v>
      </c>
      <c r="BG91" s="152">
        <f t="shared" si="791"/>
        <v>532</v>
      </c>
      <c r="BH91" s="151">
        <f t="shared" si="791"/>
        <v>594</v>
      </c>
      <c r="BI91" s="149">
        <f t="shared" si="791"/>
        <v>540</v>
      </c>
      <c r="BJ91" s="149">
        <f t="shared" si="791"/>
        <v>514</v>
      </c>
      <c r="BK91" s="152">
        <f t="shared" si="791"/>
        <v>491</v>
      </c>
      <c r="BL91" s="151">
        <f t="shared" si="791"/>
        <v>491</v>
      </c>
      <c r="BM91" s="149">
        <f t="shared" si="791"/>
        <v>446</v>
      </c>
      <c r="BN91" s="149">
        <f t="shared" si="791"/>
        <v>476</v>
      </c>
      <c r="BO91" s="152">
        <f t="shared" si="791"/>
        <v>509</v>
      </c>
      <c r="BP91" s="151">
        <f t="shared" ref="BP91:BU91" si="792">BP10</f>
        <v>517</v>
      </c>
      <c r="BQ91" s="149">
        <f t="shared" si="792"/>
        <v>516</v>
      </c>
      <c r="BR91" s="149">
        <f t="shared" si="792"/>
        <v>559</v>
      </c>
      <c r="BS91" s="152">
        <f t="shared" si="792"/>
        <v>570</v>
      </c>
      <c r="BT91" s="151">
        <f>BT10</f>
        <v>581</v>
      </c>
      <c r="BU91" s="149">
        <f t="shared" si="792"/>
        <v>586</v>
      </c>
      <c r="BV91" s="149">
        <f>BV10</f>
        <v>546</v>
      </c>
      <c r="BW91" s="150">
        <f>BW10</f>
        <v>509</v>
      </c>
      <c r="BX91" s="151">
        <f>BX10</f>
        <v>485</v>
      </c>
      <c r="BY91" s="149">
        <f>BY10</f>
        <v>485</v>
      </c>
      <c r="BZ91" s="149">
        <f>BZ10</f>
        <v>470</v>
      </c>
      <c r="CA91" s="150">
        <f t="shared" ref="CA91:CI91" si="793">CA10</f>
        <v>486</v>
      </c>
      <c r="CB91" s="149">
        <f>CB10</f>
        <v>541</v>
      </c>
      <c r="CC91" s="149">
        <f>CC10</f>
        <v>561</v>
      </c>
      <c r="CD91" s="149">
        <f>CD10</f>
        <v>578</v>
      </c>
      <c r="CE91" s="150">
        <f t="shared" si="793"/>
        <v>590</v>
      </c>
      <c r="CF91" s="149">
        <f t="shared" si="793"/>
        <v>681</v>
      </c>
      <c r="CG91" s="149">
        <f>CG10</f>
        <v>674</v>
      </c>
      <c r="CH91" s="149">
        <f t="shared" si="793"/>
        <v>707</v>
      </c>
      <c r="CI91" s="150">
        <f t="shared" si="793"/>
        <v>743</v>
      </c>
      <c r="CJ91" s="149">
        <f>CJ10</f>
        <v>770</v>
      </c>
      <c r="CK91" s="149">
        <f t="shared" ref="CK91:CQ91" si="794">CK10</f>
        <v>805</v>
      </c>
      <c r="CL91" s="149">
        <f t="shared" si="794"/>
        <v>785</v>
      </c>
      <c r="CM91" s="150">
        <f t="shared" si="794"/>
        <v>746</v>
      </c>
      <c r="CN91" s="1246">
        <f>CN10</f>
        <v>803</v>
      </c>
      <c r="CO91" s="1246">
        <f>CO10</f>
        <v>1034</v>
      </c>
      <c r="CP91" s="149">
        <f t="shared" si="794"/>
        <v>1051</v>
      </c>
      <c r="CQ91" s="150">
        <f t="shared" si="794"/>
        <v>1098</v>
      </c>
      <c r="CR91" s="1246">
        <f t="shared" ref="CR91:CU91" si="795">CR10</f>
        <v>1119</v>
      </c>
      <c r="CS91" s="1246">
        <f t="shared" si="795"/>
        <v>1177</v>
      </c>
      <c r="CT91" s="1246">
        <f t="shared" si="795"/>
        <v>1218.4154501321186</v>
      </c>
      <c r="CU91" s="150">
        <f t="shared" si="795"/>
        <v>1231.4162888743406</v>
      </c>
      <c r="CV91" s="1246">
        <f t="shared" ref="CV91:CY91" si="796">CV10</f>
        <v>1250</v>
      </c>
      <c r="CW91" s="1246">
        <f t="shared" si="796"/>
        <v>1250</v>
      </c>
      <c r="CX91" s="1246">
        <f t="shared" si="796"/>
        <v>1250</v>
      </c>
      <c r="CY91" s="150">
        <f t="shared" si="796"/>
        <v>1250</v>
      </c>
      <c r="CZ91" s="1246">
        <f t="shared" ref="CZ91:DC91" si="797">CZ10</f>
        <v>1375</v>
      </c>
      <c r="DA91" s="1246">
        <f t="shared" si="797"/>
        <v>1375</v>
      </c>
      <c r="DB91" s="1246">
        <f t="shared" si="797"/>
        <v>1375</v>
      </c>
      <c r="DC91" s="150">
        <f t="shared" si="797"/>
        <v>1375</v>
      </c>
      <c r="DD91" s="153"/>
      <c r="DE91" s="149"/>
      <c r="DF91" s="149"/>
      <c r="DG91" s="149">
        <f t="shared" ref="DG91:DN91" si="798">DG10</f>
        <v>461.7</v>
      </c>
      <c r="DH91" s="149">
        <f t="shared" si="798"/>
        <v>606.6</v>
      </c>
      <c r="DI91" s="149">
        <f t="shared" si="798"/>
        <v>843.3</v>
      </c>
      <c r="DJ91" s="149">
        <f t="shared" si="798"/>
        <v>974.4</v>
      </c>
      <c r="DK91" s="149">
        <f t="shared" si="798"/>
        <v>1114.4000000000001</v>
      </c>
      <c r="DL91" s="149">
        <f t="shared" si="798"/>
        <v>1177.4000000000001</v>
      </c>
      <c r="DM91" s="149">
        <f t="shared" si="798"/>
        <v>1209.9000000000001</v>
      </c>
      <c r="DN91" s="149">
        <f t="shared" si="798"/>
        <v>1217.5</v>
      </c>
      <c r="DO91" s="149">
        <f t="shared" ref="DO91:DT91" si="799">DO10</f>
        <v>1264.5</v>
      </c>
      <c r="DP91" s="149">
        <f t="shared" si="799"/>
        <v>1281</v>
      </c>
      <c r="DQ91" s="149">
        <f t="shared" si="799"/>
        <v>1718</v>
      </c>
      <c r="DR91" s="149">
        <f t="shared" si="799"/>
        <v>2060</v>
      </c>
      <c r="DS91" s="149">
        <f t="shared" si="799"/>
        <v>2139</v>
      </c>
      <c r="DT91" s="149">
        <f t="shared" si="799"/>
        <v>1922</v>
      </c>
      <c r="DU91" s="1246">
        <f t="shared" ref="DU91:EB91" si="800">DU10</f>
        <v>2162</v>
      </c>
      <c r="DV91" s="1246">
        <f t="shared" si="800"/>
        <v>2222</v>
      </c>
      <c r="DW91" s="1246">
        <f t="shared" si="800"/>
        <v>1926</v>
      </c>
      <c r="DX91" s="1246">
        <f t="shared" si="800"/>
        <v>2270</v>
      </c>
      <c r="DY91" s="1246">
        <f t="shared" si="800"/>
        <v>2805</v>
      </c>
      <c r="DZ91" s="1246">
        <f t="shared" si="800"/>
        <v>3106</v>
      </c>
      <c r="EA91" s="149">
        <f>EA10</f>
        <v>3986</v>
      </c>
      <c r="EB91" s="1246">
        <f t="shared" si="800"/>
        <v>4745.8317390064594</v>
      </c>
      <c r="EC91" s="1246">
        <f t="shared" ref="EC91:ED91" si="801">EC10</f>
        <v>5000</v>
      </c>
      <c r="ED91" s="1246">
        <f t="shared" si="801"/>
        <v>5500</v>
      </c>
      <c r="EE91" s="18"/>
      <c r="EF91" s="151"/>
      <c r="EG91" s="149"/>
      <c r="EH91" s="149">
        <f t="shared" ref="EH91:EO91" si="802">EH10</f>
        <v>487.7</v>
      </c>
      <c r="EI91" s="149">
        <f t="shared" si="802"/>
        <v>659.8</v>
      </c>
      <c r="EJ91" s="149">
        <f t="shared" si="802"/>
        <v>883.3</v>
      </c>
      <c r="EK91" s="149">
        <f t="shared" si="802"/>
        <v>1013.0999999999999</v>
      </c>
      <c r="EL91" s="149">
        <f t="shared" si="802"/>
        <v>1143.8000000000002</v>
      </c>
      <c r="EM91" s="149">
        <f t="shared" si="802"/>
        <v>1179.7</v>
      </c>
      <c r="EN91" s="149">
        <f t="shared" si="802"/>
        <v>1222.5</v>
      </c>
      <c r="EO91" s="149">
        <f t="shared" si="802"/>
        <v>1218.7</v>
      </c>
      <c r="EP91" s="149">
        <f t="shared" ref="EP91:EX91" si="803">EP10</f>
        <v>1254.1999999999998</v>
      </c>
      <c r="EQ91" s="149">
        <f t="shared" si="803"/>
        <v>1357.6</v>
      </c>
      <c r="ER91" s="149">
        <f t="shared" si="803"/>
        <v>1842</v>
      </c>
      <c r="ES91" s="149">
        <f t="shared" si="803"/>
        <v>2150</v>
      </c>
      <c r="ET91" s="1246">
        <f t="shared" si="803"/>
        <v>2036</v>
      </c>
      <c r="EU91" s="1246">
        <f t="shared" si="803"/>
        <v>1948</v>
      </c>
      <c r="EV91" s="1246">
        <f t="shared" si="803"/>
        <v>2226</v>
      </c>
      <c r="EW91" s="149">
        <f t="shared" si="803"/>
        <v>2126</v>
      </c>
      <c r="EX91" s="1246">
        <f t="shared" si="803"/>
        <v>1982</v>
      </c>
      <c r="EY91" s="1246">
        <f>EY10</f>
        <v>2410</v>
      </c>
      <c r="EZ91" s="1246">
        <f t="shared" ref="EZ91:FA91" si="804">EZ10</f>
        <v>2894</v>
      </c>
      <c r="FA91" s="1246">
        <f t="shared" si="804"/>
        <v>3139</v>
      </c>
      <c r="FB91" s="1246">
        <f t="shared" ref="FB91:FC91" si="805">FB10</f>
        <v>4302</v>
      </c>
      <c r="FC91" s="1246">
        <f t="shared" si="805"/>
        <v>4876.8317390064594</v>
      </c>
      <c r="FD91" s="152">
        <f t="shared" ref="FD91" si="806">FD10</f>
        <v>5125</v>
      </c>
    </row>
    <row r="92" spans="1:170" ht="14.25" customHeight="1">
      <c r="A92" s="7"/>
      <c r="B92" s="120" t="s">
        <v>297</v>
      </c>
      <c r="C92" s="121"/>
      <c r="D92" s="122"/>
      <c r="E92" s="122"/>
      <c r="F92" s="154"/>
      <c r="G92" s="122"/>
      <c r="H92" s="122"/>
      <c r="I92" s="122"/>
      <c r="J92" s="154"/>
      <c r="K92" s="122"/>
      <c r="L92" s="122">
        <f t="shared" ref="L92:AQ92" si="807">IF(ROUND(L91,4)=ROUND(L84,4),0,(L91-L84))</f>
        <v>0</v>
      </c>
      <c r="M92" s="122">
        <f t="shared" si="807"/>
        <v>0</v>
      </c>
      <c r="N92" s="154">
        <f t="shared" si="807"/>
        <v>0</v>
      </c>
      <c r="O92" s="122">
        <f t="shared" si="807"/>
        <v>0</v>
      </c>
      <c r="P92" s="122">
        <f t="shared" si="807"/>
        <v>0</v>
      </c>
      <c r="Q92" s="122">
        <f t="shared" si="807"/>
        <v>0</v>
      </c>
      <c r="R92" s="154">
        <f t="shared" si="807"/>
        <v>0</v>
      </c>
      <c r="S92" s="122">
        <f t="shared" si="807"/>
        <v>0</v>
      </c>
      <c r="T92" s="122">
        <f t="shared" si="807"/>
        <v>0</v>
      </c>
      <c r="U92" s="122">
        <f t="shared" si="807"/>
        <v>0</v>
      </c>
      <c r="V92" s="154">
        <f t="shared" si="807"/>
        <v>0</v>
      </c>
      <c r="W92" s="122">
        <f t="shared" si="807"/>
        <v>0</v>
      </c>
      <c r="X92" s="122">
        <f t="shared" si="807"/>
        <v>0</v>
      </c>
      <c r="Y92" s="122">
        <f t="shared" si="807"/>
        <v>0</v>
      </c>
      <c r="Z92" s="154">
        <f t="shared" si="807"/>
        <v>0</v>
      </c>
      <c r="AA92" s="122">
        <f t="shared" si="807"/>
        <v>0</v>
      </c>
      <c r="AB92" s="122">
        <f t="shared" si="807"/>
        <v>0</v>
      </c>
      <c r="AC92" s="122">
        <f t="shared" si="807"/>
        <v>0</v>
      </c>
      <c r="AD92" s="154">
        <f t="shared" si="807"/>
        <v>0</v>
      </c>
      <c r="AE92" s="122">
        <f t="shared" si="807"/>
        <v>0</v>
      </c>
      <c r="AF92" s="122">
        <f t="shared" si="807"/>
        <v>0</v>
      </c>
      <c r="AG92" s="122">
        <f t="shared" si="807"/>
        <v>0</v>
      </c>
      <c r="AH92" s="154">
        <f t="shared" si="807"/>
        <v>0</v>
      </c>
      <c r="AI92" s="122">
        <f t="shared" si="807"/>
        <v>0</v>
      </c>
      <c r="AJ92" s="122">
        <f t="shared" si="807"/>
        <v>0</v>
      </c>
      <c r="AK92" s="122">
        <f t="shared" si="807"/>
        <v>0</v>
      </c>
      <c r="AL92" s="154">
        <f t="shared" si="807"/>
        <v>0</v>
      </c>
      <c r="AM92" s="122">
        <f t="shared" si="807"/>
        <v>0</v>
      </c>
      <c r="AN92" s="122">
        <f t="shared" si="807"/>
        <v>0</v>
      </c>
      <c r="AO92" s="122">
        <f t="shared" si="807"/>
        <v>0</v>
      </c>
      <c r="AP92" s="154">
        <f t="shared" si="807"/>
        <v>0</v>
      </c>
      <c r="AQ92" s="122">
        <f t="shared" si="807"/>
        <v>0</v>
      </c>
      <c r="AR92" s="122">
        <f t="shared" ref="AR92:CC92" si="808">IF(ROUND(AR91,4)=ROUND(AR84,4),0,(AR91-AR84))</f>
        <v>0</v>
      </c>
      <c r="AS92" s="122">
        <f t="shared" si="808"/>
        <v>0</v>
      </c>
      <c r="AT92" s="154">
        <f t="shared" si="808"/>
        <v>0</v>
      </c>
      <c r="AU92" s="122">
        <f t="shared" si="808"/>
        <v>0</v>
      </c>
      <c r="AV92" s="122">
        <f t="shared" si="808"/>
        <v>0</v>
      </c>
      <c r="AW92" s="122">
        <f t="shared" si="808"/>
        <v>0</v>
      </c>
      <c r="AX92" s="154">
        <f t="shared" si="808"/>
        <v>0</v>
      </c>
      <c r="AY92" s="122">
        <f t="shared" si="808"/>
        <v>0</v>
      </c>
      <c r="AZ92" s="122">
        <f t="shared" si="808"/>
        <v>0</v>
      </c>
      <c r="BA92" s="122">
        <f t="shared" si="808"/>
        <v>0</v>
      </c>
      <c r="BB92" s="154">
        <f t="shared" si="808"/>
        <v>0</v>
      </c>
      <c r="BC92" s="122">
        <f t="shared" si="808"/>
        <v>0</v>
      </c>
      <c r="BD92" s="122">
        <f t="shared" si="808"/>
        <v>0</v>
      </c>
      <c r="BE92" s="122">
        <f t="shared" si="808"/>
        <v>0</v>
      </c>
      <c r="BF92" s="154">
        <f t="shared" si="808"/>
        <v>0</v>
      </c>
      <c r="BG92" s="122">
        <f t="shared" si="808"/>
        <v>0</v>
      </c>
      <c r="BH92" s="122">
        <f t="shared" si="808"/>
        <v>0</v>
      </c>
      <c r="BI92" s="122">
        <f t="shared" si="808"/>
        <v>0</v>
      </c>
      <c r="BJ92" s="154">
        <f t="shared" si="808"/>
        <v>0</v>
      </c>
      <c r="BK92" s="122">
        <f t="shared" si="808"/>
        <v>0</v>
      </c>
      <c r="BL92" s="122">
        <f t="shared" si="808"/>
        <v>0</v>
      </c>
      <c r="BM92" s="122">
        <f t="shared" si="808"/>
        <v>0</v>
      </c>
      <c r="BN92" s="154">
        <f t="shared" si="808"/>
        <v>0</v>
      </c>
      <c r="BO92" s="122">
        <f t="shared" si="808"/>
        <v>0</v>
      </c>
      <c r="BP92" s="122">
        <f t="shared" si="808"/>
        <v>0</v>
      </c>
      <c r="BQ92" s="122">
        <f>IF(ROUND(BQ91,4)=ROUND(BQ84,4),0,(BQ91-BQ84))</f>
        <v>0</v>
      </c>
      <c r="BR92" s="154">
        <f t="shared" si="808"/>
        <v>0</v>
      </c>
      <c r="BS92" s="122">
        <f t="shared" si="808"/>
        <v>0</v>
      </c>
      <c r="BT92" s="122">
        <f t="shared" si="808"/>
        <v>0</v>
      </c>
      <c r="BU92" s="122">
        <f t="shared" si="808"/>
        <v>0</v>
      </c>
      <c r="BV92" s="154">
        <f>IF(ROUND(BV91,4)=ROUND(BV84,4),0,(BV91-BV84))</f>
        <v>0</v>
      </c>
      <c r="BW92" s="123">
        <f t="shared" si="808"/>
        <v>0</v>
      </c>
      <c r="BX92" s="122">
        <f t="shared" si="808"/>
        <v>0</v>
      </c>
      <c r="BY92" s="122">
        <f t="shared" si="808"/>
        <v>0</v>
      </c>
      <c r="BZ92" s="154">
        <f t="shared" si="808"/>
        <v>0</v>
      </c>
      <c r="CA92" s="123">
        <f t="shared" ref="CA92:CI92" si="809">IF(ROUND(CA91,4)=ROUND(CA84,4),0,(CA91-CA84))</f>
        <v>0</v>
      </c>
      <c r="CB92" s="124">
        <f t="shared" si="808"/>
        <v>0</v>
      </c>
      <c r="CC92" s="122">
        <f t="shared" si="808"/>
        <v>0</v>
      </c>
      <c r="CD92" s="122">
        <f>IF(ROUND(CD91,4)=ROUND(CD84,4),0,(CD91-CD84))</f>
        <v>0</v>
      </c>
      <c r="CE92" s="123">
        <f t="shared" si="809"/>
        <v>0</v>
      </c>
      <c r="CF92" s="124">
        <f>IF(ROUND(CF91,4)=ROUND(CF84,4),0,(CF91-CF84))</f>
        <v>0</v>
      </c>
      <c r="CG92" s="122">
        <f t="shared" si="809"/>
        <v>0</v>
      </c>
      <c r="CH92" s="122">
        <f t="shared" si="809"/>
        <v>0</v>
      </c>
      <c r="CI92" s="123">
        <f t="shared" si="809"/>
        <v>0</v>
      </c>
      <c r="CJ92" s="124">
        <f t="shared" ref="CJ92:CQ92" si="810">IF(ROUND(CJ91,4)=ROUND(CJ84,4),0,(CJ91-CJ84))</f>
        <v>0</v>
      </c>
      <c r="CK92" s="122">
        <f t="shared" si="810"/>
        <v>0</v>
      </c>
      <c r="CL92" s="122">
        <f t="shared" si="810"/>
        <v>0</v>
      </c>
      <c r="CM92" s="123">
        <f t="shared" si="810"/>
        <v>0</v>
      </c>
      <c r="CN92" s="1240">
        <f t="shared" ref="CN92:CO92" si="811">IF(ROUND(CN91,4)=ROUND(CN84,4),0,(CN91-CN84))</f>
        <v>0</v>
      </c>
      <c r="CO92" s="1239">
        <f t="shared" si="811"/>
        <v>0</v>
      </c>
      <c r="CP92" s="122">
        <f t="shared" si="810"/>
        <v>0</v>
      </c>
      <c r="CQ92" s="123">
        <f t="shared" si="810"/>
        <v>0</v>
      </c>
      <c r="CR92" s="1240">
        <f t="shared" ref="CR92:CU92" si="812">IF(ROUND(CR91,4)=ROUND(CR84,4),0,(CR91-CR84))</f>
        <v>0</v>
      </c>
      <c r="CS92" s="1239">
        <f t="shared" si="812"/>
        <v>0</v>
      </c>
      <c r="CT92" s="1239">
        <f t="shared" si="812"/>
        <v>0</v>
      </c>
      <c r="CU92" s="123">
        <f t="shared" si="812"/>
        <v>0</v>
      </c>
      <c r="CV92" s="1240">
        <f t="shared" ref="CV92:CY92" si="813">IF(ROUND(CV91,4)=ROUND(CV84,4),0,(CV91-CV84))</f>
        <v>0</v>
      </c>
      <c r="CW92" s="1239">
        <f t="shared" si="813"/>
        <v>0</v>
      </c>
      <c r="CX92" s="1239">
        <f t="shared" si="813"/>
        <v>0</v>
      </c>
      <c r="CY92" s="123">
        <f t="shared" si="813"/>
        <v>0</v>
      </c>
      <c r="CZ92" s="1240">
        <f t="shared" ref="CZ92:DC92" si="814">IF(ROUND(CZ91,4)=ROUND(CZ84,4),0,(CZ91-CZ84))</f>
        <v>0</v>
      </c>
      <c r="DA92" s="1239">
        <f t="shared" si="814"/>
        <v>0</v>
      </c>
      <c r="DB92" s="1239">
        <f t="shared" si="814"/>
        <v>0</v>
      </c>
      <c r="DC92" s="123">
        <f t="shared" si="814"/>
        <v>0</v>
      </c>
      <c r="DD92" s="153"/>
      <c r="DE92" s="122"/>
      <c r="DF92" s="122"/>
      <c r="DG92" s="122">
        <f t="shared" ref="DG92:EB92" si="815">IF(ROUND(DG91,4)=ROUND(DG84,4),0,(DG91-DG84))</f>
        <v>0</v>
      </c>
      <c r="DH92" s="122">
        <f t="shared" si="815"/>
        <v>0</v>
      </c>
      <c r="DI92" s="122">
        <f t="shared" si="815"/>
        <v>0</v>
      </c>
      <c r="DJ92" s="122">
        <f t="shared" si="815"/>
        <v>0</v>
      </c>
      <c r="DK92" s="122">
        <f t="shared" si="815"/>
        <v>0</v>
      </c>
      <c r="DL92" s="122">
        <f t="shared" si="815"/>
        <v>0</v>
      </c>
      <c r="DM92" s="122">
        <f t="shared" si="815"/>
        <v>0</v>
      </c>
      <c r="DN92" s="122">
        <f t="shared" si="815"/>
        <v>0</v>
      </c>
      <c r="DO92" s="122">
        <f t="shared" si="815"/>
        <v>0</v>
      </c>
      <c r="DP92" s="122">
        <f t="shared" si="815"/>
        <v>0</v>
      </c>
      <c r="DQ92" s="122">
        <f t="shared" si="815"/>
        <v>0</v>
      </c>
      <c r="DR92" s="122">
        <f t="shared" si="815"/>
        <v>0</v>
      </c>
      <c r="DS92" s="122">
        <f t="shared" si="815"/>
        <v>0</v>
      </c>
      <c r="DT92" s="122">
        <f t="shared" si="815"/>
        <v>0</v>
      </c>
      <c r="DU92" s="1239">
        <f t="shared" si="815"/>
        <v>0</v>
      </c>
      <c r="DV92" s="1239">
        <f t="shared" si="815"/>
        <v>0</v>
      </c>
      <c r="DW92" s="1239">
        <f t="shared" si="815"/>
        <v>0</v>
      </c>
      <c r="DX92" s="1239">
        <f t="shared" si="815"/>
        <v>0</v>
      </c>
      <c r="DY92" s="1239">
        <f t="shared" si="815"/>
        <v>0</v>
      </c>
      <c r="DZ92" s="1239">
        <f t="shared" si="815"/>
        <v>0</v>
      </c>
      <c r="EA92" s="122">
        <f t="shared" si="815"/>
        <v>0</v>
      </c>
      <c r="EB92" s="1239">
        <f t="shared" si="815"/>
        <v>0</v>
      </c>
      <c r="EC92" s="1239">
        <f t="shared" ref="EC92:ED92" si="816">IF(ROUND(EC91,4)=ROUND(EC84,4),0,(EC91-EC84))</f>
        <v>0</v>
      </c>
      <c r="ED92" s="1239">
        <f t="shared" si="816"/>
        <v>0</v>
      </c>
      <c r="EE92" s="18"/>
      <c r="EF92" s="124"/>
      <c r="EG92" s="122"/>
      <c r="EH92" s="122">
        <f t="shared" ref="EH92:EY92" si="817">IF(ROUND(EH91,4)=ROUND(EH84,4),0,(EH91-EH84))</f>
        <v>0</v>
      </c>
      <c r="EI92" s="122">
        <f t="shared" si="817"/>
        <v>0</v>
      </c>
      <c r="EJ92" s="122">
        <f t="shared" si="817"/>
        <v>0</v>
      </c>
      <c r="EK92" s="122">
        <f t="shared" si="817"/>
        <v>0</v>
      </c>
      <c r="EL92" s="122">
        <f t="shared" si="817"/>
        <v>0</v>
      </c>
      <c r="EM92" s="122">
        <f t="shared" si="817"/>
        <v>0</v>
      </c>
      <c r="EN92" s="122">
        <f t="shared" si="817"/>
        <v>0</v>
      </c>
      <c r="EO92" s="122">
        <f t="shared" si="817"/>
        <v>0</v>
      </c>
      <c r="EP92" s="122">
        <f t="shared" si="817"/>
        <v>0</v>
      </c>
      <c r="EQ92" s="122">
        <f t="shared" si="817"/>
        <v>0</v>
      </c>
      <c r="ER92" s="122">
        <f t="shared" si="817"/>
        <v>0</v>
      </c>
      <c r="ES92" s="122">
        <f t="shared" si="817"/>
        <v>0</v>
      </c>
      <c r="ET92" s="1239">
        <f t="shared" si="817"/>
        <v>0</v>
      </c>
      <c r="EU92" s="1239">
        <f t="shared" si="817"/>
        <v>0</v>
      </c>
      <c r="EV92" s="1239">
        <f t="shared" si="817"/>
        <v>0</v>
      </c>
      <c r="EW92" s="122">
        <f t="shared" si="817"/>
        <v>0</v>
      </c>
      <c r="EX92" s="1239">
        <f t="shared" si="817"/>
        <v>0</v>
      </c>
      <c r="EY92" s="1239">
        <f t="shared" si="817"/>
        <v>0</v>
      </c>
      <c r="EZ92" s="1239">
        <f t="shared" ref="EZ92:FA92" si="818">IF(ROUND(EZ91,4)=ROUND(EZ84,4),0,(EZ91-EZ84))</f>
        <v>0</v>
      </c>
      <c r="FA92" s="1239">
        <f t="shared" si="818"/>
        <v>0</v>
      </c>
      <c r="FB92" s="1239">
        <f t="shared" ref="FB92:FC92" si="819">IF(ROUND(FB91,4)=ROUND(FB84,4),0,(FB91-FB84))</f>
        <v>0</v>
      </c>
      <c r="FC92" s="1239">
        <f t="shared" si="819"/>
        <v>0</v>
      </c>
      <c r="FD92" s="123">
        <f t="shared" ref="FD92" si="820">IF(ROUND(FD91,4)=ROUND(FD84,4),0,(FD91-FD84))</f>
        <v>0</v>
      </c>
    </row>
    <row r="93" spans="1:170" ht="14.25" customHeight="1">
      <c r="A93" s="7"/>
      <c r="B93" s="59"/>
      <c r="C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</row>
    <row r="94" spans="1:170" ht="14.25" customHeight="1">
      <c r="A94" s="7"/>
      <c r="B94" s="732"/>
      <c r="C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</row>
    <row r="95" spans="1:170" ht="14.25" customHeight="1">
      <c r="A95" s="7"/>
      <c r="B95" s="129" t="s">
        <v>355</v>
      </c>
      <c r="C95" s="130"/>
      <c r="D95" s="256" t="str">
        <f t="shared" ref="D95:AY95" si="821">D80</f>
        <v>F1Q95A</v>
      </c>
      <c r="E95" s="223" t="str">
        <f t="shared" si="821"/>
        <v>F2Q95A</v>
      </c>
      <c r="F95" s="223" t="str">
        <f t="shared" si="821"/>
        <v>F3Q95A</v>
      </c>
      <c r="G95" s="224" t="str">
        <f t="shared" si="821"/>
        <v>F4Q95A</v>
      </c>
      <c r="H95" s="256" t="str">
        <f t="shared" si="821"/>
        <v>F1Q96A</v>
      </c>
      <c r="I95" s="223" t="str">
        <f t="shared" si="821"/>
        <v>F2Q96A</v>
      </c>
      <c r="J95" s="223" t="str">
        <f t="shared" si="821"/>
        <v>F3Q96A</v>
      </c>
      <c r="K95" s="224" t="str">
        <f t="shared" si="821"/>
        <v>F4Q96A</v>
      </c>
      <c r="L95" s="256" t="str">
        <f t="shared" si="821"/>
        <v>F1Q97A</v>
      </c>
      <c r="M95" s="223" t="str">
        <f t="shared" si="821"/>
        <v>F2Q97A</v>
      </c>
      <c r="N95" s="223" t="str">
        <f t="shared" si="821"/>
        <v>F3Q97A</v>
      </c>
      <c r="O95" s="224" t="str">
        <f t="shared" si="821"/>
        <v>F4Q97A</v>
      </c>
      <c r="P95" s="256" t="str">
        <f t="shared" si="821"/>
        <v>F1Q98A</v>
      </c>
      <c r="Q95" s="223" t="str">
        <f t="shared" si="821"/>
        <v>F2Q98A</v>
      </c>
      <c r="R95" s="223" t="str">
        <f t="shared" si="821"/>
        <v>F3Q98A</v>
      </c>
      <c r="S95" s="224" t="str">
        <f t="shared" si="821"/>
        <v>F4Q98A</v>
      </c>
      <c r="T95" s="256" t="str">
        <f t="shared" si="821"/>
        <v>F1Q99A</v>
      </c>
      <c r="U95" s="223" t="str">
        <f t="shared" si="821"/>
        <v>F2Q99A</v>
      </c>
      <c r="V95" s="223" t="str">
        <f t="shared" si="821"/>
        <v>F3Q99A</v>
      </c>
      <c r="W95" s="224" t="str">
        <f t="shared" si="821"/>
        <v>F4Q99A</v>
      </c>
      <c r="X95" s="256" t="str">
        <f t="shared" si="821"/>
        <v>F1Q00A</v>
      </c>
      <c r="Y95" s="223" t="str">
        <f t="shared" si="821"/>
        <v>F2Q00A</v>
      </c>
      <c r="Z95" s="223" t="str">
        <f t="shared" si="821"/>
        <v>F3Q00A</v>
      </c>
      <c r="AA95" s="224" t="str">
        <f t="shared" si="821"/>
        <v>F4Q00A</v>
      </c>
      <c r="AB95" s="256" t="str">
        <f t="shared" si="821"/>
        <v>F1Q01A</v>
      </c>
      <c r="AC95" s="223" t="str">
        <f t="shared" si="821"/>
        <v>F2Q01A</v>
      </c>
      <c r="AD95" s="223" t="str">
        <f t="shared" si="821"/>
        <v>F3Q01A</v>
      </c>
      <c r="AE95" s="224" t="str">
        <f t="shared" si="821"/>
        <v>F4Q01A</v>
      </c>
      <c r="AF95" s="256" t="str">
        <f t="shared" si="821"/>
        <v>F1Q02A</v>
      </c>
      <c r="AG95" s="223" t="str">
        <f t="shared" si="821"/>
        <v>F2Q02A</v>
      </c>
      <c r="AH95" s="223" t="str">
        <f t="shared" si="821"/>
        <v>F3Q02A</v>
      </c>
      <c r="AI95" s="224" t="str">
        <f t="shared" si="821"/>
        <v>F4Q02A</v>
      </c>
      <c r="AJ95" s="256" t="str">
        <f t="shared" si="821"/>
        <v>F1Q03A</v>
      </c>
      <c r="AK95" s="223" t="str">
        <f t="shared" si="821"/>
        <v>F2Q03A</v>
      </c>
      <c r="AL95" s="223" t="str">
        <f t="shared" si="821"/>
        <v>F3Q03A</v>
      </c>
      <c r="AM95" s="224" t="str">
        <f t="shared" si="821"/>
        <v>F4Q03A</v>
      </c>
      <c r="AN95" s="256" t="str">
        <f t="shared" si="821"/>
        <v>F1Q04A</v>
      </c>
      <c r="AO95" s="223" t="str">
        <f t="shared" si="821"/>
        <v>F2Q04A</v>
      </c>
      <c r="AP95" s="223" t="str">
        <f t="shared" si="821"/>
        <v>F3Q04A</v>
      </c>
      <c r="AQ95" s="224" t="str">
        <f t="shared" si="821"/>
        <v>F4Q04A</v>
      </c>
      <c r="AR95" s="256" t="str">
        <f t="shared" si="821"/>
        <v>F1Q05A</v>
      </c>
      <c r="AS95" s="223" t="str">
        <f t="shared" si="821"/>
        <v>F2Q05A</v>
      </c>
      <c r="AT95" s="223" t="str">
        <f t="shared" si="821"/>
        <v>F3Q05A</v>
      </c>
      <c r="AU95" s="224" t="str">
        <f t="shared" si="821"/>
        <v>F4Q05A</v>
      </c>
      <c r="AV95" s="256" t="str">
        <f t="shared" si="821"/>
        <v>F1Q06A</v>
      </c>
      <c r="AW95" s="223" t="str">
        <f t="shared" si="821"/>
        <v>F2Q06A</v>
      </c>
      <c r="AX95" s="223" t="str">
        <f t="shared" si="821"/>
        <v>F3Q06A</v>
      </c>
      <c r="AY95" s="224" t="str">
        <f t="shared" si="821"/>
        <v>F4Q06A</v>
      </c>
      <c r="AZ95" s="256" t="str">
        <f>AZ80</f>
        <v>F1Q07A</v>
      </c>
      <c r="BA95" s="223" t="str">
        <f>BA80</f>
        <v>F2Q07A</v>
      </c>
      <c r="BB95" s="223" t="str">
        <f>BB80</f>
        <v>F3Q07A</v>
      </c>
      <c r="BC95" s="224" t="str">
        <f>BC80</f>
        <v>F4Q07A</v>
      </c>
      <c r="BD95" s="256" t="str">
        <f t="shared" ref="BD95:BO95" si="822">BD80</f>
        <v>F1Q08A</v>
      </c>
      <c r="BE95" s="223" t="str">
        <f t="shared" si="822"/>
        <v>F2Q08A</v>
      </c>
      <c r="BF95" s="223" t="str">
        <f t="shared" si="822"/>
        <v>F3Q08A</v>
      </c>
      <c r="BG95" s="224" t="str">
        <f t="shared" si="822"/>
        <v>F4Q08A</v>
      </c>
      <c r="BH95" s="256" t="str">
        <f t="shared" si="822"/>
        <v>F1Q09A</v>
      </c>
      <c r="BI95" s="223" t="str">
        <f t="shared" si="822"/>
        <v>F2Q09A</v>
      </c>
      <c r="BJ95" s="223" t="str">
        <f t="shared" si="822"/>
        <v>F3Q09A</v>
      </c>
      <c r="BK95" s="224" t="str">
        <f t="shared" si="822"/>
        <v>F4Q09A</v>
      </c>
      <c r="BL95" s="256" t="str">
        <f t="shared" si="822"/>
        <v>F1Q10A</v>
      </c>
      <c r="BM95" s="223" t="str">
        <f t="shared" si="822"/>
        <v>F2Q10A</v>
      </c>
      <c r="BN95" s="223" t="str">
        <f t="shared" si="822"/>
        <v>F3Q10A</v>
      </c>
      <c r="BO95" s="224" t="str">
        <f t="shared" si="822"/>
        <v>F4Q10A</v>
      </c>
      <c r="BP95" s="256" t="str">
        <f t="shared" ref="BP95:CI95" si="823">BP80</f>
        <v>F1Q11A</v>
      </c>
      <c r="BQ95" s="223" t="str">
        <f t="shared" si="823"/>
        <v>F2Q11A</v>
      </c>
      <c r="BR95" s="223" t="str">
        <f t="shared" si="823"/>
        <v>F3Q11A</v>
      </c>
      <c r="BS95" s="224" t="str">
        <f t="shared" si="823"/>
        <v>F4Q11A</v>
      </c>
      <c r="BT95" s="256" t="str">
        <f t="shared" ref="BT95:BY95" si="824">BT80</f>
        <v>F1Q12A</v>
      </c>
      <c r="BU95" s="223" t="str">
        <f t="shared" si="824"/>
        <v>F2Q12A</v>
      </c>
      <c r="BV95" s="223" t="str">
        <f t="shared" si="824"/>
        <v>F3Q12A</v>
      </c>
      <c r="BW95" s="224" t="str">
        <f t="shared" si="824"/>
        <v>F4Q12A</v>
      </c>
      <c r="BX95" s="256" t="str">
        <f t="shared" si="824"/>
        <v>F1Q13A</v>
      </c>
      <c r="BY95" s="223" t="str">
        <f t="shared" si="824"/>
        <v>F2Q13A</v>
      </c>
      <c r="BZ95" s="223" t="str">
        <f t="shared" si="823"/>
        <v>F3Q13</v>
      </c>
      <c r="CA95" s="224" t="str">
        <f t="shared" si="823"/>
        <v>F4Q13</v>
      </c>
      <c r="CB95" s="256" t="str">
        <f t="shared" si="823"/>
        <v>F1Q14</v>
      </c>
      <c r="CC95" s="223" t="str">
        <f>CC80</f>
        <v>F2Q14A</v>
      </c>
      <c r="CD95" s="223" t="str">
        <f t="shared" si="823"/>
        <v>F3Q14A</v>
      </c>
      <c r="CE95" s="224" t="str">
        <f t="shared" si="823"/>
        <v>F4Q14</v>
      </c>
      <c r="CF95" s="256" t="str">
        <f t="shared" si="823"/>
        <v>F1Q15A</v>
      </c>
      <c r="CG95" s="223" t="str">
        <f t="shared" si="823"/>
        <v>F2Q15A</v>
      </c>
      <c r="CH95" s="223" t="str">
        <f t="shared" si="823"/>
        <v>F3Q15A</v>
      </c>
      <c r="CI95" s="224" t="str">
        <f t="shared" si="823"/>
        <v>F4Q15A</v>
      </c>
      <c r="CJ95" s="256" t="str">
        <f t="shared" ref="CJ95:CU95" si="825">CJ80</f>
        <v>F1Q16A</v>
      </c>
      <c r="CK95" s="223" t="str">
        <f t="shared" si="825"/>
        <v>F2Q16A</v>
      </c>
      <c r="CL95" s="223" t="str">
        <f t="shared" si="825"/>
        <v>F3Q16A</v>
      </c>
      <c r="CM95" s="224" t="str">
        <f t="shared" si="825"/>
        <v>F4Q16A</v>
      </c>
      <c r="CN95" s="1258" t="str">
        <f t="shared" ref="CN95:CO95" si="826">CN80</f>
        <v>F1Q17A</v>
      </c>
      <c r="CO95" s="1250" t="str">
        <f t="shared" si="826"/>
        <v>F2Q17A</v>
      </c>
      <c r="CP95" s="223" t="str">
        <f t="shared" si="825"/>
        <v>F3Q17A</v>
      </c>
      <c r="CQ95" s="224" t="str">
        <f t="shared" si="825"/>
        <v>F4Q17A</v>
      </c>
      <c r="CR95" s="1336" t="str">
        <f t="shared" si="825"/>
        <v>F1Q18A</v>
      </c>
      <c r="CS95" s="1328" t="str">
        <f t="shared" si="825"/>
        <v>F2Q18A</v>
      </c>
      <c r="CT95" s="1328" t="str">
        <f t="shared" si="825"/>
        <v>F3Q18E</v>
      </c>
      <c r="CU95" s="1329" t="str">
        <f t="shared" si="825"/>
        <v>F4Q18E</v>
      </c>
      <c r="CV95" s="1336" t="str">
        <f t="shared" ref="CV95:CY95" si="827">CV80</f>
        <v>F1Q19E</v>
      </c>
      <c r="CW95" s="1328" t="str">
        <f t="shared" si="827"/>
        <v>F2Q19E</v>
      </c>
      <c r="CX95" s="1328" t="str">
        <f t="shared" si="827"/>
        <v>F3Q19E</v>
      </c>
      <c r="CY95" s="1329" t="str">
        <f t="shared" si="827"/>
        <v>F4Q19E</v>
      </c>
      <c r="CZ95" s="1336" t="str">
        <f t="shared" ref="CZ95:DC95" si="828">CZ80</f>
        <v>F1Q20E</v>
      </c>
      <c r="DA95" s="1328" t="str">
        <f t="shared" si="828"/>
        <v>F2Q20E</v>
      </c>
      <c r="DB95" s="1328" t="str">
        <f t="shared" si="828"/>
        <v>F3Q20E</v>
      </c>
      <c r="DC95" s="1329" t="str">
        <f t="shared" si="828"/>
        <v>F4Q20E</v>
      </c>
      <c r="DD95" s="18"/>
      <c r="DE95" s="15" t="str">
        <f>DE80</f>
        <v>FY1995A</v>
      </c>
      <c r="DF95" s="16" t="str">
        <f>DF80</f>
        <v>FY1996A</v>
      </c>
      <c r="DG95" s="16" t="str">
        <f t="shared" ref="DG95:DN95" si="829">DG80</f>
        <v>FY1997A</v>
      </c>
      <c r="DH95" s="16" t="str">
        <f t="shared" si="829"/>
        <v>FY1998A</v>
      </c>
      <c r="DI95" s="16" t="str">
        <f t="shared" si="829"/>
        <v>FY1999A</v>
      </c>
      <c r="DJ95" s="16" t="str">
        <f t="shared" si="829"/>
        <v>FY2000A</v>
      </c>
      <c r="DK95" s="16" t="str">
        <f t="shared" si="829"/>
        <v>FY2001A</v>
      </c>
      <c r="DL95" s="16" t="str">
        <f t="shared" si="829"/>
        <v>FY2002A</v>
      </c>
      <c r="DM95" s="16" t="str">
        <f t="shared" si="829"/>
        <v>FY2003A</v>
      </c>
      <c r="DN95" s="16" t="str">
        <f t="shared" si="829"/>
        <v>FY2004A</v>
      </c>
      <c r="DO95" s="16" t="str">
        <f t="shared" ref="DO95:DT95" si="830">DO80</f>
        <v>FY2005A</v>
      </c>
      <c r="DP95" s="16" t="str">
        <f t="shared" si="830"/>
        <v>FY2006A</v>
      </c>
      <c r="DQ95" s="16" t="str">
        <f t="shared" si="830"/>
        <v>FY2007A</v>
      </c>
      <c r="DR95" s="16" t="str">
        <f t="shared" si="830"/>
        <v>FY2008A</v>
      </c>
      <c r="DS95" s="16" t="str">
        <f t="shared" si="830"/>
        <v>FY2009A</v>
      </c>
      <c r="DT95" s="16" t="str">
        <f t="shared" si="830"/>
        <v>FY2010A</v>
      </c>
      <c r="DU95" s="1319" t="str">
        <f t="shared" ref="DU95:EB95" si="831">DU80</f>
        <v>FY2011A</v>
      </c>
      <c r="DV95" s="1319" t="str">
        <f t="shared" si="831"/>
        <v>FY2012A</v>
      </c>
      <c r="DW95" s="1319" t="str">
        <f t="shared" si="831"/>
        <v>FY2013A</v>
      </c>
      <c r="DX95" s="1319" t="str">
        <f t="shared" si="831"/>
        <v>FY2014A</v>
      </c>
      <c r="DY95" s="1319" t="str">
        <f t="shared" si="831"/>
        <v>FY2015A</v>
      </c>
      <c r="DZ95" s="1319" t="str">
        <f t="shared" si="831"/>
        <v>FY2016A</v>
      </c>
      <c r="EA95" s="16" t="str">
        <f t="shared" si="831"/>
        <v>FY2017A</v>
      </c>
      <c r="EB95" s="1319" t="str">
        <f t="shared" si="831"/>
        <v>FY2018E</v>
      </c>
      <c r="EC95" s="1319" t="str">
        <f t="shared" ref="EC95:ED95" si="832">EC80</f>
        <v>FY2019E</v>
      </c>
      <c r="ED95" s="1319" t="str">
        <f t="shared" si="832"/>
        <v>FY2020E</v>
      </c>
      <c r="EE95" s="18"/>
      <c r="EF95" s="1318" t="str">
        <f t="shared" ref="EF95:EO95" si="833">EF80</f>
        <v>CY1995</v>
      </c>
      <c r="EG95" s="1319" t="str">
        <f t="shared" si="833"/>
        <v>CY1996</v>
      </c>
      <c r="EH95" s="1319" t="str">
        <f t="shared" si="833"/>
        <v>CY1997</v>
      </c>
      <c r="EI95" s="1319" t="str">
        <f t="shared" si="833"/>
        <v>CY1998</v>
      </c>
      <c r="EJ95" s="1319" t="str">
        <f t="shared" si="833"/>
        <v>CY1999</v>
      </c>
      <c r="EK95" s="1319" t="str">
        <f t="shared" si="833"/>
        <v>CY2000</v>
      </c>
      <c r="EL95" s="1319" t="str">
        <f t="shared" si="833"/>
        <v>CY2001</v>
      </c>
      <c r="EM95" s="1319" t="str">
        <f t="shared" si="833"/>
        <v>CY2002</v>
      </c>
      <c r="EN95" s="1319" t="str">
        <f t="shared" si="833"/>
        <v>CY2003</v>
      </c>
      <c r="EO95" s="1319" t="str">
        <f t="shared" si="833"/>
        <v>CY2004</v>
      </c>
      <c r="EP95" s="1319" t="str">
        <f t="shared" ref="EP95:EX95" si="834">EP80</f>
        <v>CY2005</v>
      </c>
      <c r="EQ95" s="1319" t="str">
        <f t="shared" si="834"/>
        <v>CY2006</v>
      </c>
      <c r="ER95" s="1319" t="str">
        <f t="shared" si="834"/>
        <v>CY2007</v>
      </c>
      <c r="ES95" s="1319" t="str">
        <f t="shared" si="834"/>
        <v>CY2008</v>
      </c>
      <c r="ET95" s="1319" t="str">
        <f t="shared" si="834"/>
        <v>CY2009</v>
      </c>
      <c r="EU95" s="1319" t="str">
        <f t="shared" si="834"/>
        <v>CY2010</v>
      </c>
      <c r="EV95" s="1319" t="str">
        <f t="shared" si="834"/>
        <v>CY2011</v>
      </c>
      <c r="EW95" s="16" t="str">
        <f t="shared" si="834"/>
        <v>CY2012</v>
      </c>
      <c r="EX95" s="1319" t="str">
        <f t="shared" si="834"/>
        <v>CY2013</v>
      </c>
      <c r="EY95" s="1319" t="str">
        <f>EY80</f>
        <v>CY2014</v>
      </c>
      <c r="EZ95" s="1319" t="str">
        <f t="shared" ref="EZ95:FA95" si="835">EZ80</f>
        <v>CY2015</v>
      </c>
      <c r="FA95" s="1319" t="str">
        <f t="shared" si="835"/>
        <v>CY2016</v>
      </c>
      <c r="FB95" s="1319" t="s">
        <v>574</v>
      </c>
      <c r="FC95" s="1319" t="s">
        <v>602</v>
      </c>
      <c r="FD95" s="1182" t="s">
        <v>612</v>
      </c>
    </row>
    <row r="96" spans="1:170" ht="14.25" customHeight="1">
      <c r="A96" s="7"/>
      <c r="B96" s="22"/>
      <c r="C96" s="225"/>
      <c r="D96" s="259"/>
      <c r="E96" s="259"/>
      <c r="F96" s="259"/>
      <c r="G96" s="260"/>
      <c r="H96" s="259"/>
      <c r="I96" s="259"/>
      <c r="J96" s="259"/>
      <c r="K96" s="260"/>
      <c r="L96" s="259"/>
      <c r="M96" s="259"/>
      <c r="N96" s="259"/>
      <c r="O96" s="260"/>
      <c r="P96" s="259"/>
      <c r="Q96" s="259"/>
      <c r="R96" s="259"/>
      <c r="S96" s="260"/>
      <c r="T96" s="259"/>
      <c r="U96" s="259"/>
      <c r="V96" s="259"/>
      <c r="W96" s="260"/>
      <c r="X96" s="259"/>
      <c r="Y96" s="259"/>
      <c r="Z96" s="259"/>
      <c r="AA96" s="260"/>
      <c r="AB96" s="259"/>
      <c r="AC96" s="259"/>
      <c r="AD96" s="259"/>
      <c r="AE96" s="260"/>
      <c r="AF96" s="259"/>
      <c r="AG96" s="259"/>
      <c r="AH96" s="259"/>
      <c r="AI96" s="260"/>
      <c r="AJ96" s="259"/>
      <c r="AK96" s="259"/>
      <c r="AL96" s="259"/>
      <c r="AM96" s="260"/>
      <c r="AN96" s="259"/>
      <c r="AO96" s="259"/>
      <c r="AP96" s="259"/>
      <c r="AQ96" s="260"/>
      <c r="AR96" s="259"/>
      <c r="AS96" s="259"/>
      <c r="AT96" s="259"/>
      <c r="AU96" s="260"/>
      <c r="AV96" s="259"/>
      <c r="AW96" s="259"/>
      <c r="AX96" s="259"/>
      <c r="AY96" s="260"/>
      <c r="AZ96" s="259"/>
      <c r="BA96" s="259"/>
      <c r="BB96" s="259"/>
      <c r="BC96" s="260"/>
      <c r="BD96" s="259"/>
      <c r="BE96" s="259"/>
      <c r="BF96" s="259"/>
      <c r="BG96" s="260"/>
      <c r="BH96" s="259"/>
      <c r="BI96" s="259"/>
      <c r="BJ96" s="259"/>
      <c r="BK96" s="260"/>
      <c r="BL96" s="259"/>
      <c r="BM96" s="259"/>
      <c r="BN96" s="259"/>
      <c r="BO96" s="260"/>
      <c r="BP96" s="259"/>
      <c r="BQ96" s="259"/>
      <c r="BR96" s="259"/>
      <c r="BS96" s="260"/>
      <c r="BT96" s="259"/>
      <c r="BU96" s="259"/>
      <c r="BV96" s="259"/>
      <c r="BW96" s="260"/>
      <c r="BX96" s="259"/>
      <c r="BY96" s="259"/>
      <c r="BZ96" s="259"/>
      <c r="CA96" s="260"/>
      <c r="CB96" s="259"/>
      <c r="CC96" s="259"/>
      <c r="CD96" s="259"/>
      <c r="CE96" s="260"/>
      <c r="CF96" s="259"/>
      <c r="CG96" s="259"/>
      <c r="CH96" s="259"/>
      <c r="CI96" s="260"/>
      <c r="CJ96" s="259"/>
      <c r="CK96" s="259"/>
      <c r="CL96" s="259"/>
      <c r="CM96" s="260"/>
      <c r="CN96" s="259"/>
      <c r="CO96" s="259"/>
      <c r="CP96" s="259"/>
      <c r="CQ96" s="260"/>
      <c r="CR96" s="259"/>
      <c r="CS96" s="259"/>
      <c r="CT96" s="259"/>
      <c r="CU96" s="260"/>
      <c r="CV96" s="259"/>
      <c r="CW96" s="259"/>
      <c r="CX96" s="259"/>
      <c r="CY96" s="260"/>
      <c r="CZ96" s="259"/>
      <c r="DA96" s="259"/>
      <c r="DB96" s="259"/>
      <c r="DC96" s="260"/>
      <c r="DD96" s="18"/>
      <c r="DE96" s="262"/>
      <c r="DF96" s="401"/>
      <c r="DG96" s="401"/>
      <c r="DH96" s="401"/>
      <c r="DI96" s="401"/>
      <c r="DJ96" s="401"/>
      <c r="DK96" s="401"/>
      <c r="DL96" s="401"/>
      <c r="DM96" s="401"/>
      <c r="DN96" s="401"/>
      <c r="DO96" s="401"/>
      <c r="DP96" s="401"/>
      <c r="DQ96" s="401"/>
      <c r="DR96" s="401"/>
      <c r="DS96" s="401"/>
      <c r="DT96" s="401"/>
      <c r="DU96" s="401"/>
      <c r="DV96" s="401"/>
      <c r="DW96" s="401"/>
      <c r="DX96" s="401"/>
      <c r="DY96" s="401"/>
      <c r="DZ96" s="401"/>
      <c r="EA96" s="401"/>
      <c r="EB96" s="401"/>
      <c r="EC96" s="401"/>
      <c r="ED96" s="401"/>
      <c r="EE96" s="18"/>
      <c r="EF96" s="261"/>
      <c r="EG96" s="262"/>
      <c r="EH96" s="262"/>
      <c r="EI96" s="262"/>
      <c r="EJ96" s="262"/>
      <c r="EK96" s="262"/>
      <c r="EL96" s="262"/>
      <c r="EM96" s="262"/>
      <c r="EN96" s="262"/>
      <c r="EO96" s="262"/>
      <c r="EP96" s="262"/>
      <c r="EQ96" s="262"/>
      <c r="ER96" s="262"/>
      <c r="ES96" s="262"/>
      <c r="ET96" s="262"/>
      <c r="EU96" s="262"/>
      <c r="EV96" s="401"/>
      <c r="EW96" s="262"/>
      <c r="EX96" s="262"/>
      <c r="EY96" s="262"/>
      <c r="EZ96" s="262"/>
      <c r="FA96" s="262"/>
      <c r="FB96" s="262"/>
      <c r="FC96" s="262"/>
      <c r="FD96" s="260"/>
    </row>
    <row r="97" spans="1:170" s="664" customFormat="1" ht="14.25" customHeight="1">
      <c r="A97" s="386"/>
      <c r="B97" s="392" t="s">
        <v>224</v>
      </c>
      <c r="C97" s="570"/>
      <c r="D97" s="660"/>
      <c r="E97" s="660"/>
      <c r="F97" s="660"/>
      <c r="G97" s="661"/>
      <c r="H97" s="660"/>
      <c r="I97" s="660"/>
      <c r="J97" s="660"/>
      <c r="K97" s="661"/>
      <c r="L97" s="660"/>
      <c r="M97" s="660"/>
      <c r="N97" s="660"/>
      <c r="O97" s="661"/>
      <c r="P97" s="660"/>
      <c r="Q97" s="660"/>
      <c r="R97" s="660"/>
      <c r="S97" s="661"/>
      <c r="T97" s="660"/>
      <c r="U97" s="660"/>
      <c r="V97" s="660"/>
      <c r="W97" s="661"/>
      <c r="X97" s="660"/>
      <c r="Y97" s="660"/>
      <c r="Z97" s="660"/>
      <c r="AA97" s="661"/>
      <c r="AB97" s="660"/>
      <c r="AC97" s="660"/>
      <c r="AD97" s="660"/>
      <c r="AE97" s="661"/>
      <c r="AF97" s="660"/>
      <c r="AG97" s="660"/>
      <c r="AH97" s="660"/>
      <c r="AI97" s="661"/>
      <c r="AJ97" s="660"/>
      <c r="AK97" s="660"/>
      <c r="AL97" s="660"/>
      <c r="AM97" s="661"/>
      <c r="AN97" s="660"/>
      <c r="AO97" s="660"/>
      <c r="AP97" s="660"/>
      <c r="AQ97" s="661"/>
      <c r="AR97" s="660"/>
      <c r="AS97" s="660"/>
      <c r="AT97" s="660"/>
      <c r="AU97" s="661"/>
      <c r="AV97" s="660"/>
      <c r="AW97" s="660"/>
      <c r="AX97" s="660"/>
      <c r="AY97" s="661"/>
      <c r="AZ97" s="660"/>
      <c r="BA97" s="660"/>
      <c r="BB97" s="660"/>
      <c r="BC97" s="661"/>
      <c r="BD97" s="660"/>
      <c r="BE97" s="660"/>
      <c r="BF97" s="660"/>
      <c r="BG97" s="661"/>
      <c r="BH97" s="660"/>
      <c r="BI97" s="660"/>
      <c r="BJ97" s="660"/>
      <c r="BK97" s="661"/>
      <c r="BL97" s="660"/>
      <c r="BM97" s="660"/>
      <c r="BN97" s="660"/>
      <c r="BO97" s="661"/>
      <c r="BP97" s="660"/>
      <c r="BQ97" s="660"/>
      <c r="BR97" s="660"/>
      <c r="BS97" s="661"/>
      <c r="BT97" s="660"/>
      <c r="BU97" s="660"/>
      <c r="BV97" s="660"/>
      <c r="BW97" s="661"/>
      <c r="BX97" s="660"/>
      <c r="BY97" s="660"/>
      <c r="BZ97" s="660"/>
      <c r="CA97" s="661"/>
      <c r="CB97" s="660"/>
      <c r="CC97" s="660"/>
      <c r="CD97" s="660"/>
      <c r="CE97" s="661"/>
      <c r="CF97" s="660"/>
      <c r="CG97" s="660"/>
      <c r="CH97" s="660"/>
      <c r="CI97" s="661"/>
      <c r="CJ97" s="660"/>
      <c r="CK97" s="660"/>
      <c r="CL97" s="660"/>
      <c r="CM97" s="661"/>
      <c r="CN97" s="660"/>
      <c r="CO97" s="660"/>
      <c r="CP97" s="660"/>
      <c r="CQ97" s="661"/>
      <c r="CR97" s="660"/>
      <c r="CS97" s="660"/>
      <c r="CT97" s="660"/>
      <c r="CU97" s="661"/>
      <c r="CV97" s="660"/>
      <c r="CW97" s="660"/>
      <c r="CX97" s="660"/>
      <c r="CY97" s="661"/>
      <c r="CZ97" s="660"/>
      <c r="DA97" s="660"/>
      <c r="DB97" s="660"/>
      <c r="DC97" s="661"/>
      <c r="DD97" s="387"/>
      <c r="DE97" s="662"/>
      <c r="DF97" s="662"/>
      <c r="DG97" s="662"/>
      <c r="DH97" s="662"/>
      <c r="DI97" s="662"/>
      <c r="DJ97" s="662"/>
      <c r="DK97" s="662"/>
      <c r="DL97" s="662"/>
      <c r="DM97" s="662"/>
      <c r="DN97" s="662"/>
      <c r="DO97" s="662"/>
      <c r="DP97" s="662"/>
      <c r="DQ97" s="662"/>
      <c r="DR97" s="662"/>
      <c r="DS97" s="662"/>
      <c r="DT97" s="662"/>
      <c r="DU97" s="662"/>
      <c r="DV97" s="662"/>
      <c r="DW97" s="662"/>
      <c r="DX97" s="662"/>
      <c r="DY97" s="662"/>
      <c r="DZ97" s="662"/>
      <c r="EA97" s="662"/>
      <c r="EB97" s="662"/>
      <c r="EC97" s="662"/>
      <c r="ED97" s="662"/>
      <c r="EE97" s="387"/>
      <c r="EF97" s="663"/>
      <c r="EG97" s="662"/>
      <c r="EH97" s="662"/>
      <c r="EI97" s="662"/>
      <c r="EJ97" s="662"/>
      <c r="EK97" s="662"/>
      <c r="EL97" s="662"/>
      <c r="EM97" s="662"/>
      <c r="EN97" s="662"/>
      <c r="EO97" s="662"/>
      <c r="EP97" s="662"/>
      <c r="EQ97" s="662"/>
      <c r="ER97" s="662"/>
      <c r="ES97" s="662"/>
      <c r="ET97" s="662"/>
      <c r="EU97" s="662"/>
      <c r="EV97" s="662"/>
      <c r="EW97" s="662"/>
      <c r="EX97" s="662"/>
      <c r="EY97" s="662"/>
      <c r="EZ97" s="662"/>
      <c r="FA97" s="662"/>
      <c r="FB97" s="662"/>
      <c r="FC97" s="662"/>
      <c r="FD97" s="661"/>
      <c r="FE97"/>
      <c r="FF97"/>
      <c r="FG97"/>
      <c r="FH97"/>
      <c r="FI97"/>
      <c r="FJ97"/>
      <c r="FK97"/>
      <c r="FL97"/>
      <c r="FM97"/>
      <c r="FN97"/>
    </row>
    <row r="98" spans="1:170" s="300" customFormat="1" ht="14.25" customHeight="1">
      <c r="A98" s="13"/>
      <c r="B98" s="22" t="s">
        <v>225</v>
      </c>
      <c r="C98" s="231"/>
      <c r="D98" s="259"/>
      <c r="E98" s="259"/>
      <c r="F98" s="259"/>
      <c r="G98" s="402"/>
      <c r="H98" s="259"/>
      <c r="I98" s="259"/>
      <c r="J98" s="259"/>
      <c r="K98" s="402"/>
      <c r="L98" s="259"/>
      <c r="M98" s="259"/>
      <c r="N98" s="259"/>
      <c r="O98" s="402"/>
      <c r="P98" s="259"/>
      <c r="Q98" s="259"/>
      <c r="R98" s="259"/>
      <c r="S98" s="402"/>
      <c r="T98" s="259"/>
      <c r="U98" s="259"/>
      <c r="V98" s="259"/>
      <c r="W98" s="402"/>
      <c r="X98" s="259"/>
      <c r="Y98" s="259"/>
      <c r="Z98" s="259"/>
      <c r="AA98" s="402"/>
      <c r="AB98" s="259"/>
      <c r="AC98" s="259"/>
      <c r="AD98" s="259"/>
      <c r="AE98" s="402"/>
      <c r="AF98" s="259"/>
      <c r="AG98" s="259"/>
      <c r="AH98" s="259"/>
      <c r="AI98" s="402"/>
      <c r="AJ98" s="259"/>
      <c r="AK98" s="259"/>
      <c r="AL98" s="259"/>
      <c r="AM98" s="402"/>
      <c r="AN98" s="259"/>
      <c r="AO98" s="259"/>
      <c r="AP98" s="259"/>
      <c r="AQ98" s="402"/>
      <c r="AR98" s="259"/>
      <c r="AS98" s="259"/>
      <c r="AT98" s="259"/>
      <c r="AU98" s="402"/>
      <c r="AV98" s="259"/>
      <c r="AW98" s="259"/>
      <c r="AX98" s="259"/>
      <c r="AY98" s="402"/>
      <c r="AZ98" s="259"/>
      <c r="BA98" s="259"/>
      <c r="BB98" s="259"/>
      <c r="BC98" s="402"/>
      <c r="BD98" s="259"/>
      <c r="BE98" s="259"/>
      <c r="BF98" s="259"/>
      <c r="BG98" s="402"/>
      <c r="BH98" s="259"/>
      <c r="BI98" s="259"/>
      <c r="BJ98" s="259"/>
      <c r="BK98" s="402"/>
      <c r="BL98" s="259"/>
      <c r="BM98" s="259"/>
      <c r="BN98" s="259"/>
      <c r="BO98" s="402"/>
      <c r="BP98" s="259"/>
      <c r="BQ98" s="259"/>
      <c r="BR98" s="259"/>
      <c r="BS98" s="402"/>
      <c r="BT98" s="259"/>
      <c r="BU98" s="259"/>
      <c r="BV98" s="259"/>
      <c r="BW98" s="402"/>
      <c r="BX98" s="259"/>
      <c r="BY98" s="259"/>
      <c r="BZ98" s="259"/>
      <c r="CA98" s="402"/>
      <c r="CB98" s="259"/>
      <c r="CC98" s="259"/>
      <c r="CD98" s="259"/>
      <c r="CE98" s="402"/>
      <c r="CF98" s="259"/>
      <c r="CG98" s="259"/>
      <c r="CH98" s="259"/>
      <c r="CI98" s="402"/>
      <c r="CJ98" s="259"/>
      <c r="CK98" s="259"/>
      <c r="CL98" s="259"/>
      <c r="CM98" s="402"/>
      <c r="CN98" s="259"/>
      <c r="CO98" s="259"/>
      <c r="CP98" s="259"/>
      <c r="CQ98" s="402"/>
      <c r="CR98" s="259"/>
      <c r="CS98" s="259"/>
      <c r="CT98" s="259"/>
      <c r="CU98" s="402"/>
      <c r="CV98" s="259"/>
      <c r="CW98" s="259"/>
      <c r="CX98" s="259"/>
      <c r="CY98" s="402"/>
      <c r="CZ98" s="259"/>
      <c r="DA98" s="259"/>
      <c r="DB98" s="259"/>
      <c r="DC98" s="402"/>
      <c r="DD98" s="18"/>
      <c r="DE98" s="401"/>
      <c r="DF98" s="401"/>
      <c r="DG98" s="401"/>
      <c r="DH98" s="401"/>
      <c r="DI98" s="401"/>
      <c r="DJ98" s="401"/>
      <c r="DK98" s="401"/>
      <c r="DL98" s="401"/>
      <c r="DM98" s="401"/>
      <c r="DN98" s="401"/>
      <c r="DO98" s="401"/>
      <c r="DP98" s="401"/>
      <c r="DQ98" s="401"/>
      <c r="DR98" s="401"/>
      <c r="DS98" s="401"/>
      <c r="DT98" s="401"/>
      <c r="DU98" s="401"/>
      <c r="DV98" s="401"/>
      <c r="DW98" s="401"/>
      <c r="DX98" s="401"/>
      <c r="DY98" s="401"/>
      <c r="DZ98" s="401"/>
      <c r="EA98" s="401"/>
      <c r="EB98" s="401"/>
      <c r="EC98" s="401"/>
      <c r="ED98" s="401"/>
      <c r="EE98" s="18"/>
      <c r="EF98" s="403"/>
      <c r="EG98" s="401"/>
      <c r="EH98" s="401"/>
      <c r="EI98" s="401"/>
      <c r="EJ98" s="401"/>
      <c r="EK98" s="401"/>
      <c r="EL98" s="401"/>
      <c r="EM98" s="401"/>
      <c r="EN98" s="401"/>
      <c r="EO98" s="401"/>
      <c r="EP98" s="401"/>
      <c r="EQ98" s="401"/>
      <c r="ER98" s="401"/>
      <c r="ES98" s="401"/>
      <c r="ET98" s="401"/>
      <c r="EU98" s="401"/>
      <c r="EV98" s="401"/>
      <c r="EW98" s="401"/>
      <c r="EX98" s="401"/>
      <c r="EY98" s="401"/>
      <c r="EZ98" s="401"/>
      <c r="FA98" s="401"/>
      <c r="FB98" s="401"/>
      <c r="FC98" s="401"/>
      <c r="FD98" s="402"/>
      <c r="FE98"/>
      <c r="FF98"/>
      <c r="FG98"/>
      <c r="FH98"/>
      <c r="FI98"/>
      <c r="FJ98"/>
      <c r="FK98"/>
      <c r="FL98"/>
      <c r="FM98"/>
      <c r="FN98"/>
    </row>
    <row r="99" spans="1:170" s="300" customFormat="1" ht="14.25" customHeight="1">
      <c r="A99" s="13"/>
      <c r="B99" s="22" t="s">
        <v>227</v>
      </c>
      <c r="C99" s="231"/>
      <c r="D99" s="259"/>
      <c r="E99" s="259"/>
      <c r="F99" s="259"/>
      <c r="G99" s="402"/>
      <c r="H99" s="259"/>
      <c r="I99" s="259"/>
      <c r="J99" s="259"/>
      <c r="K99" s="402"/>
      <c r="L99" s="259"/>
      <c r="M99" s="259"/>
      <c r="N99" s="259"/>
      <c r="O99" s="402"/>
      <c r="P99" s="259"/>
      <c r="Q99" s="259"/>
      <c r="R99" s="259"/>
      <c r="S99" s="402"/>
      <c r="T99" s="259"/>
      <c r="U99" s="259"/>
      <c r="V99" s="259"/>
      <c r="W99" s="402"/>
      <c r="X99" s="259"/>
      <c r="Y99" s="259"/>
      <c r="Z99" s="259"/>
      <c r="AA99" s="402"/>
      <c r="AB99" s="259"/>
      <c r="AC99" s="259"/>
      <c r="AD99" s="259"/>
      <c r="AE99" s="402"/>
      <c r="AF99" s="259"/>
      <c r="AG99" s="259"/>
      <c r="AH99" s="259"/>
      <c r="AI99" s="402"/>
      <c r="AJ99" s="259"/>
      <c r="AK99" s="259"/>
      <c r="AL99" s="259"/>
      <c r="AM99" s="402"/>
      <c r="AN99" s="259"/>
      <c r="AO99" s="259"/>
      <c r="AP99" s="259"/>
      <c r="AQ99" s="402"/>
      <c r="AR99" s="259"/>
      <c r="AS99" s="259"/>
      <c r="AT99" s="259"/>
      <c r="AU99" s="402"/>
      <c r="AV99" s="259"/>
      <c r="AW99" s="259"/>
      <c r="AX99" s="259"/>
      <c r="AY99" s="402"/>
      <c r="AZ99" s="259"/>
      <c r="BA99" s="259"/>
      <c r="BB99" s="259"/>
      <c r="BC99" s="402"/>
      <c r="BD99" s="259"/>
      <c r="BE99" s="259"/>
      <c r="BF99" s="259"/>
      <c r="BG99" s="402"/>
      <c r="BH99" s="259"/>
      <c r="BI99" s="259"/>
      <c r="BJ99" s="259"/>
      <c r="BK99" s="402"/>
      <c r="BL99" s="259"/>
      <c r="BM99" s="259"/>
      <c r="BN99" s="259"/>
      <c r="BO99" s="402"/>
      <c r="BP99" s="259"/>
      <c r="BQ99" s="259"/>
      <c r="BR99" s="259"/>
      <c r="BS99" s="402"/>
      <c r="BT99" s="259"/>
      <c r="BU99" s="259"/>
      <c r="BV99" s="259"/>
      <c r="BW99" s="402"/>
      <c r="BX99" s="259"/>
      <c r="BY99" s="259"/>
      <c r="BZ99" s="259"/>
      <c r="CA99" s="402"/>
      <c r="CB99" s="259"/>
      <c r="CC99" s="259"/>
      <c r="CD99" s="259"/>
      <c r="CE99" s="402"/>
      <c r="CF99" s="259"/>
      <c r="CG99" s="259"/>
      <c r="CH99" s="259"/>
      <c r="CI99" s="402"/>
      <c r="CJ99" s="259"/>
      <c r="CK99" s="259"/>
      <c r="CL99" s="259"/>
      <c r="CM99" s="402"/>
      <c r="CN99" s="259"/>
      <c r="CO99" s="259"/>
      <c r="CP99" s="259"/>
      <c r="CQ99" s="402"/>
      <c r="CR99" s="259"/>
      <c r="CS99" s="259"/>
      <c r="CT99" s="259"/>
      <c r="CU99" s="402"/>
      <c r="CV99" s="259"/>
      <c r="CW99" s="259"/>
      <c r="CX99" s="259"/>
      <c r="CY99" s="402"/>
      <c r="CZ99" s="259"/>
      <c r="DA99" s="259"/>
      <c r="DB99" s="259"/>
      <c r="DC99" s="402"/>
      <c r="DD99" s="18"/>
      <c r="DE99" s="401"/>
      <c r="DF99" s="401"/>
      <c r="DG99" s="401"/>
      <c r="DH99" s="401"/>
      <c r="DI99" s="401"/>
      <c r="DJ99" s="401"/>
      <c r="DK99" s="401"/>
      <c r="DL99" s="401"/>
      <c r="DM99" s="401"/>
      <c r="DN99" s="401"/>
      <c r="DO99" s="401"/>
      <c r="DP99" s="401"/>
      <c r="DQ99" s="401"/>
      <c r="DR99" s="401"/>
      <c r="DS99" s="401"/>
      <c r="DT99" s="401"/>
      <c r="DU99" s="401"/>
      <c r="DV99" s="401"/>
      <c r="DW99" s="401"/>
      <c r="DX99" s="401"/>
      <c r="DY99" s="401"/>
      <c r="DZ99" s="401"/>
      <c r="EA99" s="401"/>
      <c r="EB99" s="401"/>
      <c r="EC99" s="401"/>
      <c r="ED99" s="401"/>
      <c r="EE99" s="18"/>
      <c r="EF99" s="403"/>
      <c r="EG99" s="401"/>
      <c r="EH99" s="401"/>
      <c r="EI99" s="401"/>
      <c r="EJ99" s="401"/>
      <c r="EK99" s="401"/>
      <c r="EL99" s="401"/>
      <c r="EM99" s="401"/>
      <c r="EN99" s="401"/>
      <c r="EO99" s="401"/>
      <c r="EP99" s="401"/>
      <c r="EQ99" s="401"/>
      <c r="ER99" s="401"/>
      <c r="ES99" s="401"/>
      <c r="ET99" s="401"/>
      <c r="EU99" s="401"/>
      <c r="EV99" s="401"/>
      <c r="EW99" s="401"/>
      <c r="EX99" s="401"/>
      <c r="EY99" s="401"/>
      <c r="EZ99" s="401"/>
      <c r="FA99" s="401"/>
      <c r="FB99" s="401"/>
      <c r="FC99" s="401"/>
      <c r="FD99" s="402"/>
      <c r="FE99"/>
      <c r="FF99"/>
      <c r="FG99"/>
      <c r="FH99"/>
      <c r="FI99"/>
      <c r="FJ99"/>
      <c r="FK99"/>
      <c r="FL99"/>
      <c r="FM99"/>
      <c r="FN99"/>
    </row>
    <row r="100" spans="1:170" s="300" customFormat="1" ht="14.25" customHeight="1">
      <c r="A100" s="13"/>
      <c r="B100" s="22" t="s">
        <v>228</v>
      </c>
      <c r="C100" s="231"/>
      <c r="D100" s="259"/>
      <c r="E100" s="259"/>
      <c r="F100" s="259"/>
      <c r="G100" s="402"/>
      <c r="H100" s="259"/>
      <c r="I100" s="259"/>
      <c r="J100" s="259"/>
      <c r="K100" s="402"/>
      <c r="L100" s="259"/>
      <c r="M100" s="259"/>
      <c r="N100" s="259"/>
      <c r="O100" s="402"/>
      <c r="P100" s="259"/>
      <c r="Q100" s="259"/>
      <c r="R100" s="259"/>
      <c r="S100" s="402"/>
      <c r="T100" s="259"/>
      <c r="U100" s="259"/>
      <c r="V100" s="259"/>
      <c r="W100" s="402"/>
      <c r="X100" s="259"/>
      <c r="Y100" s="259"/>
      <c r="Z100" s="259"/>
      <c r="AA100" s="402"/>
      <c r="AB100" s="259"/>
      <c r="AC100" s="259"/>
      <c r="AD100" s="259"/>
      <c r="AE100" s="402"/>
      <c r="AF100" s="259"/>
      <c r="AG100" s="259"/>
      <c r="AH100" s="259"/>
      <c r="AI100" s="402"/>
      <c r="AJ100" s="259"/>
      <c r="AK100" s="259"/>
      <c r="AL100" s="259"/>
      <c r="AM100" s="402"/>
      <c r="AN100" s="259"/>
      <c r="AO100" s="259"/>
      <c r="AP100" s="259"/>
      <c r="AQ100" s="402"/>
      <c r="AR100" s="259"/>
      <c r="AS100" s="259"/>
      <c r="AT100" s="259"/>
      <c r="AU100" s="402"/>
      <c r="AV100" s="259"/>
      <c r="AW100" s="259"/>
      <c r="AX100" s="259"/>
      <c r="AY100" s="402"/>
      <c r="AZ100" s="259"/>
      <c r="BA100" s="259"/>
      <c r="BB100" s="259"/>
      <c r="BC100" s="402"/>
      <c r="BD100" s="259"/>
      <c r="BE100" s="259"/>
      <c r="BF100" s="259"/>
      <c r="BG100" s="402"/>
      <c r="BH100" s="259"/>
      <c r="BI100" s="259"/>
      <c r="BJ100" s="259"/>
      <c r="BK100" s="402"/>
      <c r="BL100" s="259"/>
      <c r="BM100" s="259"/>
      <c r="BN100" s="259"/>
      <c r="BO100" s="402"/>
      <c r="BP100" s="259"/>
      <c r="BQ100" s="259"/>
      <c r="BR100" s="259"/>
      <c r="BS100" s="402"/>
      <c r="BT100" s="259"/>
      <c r="BU100" s="259"/>
      <c r="BV100" s="259"/>
      <c r="BW100" s="402"/>
      <c r="BX100" s="259"/>
      <c r="BY100" s="259"/>
      <c r="BZ100" s="259"/>
      <c r="CA100" s="402"/>
      <c r="CB100" s="259"/>
      <c r="CC100" s="259"/>
      <c r="CD100" s="259"/>
      <c r="CE100" s="402"/>
      <c r="CF100" s="259"/>
      <c r="CG100" s="259"/>
      <c r="CH100" s="259"/>
      <c r="CI100" s="402"/>
      <c r="CJ100" s="259"/>
      <c r="CK100" s="259"/>
      <c r="CL100" s="259"/>
      <c r="CM100" s="402"/>
      <c r="CN100" s="259"/>
      <c r="CO100" s="259"/>
      <c r="CP100" s="259"/>
      <c r="CQ100" s="402"/>
      <c r="CR100" s="259"/>
      <c r="CS100" s="259"/>
      <c r="CT100" s="259"/>
      <c r="CU100" s="402"/>
      <c r="CV100" s="259"/>
      <c r="CW100" s="259"/>
      <c r="CX100" s="259"/>
      <c r="CY100" s="402"/>
      <c r="CZ100" s="259"/>
      <c r="DA100" s="259"/>
      <c r="DB100" s="259"/>
      <c r="DC100" s="402"/>
      <c r="DD100" s="18"/>
      <c r="DE100" s="401"/>
      <c r="DF100" s="401"/>
      <c r="DG100" s="401"/>
      <c r="DH100" s="401"/>
      <c r="DI100" s="401"/>
      <c r="DJ100" s="401"/>
      <c r="DK100" s="401"/>
      <c r="DL100" s="401"/>
      <c r="DM100" s="401"/>
      <c r="DN100" s="401"/>
      <c r="DO100" s="401"/>
      <c r="DP100" s="401"/>
      <c r="DQ100" s="401"/>
      <c r="DR100" s="401"/>
      <c r="DS100" s="401"/>
      <c r="DT100" s="401"/>
      <c r="DU100" s="401"/>
      <c r="DV100" s="401"/>
      <c r="DW100" s="401"/>
      <c r="DX100" s="401"/>
      <c r="DY100" s="401"/>
      <c r="DZ100" s="401"/>
      <c r="EA100" s="401"/>
      <c r="EB100" s="401"/>
      <c r="EC100" s="401"/>
      <c r="ED100" s="401"/>
      <c r="EE100" s="18"/>
      <c r="EF100" s="403"/>
      <c r="EG100" s="401"/>
      <c r="EH100" s="401"/>
      <c r="EI100" s="401"/>
      <c r="EJ100" s="401"/>
      <c r="EK100" s="401"/>
      <c r="EL100" s="401"/>
      <c r="EM100" s="401"/>
      <c r="EN100" s="401"/>
      <c r="EO100" s="401"/>
      <c r="EP100" s="401"/>
      <c r="EQ100" s="401"/>
      <c r="ER100" s="401"/>
      <c r="ES100" s="401"/>
      <c r="ET100" s="401"/>
      <c r="EU100" s="401"/>
      <c r="EV100" s="401"/>
      <c r="EW100" s="401"/>
      <c r="EX100" s="401"/>
      <c r="EY100" s="401"/>
      <c r="EZ100" s="401"/>
      <c r="FA100" s="401"/>
      <c r="FB100" s="401"/>
      <c r="FC100" s="401"/>
      <c r="FD100" s="402"/>
      <c r="FE100"/>
      <c r="FF100"/>
      <c r="FG100"/>
      <c r="FH100"/>
      <c r="FI100"/>
      <c r="FJ100"/>
      <c r="FK100"/>
      <c r="FL100"/>
      <c r="FM100"/>
      <c r="FN100"/>
    </row>
    <row r="101" spans="1:170" s="669" customFormat="1" ht="14.25" customHeight="1">
      <c r="A101" s="414"/>
      <c r="B101" s="519" t="s">
        <v>226</v>
      </c>
      <c r="C101" s="569"/>
      <c r="D101" s="665"/>
      <c r="E101" s="665"/>
      <c r="F101" s="665"/>
      <c r="G101" s="666"/>
      <c r="H101" s="665"/>
      <c r="I101" s="665"/>
      <c r="J101" s="665"/>
      <c r="K101" s="666"/>
      <c r="L101" s="665"/>
      <c r="M101" s="665"/>
      <c r="N101" s="665"/>
      <c r="O101" s="666"/>
      <c r="P101" s="665"/>
      <c r="Q101" s="665"/>
      <c r="R101" s="665"/>
      <c r="S101" s="666"/>
      <c r="T101" s="665"/>
      <c r="U101" s="665"/>
      <c r="V101" s="665"/>
      <c r="W101" s="666"/>
      <c r="X101" s="665"/>
      <c r="Y101" s="665"/>
      <c r="Z101" s="665"/>
      <c r="AA101" s="666"/>
      <c r="AB101" s="665"/>
      <c r="AC101" s="665"/>
      <c r="AD101" s="665"/>
      <c r="AE101" s="666"/>
      <c r="AF101" s="665"/>
      <c r="AG101" s="665"/>
      <c r="AH101" s="665"/>
      <c r="AI101" s="666"/>
      <c r="AJ101" s="665"/>
      <c r="AK101" s="665"/>
      <c r="AL101" s="665"/>
      <c r="AM101" s="666"/>
      <c r="AN101" s="665"/>
      <c r="AO101" s="665"/>
      <c r="AP101" s="665"/>
      <c r="AQ101" s="666"/>
      <c r="AR101" s="665"/>
      <c r="AS101" s="665"/>
      <c r="AT101" s="665"/>
      <c r="AU101" s="666"/>
      <c r="AV101" s="665"/>
      <c r="AW101" s="665"/>
      <c r="AX101" s="665"/>
      <c r="AY101" s="666"/>
      <c r="AZ101" s="665"/>
      <c r="BA101" s="665"/>
      <c r="BB101" s="665"/>
      <c r="BC101" s="666"/>
      <c r="BD101" s="665"/>
      <c r="BE101" s="665"/>
      <c r="BF101" s="665"/>
      <c r="BG101" s="666"/>
      <c r="BH101" s="665"/>
      <c r="BI101" s="665"/>
      <c r="BJ101" s="665"/>
      <c r="BK101" s="666"/>
      <c r="BL101" s="665"/>
      <c r="BM101" s="665"/>
      <c r="BN101" s="665"/>
      <c r="BO101" s="666"/>
      <c r="BP101" s="665"/>
      <c r="BQ101" s="665"/>
      <c r="BR101" s="665"/>
      <c r="BS101" s="666"/>
      <c r="BT101" s="665"/>
      <c r="BU101" s="665"/>
      <c r="BV101" s="665"/>
      <c r="BW101" s="666"/>
      <c r="BX101" s="665"/>
      <c r="BY101" s="665"/>
      <c r="BZ101" s="665"/>
      <c r="CA101" s="666"/>
      <c r="CB101" s="665"/>
      <c r="CC101" s="665"/>
      <c r="CD101" s="665"/>
      <c r="CE101" s="666"/>
      <c r="CF101" s="665"/>
      <c r="CG101" s="665"/>
      <c r="CH101" s="665"/>
      <c r="CI101" s="666"/>
      <c r="CJ101" s="665"/>
      <c r="CK101" s="665"/>
      <c r="CL101" s="665"/>
      <c r="CM101" s="666"/>
      <c r="CN101" s="665"/>
      <c r="CO101" s="665"/>
      <c r="CP101" s="665"/>
      <c r="CQ101" s="666"/>
      <c r="CR101" s="665"/>
      <c r="CS101" s="665"/>
      <c r="CT101" s="665"/>
      <c r="CU101" s="666"/>
      <c r="CV101" s="665"/>
      <c r="CW101" s="665"/>
      <c r="CX101" s="665"/>
      <c r="CY101" s="666"/>
      <c r="CZ101" s="665"/>
      <c r="DA101" s="665"/>
      <c r="DB101" s="665"/>
      <c r="DC101" s="666"/>
      <c r="DD101" s="518"/>
      <c r="DE101" s="667"/>
      <c r="DF101" s="667"/>
      <c r="DG101" s="667"/>
      <c r="DH101" s="667"/>
      <c r="DI101" s="667"/>
      <c r="DJ101" s="667"/>
      <c r="DK101" s="667"/>
      <c r="DL101" s="667"/>
      <c r="DM101" s="667"/>
      <c r="DN101" s="667"/>
      <c r="DO101" s="667"/>
      <c r="DP101" s="667"/>
      <c r="DQ101" s="667"/>
      <c r="DR101" s="667"/>
      <c r="DS101" s="667"/>
      <c r="DT101" s="667"/>
      <c r="DU101" s="667"/>
      <c r="DV101" s="667"/>
      <c r="DW101" s="667"/>
      <c r="DX101" s="667"/>
      <c r="DY101" s="667"/>
      <c r="DZ101" s="667"/>
      <c r="EA101" s="667"/>
      <c r="EB101" s="667"/>
      <c r="EC101" s="667"/>
      <c r="ED101" s="667"/>
      <c r="EE101" s="518"/>
      <c r="EF101" s="668"/>
      <c r="EG101" s="667"/>
      <c r="EH101" s="667"/>
      <c r="EI101" s="667"/>
      <c r="EJ101" s="667"/>
      <c r="EK101" s="667"/>
      <c r="EL101" s="667"/>
      <c r="EM101" s="667"/>
      <c r="EN101" s="667"/>
      <c r="EO101" s="667"/>
      <c r="EP101" s="667"/>
      <c r="EQ101" s="667"/>
      <c r="ER101" s="667"/>
      <c r="ES101" s="667"/>
      <c r="ET101" s="667"/>
      <c r="EU101" s="667"/>
      <c r="EV101" s="667"/>
      <c r="EW101" s="667"/>
      <c r="EX101" s="667"/>
      <c r="EY101" s="667"/>
      <c r="EZ101" s="667"/>
      <c r="FA101" s="667"/>
      <c r="FB101" s="667"/>
      <c r="FC101" s="667"/>
      <c r="FD101" s="666"/>
      <c r="FE101"/>
      <c r="FF101"/>
      <c r="FG101"/>
      <c r="FH101"/>
      <c r="FI101"/>
      <c r="FJ101"/>
      <c r="FK101"/>
      <c r="FL101"/>
      <c r="FM101"/>
      <c r="FN101"/>
    </row>
    <row r="102" spans="1:170" s="664" customFormat="1" ht="14.25" customHeight="1">
      <c r="A102" s="386"/>
      <c r="B102" s="392" t="s">
        <v>355</v>
      </c>
      <c r="C102" s="570"/>
      <c r="D102" s="660"/>
      <c r="E102" s="660"/>
      <c r="F102" s="660"/>
      <c r="G102" s="661"/>
      <c r="H102" s="660"/>
      <c r="I102" s="660"/>
      <c r="J102" s="660"/>
      <c r="K102" s="661"/>
      <c r="L102" s="660"/>
      <c r="M102" s="660"/>
      <c r="N102" s="660"/>
      <c r="O102" s="661"/>
      <c r="P102" s="660"/>
      <c r="Q102" s="660"/>
      <c r="R102" s="660"/>
      <c r="S102" s="661"/>
      <c r="T102" s="660"/>
      <c r="U102" s="660"/>
      <c r="V102" s="660"/>
      <c r="W102" s="661"/>
      <c r="X102" s="660"/>
      <c r="Y102" s="660"/>
      <c r="Z102" s="660"/>
      <c r="AA102" s="661"/>
      <c r="AB102" s="660"/>
      <c r="AC102" s="660"/>
      <c r="AD102" s="660"/>
      <c r="AE102" s="661"/>
      <c r="AF102" s="660"/>
      <c r="AG102" s="660"/>
      <c r="AH102" s="660"/>
      <c r="AI102" s="661"/>
      <c r="AJ102" s="660"/>
      <c r="AK102" s="660"/>
      <c r="AL102" s="660"/>
      <c r="AM102" s="661"/>
      <c r="AN102" s="660"/>
      <c r="AO102" s="660"/>
      <c r="AP102" s="660"/>
      <c r="AQ102" s="661"/>
      <c r="AR102" s="660"/>
      <c r="AS102" s="660"/>
      <c r="AT102" s="660"/>
      <c r="AU102" s="661"/>
      <c r="AV102" s="660"/>
      <c r="AW102" s="660"/>
      <c r="AX102" s="660"/>
      <c r="AY102" s="661"/>
      <c r="AZ102" s="660"/>
      <c r="BA102" s="660"/>
      <c r="BB102" s="660"/>
      <c r="BC102" s="661"/>
      <c r="BD102" s="660"/>
      <c r="BE102" s="660"/>
      <c r="BF102" s="660"/>
      <c r="BG102" s="661"/>
      <c r="BH102" s="660"/>
      <c r="BI102" s="660"/>
      <c r="BJ102" s="660"/>
      <c r="BK102" s="661"/>
      <c r="BL102" s="660"/>
      <c r="BM102" s="660"/>
      <c r="BN102" s="660"/>
      <c r="BO102" s="661"/>
      <c r="BP102" s="660"/>
      <c r="BQ102" s="660"/>
      <c r="BR102" s="660"/>
      <c r="BS102" s="661"/>
      <c r="BT102" s="660"/>
      <c r="BU102" s="660"/>
      <c r="BV102" s="660"/>
      <c r="BW102" s="661"/>
      <c r="BX102" s="660"/>
      <c r="BY102" s="660"/>
      <c r="BZ102" s="660"/>
      <c r="CA102" s="661"/>
      <c r="CB102" s="660"/>
      <c r="CC102" s="660"/>
      <c r="CD102" s="660"/>
      <c r="CE102" s="661"/>
      <c r="CF102" s="660"/>
      <c r="CG102" s="660"/>
      <c r="CH102" s="660"/>
      <c r="CI102" s="661"/>
      <c r="CJ102" s="660"/>
      <c r="CK102" s="660"/>
      <c r="CL102" s="660"/>
      <c r="CM102" s="661"/>
      <c r="CN102" s="660"/>
      <c r="CO102" s="660"/>
      <c r="CP102" s="660"/>
      <c r="CQ102" s="661"/>
      <c r="CR102" s="660"/>
      <c r="CS102" s="660"/>
      <c r="CT102" s="660"/>
      <c r="CU102" s="661"/>
      <c r="CV102" s="660"/>
      <c r="CW102" s="660"/>
      <c r="CX102" s="660"/>
      <c r="CY102" s="661"/>
      <c r="CZ102" s="660"/>
      <c r="DA102" s="660"/>
      <c r="DB102" s="660"/>
      <c r="DC102" s="661"/>
      <c r="DD102" s="387"/>
      <c r="DE102" s="662"/>
      <c r="DF102" s="662"/>
      <c r="DG102" s="662"/>
      <c r="DH102" s="662"/>
      <c r="DI102" s="662"/>
      <c r="DJ102" s="662"/>
      <c r="DK102" s="662"/>
      <c r="DL102" s="662"/>
      <c r="DM102" s="662"/>
      <c r="DN102" s="662"/>
      <c r="DO102" s="662"/>
      <c r="DP102" s="662"/>
      <c r="DQ102" s="662"/>
      <c r="DR102" s="662"/>
      <c r="DS102" s="662"/>
      <c r="DT102" s="662"/>
      <c r="DU102" s="662"/>
      <c r="DV102" s="662"/>
      <c r="DW102" s="662"/>
      <c r="DX102" s="662"/>
      <c r="DY102" s="662"/>
      <c r="DZ102" s="662"/>
      <c r="EA102" s="662"/>
      <c r="EB102" s="662"/>
      <c r="EC102" s="662"/>
      <c r="ED102" s="662"/>
      <c r="EE102" s="387"/>
      <c r="EF102" s="663"/>
      <c r="EG102" s="662"/>
      <c r="EH102" s="662"/>
      <c r="EI102" s="662"/>
      <c r="EJ102" s="662"/>
      <c r="EK102" s="662"/>
      <c r="EL102" s="662"/>
      <c r="EM102" s="662"/>
      <c r="EN102" s="662"/>
      <c r="EO102" s="662"/>
      <c r="EP102" s="662"/>
      <c r="EQ102" s="662"/>
      <c r="ER102" s="662"/>
      <c r="ES102" s="662"/>
      <c r="ET102" s="662"/>
      <c r="EU102" s="662"/>
      <c r="EV102" s="662"/>
      <c r="EW102" s="662"/>
      <c r="EX102" s="662"/>
      <c r="EY102" s="662"/>
      <c r="EZ102" s="662"/>
      <c r="FA102" s="662"/>
      <c r="FB102" s="662"/>
      <c r="FC102" s="662"/>
      <c r="FD102" s="661"/>
      <c r="FE102"/>
      <c r="FF102"/>
      <c r="FG102"/>
      <c r="FH102"/>
      <c r="FI102"/>
      <c r="FJ102"/>
      <c r="FK102"/>
      <c r="FL102"/>
      <c r="FM102"/>
      <c r="FN102"/>
    </row>
    <row r="103" spans="1:170" s="300" customFormat="1" ht="14.25" customHeight="1">
      <c r="A103" s="13"/>
      <c r="B103" s="22"/>
      <c r="C103" s="231"/>
      <c r="D103" s="259"/>
      <c r="E103" s="259"/>
      <c r="F103" s="259"/>
      <c r="G103" s="402"/>
      <c r="H103" s="259"/>
      <c r="I103" s="259"/>
      <c r="J103" s="259"/>
      <c r="K103" s="402"/>
      <c r="L103" s="259"/>
      <c r="M103" s="259"/>
      <c r="N103" s="259"/>
      <c r="O103" s="402"/>
      <c r="P103" s="259"/>
      <c r="Q103" s="259"/>
      <c r="R103" s="259"/>
      <c r="S103" s="402"/>
      <c r="T103" s="259"/>
      <c r="U103" s="259"/>
      <c r="V103" s="259"/>
      <c r="W103" s="402"/>
      <c r="X103" s="259"/>
      <c r="Y103" s="259"/>
      <c r="Z103" s="259"/>
      <c r="AA103" s="402"/>
      <c r="AB103" s="259"/>
      <c r="AC103" s="259"/>
      <c r="AD103" s="259"/>
      <c r="AE103" s="402"/>
      <c r="AF103" s="259"/>
      <c r="AG103" s="259"/>
      <c r="AH103" s="259"/>
      <c r="AI103" s="402"/>
      <c r="AJ103" s="259"/>
      <c r="AK103" s="259"/>
      <c r="AL103" s="259"/>
      <c r="AM103" s="402"/>
      <c r="AN103" s="259"/>
      <c r="AO103" s="259"/>
      <c r="AP103" s="259"/>
      <c r="AQ103" s="402"/>
      <c r="AR103" s="259"/>
      <c r="AS103" s="259"/>
      <c r="AT103" s="259"/>
      <c r="AU103" s="402"/>
      <c r="AV103" s="259"/>
      <c r="AW103" s="259"/>
      <c r="AX103" s="259"/>
      <c r="AY103" s="402"/>
      <c r="AZ103" s="259"/>
      <c r="BA103" s="259"/>
      <c r="BB103" s="259"/>
      <c r="BC103" s="402"/>
      <c r="BD103" s="259"/>
      <c r="BE103" s="259"/>
      <c r="BF103" s="259"/>
      <c r="BG103" s="402"/>
      <c r="BH103" s="259"/>
      <c r="BI103" s="259"/>
      <c r="BJ103" s="259"/>
      <c r="BK103" s="402"/>
      <c r="BL103" s="259"/>
      <c r="BM103" s="259"/>
      <c r="BN103" s="259"/>
      <c r="BO103" s="402"/>
      <c r="BP103" s="259"/>
      <c r="BQ103" s="259"/>
      <c r="BR103" s="259"/>
      <c r="BS103" s="402"/>
      <c r="BT103" s="259"/>
      <c r="BU103" s="259"/>
      <c r="BV103" s="259"/>
      <c r="BW103" s="402"/>
      <c r="BX103" s="259"/>
      <c r="BY103" s="259"/>
      <c r="BZ103" s="259"/>
      <c r="CA103" s="402"/>
      <c r="CB103" s="259"/>
      <c r="CC103" s="259"/>
      <c r="CD103" s="259"/>
      <c r="CE103" s="402"/>
      <c r="CF103" s="259"/>
      <c r="CG103" s="259"/>
      <c r="CH103" s="259"/>
      <c r="CI103" s="402"/>
      <c r="CJ103" s="259"/>
      <c r="CK103" s="259"/>
      <c r="CL103" s="259"/>
      <c r="CM103" s="402"/>
      <c r="CN103" s="259"/>
      <c r="CO103" s="259"/>
      <c r="CP103" s="259"/>
      <c r="CQ103" s="402"/>
      <c r="CR103" s="259"/>
      <c r="CS103" s="259"/>
      <c r="CT103" s="259"/>
      <c r="CU103" s="402"/>
      <c r="CV103" s="259"/>
      <c r="CW103" s="259"/>
      <c r="CX103" s="259"/>
      <c r="CY103" s="402"/>
      <c r="CZ103" s="259"/>
      <c r="DA103" s="259"/>
      <c r="DB103" s="259"/>
      <c r="DC103" s="402"/>
      <c r="DD103" s="18"/>
      <c r="DE103" s="401"/>
      <c r="DF103" s="401"/>
      <c r="DG103" s="401"/>
      <c r="DH103" s="401"/>
      <c r="DI103" s="401"/>
      <c r="DJ103" s="401"/>
      <c r="DK103" s="401"/>
      <c r="DL103" s="401"/>
      <c r="DM103" s="401"/>
      <c r="DN103" s="401"/>
      <c r="DO103" s="401"/>
      <c r="DP103" s="401"/>
      <c r="DQ103" s="401"/>
      <c r="DR103" s="401"/>
      <c r="DS103" s="401"/>
      <c r="DT103" s="401"/>
      <c r="DU103" s="401"/>
      <c r="DV103" s="401"/>
      <c r="DW103" s="401"/>
      <c r="DX103" s="401"/>
      <c r="DY103" s="401"/>
      <c r="DZ103" s="401"/>
      <c r="EA103" s="401"/>
      <c r="EB103" s="401"/>
      <c r="EC103" s="401"/>
      <c r="ED103" s="401"/>
      <c r="EE103" s="18"/>
      <c r="EF103" s="403"/>
      <c r="EG103" s="401"/>
      <c r="EH103" s="401"/>
      <c r="EI103" s="401"/>
      <c r="EJ103" s="401"/>
      <c r="EK103" s="401"/>
      <c r="EL103" s="401"/>
      <c r="EM103" s="401"/>
      <c r="EN103" s="401"/>
      <c r="EO103" s="401"/>
      <c r="EP103" s="401"/>
      <c r="EQ103" s="401"/>
      <c r="ER103" s="401"/>
      <c r="ES103" s="401"/>
      <c r="ET103" s="401"/>
      <c r="EU103" s="401"/>
      <c r="EV103" s="401"/>
      <c r="EW103" s="401"/>
      <c r="EX103" s="401"/>
      <c r="EY103" s="401"/>
      <c r="EZ103" s="401"/>
      <c r="FA103" s="401"/>
      <c r="FB103" s="401"/>
      <c r="FC103" s="401"/>
      <c r="FD103" s="402"/>
      <c r="FE103"/>
      <c r="FF103"/>
      <c r="FG103"/>
      <c r="FH103"/>
      <c r="FI103"/>
      <c r="FJ103"/>
      <c r="FK103"/>
      <c r="FL103"/>
      <c r="FM103"/>
      <c r="FN103"/>
    </row>
    <row r="104" spans="1:170" ht="14.25" customHeight="1">
      <c r="A104" s="7"/>
      <c r="B104" s="22" t="s">
        <v>355</v>
      </c>
      <c r="C104" s="231"/>
      <c r="D104" s="259">
        <f t="shared" ref="D104:AY104" si="836">D28+D31</f>
        <v>159.30000000000001</v>
      </c>
      <c r="E104" s="259">
        <f t="shared" si="836"/>
        <v>183.50000000000003</v>
      </c>
      <c r="F104" s="259">
        <f t="shared" si="836"/>
        <v>220.20000000000005</v>
      </c>
      <c r="G104" s="402">
        <f t="shared" si="836"/>
        <v>281.10000000000002</v>
      </c>
      <c r="H104" s="259">
        <f t="shared" si="836"/>
        <v>328.49999999999989</v>
      </c>
      <c r="I104" s="259">
        <f t="shared" si="836"/>
        <v>188.19999999999993</v>
      </c>
      <c r="J104" s="259">
        <f t="shared" si="836"/>
        <v>58.199999999999982</v>
      </c>
      <c r="K104" s="402">
        <f t="shared" si="836"/>
        <v>18.599999999999941</v>
      </c>
      <c r="L104" s="259">
        <f t="shared" si="836"/>
        <v>65.100000000000037</v>
      </c>
      <c r="M104" s="259">
        <f t="shared" si="836"/>
        <v>132.69999999999999</v>
      </c>
      <c r="N104" s="259">
        <f t="shared" si="836"/>
        <v>-121.39999999999995</v>
      </c>
      <c r="O104" s="402">
        <f t="shared" si="836"/>
        <v>25.800000000000125</v>
      </c>
      <c r="P104" s="259">
        <f t="shared" si="836"/>
        <v>-5.8000000000000398</v>
      </c>
      <c r="Q104" s="259">
        <f t="shared" si="836"/>
        <v>-231.79999999999993</v>
      </c>
      <c r="R104" s="259">
        <f t="shared" si="836"/>
        <v>-221.30000000000013</v>
      </c>
      <c r="S104" s="402">
        <f t="shared" si="836"/>
        <v>-49.399999999999835</v>
      </c>
      <c r="T104" s="259">
        <f t="shared" si="836"/>
        <v>138.09999999999997</v>
      </c>
      <c r="U104" s="259">
        <f t="shared" si="836"/>
        <v>-47.900000000000063</v>
      </c>
      <c r="V104" s="259">
        <f t="shared" si="836"/>
        <v>-40.100000000000023</v>
      </c>
      <c r="W104" s="402">
        <f t="shared" si="836"/>
        <v>35.099999999999966</v>
      </c>
      <c r="X104" s="259">
        <f t="shared" si="836"/>
        <v>336.40000000000003</v>
      </c>
      <c r="Y104" s="259">
        <f t="shared" si="836"/>
        <v>-88.60000000000008</v>
      </c>
      <c r="Z104" s="259">
        <f t="shared" si="836"/>
        <v>163.29999999999995</v>
      </c>
      <c r="AA104" s="402">
        <f t="shared" si="836"/>
        <v>614.90000000000009</v>
      </c>
      <c r="AB104" s="259">
        <f t="shared" si="836"/>
        <v>124.69999999999993</v>
      </c>
      <c r="AC104" s="259">
        <f t="shared" si="836"/>
        <v>-353.40000000000003</v>
      </c>
      <c r="AD104" s="259">
        <f t="shared" si="836"/>
        <v>-131.7999999999999</v>
      </c>
      <c r="AE104" s="402">
        <f t="shared" si="836"/>
        <v>-315.29999999999916</v>
      </c>
      <c r="AF104" s="259">
        <f t="shared" si="836"/>
        <v>214.69999999999996</v>
      </c>
      <c r="AG104" s="259">
        <f t="shared" si="836"/>
        <v>-220.80000000000004</v>
      </c>
      <c r="AH104" s="259">
        <f t="shared" si="836"/>
        <v>25.200000000000045</v>
      </c>
      <c r="AI104" s="402">
        <f t="shared" si="836"/>
        <v>-198.49999999999997</v>
      </c>
      <c r="AJ104" s="259">
        <f t="shared" si="836"/>
        <v>-228.19999999999996</v>
      </c>
      <c r="AK104" s="259">
        <f t="shared" si="836"/>
        <v>-190.50000000000006</v>
      </c>
      <c r="AL104" s="259">
        <f t="shared" si="836"/>
        <v>-78.699999999999875</v>
      </c>
      <c r="AM104" s="402">
        <f t="shared" si="836"/>
        <v>-26.199999999999889</v>
      </c>
      <c r="AN104" s="259">
        <f t="shared" si="836"/>
        <v>16.099999999999909</v>
      </c>
      <c r="AO104" s="259">
        <f t="shared" si="836"/>
        <v>71.100000000000165</v>
      </c>
      <c r="AP104" s="259">
        <f t="shared" si="836"/>
        <v>-0.69999999999998863</v>
      </c>
      <c r="AQ104" s="402">
        <f t="shared" si="836"/>
        <v>90.599999999999966</v>
      </c>
      <c r="AR104" s="259">
        <f t="shared" si="836"/>
        <v>-60.799999999999955</v>
      </c>
      <c r="AS104" s="259">
        <f t="shared" si="836"/>
        <v>9.9000000000000341</v>
      </c>
      <c r="AT104" s="259">
        <f t="shared" si="836"/>
        <v>108.10000000000019</v>
      </c>
      <c r="AU104" s="402">
        <f t="shared" si="836"/>
        <v>169.7999999999999</v>
      </c>
      <c r="AV104" s="259">
        <f t="shared" si="836"/>
        <v>161.89999999999986</v>
      </c>
      <c r="AW104" s="259">
        <f t="shared" si="836"/>
        <v>705.2</v>
      </c>
      <c r="AX104" s="259">
        <f t="shared" si="836"/>
        <v>63.699999999999989</v>
      </c>
      <c r="AY104" s="402">
        <f t="shared" si="836"/>
        <v>-222</v>
      </c>
      <c r="AZ104" s="259">
        <f>AZ28+AZ31</f>
        <v>-659</v>
      </c>
      <c r="BA104" s="259">
        <f>BA28+BA31</f>
        <v>-781</v>
      </c>
      <c r="BB104" s="259">
        <f>BB28+BB31</f>
        <v>-569</v>
      </c>
      <c r="BC104" s="402">
        <f>BC28+BC31</f>
        <v>-563</v>
      </c>
      <c r="BD104" s="259">
        <f t="shared" ref="BD104:BO104" si="837">BD28+BD31</f>
        <v>-425</v>
      </c>
      <c r="BE104" s="259">
        <f t="shared" si="837"/>
        <v>-323</v>
      </c>
      <c r="BF104" s="259">
        <f t="shared" si="837"/>
        <v>-111</v>
      </c>
      <c r="BG104" s="402">
        <f t="shared" si="837"/>
        <v>-465</v>
      </c>
      <c r="BH104" s="259">
        <f t="shared" si="837"/>
        <v>89</v>
      </c>
      <c r="BI104" s="259">
        <f t="shared" si="837"/>
        <v>234</v>
      </c>
      <c r="BJ104" s="259">
        <f t="shared" si="837"/>
        <v>100</v>
      </c>
      <c r="BK104" s="402">
        <f t="shared" si="837"/>
        <v>321</v>
      </c>
      <c r="BL104" s="259">
        <f t="shared" si="837"/>
        <v>264</v>
      </c>
      <c r="BM104" s="259">
        <f t="shared" si="837"/>
        <v>711</v>
      </c>
      <c r="BN104" s="259">
        <f t="shared" si="837"/>
        <v>775</v>
      </c>
      <c r="BO104" s="402">
        <f t="shared" si="837"/>
        <v>730</v>
      </c>
      <c r="BP104" s="259">
        <f t="shared" ref="BP104:CH104" si="838">BP28+BP31</f>
        <v>267</v>
      </c>
      <c r="BQ104" s="259">
        <f t="shared" si="838"/>
        <v>85</v>
      </c>
      <c r="BR104" s="259">
        <f t="shared" si="838"/>
        <v>96</v>
      </c>
      <c r="BS104" s="402">
        <f t="shared" si="838"/>
        <v>-514</v>
      </c>
      <c r="BT104" s="259">
        <f t="shared" ref="BT104:BY104" si="839">BT28+BT31</f>
        <v>-293</v>
      </c>
      <c r="BU104" s="259">
        <f t="shared" si="839"/>
        <v>182</v>
      </c>
      <c r="BV104" s="259">
        <f t="shared" si="839"/>
        <v>408</v>
      </c>
      <c r="BW104" s="402">
        <f t="shared" si="839"/>
        <v>118</v>
      </c>
      <c r="BX104" s="259">
        <f t="shared" si="839"/>
        <v>-198</v>
      </c>
      <c r="BY104" s="259">
        <f t="shared" si="839"/>
        <v>-93</v>
      </c>
      <c r="BZ104" s="259">
        <f t="shared" si="838"/>
        <v>421</v>
      </c>
      <c r="CA104" s="402">
        <f t="shared" si="838"/>
        <v>437</v>
      </c>
      <c r="CB104" s="259">
        <f t="shared" si="838"/>
        <v>981</v>
      </c>
      <c r="CC104" s="259">
        <f>CC28+CC31</f>
        <v>885</v>
      </c>
      <c r="CD104" s="259">
        <f t="shared" si="838"/>
        <v>968</v>
      </c>
      <c r="CE104" s="402">
        <f t="shared" si="838"/>
        <v>207</v>
      </c>
      <c r="CF104" s="259">
        <f t="shared" si="838"/>
        <v>923</v>
      </c>
      <c r="CG104" s="259">
        <f t="shared" si="838"/>
        <v>398</v>
      </c>
      <c r="CH104" s="259">
        <f t="shared" si="838"/>
        <v>601</v>
      </c>
      <c r="CI104" s="402">
        <f t="shared" ref="CI104:CQ104" si="840">CI28+CI31</f>
        <v>-735</v>
      </c>
      <c r="CJ104" s="259">
        <f t="shared" si="840"/>
        <v>130</v>
      </c>
      <c r="CK104" s="259">
        <f t="shared" si="840"/>
        <v>-456</v>
      </c>
      <c r="CL104" s="259">
        <f t="shared" si="840"/>
        <v>-1296</v>
      </c>
      <c r="CM104" s="402">
        <f t="shared" si="840"/>
        <v>-1027</v>
      </c>
      <c r="CN104" s="259">
        <f t="shared" ref="CN104:CO104" si="841">CN28+CN31</f>
        <v>-126</v>
      </c>
      <c r="CO104" s="259">
        <f t="shared" si="841"/>
        <v>241</v>
      </c>
      <c r="CP104" s="259">
        <f t="shared" si="840"/>
        <v>1105</v>
      </c>
      <c r="CQ104" s="402">
        <f t="shared" si="840"/>
        <v>2199</v>
      </c>
      <c r="CR104" s="259">
        <f t="shared" ref="CR104:CU104" si="842">CR28+CR31</f>
        <v>1680</v>
      </c>
      <c r="CS104" s="259">
        <f t="shared" si="842"/>
        <v>1934</v>
      </c>
      <c r="CT104" s="259">
        <f t="shared" si="842"/>
        <v>2080.3197009587266</v>
      </c>
      <c r="CU104" s="402">
        <f t="shared" si="842"/>
        <v>2955.7435147365795</v>
      </c>
      <c r="CV104" s="259">
        <f t="shared" ref="CV104:CY104" si="843">CV28+CV31</f>
        <v>1838.3770653358297</v>
      </c>
      <c r="CW104" s="259">
        <f t="shared" si="843"/>
        <v>1523.3616754031405</v>
      </c>
      <c r="CX104" s="259">
        <f t="shared" si="843"/>
        <v>1021.8142231580964</v>
      </c>
      <c r="CY104" s="402">
        <f t="shared" si="843"/>
        <v>670.64466448253052</v>
      </c>
      <c r="CZ104" s="259">
        <f t="shared" ref="CZ104:DC104" si="844">CZ28+CZ31</f>
        <v>758.11381233741076</v>
      </c>
      <c r="DA104" s="259">
        <f t="shared" si="844"/>
        <v>272.47972348800658</v>
      </c>
      <c r="DB104" s="259">
        <f t="shared" si="844"/>
        <v>321.4018835888487</v>
      </c>
      <c r="DC104" s="402">
        <f t="shared" si="844"/>
        <v>250.53936891954299</v>
      </c>
      <c r="DD104" s="18"/>
      <c r="DE104" s="401">
        <f>DE28+DE31</f>
        <v>844.10000000000014</v>
      </c>
      <c r="DF104" s="401">
        <f>DF28+DF31</f>
        <v>593.49999999999966</v>
      </c>
      <c r="DG104" s="401">
        <f t="shared" ref="DG104:DN104" si="845">DG28+DG31</f>
        <v>102.20000000000016</v>
      </c>
      <c r="DH104" s="401">
        <f t="shared" si="845"/>
        <v>-508.29999999999995</v>
      </c>
      <c r="DI104" s="401">
        <f t="shared" si="845"/>
        <v>85.199999999999704</v>
      </c>
      <c r="DJ104" s="401">
        <f t="shared" si="845"/>
        <v>1026.0000000000007</v>
      </c>
      <c r="DK104" s="401">
        <f t="shared" si="845"/>
        <v>-675.79999999999882</v>
      </c>
      <c r="DL104" s="401">
        <f t="shared" si="845"/>
        <v>-179.39999999999986</v>
      </c>
      <c r="DM104" s="401">
        <f t="shared" si="845"/>
        <v>-523.59999999999945</v>
      </c>
      <c r="DN104" s="401">
        <f t="shared" si="845"/>
        <v>177.09999999999991</v>
      </c>
      <c r="DO104" s="401">
        <f t="shared" ref="DO104:DT104" si="846">DO28+DO31</f>
        <v>227.00000000000023</v>
      </c>
      <c r="DP104" s="401">
        <f t="shared" si="846"/>
        <v>708.79999999999973</v>
      </c>
      <c r="DQ104" s="401">
        <f t="shared" si="846"/>
        <v>-2572</v>
      </c>
      <c r="DR104" s="401">
        <f t="shared" si="846"/>
        <v>-1324</v>
      </c>
      <c r="DS104" s="401">
        <f t="shared" si="846"/>
        <v>744</v>
      </c>
      <c r="DT104" s="401">
        <f t="shared" si="846"/>
        <v>2480</v>
      </c>
      <c r="DU104" s="401">
        <f t="shared" ref="DU104:EB104" si="847">DU28+DU31</f>
        <v>-66</v>
      </c>
      <c r="DV104" s="401">
        <f t="shared" si="847"/>
        <v>415</v>
      </c>
      <c r="DW104" s="401">
        <f t="shared" si="847"/>
        <v>567</v>
      </c>
      <c r="DX104" s="401">
        <f>DX28+DX31</f>
        <v>3041</v>
      </c>
      <c r="DY104" s="401">
        <f t="shared" si="847"/>
        <v>1187</v>
      </c>
      <c r="DZ104" s="401">
        <f>DZ28+DZ31</f>
        <v>-2649</v>
      </c>
      <c r="EA104" s="401">
        <f t="shared" si="847"/>
        <v>3419</v>
      </c>
      <c r="EB104" s="401">
        <f t="shared" si="847"/>
        <v>8650.0632156953034</v>
      </c>
      <c r="EC104" s="401">
        <f t="shared" ref="EC104:ED104" si="848">EC28+EC31</f>
        <v>5054.1976283795957</v>
      </c>
      <c r="ED104" s="401">
        <f t="shared" si="848"/>
        <v>1602.534788333809</v>
      </c>
      <c r="EE104" s="18"/>
      <c r="EF104" s="403">
        <f t="shared" ref="EF104:EO104" si="849">EF28+EF31</f>
        <v>0</v>
      </c>
      <c r="EG104" s="401">
        <f t="shared" si="849"/>
        <v>0</v>
      </c>
      <c r="EH104" s="401">
        <f t="shared" si="849"/>
        <v>31.300000000000182</v>
      </c>
      <c r="EI104" s="401">
        <f t="shared" si="849"/>
        <v>-364.4</v>
      </c>
      <c r="EJ104" s="401">
        <f t="shared" si="849"/>
        <v>283.50000000000023</v>
      </c>
      <c r="EK104" s="401">
        <f t="shared" si="849"/>
        <v>814.29999999999927</v>
      </c>
      <c r="EL104" s="401">
        <f t="shared" si="849"/>
        <v>-585.79999999999961</v>
      </c>
      <c r="EM104" s="401">
        <f t="shared" si="849"/>
        <v>-622.29999999999973</v>
      </c>
      <c r="EN104" s="401">
        <f t="shared" si="849"/>
        <v>-279.29999999999984</v>
      </c>
      <c r="EO104" s="401">
        <f t="shared" si="849"/>
        <v>100.20000000000027</v>
      </c>
      <c r="EP104" s="401">
        <f t="shared" ref="EP104:EX104" si="850">EP28+EP31</f>
        <v>449.69999999999982</v>
      </c>
      <c r="EQ104" s="401">
        <f t="shared" si="850"/>
        <v>-112.09999999999991</v>
      </c>
      <c r="ER104" s="401">
        <f t="shared" si="850"/>
        <v>-2338</v>
      </c>
      <c r="ES104" s="401">
        <f t="shared" si="850"/>
        <v>-810</v>
      </c>
      <c r="ET104" s="401">
        <f t="shared" si="850"/>
        <v>919</v>
      </c>
      <c r="EU104" s="401">
        <f t="shared" si="850"/>
        <v>2483</v>
      </c>
      <c r="EV104" s="401">
        <f t="shared" si="850"/>
        <v>-626</v>
      </c>
      <c r="EW104" s="401">
        <f t="shared" si="850"/>
        <v>510</v>
      </c>
      <c r="EX104" s="401">
        <f t="shared" si="850"/>
        <v>1746</v>
      </c>
      <c r="EY104" s="401">
        <f>EY28+EY31</f>
        <v>2983</v>
      </c>
      <c r="EZ104" s="401">
        <f t="shared" ref="EZ104:FA104" si="851">EZ28+EZ31</f>
        <v>394</v>
      </c>
      <c r="FA104" s="401">
        <f t="shared" si="851"/>
        <v>-2905</v>
      </c>
      <c r="FB104" s="401">
        <f t="shared" ref="FB104:FC104" si="852">FB28+FB31</f>
        <v>5225</v>
      </c>
      <c r="FC104" s="401">
        <f t="shared" si="852"/>
        <v>5080</v>
      </c>
      <c r="FD104" s="402">
        <f t="shared" ref="FD104" si="853">FD28+FD31</f>
        <v>5617.3197009587275</v>
      </c>
    </row>
    <row r="105" spans="1:170" ht="14.25" customHeight="1">
      <c r="A105" s="7"/>
      <c r="B105" s="56" t="s">
        <v>356</v>
      </c>
      <c r="C105" s="14"/>
      <c r="D105" s="263">
        <f t="shared" ref="D105:AI105" si="854">D104-D11</f>
        <v>159.30000000000001</v>
      </c>
      <c r="E105" s="263">
        <f t="shared" si="854"/>
        <v>183.50000000000003</v>
      </c>
      <c r="F105" s="263">
        <f t="shared" si="854"/>
        <v>220.20000000000005</v>
      </c>
      <c r="G105" s="264">
        <f t="shared" si="854"/>
        <v>281.10000000000002</v>
      </c>
      <c r="H105" s="263">
        <f t="shared" si="854"/>
        <v>328.49999999999989</v>
      </c>
      <c r="I105" s="263">
        <f t="shared" si="854"/>
        <v>188.19999999999993</v>
      </c>
      <c r="J105" s="263">
        <f t="shared" si="854"/>
        <v>58.199999999999982</v>
      </c>
      <c r="K105" s="264">
        <f t="shared" si="854"/>
        <v>18.599999999999941</v>
      </c>
      <c r="L105" s="263">
        <f t="shared" si="854"/>
        <v>65.100000000000037</v>
      </c>
      <c r="M105" s="263">
        <f t="shared" si="854"/>
        <v>132.69999999999999</v>
      </c>
      <c r="N105" s="263">
        <f t="shared" si="854"/>
        <v>-121.39999999999995</v>
      </c>
      <c r="O105" s="264">
        <f t="shared" si="854"/>
        <v>25.800000000000125</v>
      </c>
      <c r="P105" s="263">
        <f t="shared" si="854"/>
        <v>-5.8000000000000398</v>
      </c>
      <c r="Q105" s="263">
        <f t="shared" si="854"/>
        <v>-231.79999999999993</v>
      </c>
      <c r="R105" s="263">
        <f t="shared" si="854"/>
        <v>-221.30000000000013</v>
      </c>
      <c r="S105" s="264">
        <f t="shared" si="854"/>
        <v>-49.399999999999835</v>
      </c>
      <c r="T105" s="263">
        <f t="shared" si="854"/>
        <v>138.09999999999997</v>
      </c>
      <c r="U105" s="263">
        <f t="shared" si="854"/>
        <v>-47.900000000000063</v>
      </c>
      <c r="V105" s="263">
        <f t="shared" si="854"/>
        <v>-40.100000000000023</v>
      </c>
      <c r="W105" s="264">
        <f t="shared" si="854"/>
        <v>35.099999999999966</v>
      </c>
      <c r="X105" s="263">
        <f t="shared" si="854"/>
        <v>336.40000000000003</v>
      </c>
      <c r="Y105" s="263">
        <f t="shared" si="854"/>
        <v>-88.60000000000008</v>
      </c>
      <c r="Z105" s="263">
        <f t="shared" si="854"/>
        <v>163.29999999999995</v>
      </c>
      <c r="AA105" s="264">
        <f t="shared" si="854"/>
        <v>614.90000000000009</v>
      </c>
      <c r="AB105" s="263">
        <f t="shared" si="854"/>
        <v>124.69999999999993</v>
      </c>
      <c r="AC105" s="263">
        <f t="shared" si="854"/>
        <v>-353.40000000000003</v>
      </c>
      <c r="AD105" s="263">
        <f t="shared" si="854"/>
        <v>-131.7999999999999</v>
      </c>
      <c r="AE105" s="264">
        <f t="shared" si="854"/>
        <v>-315.29999999999916</v>
      </c>
      <c r="AF105" s="263">
        <f t="shared" si="854"/>
        <v>214.69999999999996</v>
      </c>
      <c r="AG105" s="263">
        <f t="shared" si="854"/>
        <v>-220.80000000000004</v>
      </c>
      <c r="AH105" s="263">
        <f t="shared" si="854"/>
        <v>25.200000000000045</v>
      </c>
      <c r="AI105" s="264">
        <f t="shared" si="854"/>
        <v>-198.49999999999997</v>
      </c>
      <c r="AJ105" s="263">
        <f t="shared" ref="AJ105:BO105" si="855">AJ104-AJ11</f>
        <v>-228.19999999999996</v>
      </c>
      <c r="AK105" s="263">
        <f t="shared" si="855"/>
        <v>-190.50000000000006</v>
      </c>
      <c r="AL105" s="263">
        <f t="shared" si="855"/>
        <v>-78.699999999999875</v>
      </c>
      <c r="AM105" s="264">
        <f t="shared" si="855"/>
        <v>-26.199999999999889</v>
      </c>
      <c r="AN105" s="263">
        <f t="shared" si="855"/>
        <v>16.099999999999909</v>
      </c>
      <c r="AO105" s="263">
        <f t="shared" si="855"/>
        <v>71.100000000000165</v>
      </c>
      <c r="AP105" s="263">
        <f t="shared" si="855"/>
        <v>-0.69999999999998863</v>
      </c>
      <c r="AQ105" s="264">
        <f t="shared" si="855"/>
        <v>90.599999999999966</v>
      </c>
      <c r="AR105" s="263">
        <f t="shared" si="855"/>
        <v>-60.799999999999955</v>
      </c>
      <c r="AS105" s="263">
        <f t="shared" si="855"/>
        <v>9.9000000000000341</v>
      </c>
      <c r="AT105" s="263">
        <f t="shared" si="855"/>
        <v>108.10000000000019</v>
      </c>
      <c r="AU105" s="264">
        <f t="shared" si="855"/>
        <v>169.7999999999999</v>
      </c>
      <c r="AV105" s="263">
        <f t="shared" si="855"/>
        <v>158.09999999999985</v>
      </c>
      <c r="AW105" s="263">
        <f t="shared" si="855"/>
        <v>698.6</v>
      </c>
      <c r="AX105" s="263">
        <f t="shared" si="855"/>
        <v>56.29999999999999</v>
      </c>
      <c r="AY105" s="264">
        <f t="shared" si="855"/>
        <v>-230.2</v>
      </c>
      <c r="AZ105" s="263">
        <f t="shared" si="855"/>
        <v>-669</v>
      </c>
      <c r="BA105" s="263">
        <f t="shared" si="855"/>
        <v>-791</v>
      </c>
      <c r="BB105" s="263">
        <f t="shared" si="855"/>
        <v>-579</v>
      </c>
      <c r="BC105" s="264">
        <f t="shared" si="855"/>
        <v>-577</v>
      </c>
      <c r="BD105" s="263">
        <f t="shared" si="855"/>
        <v>-438</v>
      </c>
      <c r="BE105" s="263">
        <f t="shared" si="855"/>
        <v>-336</v>
      </c>
      <c r="BF105" s="263">
        <f t="shared" si="855"/>
        <v>-125</v>
      </c>
      <c r="BG105" s="264">
        <f t="shared" si="855"/>
        <v>-473</v>
      </c>
      <c r="BH105" s="263">
        <f t="shared" si="855"/>
        <v>89</v>
      </c>
      <c r="BI105" s="263">
        <f t="shared" si="855"/>
        <v>234</v>
      </c>
      <c r="BJ105" s="263">
        <f t="shared" si="855"/>
        <v>100</v>
      </c>
      <c r="BK105" s="264">
        <f t="shared" si="855"/>
        <v>321</v>
      </c>
      <c r="BL105" s="263">
        <f t="shared" si="855"/>
        <v>233</v>
      </c>
      <c r="BM105" s="263">
        <f t="shared" si="855"/>
        <v>689</v>
      </c>
      <c r="BN105" s="263">
        <f t="shared" si="855"/>
        <v>755</v>
      </c>
      <c r="BO105" s="264">
        <f t="shared" si="855"/>
        <v>710</v>
      </c>
      <c r="BP105" s="263">
        <f t="shared" ref="BP105:CI105" si="856">BP104-BP11</f>
        <v>248</v>
      </c>
      <c r="BQ105" s="263">
        <f t="shared" si="856"/>
        <v>66</v>
      </c>
      <c r="BR105" s="263">
        <f t="shared" si="856"/>
        <v>77</v>
      </c>
      <c r="BS105" s="264">
        <f t="shared" si="856"/>
        <v>-533</v>
      </c>
      <c r="BT105" s="263">
        <f t="shared" si="856"/>
        <v>-293</v>
      </c>
      <c r="BU105" s="263">
        <f t="shared" si="856"/>
        <v>182</v>
      </c>
      <c r="BV105" s="263">
        <f t="shared" si="856"/>
        <v>408</v>
      </c>
      <c r="BW105" s="264">
        <f t="shared" si="856"/>
        <v>118</v>
      </c>
      <c r="BX105" s="263">
        <f t="shared" si="856"/>
        <v>-217</v>
      </c>
      <c r="BY105" s="263">
        <f t="shared" si="856"/>
        <v>-114</v>
      </c>
      <c r="BZ105" s="263">
        <f t="shared" si="856"/>
        <v>400</v>
      </c>
      <c r="CA105" s="264">
        <f t="shared" si="856"/>
        <v>407</v>
      </c>
      <c r="CB105" s="263">
        <f t="shared" si="856"/>
        <v>959</v>
      </c>
      <c r="CC105" s="263">
        <f>CC104-CC11</f>
        <v>858</v>
      </c>
      <c r="CD105" s="263">
        <f t="shared" si="856"/>
        <v>936</v>
      </c>
      <c r="CE105" s="264">
        <f t="shared" si="856"/>
        <v>173</v>
      </c>
      <c r="CF105" s="263">
        <f t="shared" si="856"/>
        <v>888</v>
      </c>
      <c r="CG105" s="263">
        <f t="shared" si="856"/>
        <v>349</v>
      </c>
      <c r="CH105" s="263">
        <f t="shared" si="856"/>
        <v>558</v>
      </c>
      <c r="CI105" s="264">
        <f t="shared" si="856"/>
        <v>-776</v>
      </c>
      <c r="CJ105" s="263">
        <f t="shared" ref="CJ105:CQ105" si="857">CJ104-CJ11</f>
        <v>84</v>
      </c>
      <c r="CK105" s="263">
        <f t="shared" si="857"/>
        <v>-511</v>
      </c>
      <c r="CL105" s="263">
        <f t="shared" si="857"/>
        <v>-1343</v>
      </c>
      <c r="CM105" s="264">
        <f t="shared" si="857"/>
        <v>-1070</v>
      </c>
      <c r="CN105" s="263">
        <f t="shared" ref="CN105:CO105" si="858">CN104-CN11</f>
        <v>-172</v>
      </c>
      <c r="CO105" s="263">
        <f t="shared" si="858"/>
        <v>186</v>
      </c>
      <c r="CP105" s="263">
        <f t="shared" si="857"/>
        <v>1105</v>
      </c>
      <c r="CQ105" s="264">
        <f t="shared" si="857"/>
        <v>2085</v>
      </c>
      <c r="CR105" s="263">
        <f t="shared" ref="CR105:CU105" si="859">CR104-CR11</f>
        <v>1629</v>
      </c>
      <c r="CS105" s="263">
        <f t="shared" si="859"/>
        <v>1883</v>
      </c>
      <c r="CT105" s="263">
        <f t="shared" si="859"/>
        <v>2029.3197009587266</v>
      </c>
      <c r="CU105" s="264">
        <f t="shared" si="859"/>
        <v>2904.7435147365795</v>
      </c>
      <c r="CV105" s="263">
        <f t="shared" ref="CV105:CY105" si="860">CV104-CV11</f>
        <v>1787.3770653358297</v>
      </c>
      <c r="CW105" s="263">
        <f t="shared" si="860"/>
        <v>1472.3616754031405</v>
      </c>
      <c r="CX105" s="263">
        <f t="shared" si="860"/>
        <v>970.81422315809641</v>
      </c>
      <c r="CY105" s="264">
        <f t="shared" si="860"/>
        <v>619.64466448253052</v>
      </c>
      <c r="CZ105" s="263">
        <f t="shared" ref="CZ105:DC105" si="861">CZ104-CZ11</f>
        <v>707.11381233741076</v>
      </c>
      <c r="DA105" s="263">
        <f t="shared" si="861"/>
        <v>221.47972348800658</v>
      </c>
      <c r="DB105" s="263">
        <f t="shared" si="861"/>
        <v>270.4018835888487</v>
      </c>
      <c r="DC105" s="264">
        <f t="shared" si="861"/>
        <v>199.53936891954299</v>
      </c>
      <c r="DD105" s="18"/>
      <c r="DE105" s="263">
        <f t="shared" ref="DE105:EB105" si="862">DE104-DE11</f>
        <v>844.10000000000014</v>
      </c>
      <c r="DF105" s="263">
        <f t="shared" si="862"/>
        <v>593.49999999999966</v>
      </c>
      <c r="DG105" s="263">
        <f t="shared" si="862"/>
        <v>102.20000000000016</v>
      </c>
      <c r="DH105" s="263">
        <f t="shared" si="862"/>
        <v>-508.29999999999995</v>
      </c>
      <c r="DI105" s="263">
        <f t="shared" si="862"/>
        <v>85.199999999999704</v>
      </c>
      <c r="DJ105" s="263">
        <f t="shared" si="862"/>
        <v>1026.0000000000007</v>
      </c>
      <c r="DK105" s="263">
        <f t="shared" si="862"/>
        <v>-675.79999999999882</v>
      </c>
      <c r="DL105" s="263">
        <f t="shared" si="862"/>
        <v>-179.39999999999986</v>
      </c>
      <c r="DM105" s="263">
        <f t="shared" si="862"/>
        <v>-523.59999999999945</v>
      </c>
      <c r="DN105" s="263">
        <f t="shared" si="862"/>
        <v>177.09999999999991</v>
      </c>
      <c r="DO105" s="263">
        <f t="shared" si="862"/>
        <v>227.00000000000023</v>
      </c>
      <c r="DP105" s="263">
        <f t="shared" si="862"/>
        <v>682.79999999999973</v>
      </c>
      <c r="DQ105" s="263">
        <f t="shared" si="862"/>
        <v>-2616</v>
      </c>
      <c r="DR105" s="263">
        <f t="shared" si="862"/>
        <v>-1372</v>
      </c>
      <c r="DS105" s="263">
        <f t="shared" si="862"/>
        <v>744</v>
      </c>
      <c r="DT105" s="263">
        <f t="shared" si="862"/>
        <v>2387</v>
      </c>
      <c r="DU105" s="263">
        <f t="shared" si="862"/>
        <v>-142</v>
      </c>
      <c r="DV105" s="263">
        <f t="shared" si="862"/>
        <v>415</v>
      </c>
      <c r="DW105" s="263">
        <f t="shared" si="862"/>
        <v>476</v>
      </c>
      <c r="DX105" s="263">
        <f>DX104-DX11</f>
        <v>2926</v>
      </c>
      <c r="DY105" s="263">
        <f t="shared" si="862"/>
        <v>1019</v>
      </c>
      <c r="DZ105" s="263">
        <f>DZ104-DZ11</f>
        <v>-2840</v>
      </c>
      <c r="EA105" s="263">
        <f t="shared" si="862"/>
        <v>3204</v>
      </c>
      <c r="EB105" s="263">
        <f t="shared" si="862"/>
        <v>8446.0632156953034</v>
      </c>
      <c r="EC105" s="263">
        <f t="shared" ref="EC105:ED105" si="863">EC104-EC11</f>
        <v>4850.1976283795957</v>
      </c>
      <c r="ED105" s="263">
        <f t="shared" si="863"/>
        <v>1398.534788333809</v>
      </c>
      <c r="EE105" s="18"/>
      <c r="EF105" s="265">
        <f t="shared" ref="EF105:EY105" si="864">EF104-EF11</f>
        <v>0</v>
      </c>
      <c r="EG105" s="263">
        <f t="shared" si="864"/>
        <v>0</v>
      </c>
      <c r="EH105" s="263">
        <f t="shared" si="864"/>
        <v>31.300000000000182</v>
      </c>
      <c r="EI105" s="263">
        <f t="shared" si="864"/>
        <v>-364.4</v>
      </c>
      <c r="EJ105" s="263">
        <f t="shared" si="864"/>
        <v>283.50000000000023</v>
      </c>
      <c r="EK105" s="263">
        <f t="shared" si="864"/>
        <v>814.29999999999927</v>
      </c>
      <c r="EL105" s="263">
        <f t="shared" si="864"/>
        <v>-585.79999999999961</v>
      </c>
      <c r="EM105" s="263">
        <f t="shared" si="864"/>
        <v>-622.29999999999973</v>
      </c>
      <c r="EN105" s="263">
        <f t="shared" si="864"/>
        <v>-279.29999999999984</v>
      </c>
      <c r="EO105" s="263">
        <f t="shared" si="864"/>
        <v>100.20000000000027</v>
      </c>
      <c r="EP105" s="263">
        <f t="shared" si="864"/>
        <v>445.89999999999981</v>
      </c>
      <c r="EQ105" s="263">
        <f t="shared" si="864"/>
        <v>-144.2999999999999</v>
      </c>
      <c r="ER105" s="263">
        <f t="shared" si="864"/>
        <v>-2385</v>
      </c>
      <c r="ES105" s="263">
        <f t="shared" si="864"/>
        <v>-845</v>
      </c>
      <c r="ET105" s="263">
        <f t="shared" si="864"/>
        <v>888</v>
      </c>
      <c r="EU105" s="263">
        <f t="shared" si="864"/>
        <v>2402</v>
      </c>
      <c r="EV105" s="263">
        <f t="shared" si="864"/>
        <v>-683</v>
      </c>
      <c r="EW105" s="263">
        <f t="shared" si="864"/>
        <v>491</v>
      </c>
      <c r="EX105" s="263">
        <f t="shared" si="864"/>
        <v>1652</v>
      </c>
      <c r="EY105" s="263">
        <f t="shared" si="864"/>
        <v>2855</v>
      </c>
      <c r="EZ105" s="263">
        <f t="shared" ref="EZ105:FA105" si="865">EZ104-EZ11</f>
        <v>215</v>
      </c>
      <c r="FA105" s="263">
        <f t="shared" si="865"/>
        <v>-3096</v>
      </c>
      <c r="FB105" s="263">
        <f t="shared" ref="FB105:FC105" si="866">FB104-FB11</f>
        <v>5005</v>
      </c>
      <c r="FC105" s="263">
        <f t="shared" si="866"/>
        <v>4876</v>
      </c>
      <c r="FD105" s="264">
        <f t="shared" ref="FD105" si="867">FD104-FD11</f>
        <v>5413.3197009587275</v>
      </c>
    </row>
    <row r="106" spans="1:170" ht="14.25" customHeight="1">
      <c r="A106" s="1"/>
      <c r="B106" s="4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266"/>
      <c r="DF106" s="266"/>
      <c r="DG106" s="266"/>
      <c r="DH106" s="266"/>
      <c r="DI106" s="266"/>
      <c r="DJ106" s="266"/>
      <c r="DK106" s="266"/>
      <c r="DL106" s="266"/>
      <c r="DM106" s="266"/>
      <c r="DN106" s="266"/>
      <c r="DO106" s="266"/>
      <c r="DP106" s="266"/>
      <c r="DQ106" s="266"/>
      <c r="DR106" s="266"/>
      <c r="DS106" s="266"/>
      <c r="DT106" s="266"/>
      <c r="DU106" s="266"/>
      <c r="DV106" s="266"/>
      <c r="DW106" s="266"/>
      <c r="DX106" s="266"/>
      <c r="DY106" s="266"/>
      <c r="DZ106" s="266"/>
      <c r="EA106" s="266"/>
      <c r="EB106" s="266"/>
      <c r="EC106" s="266"/>
      <c r="ED106" s="266"/>
      <c r="EE106" s="1"/>
      <c r="EF106" s="266"/>
      <c r="EG106" s="266"/>
      <c r="EH106" s="266"/>
      <c r="EI106" s="266"/>
      <c r="EJ106" s="266"/>
      <c r="EK106" s="266"/>
      <c r="EL106" s="266"/>
      <c r="EM106" s="266"/>
      <c r="EN106" s="266"/>
      <c r="EO106" s="266"/>
      <c r="EP106" s="266"/>
      <c r="EQ106" s="266"/>
      <c r="ER106" s="266"/>
      <c r="ES106" s="266"/>
      <c r="ET106" s="266"/>
      <c r="EU106" s="266"/>
      <c r="EV106" s="266"/>
      <c r="EW106" s="266"/>
      <c r="EX106" s="266"/>
      <c r="EY106" s="266"/>
      <c r="EZ106" s="266"/>
      <c r="FA106" s="266"/>
      <c r="FB106" s="266"/>
      <c r="FC106" s="266"/>
      <c r="FD106" s="266"/>
    </row>
    <row r="107" spans="1:170" ht="14.25" customHeight="1">
      <c r="A107" s="1"/>
      <c r="B107" s="4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266"/>
      <c r="DF107" s="266"/>
      <c r="DG107" s="266"/>
      <c r="DH107" s="266"/>
      <c r="DI107" s="266"/>
      <c r="DJ107" s="266"/>
      <c r="DK107" s="266"/>
      <c r="DL107" s="266"/>
      <c r="DM107" s="266"/>
      <c r="DN107" s="266"/>
      <c r="DO107" s="266"/>
      <c r="DP107" s="266"/>
      <c r="DQ107" s="266"/>
      <c r="DR107" s="266"/>
      <c r="DS107" s="266"/>
      <c r="DT107" s="266"/>
      <c r="DU107" s="266"/>
      <c r="DV107" s="266"/>
      <c r="DW107" s="266"/>
      <c r="DX107" s="266"/>
      <c r="DY107" s="266" t="s">
        <v>252</v>
      </c>
      <c r="DZ107" s="266"/>
      <c r="EA107" s="266"/>
      <c r="EB107" s="266"/>
      <c r="EC107" s="266"/>
      <c r="ED107" s="266"/>
      <c r="EE107" s="1"/>
      <c r="EF107" s="266"/>
      <c r="EG107" s="266"/>
      <c r="EH107" s="266"/>
      <c r="EI107" s="266"/>
      <c r="EJ107" s="266"/>
      <c r="EK107" s="266"/>
      <c r="EL107" s="266"/>
      <c r="EM107" s="266"/>
      <c r="EN107" s="266"/>
      <c r="EO107" s="266"/>
      <c r="EP107" s="266"/>
      <c r="EQ107" s="266"/>
      <c r="ER107" s="266"/>
      <c r="ES107" s="266"/>
      <c r="ET107" s="266"/>
      <c r="EU107" s="266"/>
      <c r="EV107" s="266"/>
      <c r="EW107" s="266"/>
      <c r="EX107" s="266"/>
      <c r="EY107" s="266"/>
      <c r="EZ107" s="266"/>
      <c r="FA107" s="266"/>
      <c r="FB107" s="266"/>
      <c r="FC107" s="266"/>
      <c r="FD107" s="266"/>
    </row>
    <row r="108" spans="1:170" ht="14.25" customHeight="1">
      <c r="A108" s="7"/>
      <c r="B108" s="178" t="s">
        <v>414</v>
      </c>
      <c r="C108" s="9"/>
      <c r="D108" s="221"/>
      <c r="E108" s="221"/>
      <c r="F108" s="221"/>
      <c r="G108" s="221"/>
      <c r="H108" s="221"/>
      <c r="I108" s="221"/>
      <c r="J108" s="221"/>
      <c r="K108" s="221"/>
      <c r="L108" s="221"/>
      <c r="M108" s="221"/>
      <c r="N108" s="221"/>
      <c r="O108" s="221"/>
      <c r="P108" s="221"/>
      <c r="Q108" s="221"/>
      <c r="R108" s="221"/>
      <c r="S108" s="221"/>
      <c r="T108" s="221"/>
      <c r="U108" s="221"/>
      <c r="V108" s="221"/>
      <c r="W108" s="221"/>
      <c r="X108" s="221"/>
      <c r="Y108" s="221"/>
      <c r="Z108" s="221"/>
      <c r="AA108" s="221"/>
      <c r="AB108" s="221"/>
      <c r="AC108" s="221"/>
      <c r="AD108" s="221"/>
      <c r="AE108" s="221"/>
      <c r="AF108" s="221"/>
      <c r="AG108" s="221"/>
      <c r="AH108" s="221"/>
      <c r="AI108" s="221"/>
      <c r="AJ108" s="221"/>
      <c r="AK108" s="221"/>
      <c r="AL108" s="221"/>
      <c r="AM108" s="221"/>
      <c r="AN108" s="221"/>
      <c r="AO108" s="221"/>
      <c r="AP108" s="221"/>
      <c r="AQ108" s="221"/>
      <c r="AR108" s="221"/>
      <c r="AS108" s="221"/>
      <c r="AT108" s="221"/>
      <c r="AU108" s="221"/>
      <c r="AV108" s="221"/>
      <c r="AW108" s="221"/>
      <c r="AX108" s="221"/>
      <c r="AY108" s="221"/>
      <c r="AZ108" s="221"/>
      <c r="BA108" s="221"/>
      <c r="BB108" s="221"/>
      <c r="BC108" s="221"/>
      <c r="BD108" s="221"/>
      <c r="BE108" s="221"/>
      <c r="BF108" s="221"/>
      <c r="BG108" s="221"/>
      <c r="BH108" s="221"/>
      <c r="BI108" s="221"/>
      <c r="BJ108" s="221"/>
      <c r="BK108" s="221"/>
      <c r="BL108" s="221"/>
      <c r="BM108" s="221"/>
      <c r="BN108" s="221"/>
      <c r="BO108" s="221"/>
      <c r="BP108" s="221"/>
      <c r="BQ108" s="221"/>
      <c r="BR108" s="221"/>
      <c r="BS108" s="221"/>
      <c r="BT108" s="221"/>
      <c r="BU108" s="221"/>
      <c r="BV108" s="221"/>
      <c r="BW108" s="221"/>
      <c r="BX108" s="221"/>
      <c r="BY108" s="221"/>
      <c r="BZ108" s="221"/>
      <c r="CA108" s="221"/>
      <c r="CB108" s="221"/>
      <c r="CC108" s="221"/>
      <c r="CD108" s="221"/>
      <c r="CE108" s="221"/>
      <c r="CF108" s="221"/>
      <c r="CG108" s="221"/>
      <c r="CH108" s="221"/>
      <c r="CI108" s="221"/>
      <c r="CJ108" s="221"/>
      <c r="CK108" s="221"/>
      <c r="CL108" s="221"/>
      <c r="CM108" s="221"/>
      <c r="CN108" s="221"/>
      <c r="CO108" s="221"/>
      <c r="CP108" s="221"/>
      <c r="CQ108" s="221"/>
      <c r="CR108" s="221"/>
      <c r="CS108" s="221"/>
      <c r="CT108" s="221"/>
      <c r="CU108" s="221"/>
      <c r="CV108" s="221"/>
      <c r="CW108" s="221"/>
      <c r="CX108" s="221"/>
      <c r="CY108" s="221"/>
      <c r="CZ108" s="221"/>
      <c r="DA108" s="221"/>
      <c r="DB108" s="221"/>
      <c r="DC108" s="221"/>
      <c r="DD108" s="13"/>
      <c r="DE108" s="221"/>
      <c r="DF108" s="221"/>
      <c r="DG108" s="221"/>
      <c r="DH108" s="221"/>
      <c r="DI108" s="221"/>
      <c r="DJ108" s="221"/>
      <c r="DK108" s="221"/>
      <c r="DL108" s="221"/>
      <c r="DM108" s="221"/>
      <c r="DN108" s="221"/>
      <c r="DO108" s="221"/>
      <c r="DP108" s="221"/>
      <c r="DQ108" s="221"/>
      <c r="DR108" s="221"/>
      <c r="DS108" s="221"/>
      <c r="DT108" s="221"/>
      <c r="DU108" s="221"/>
      <c r="DV108" s="221"/>
      <c r="DW108" s="221"/>
      <c r="DX108" s="221"/>
      <c r="DY108" s="221"/>
      <c r="DZ108" s="221"/>
      <c r="EA108" s="221"/>
      <c r="EB108" s="221"/>
      <c r="EC108" s="221"/>
      <c r="ED108" s="221"/>
      <c r="EE108" s="7"/>
      <c r="EF108" s="221"/>
      <c r="EG108" s="221"/>
      <c r="EH108" s="221"/>
      <c r="EI108" s="221"/>
      <c r="EJ108" s="221"/>
      <c r="EK108" s="221"/>
      <c r="EL108" s="221"/>
      <c r="EM108" s="221"/>
      <c r="EN108" s="221"/>
      <c r="EO108" s="221"/>
      <c r="EP108" s="221"/>
      <c r="EQ108" s="221"/>
      <c r="ER108" s="221"/>
      <c r="ES108" s="221"/>
      <c r="ET108" s="221"/>
      <c r="EU108" s="221"/>
      <c r="EV108" s="221"/>
      <c r="EW108" s="221"/>
      <c r="EX108" s="221"/>
      <c r="EY108" s="221"/>
      <c r="EZ108" s="221"/>
      <c r="FA108" s="221"/>
      <c r="FB108" s="221"/>
      <c r="FC108" s="221"/>
      <c r="FD108" s="221"/>
    </row>
    <row r="109" spans="1:170" ht="14.25" customHeight="1">
      <c r="A109" s="13"/>
      <c r="B109" s="333" t="s">
        <v>378</v>
      </c>
      <c r="C109" s="12"/>
      <c r="D109" s="221"/>
      <c r="E109" s="221"/>
      <c r="F109" s="221"/>
      <c r="G109" s="221"/>
      <c r="H109" s="221"/>
      <c r="I109" s="221"/>
      <c r="J109" s="221"/>
      <c r="K109" s="221"/>
      <c r="L109" s="221"/>
      <c r="M109" s="221"/>
      <c r="N109" s="221"/>
      <c r="O109" s="221"/>
      <c r="P109" s="221"/>
      <c r="Q109" s="221"/>
      <c r="R109" s="221"/>
      <c r="S109" s="221"/>
      <c r="T109" s="221"/>
      <c r="U109" s="221"/>
      <c r="V109" s="221"/>
      <c r="W109" s="221"/>
      <c r="X109" s="221"/>
      <c r="Y109" s="221"/>
      <c r="Z109" s="221"/>
      <c r="AA109" s="221"/>
      <c r="AB109" s="221"/>
      <c r="AC109" s="221"/>
      <c r="AD109" s="221"/>
      <c r="AE109" s="221"/>
      <c r="AF109" s="221"/>
      <c r="AG109" s="221"/>
      <c r="AH109" s="221"/>
      <c r="AI109" s="221"/>
      <c r="AJ109" s="221"/>
      <c r="AK109" s="221"/>
      <c r="AL109" s="221"/>
      <c r="AM109" s="221"/>
      <c r="AN109" s="221"/>
      <c r="AO109" s="221"/>
      <c r="AP109" s="221"/>
      <c r="AQ109" s="221"/>
      <c r="AR109" s="221"/>
      <c r="AS109" s="221"/>
      <c r="AT109" s="221"/>
      <c r="AU109" s="221"/>
      <c r="AV109" s="221"/>
      <c r="AW109" s="221"/>
      <c r="AX109" s="221"/>
      <c r="AY109" s="221"/>
      <c r="AZ109" s="221"/>
      <c r="BA109" s="221"/>
      <c r="BB109" s="221"/>
      <c r="BC109" s="221"/>
      <c r="BD109" s="221"/>
      <c r="BE109" s="221"/>
      <c r="BF109" s="221"/>
      <c r="BG109" s="221"/>
      <c r="BH109" s="221"/>
      <c r="BI109" s="221"/>
      <c r="BJ109" s="221"/>
      <c r="BK109" s="221"/>
      <c r="BL109" s="221"/>
      <c r="BM109" s="221"/>
      <c r="BN109" s="221"/>
      <c r="BO109" s="221"/>
      <c r="BP109" s="221"/>
      <c r="BQ109" s="221"/>
      <c r="BR109" s="877"/>
      <c r="BS109" s="281"/>
      <c r="BT109" s="221"/>
      <c r="BU109" s="221"/>
      <c r="BV109" s="221"/>
      <c r="BW109" s="221"/>
      <c r="BX109" s="221"/>
      <c r="BY109" s="221"/>
      <c r="BZ109" s="221"/>
      <c r="CA109" s="221"/>
      <c r="CB109" s="221"/>
      <c r="CC109" s="221"/>
      <c r="CD109" s="877"/>
      <c r="CE109" s="221"/>
      <c r="CF109" s="221"/>
      <c r="CG109" s="221"/>
      <c r="CH109" s="221"/>
      <c r="CI109" s="221"/>
      <c r="CJ109" s="221"/>
      <c r="CK109" s="221"/>
      <c r="CL109" s="221"/>
      <c r="CM109" s="221"/>
      <c r="CN109" s="221"/>
      <c r="CO109" s="221"/>
      <c r="CP109" s="221"/>
      <c r="CQ109" s="221"/>
      <c r="CR109" s="221"/>
      <c r="CS109" s="221"/>
      <c r="CT109" s="221"/>
      <c r="CU109" s="221"/>
      <c r="CV109" s="221"/>
      <c r="CW109" s="221"/>
      <c r="CX109" s="221"/>
      <c r="CY109" s="221"/>
      <c r="CZ109" s="221"/>
      <c r="DA109" s="221"/>
      <c r="DB109" s="221"/>
      <c r="DC109" s="221"/>
      <c r="DD109" s="59"/>
      <c r="DE109" s="93"/>
      <c r="DF109" s="93"/>
      <c r="DG109" s="93"/>
      <c r="DH109" s="93"/>
      <c r="DI109" s="93"/>
      <c r="DJ109" s="93"/>
      <c r="DK109" s="93"/>
      <c r="DL109" s="93"/>
      <c r="DM109" s="93"/>
      <c r="DN109" s="93"/>
      <c r="DO109" s="93"/>
      <c r="DP109" s="93"/>
      <c r="DQ109" s="93"/>
      <c r="DR109" s="93"/>
      <c r="DS109" s="93"/>
      <c r="DT109" s="93"/>
      <c r="DU109" s="93"/>
      <c r="DV109" s="93"/>
      <c r="DW109" s="93"/>
      <c r="DX109" s="93"/>
      <c r="DY109" s="93"/>
      <c r="DZ109" s="93"/>
      <c r="EA109" s="93"/>
      <c r="EB109" s="93"/>
      <c r="EC109" s="93"/>
      <c r="ED109" s="93"/>
      <c r="EE109" s="7"/>
      <c r="EF109" s="93"/>
      <c r="EG109" s="93"/>
      <c r="EH109" s="93"/>
      <c r="EI109" s="93"/>
      <c r="EJ109" s="93"/>
      <c r="EK109" s="93"/>
      <c r="EL109" s="93"/>
      <c r="EM109" s="93"/>
      <c r="EN109" s="93"/>
      <c r="EO109" s="93"/>
      <c r="EP109" s="93"/>
      <c r="EQ109" s="93"/>
      <c r="ER109" s="93"/>
      <c r="ES109" s="93"/>
      <c r="ET109" s="93"/>
      <c r="EU109" s="93"/>
      <c r="EV109" s="93"/>
      <c r="EW109" s="93"/>
      <c r="EX109" s="93"/>
      <c r="EY109" s="93"/>
      <c r="EZ109" s="93"/>
      <c r="FA109" s="93"/>
      <c r="FB109" s="93"/>
      <c r="FC109" s="93"/>
      <c r="FD109" s="93"/>
    </row>
    <row r="110" spans="1:170" ht="14.25" customHeight="1">
      <c r="A110" s="13"/>
      <c r="B110" s="333"/>
      <c r="C110" s="177"/>
      <c r="D110" s="15" t="str">
        <f t="shared" ref="D110:AY110" si="868">D6</f>
        <v>F1Q95A</v>
      </c>
      <c r="E110" s="16" t="str">
        <f t="shared" si="868"/>
        <v>F2Q95A</v>
      </c>
      <c r="F110" s="16" t="str">
        <f t="shared" si="868"/>
        <v>F3Q95A</v>
      </c>
      <c r="G110" s="17" t="str">
        <f t="shared" si="868"/>
        <v>F4Q95A</v>
      </c>
      <c r="H110" s="15" t="str">
        <f t="shared" si="868"/>
        <v>F1Q96A</v>
      </c>
      <c r="I110" s="16" t="str">
        <f t="shared" si="868"/>
        <v>F2Q96A</v>
      </c>
      <c r="J110" s="16" t="str">
        <f t="shared" si="868"/>
        <v>F3Q96A</v>
      </c>
      <c r="K110" s="17" t="str">
        <f t="shared" si="868"/>
        <v>F4Q96A</v>
      </c>
      <c r="L110" s="15" t="str">
        <f t="shared" si="868"/>
        <v>F1Q97A</v>
      </c>
      <c r="M110" s="16" t="str">
        <f t="shared" si="868"/>
        <v>F2Q97A</v>
      </c>
      <c r="N110" s="16" t="str">
        <f t="shared" si="868"/>
        <v>F3Q97A</v>
      </c>
      <c r="O110" s="17" t="str">
        <f t="shared" si="868"/>
        <v>F4Q97A</v>
      </c>
      <c r="P110" s="15" t="str">
        <f t="shared" si="868"/>
        <v>F1Q98A</v>
      </c>
      <c r="Q110" s="16" t="str">
        <f t="shared" si="868"/>
        <v>F2Q98A</v>
      </c>
      <c r="R110" s="16" t="str">
        <f t="shared" si="868"/>
        <v>F3Q98A</v>
      </c>
      <c r="S110" s="17" t="str">
        <f t="shared" si="868"/>
        <v>F4Q98A</v>
      </c>
      <c r="T110" s="15" t="str">
        <f t="shared" si="868"/>
        <v>F1Q99A</v>
      </c>
      <c r="U110" s="16" t="str">
        <f t="shared" si="868"/>
        <v>F2Q99A</v>
      </c>
      <c r="V110" s="16" t="str">
        <f t="shared" si="868"/>
        <v>F3Q99A</v>
      </c>
      <c r="W110" s="17" t="str">
        <f t="shared" si="868"/>
        <v>F4Q99A</v>
      </c>
      <c r="X110" s="15" t="str">
        <f t="shared" si="868"/>
        <v>F1Q00A</v>
      </c>
      <c r="Y110" s="16" t="str">
        <f t="shared" si="868"/>
        <v>F2Q00A</v>
      </c>
      <c r="Z110" s="16" t="str">
        <f t="shared" si="868"/>
        <v>F3Q00A</v>
      </c>
      <c r="AA110" s="17" t="str">
        <f t="shared" si="868"/>
        <v>F4Q00A</v>
      </c>
      <c r="AB110" s="15" t="str">
        <f t="shared" si="868"/>
        <v>F1Q01A</v>
      </c>
      <c r="AC110" s="16" t="str">
        <f t="shared" si="868"/>
        <v>F2Q01A</v>
      </c>
      <c r="AD110" s="16" t="str">
        <f t="shared" si="868"/>
        <v>F3Q01A</v>
      </c>
      <c r="AE110" s="17" t="str">
        <f t="shared" si="868"/>
        <v>F4Q01A</v>
      </c>
      <c r="AF110" s="15" t="str">
        <f t="shared" si="868"/>
        <v>F1Q02A</v>
      </c>
      <c r="AG110" s="16" t="str">
        <f t="shared" si="868"/>
        <v>F2Q02A</v>
      </c>
      <c r="AH110" s="16" t="str">
        <f t="shared" si="868"/>
        <v>F3Q02A</v>
      </c>
      <c r="AI110" s="17" t="str">
        <f t="shared" si="868"/>
        <v>F4Q02A</v>
      </c>
      <c r="AJ110" s="15" t="str">
        <f t="shared" si="868"/>
        <v>F1Q03A</v>
      </c>
      <c r="AK110" s="16" t="str">
        <f t="shared" si="868"/>
        <v>F2Q03A</v>
      </c>
      <c r="AL110" s="16" t="str">
        <f t="shared" si="868"/>
        <v>F3Q03A</v>
      </c>
      <c r="AM110" s="17" t="str">
        <f t="shared" si="868"/>
        <v>F4Q03A</v>
      </c>
      <c r="AN110" s="15" t="str">
        <f t="shared" si="868"/>
        <v>F1Q04A</v>
      </c>
      <c r="AO110" s="16" t="str">
        <f t="shared" si="868"/>
        <v>F2Q04A</v>
      </c>
      <c r="AP110" s="16" t="str">
        <f t="shared" si="868"/>
        <v>F3Q04A</v>
      </c>
      <c r="AQ110" s="17" t="str">
        <f t="shared" si="868"/>
        <v>F4Q04A</v>
      </c>
      <c r="AR110" s="15" t="str">
        <f t="shared" si="868"/>
        <v>F1Q05A</v>
      </c>
      <c r="AS110" s="16" t="str">
        <f t="shared" si="868"/>
        <v>F2Q05A</v>
      </c>
      <c r="AT110" s="16" t="str">
        <f t="shared" si="868"/>
        <v>F3Q05A</v>
      </c>
      <c r="AU110" s="17" t="str">
        <f t="shared" si="868"/>
        <v>F4Q05A</v>
      </c>
      <c r="AV110" s="15" t="str">
        <f t="shared" si="868"/>
        <v>F1Q06A</v>
      </c>
      <c r="AW110" s="16" t="str">
        <f t="shared" si="868"/>
        <v>F2Q06A</v>
      </c>
      <c r="AX110" s="16" t="str">
        <f t="shared" si="868"/>
        <v>F3Q06A</v>
      </c>
      <c r="AY110" s="17" t="str">
        <f t="shared" si="868"/>
        <v>F4Q06A</v>
      </c>
      <c r="AZ110" s="15" t="str">
        <f>AZ6</f>
        <v>F1Q07A</v>
      </c>
      <c r="BA110" s="16" t="str">
        <f>BA6</f>
        <v>F2Q07A</v>
      </c>
      <c r="BB110" s="16" t="str">
        <f>BB6</f>
        <v>F3Q07A</v>
      </c>
      <c r="BC110" s="17" t="str">
        <f>BC6</f>
        <v>F4Q07A</v>
      </c>
      <c r="BD110" s="15" t="str">
        <f t="shared" ref="BD110:CI110" si="869">BD6</f>
        <v>F1Q08A</v>
      </c>
      <c r="BE110" s="16" t="str">
        <f t="shared" si="869"/>
        <v>F2Q08A</v>
      </c>
      <c r="BF110" s="16" t="str">
        <f t="shared" si="869"/>
        <v>F3Q08A</v>
      </c>
      <c r="BG110" s="17" t="str">
        <f t="shared" si="869"/>
        <v>F4Q08A</v>
      </c>
      <c r="BH110" s="15" t="str">
        <f>BH6</f>
        <v>F1Q09A</v>
      </c>
      <c r="BI110" s="16" t="str">
        <f>BI6</f>
        <v>F2Q09A</v>
      </c>
      <c r="BJ110" s="16" t="str">
        <f>BJ6</f>
        <v>F3Q09A</v>
      </c>
      <c r="BK110" s="17" t="str">
        <f>BK6</f>
        <v>F4Q09A</v>
      </c>
      <c r="BL110" s="15" t="str">
        <f t="shared" si="869"/>
        <v>F1Q10A</v>
      </c>
      <c r="BM110" s="16" t="str">
        <f t="shared" si="869"/>
        <v>F2Q10A</v>
      </c>
      <c r="BN110" s="16" t="str">
        <f t="shared" si="869"/>
        <v>F3Q10A</v>
      </c>
      <c r="BO110" s="17" t="str">
        <f t="shared" si="869"/>
        <v>F4Q10A</v>
      </c>
      <c r="BP110" s="15" t="str">
        <f t="shared" si="869"/>
        <v>F1Q11A</v>
      </c>
      <c r="BQ110" s="16" t="str">
        <f t="shared" si="869"/>
        <v>F2Q11A</v>
      </c>
      <c r="BR110" s="16" t="str">
        <f t="shared" si="869"/>
        <v>F3Q11A</v>
      </c>
      <c r="BS110" s="17" t="str">
        <f t="shared" si="869"/>
        <v>F4Q11A</v>
      </c>
      <c r="BT110" s="15" t="str">
        <f t="shared" ref="BT110:BY110" si="870">BT6</f>
        <v>F1Q12A</v>
      </c>
      <c r="BU110" s="16" t="str">
        <f t="shared" si="870"/>
        <v>F2Q12A</v>
      </c>
      <c r="BV110" s="16" t="str">
        <f t="shared" si="870"/>
        <v>F3Q12A</v>
      </c>
      <c r="BW110" s="17" t="str">
        <f t="shared" si="870"/>
        <v>F4Q12A</v>
      </c>
      <c r="BX110" s="15" t="str">
        <f t="shared" si="870"/>
        <v>F1Q13A</v>
      </c>
      <c r="BY110" s="16" t="str">
        <f t="shared" si="870"/>
        <v>F2Q13A</v>
      </c>
      <c r="BZ110" s="16" t="str">
        <f t="shared" si="869"/>
        <v>F3Q13</v>
      </c>
      <c r="CA110" s="17" t="str">
        <f t="shared" si="869"/>
        <v>F4Q13</v>
      </c>
      <c r="CB110" s="15" t="str">
        <f t="shared" si="869"/>
        <v>F1Q14</v>
      </c>
      <c r="CC110" s="16" t="str">
        <f>CC6</f>
        <v>F2Q14A</v>
      </c>
      <c r="CD110" s="16" t="str">
        <f t="shared" si="869"/>
        <v>F3Q14A</v>
      </c>
      <c r="CE110" s="17" t="str">
        <f t="shared" si="869"/>
        <v>F4Q14</v>
      </c>
      <c r="CF110" s="15" t="str">
        <f t="shared" si="869"/>
        <v>F1Q15A</v>
      </c>
      <c r="CG110" s="16" t="str">
        <f t="shared" si="869"/>
        <v>F2Q15A</v>
      </c>
      <c r="CH110" s="16" t="str">
        <f t="shared" si="869"/>
        <v>F3Q15A</v>
      </c>
      <c r="CI110" s="17" t="str">
        <f t="shared" si="869"/>
        <v>F4Q15A</v>
      </c>
      <c r="CJ110" s="15" t="str">
        <f t="shared" ref="CJ110:CU110" si="871">CJ6</f>
        <v>F1Q16A</v>
      </c>
      <c r="CK110" s="16" t="str">
        <f t="shared" si="871"/>
        <v>F2Q16A</v>
      </c>
      <c r="CL110" s="16" t="str">
        <f t="shared" si="871"/>
        <v>F3Q16A</v>
      </c>
      <c r="CM110" s="17" t="str">
        <f t="shared" si="871"/>
        <v>F4Q16A</v>
      </c>
      <c r="CN110" s="1226" t="str">
        <f t="shared" ref="CN110:CO110" si="872">CN6</f>
        <v>F1Q17A</v>
      </c>
      <c r="CO110" s="1227" t="str">
        <f t="shared" si="872"/>
        <v>F2Q17A</v>
      </c>
      <c r="CP110" s="16" t="str">
        <f t="shared" si="871"/>
        <v>F3Q17A</v>
      </c>
      <c r="CQ110" s="17" t="str">
        <f t="shared" si="871"/>
        <v>F4Q17A</v>
      </c>
      <c r="CR110" s="1318" t="str">
        <f t="shared" si="871"/>
        <v>F1Q18A</v>
      </c>
      <c r="CS110" s="1319" t="str">
        <f t="shared" si="871"/>
        <v>F2Q18A</v>
      </c>
      <c r="CT110" s="1319" t="str">
        <f t="shared" si="871"/>
        <v>F3Q18E</v>
      </c>
      <c r="CU110" s="1320" t="str">
        <f t="shared" si="871"/>
        <v>F4Q18E</v>
      </c>
      <c r="CV110" s="1318" t="str">
        <f t="shared" ref="CV110:CY110" si="873">CV6</f>
        <v>F1Q19E</v>
      </c>
      <c r="CW110" s="1319" t="str">
        <f t="shared" si="873"/>
        <v>F2Q19E</v>
      </c>
      <c r="CX110" s="1319" t="str">
        <f t="shared" si="873"/>
        <v>F3Q19E</v>
      </c>
      <c r="CY110" s="1320" t="str">
        <f t="shared" si="873"/>
        <v>F4Q19E</v>
      </c>
      <c r="CZ110" s="1318" t="str">
        <f t="shared" ref="CZ110:DC110" si="874">CZ6</f>
        <v>F1Q20E</v>
      </c>
      <c r="DA110" s="1319" t="str">
        <f t="shared" si="874"/>
        <v>F2Q20E</v>
      </c>
      <c r="DB110" s="1319" t="str">
        <f t="shared" si="874"/>
        <v>F3Q20E</v>
      </c>
      <c r="DC110" s="1320" t="str">
        <f t="shared" si="874"/>
        <v>F4Q20E</v>
      </c>
      <c r="DD110" s="153"/>
      <c r="DE110" s="15" t="str">
        <f>DE6</f>
        <v>FY1995A</v>
      </c>
      <c r="DF110" s="16" t="str">
        <f>DF6</f>
        <v>FY1996A</v>
      </c>
      <c r="DG110" s="16" t="str">
        <f t="shared" ref="DG110:DN110" si="875">DG6</f>
        <v>FY1997A</v>
      </c>
      <c r="DH110" s="16" t="str">
        <f t="shared" si="875"/>
        <v>FY1998A</v>
      </c>
      <c r="DI110" s="16" t="str">
        <f t="shared" si="875"/>
        <v>FY1999A</v>
      </c>
      <c r="DJ110" s="16" t="str">
        <f t="shared" si="875"/>
        <v>FY2000A</v>
      </c>
      <c r="DK110" s="16" t="str">
        <f t="shared" si="875"/>
        <v>FY2001A</v>
      </c>
      <c r="DL110" s="16" t="str">
        <f t="shared" si="875"/>
        <v>FY2002A</v>
      </c>
      <c r="DM110" s="16" t="str">
        <f t="shared" si="875"/>
        <v>FY2003A</v>
      </c>
      <c r="DN110" s="16" t="str">
        <f t="shared" si="875"/>
        <v>FY2004A</v>
      </c>
      <c r="DO110" s="16" t="str">
        <f>DO6</f>
        <v>FY2005A</v>
      </c>
      <c r="DP110" s="16" t="str">
        <f>DP6</f>
        <v>FY2006A</v>
      </c>
      <c r="DQ110" s="16" t="str">
        <f>DQ6</f>
        <v>FY2007A</v>
      </c>
      <c r="DR110" s="16" t="str">
        <f>DR6</f>
        <v>FY2008A</v>
      </c>
      <c r="DS110" s="16" t="str">
        <f>DS6</f>
        <v>FY2009A</v>
      </c>
      <c r="DT110" s="16" t="str">
        <f t="shared" ref="DT110:EB110" si="876">DT6</f>
        <v>FY2010A</v>
      </c>
      <c r="DU110" s="1319" t="str">
        <f t="shared" si="876"/>
        <v>FY2011A</v>
      </c>
      <c r="DV110" s="1319" t="str">
        <f t="shared" si="876"/>
        <v>FY2012A</v>
      </c>
      <c r="DW110" s="1319" t="str">
        <f t="shared" si="876"/>
        <v>FY2013A</v>
      </c>
      <c r="DX110" s="1319" t="str">
        <f t="shared" si="876"/>
        <v>FY2014A</v>
      </c>
      <c r="DY110" s="1319" t="str">
        <f t="shared" si="876"/>
        <v>FY2015A</v>
      </c>
      <c r="DZ110" s="1319" t="str">
        <f t="shared" si="876"/>
        <v>FY2016A</v>
      </c>
      <c r="EA110" s="16" t="str">
        <f t="shared" si="876"/>
        <v>FY2017A</v>
      </c>
      <c r="EB110" s="1319" t="str">
        <f t="shared" si="876"/>
        <v>FY2018E</v>
      </c>
      <c r="EC110" s="1319" t="str">
        <f t="shared" ref="EC110:ED110" si="877">EC6</f>
        <v>FY2019E</v>
      </c>
      <c r="ED110" s="1319" t="str">
        <f t="shared" si="877"/>
        <v>FY2020E</v>
      </c>
      <c r="EE110" s="18"/>
      <c r="EF110" s="1318" t="str">
        <f t="shared" ref="EF110:EO110" si="878">EF4</f>
        <v>CY1995</v>
      </c>
      <c r="EG110" s="1319" t="str">
        <f t="shared" si="878"/>
        <v>CY1996</v>
      </c>
      <c r="EH110" s="1319" t="str">
        <f t="shared" si="878"/>
        <v>CY1997</v>
      </c>
      <c r="EI110" s="1319" t="str">
        <f t="shared" si="878"/>
        <v>CY1998</v>
      </c>
      <c r="EJ110" s="1319" t="str">
        <f t="shared" si="878"/>
        <v>CY1999</v>
      </c>
      <c r="EK110" s="1319" t="str">
        <f t="shared" si="878"/>
        <v>CY2000</v>
      </c>
      <c r="EL110" s="1319" t="str">
        <f t="shared" si="878"/>
        <v>CY2001</v>
      </c>
      <c r="EM110" s="1319" t="str">
        <f t="shared" si="878"/>
        <v>CY2002</v>
      </c>
      <c r="EN110" s="1319" t="str">
        <f t="shared" si="878"/>
        <v>CY2003</v>
      </c>
      <c r="EO110" s="1319" t="str">
        <f t="shared" si="878"/>
        <v>CY2004</v>
      </c>
      <c r="EP110" s="1319" t="str">
        <f>EP4</f>
        <v>CY2005</v>
      </c>
      <c r="EQ110" s="1319" t="str">
        <f t="shared" ref="EQ110:EX110" si="879">EQ4</f>
        <v>CY2006</v>
      </c>
      <c r="ER110" s="1319" t="str">
        <f t="shared" si="879"/>
        <v>CY2007</v>
      </c>
      <c r="ES110" s="1319" t="str">
        <f t="shared" si="879"/>
        <v>CY2008</v>
      </c>
      <c r="ET110" s="1319" t="str">
        <f t="shared" si="879"/>
        <v>CY2009</v>
      </c>
      <c r="EU110" s="1319" t="str">
        <f t="shared" si="879"/>
        <v>CY2010</v>
      </c>
      <c r="EV110" s="1319" t="str">
        <f t="shared" si="879"/>
        <v>CY2011</v>
      </c>
      <c r="EW110" s="16" t="str">
        <f t="shared" si="879"/>
        <v>CY2012</v>
      </c>
      <c r="EX110" s="1319" t="str">
        <f t="shared" si="879"/>
        <v>CY2013</v>
      </c>
      <c r="EY110" s="1319" t="str">
        <f>EY4</f>
        <v>CY2014</v>
      </c>
      <c r="EZ110" s="1319" t="str">
        <f t="shared" ref="EZ110:FB110" si="880">EZ4</f>
        <v>CY2015</v>
      </c>
      <c r="FA110" s="1319" t="str">
        <f t="shared" si="880"/>
        <v>CY2016</v>
      </c>
      <c r="FB110" s="1319" t="str">
        <f t="shared" si="880"/>
        <v>CY2017</v>
      </c>
      <c r="FC110" s="1319" t="str">
        <f t="shared" ref="FC110:FD110" si="881">FC4</f>
        <v>CY2018</v>
      </c>
      <c r="FD110" s="1320" t="str">
        <f t="shared" si="881"/>
        <v>CY2019</v>
      </c>
    </row>
    <row r="111" spans="1:170" ht="14.25" customHeight="1">
      <c r="A111" s="7"/>
      <c r="B111" s="178" t="s">
        <v>325</v>
      </c>
      <c r="C111" s="44"/>
      <c r="D111" s="181"/>
      <c r="E111" s="179"/>
      <c r="F111" s="179"/>
      <c r="G111" s="180"/>
      <c r="H111" s="181"/>
      <c r="I111" s="179"/>
      <c r="J111" s="179"/>
      <c r="K111" s="180"/>
      <c r="L111" s="181"/>
      <c r="M111" s="179"/>
      <c r="N111" s="179"/>
      <c r="O111" s="180"/>
      <c r="P111" s="181"/>
      <c r="Q111" s="179"/>
      <c r="R111" s="179"/>
      <c r="S111" s="180"/>
      <c r="T111" s="181"/>
      <c r="U111" s="179"/>
      <c r="V111" s="179"/>
      <c r="W111" s="180"/>
      <c r="X111" s="181"/>
      <c r="Y111" s="179"/>
      <c r="Z111" s="179"/>
      <c r="AA111" s="180"/>
      <c r="AB111" s="181"/>
      <c r="AC111" s="179"/>
      <c r="AD111" s="179"/>
      <c r="AE111" s="180"/>
      <c r="AF111" s="181"/>
      <c r="AG111" s="179"/>
      <c r="AH111" s="179"/>
      <c r="AI111" s="180"/>
      <c r="AJ111" s="181"/>
      <c r="AK111" s="179"/>
      <c r="AL111" s="179"/>
      <c r="AM111" s="180"/>
      <c r="AN111" s="181"/>
      <c r="AO111" s="179"/>
      <c r="AP111" s="179"/>
      <c r="AQ111" s="180"/>
      <c r="AR111" s="181"/>
      <c r="AS111" s="179"/>
      <c r="AT111" s="179"/>
      <c r="AU111" s="180"/>
      <c r="AV111" s="181"/>
      <c r="AW111" s="179"/>
      <c r="AX111" s="179"/>
      <c r="AY111" s="180"/>
      <c r="AZ111" s="181"/>
      <c r="BA111" s="179"/>
      <c r="BB111" s="179"/>
      <c r="BC111" s="180"/>
      <c r="BD111" s="181"/>
      <c r="BE111" s="179"/>
      <c r="BF111" s="179"/>
      <c r="BG111" s="180"/>
      <c r="BH111" s="181"/>
      <c r="BI111" s="179"/>
      <c r="BJ111" s="179"/>
      <c r="BK111" s="180"/>
      <c r="BL111" s="181"/>
      <c r="BM111" s="179"/>
      <c r="BN111" s="179"/>
      <c r="BO111" s="180"/>
      <c r="BP111" s="181"/>
      <c r="BQ111" s="179"/>
      <c r="BR111" s="179"/>
      <c r="BS111" s="179"/>
      <c r="BT111" s="181"/>
      <c r="BU111" s="179"/>
      <c r="BV111" s="179"/>
      <c r="BW111" s="180"/>
      <c r="BX111" s="181"/>
      <c r="BY111" s="179"/>
      <c r="BZ111" s="179"/>
      <c r="CA111" s="180"/>
      <c r="CB111" s="181"/>
      <c r="CC111" s="179"/>
      <c r="CD111" s="179"/>
      <c r="CE111" s="180"/>
      <c r="CF111" s="181"/>
      <c r="CG111" s="179"/>
      <c r="CH111" s="179"/>
      <c r="CI111" s="180"/>
      <c r="CJ111" s="181"/>
      <c r="CK111" s="179"/>
      <c r="CL111" s="179"/>
      <c r="CM111" s="180"/>
      <c r="CN111" s="181"/>
      <c r="CO111" s="179"/>
      <c r="CP111" s="179"/>
      <c r="CQ111" s="180"/>
      <c r="CR111" s="181"/>
      <c r="CS111" s="179"/>
      <c r="CT111" s="179"/>
      <c r="CU111" s="180"/>
      <c r="CV111" s="181"/>
      <c r="CW111" s="179"/>
      <c r="CX111" s="179"/>
      <c r="CY111" s="180"/>
      <c r="CZ111" s="181"/>
      <c r="DA111" s="179"/>
      <c r="DB111" s="179"/>
      <c r="DC111" s="180"/>
      <c r="DD111" s="153"/>
      <c r="DE111" s="179"/>
      <c r="DF111" s="179"/>
      <c r="DG111" s="179"/>
      <c r="DH111" s="179"/>
      <c r="DI111" s="179"/>
      <c r="DJ111" s="179"/>
      <c r="DK111" s="179"/>
      <c r="DL111" s="179"/>
      <c r="DM111" s="179"/>
      <c r="DN111" s="179"/>
      <c r="DO111" s="179"/>
      <c r="DP111" s="179"/>
      <c r="DQ111" s="179"/>
      <c r="DR111" s="179"/>
      <c r="DS111" s="179"/>
      <c r="DT111" s="179"/>
      <c r="DU111" s="179"/>
      <c r="DV111" s="179"/>
      <c r="DW111" s="179"/>
      <c r="DX111" s="179"/>
      <c r="DY111" s="179"/>
      <c r="DZ111" s="179"/>
      <c r="EA111" s="179"/>
      <c r="EB111" s="179"/>
      <c r="EC111" s="179"/>
      <c r="ED111" s="179"/>
      <c r="EE111" s="18"/>
      <c r="EF111" s="181"/>
      <c r="EG111" s="179"/>
      <c r="EH111" s="179"/>
      <c r="EI111" s="179"/>
      <c r="EJ111" s="179"/>
      <c r="EK111" s="179"/>
      <c r="EL111" s="179"/>
      <c r="EM111" s="179"/>
      <c r="EN111" s="179"/>
      <c r="EO111" s="179"/>
      <c r="EP111" s="179"/>
      <c r="EQ111" s="179"/>
      <c r="ER111" s="179"/>
      <c r="ES111" s="179"/>
      <c r="ET111" s="179"/>
      <c r="EU111" s="179"/>
      <c r="EV111" s="179"/>
      <c r="EW111" s="179"/>
      <c r="EX111" s="179"/>
      <c r="EY111" s="179"/>
      <c r="EZ111" s="179"/>
      <c r="FA111" s="179"/>
      <c r="FB111" s="179"/>
      <c r="FC111" s="179"/>
      <c r="FD111" s="180"/>
    </row>
    <row r="112" spans="1:170" ht="14.25" customHeight="1">
      <c r="A112" s="7"/>
      <c r="B112" s="22" t="s">
        <v>326</v>
      </c>
      <c r="C112" s="23"/>
      <c r="D112" s="83">
        <f>D8</f>
        <v>159.30000000000001</v>
      </c>
      <c r="E112" s="84">
        <f>D112+E8</f>
        <v>342.80000000000007</v>
      </c>
      <c r="F112" s="84">
        <f>E112+F8</f>
        <v>563.00000000000011</v>
      </c>
      <c r="G112" s="85">
        <f>F112+G8</f>
        <v>844.10000000000014</v>
      </c>
      <c r="H112" s="83">
        <f>H8</f>
        <v>328.49999999999989</v>
      </c>
      <c r="I112" s="84">
        <f>H112+I8</f>
        <v>516.69999999999982</v>
      </c>
      <c r="J112" s="84">
        <f>I112+J8</f>
        <v>574.89999999999975</v>
      </c>
      <c r="K112" s="85">
        <f>J112+K8</f>
        <v>593.49999999999966</v>
      </c>
      <c r="L112" s="83">
        <f>L8</f>
        <v>20.600000000000044</v>
      </c>
      <c r="M112" s="84">
        <f>L112+M8</f>
        <v>163.3000000000001</v>
      </c>
      <c r="N112" s="84">
        <f>M112+N8</f>
        <v>260.10000000000008</v>
      </c>
      <c r="O112" s="85">
        <f>N112+O8</f>
        <v>332.20000000000016</v>
      </c>
      <c r="P112" s="83">
        <f>P8</f>
        <v>6.4999999999999485</v>
      </c>
      <c r="Q112" s="84">
        <f>P112+Q8</f>
        <v>-44.399999999999984</v>
      </c>
      <c r="R112" s="84">
        <f>Q112+R8</f>
        <v>-153.79999999999998</v>
      </c>
      <c r="S112" s="85">
        <f>R112+S8</f>
        <v>-247.09999999999991</v>
      </c>
      <c r="T112" s="83">
        <f>T8</f>
        <v>-46.200000000000024</v>
      </c>
      <c r="U112" s="84">
        <f>T112+U8</f>
        <v>-23.800000000000097</v>
      </c>
      <c r="V112" s="84">
        <f>U112+V8</f>
        <v>-51.500000000000078</v>
      </c>
      <c r="W112" s="85">
        <f>V112+W8</f>
        <v>-68.900000000000063</v>
      </c>
      <c r="X112" s="83">
        <f>X8</f>
        <v>341.30000000000007</v>
      </c>
      <c r="Y112" s="84">
        <f>X112+Y8</f>
        <v>502.59999999999997</v>
      </c>
      <c r="Z112" s="84">
        <f>Y112+Z8</f>
        <v>777.49999999999989</v>
      </c>
      <c r="AA112" s="85">
        <f>Z112+AA8</f>
        <v>1504.2000000000003</v>
      </c>
      <c r="AB112" s="83">
        <f>AB8</f>
        <v>352.19999999999982</v>
      </c>
      <c r="AC112" s="84">
        <f>AB112+AC8</f>
        <v>263.89999999999986</v>
      </c>
      <c r="AD112" s="84">
        <f>AC112+AD8</f>
        <v>-49.500000000000057</v>
      </c>
      <c r="AE112" s="85">
        <f>AD112+AE8</f>
        <v>-624.99999999999932</v>
      </c>
      <c r="AF112" s="83">
        <f>AF8</f>
        <v>-265.90000000000003</v>
      </c>
      <c r="AG112" s="84">
        <f>AF112+AG8</f>
        <v>-296.3</v>
      </c>
      <c r="AH112" s="84">
        <f>AG112+AH8</f>
        <v>-321.10000000000002</v>
      </c>
      <c r="AI112" s="85">
        <f>AH112+AI8</f>
        <v>-909.1</v>
      </c>
      <c r="AJ112" s="83">
        <f>AJ8</f>
        <v>-317.39999999999992</v>
      </c>
      <c r="AK112" s="84">
        <f>AJ112+AK8</f>
        <v>-938.19999999999982</v>
      </c>
      <c r="AL112" s="84">
        <f>AK112+AL8</f>
        <v>-1154.6999999999998</v>
      </c>
      <c r="AM112" s="85">
        <f>AL112+AM8</f>
        <v>-1279.4999999999998</v>
      </c>
      <c r="AN112" s="83">
        <f>AN8</f>
        <v>0.59999999999998721</v>
      </c>
      <c r="AO112" s="84">
        <f>AN112+AO8</f>
        <v>-27.69999999999995</v>
      </c>
      <c r="AP112" s="84">
        <f>AO112+AP8</f>
        <v>66.600000000000037</v>
      </c>
      <c r="AQ112" s="85">
        <f>AP112+AQ8</f>
        <v>163.50000000000006</v>
      </c>
      <c r="AR112" s="83">
        <f>AR8</f>
        <v>158.30000000000001</v>
      </c>
      <c r="AS112" s="84">
        <f>AR112+AS8</f>
        <v>279.60000000000014</v>
      </c>
      <c r="AT112" s="84">
        <f>AS112+AT8</f>
        <v>151.70000000000016</v>
      </c>
      <c r="AU112" s="85">
        <f>AT112+AU8</f>
        <v>194.80000000000007</v>
      </c>
      <c r="AV112" s="83">
        <f>AV8</f>
        <v>62.599999999999888</v>
      </c>
      <c r="AW112" s="84">
        <f>AV112+AW8</f>
        <v>255.79999999999981</v>
      </c>
      <c r="AX112" s="84">
        <f>AW112+AX8</f>
        <v>344.29999999999978</v>
      </c>
      <c r="AY112" s="85">
        <f>AX112+AY8</f>
        <v>407.79999999999978</v>
      </c>
      <c r="AZ112" s="83">
        <f>AZ8</f>
        <v>115</v>
      </c>
      <c r="BA112" s="84">
        <f>AZ112+BA8</f>
        <v>63</v>
      </c>
      <c r="BB112" s="84">
        <f>BA112+BB8</f>
        <v>-162</v>
      </c>
      <c r="BC112" s="85">
        <f>BB112+BC8</f>
        <v>-320</v>
      </c>
      <c r="BD112" s="83">
        <f>BD8</f>
        <v>-262</v>
      </c>
      <c r="BE112" s="84">
        <f>BD112+BE8</f>
        <v>-1039</v>
      </c>
      <c r="BF112" s="84">
        <f>BE112+BF8</f>
        <v>-1275</v>
      </c>
      <c r="BG112" s="85">
        <f>BF112+BG8</f>
        <v>-1619</v>
      </c>
      <c r="BH112" s="83">
        <f>BH8</f>
        <v>-706</v>
      </c>
      <c r="BI112" s="84">
        <f>BH112+BI8</f>
        <v>-1457</v>
      </c>
      <c r="BJ112" s="84">
        <f>BI112+BJ8</f>
        <v>-1747</v>
      </c>
      <c r="BK112" s="85">
        <f>BJ112+BK8</f>
        <v>-1835</v>
      </c>
      <c r="BL112" s="83">
        <f>BL8</f>
        <v>202</v>
      </c>
      <c r="BM112" s="84">
        <f>BL112+BM8</f>
        <v>581</v>
      </c>
      <c r="BN112" s="84">
        <f>BM112+BN8</f>
        <v>1541</v>
      </c>
      <c r="BO112" s="85">
        <f>BN112+BO8</f>
        <v>1900</v>
      </c>
      <c r="BP112" s="83">
        <f>BP8</f>
        <v>172</v>
      </c>
      <c r="BQ112" s="84">
        <f>BP112+BQ8</f>
        <v>247</v>
      </c>
      <c r="BR112" s="84">
        <f>BQ112+BR8</f>
        <v>324</v>
      </c>
      <c r="BS112" s="85">
        <f>BR112+BS8</f>
        <v>190</v>
      </c>
      <c r="BT112" s="83">
        <f>BT8</f>
        <v>-187</v>
      </c>
      <c r="BU112" s="84">
        <f>BT112+BU8</f>
        <v>-469</v>
      </c>
      <c r="BV112" s="84">
        <f>BU112+BV8</f>
        <v>-789</v>
      </c>
      <c r="BW112" s="85">
        <f>BV112+BW8</f>
        <v>-1031</v>
      </c>
      <c r="BX112" s="83">
        <f>BX8</f>
        <v>-275</v>
      </c>
      <c r="BY112" s="84">
        <f>BX112+BY8</f>
        <v>-559</v>
      </c>
      <c r="BZ112" s="84">
        <f>BY112+BZ8</f>
        <v>-516</v>
      </c>
      <c r="CA112" s="85">
        <f>BZ112+CA8</f>
        <v>1194</v>
      </c>
      <c r="CB112" s="83">
        <f>CB8</f>
        <v>381</v>
      </c>
      <c r="CC112" s="84">
        <f>CB112+CC8</f>
        <v>1122</v>
      </c>
      <c r="CD112" s="84">
        <f>CC112+CD8</f>
        <v>1928</v>
      </c>
      <c r="CE112" s="85">
        <f>CD112+CE8</f>
        <v>3079</v>
      </c>
      <c r="CF112" s="83">
        <f>CF8</f>
        <v>1002</v>
      </c>
      <c r="CG112" s="84">
        <f t="shared" ref="CG112:CM112" si="882">CF112+CG8</f>
        <v>1937</v>
      </c>
      <c r="CH112" s="84">
        <f t="shared" si="882"/>
        <v>2428</v>
      </c>
      <c r="CI112" s="85">
        <f t="shared" si="882"/>
        <v>2899</v>
      </c>
      <c r="CJ112" s="83">
        <f>CJ8</f>
        <v>206</v>
      </c>
      <c r="CK112" s="84">
        <f>CJ112+CK8</f>
        <v>110</v>
      </c>
      <c r="CL112" s="84">
        <f t="shared" si="882"/>
        <v>-105</v>
      </c>
      <c r="CM112" s="85">
        <f t="shared" si="882"/>
        <v>-275</v>
      </c>
      <c r="CN112" s="83">
        <f>CN8</f>
        <v>180</v>
      </c>
      <c r="CO112" s="84">
        <f>CN112+CO8</f>
        <v>1074</v>
      </c>
      <c r="CP112" s="84">
        <f t="shared" ref="CP112" si="883">CO112+CP8</f>
        <v>2721</v>
      </c>
      <c r="CQ112" s="85">
        <f t="shared" ref="CQ112" si="884">CP112+CQ8</f>
        <v>5090</v>
      </c>
      <c r="CR112" s="83">
        <f>CR8</f>
        <v>2678</v>
      </c>
      <c r="CS112" s="84">
        <f t="shared" ref="CS112" si="885">CR112+CS8</f>
        <v>5982</v>
      </c>
      <c r="CT112" s="84">
        <f t="shared" ref="CT112" si="886">CS112+CT8</f>
        <v>9504.2096053387104</v>
      </c>
      <c r="CU112" s="85">
        <f t="shared" ref="CU112" si="887">CT112+CU8</f>
        <v>12970.475605939086</v>
      </c>
      <c r="CV112" s="83">
        <f>CV8</f>
        <v>2766.9864124111864</v>
      </c>
      <c r="CW112" s="84">
        <f t="shared" ref="CW112" si="888">CV112+CW8</f>
        <v>5087.9116322157133</v>
      </c>
      <c r="CX112" s="84">
        <f t="shared" ref="CX112" si="889">CW112+CX8</f>
        <v>6975.9836128195002</v>
      </c>
      <c r="CY112" s="85">
        <f t="shared" ref="CY112" si="890">CX112+CY8</f>
        <v>8636.1830401608604</v>
      </c>
      <c r="CZ112" s="83">
        <f>CZ8</f>
        <v>1485.7809555562255</v>
      </c>
      <c r="DA112" s="84">
        <f t="shared" ref="DA112" si="891">CZ112+DA8</f>
        <v>2838.3536100501069</v>
      </c>
      <c r="DB112" s="84">
        <f t="shared" ref="DB112" si="892">DA112+DB8</f>
        <v>4129.5410799498077</v>
      </c>
      <c r="DC112" s="85">
        <f t="shared" ref="DC112" si="893">DB112+DC8</f>
        <v>5380.8202117963156</v>
      </c>
      <c r="DD112" s="153"/>
      <c r="DE112" s="84">
        <f>DE8</f>
        <v>844.10000000000014</v>
      </c>
      <c r="DF112" s="84">
        <f>DF8</f>
        <v>593.49999999999966</v>
      </c>
      <c r="DG112" s="84">
        <f>DG8</f>
        <v>332.20000000000016</v>
      </c>
      <c r="DH112" s="84">
        <f t="shared" ref="DH112:DN112" si="894">DH8</f>
        <v>-247.09999999999991</v>
      </c>
      <c r="DI112" s="84">
        <f t="shared" si="894"/>
        <v>-68.900000000000063</v>
      </c>
      <c r="DJ112" s="84">
        <f t="shared" si="894"/>
        <v>1504.2000000000003</v>
      </c>
      <c r="DK112" s="84">
        <f t="shared" si="894"/>
        <v>-624.99999999999932</v>
      </c>
      <c r="DL112" s="84">
        <f t="shared" si="894"/>
        <v>-909.1</v>
      </c>
      <c r="DM112" s="84">
        <f t="shared" si="894"/>
        <v>-1279.4999999999998</v>
      </c>
      <c r="DN112" s="84">
        <f t="shared" si="894"/>
        <v>163.50000000000006</v>
      </c>
      <c r="DO112" s="84">
        <f>DO8</f>
        <v>194.80000000000007</v>
      </c>
      <c r="DP112" s="84">
        <f>DP8</f>
        <v>407.79999999999978</v>
      </c>
      <c r="DQ112" s="84">
        <f>DQ8</f>
        <v>-320</v>
      </c>
      <c r="DR112" s="84">
        <f>DR8</f>
        <v>-1619</v>
      </c>
      <c r="DS112" s="84">
        <f t="shared" ref="DS112:DY112" si="895">DS8</f>
        <v>-1835</v>
      </c>
      <c r="DT112" s="84">
        <f t="shared" si="895"/>
        <v>1900</v>
      </c>
      <c r="DU112" s="84">
        <f t="shared" si="895"/>
        <v>190</v>
      </c>
      <c r="DV112" s="84">
        <f t="shared" si="895"/>
        <v>-1031</v>
      </c>
      <c r="DW112" s="84">
        <f t="shared" si="895"/>
        <v>1194</v>
      </c>
      <c r="DX112" s="84">
        <f t="shared" si="895"/>
        <v>3079</v>
      </c>
      <c r="DY112" s="84">
        <f t="shared" si="895"/>
        <v>2899</v>
      </c>
      <c r="DZ112" s="84">
        <f>DZ8</f>
        <v>-275</v>
      </c>
      <c r="EA112" s="84">
        <f>EA8</f>
        <v>5090</v>
      </c>
      <c r="EB112" s="84">
        <f>EB8</f>
        <v>12970.475605939086</v>
      </c>
      <c r="EC112" s="84">
        <f>EC8</f>
        <v>8636.1830401608604</v>
      </c>
      <c r="ED112" s="84">
        <f>ED8</f>
        <v>5380.8202117963156</v>
      </c>
      <c r="EE112" s="18"/>
      <c r="EF112" s="83"/>
      <c r="EG112" s="84"/>
      <c r="EH112" s="84">
        <f t="shared" ref="EH112:EO112" si="896">EH8</f>
        <v>318.10000000000008</v>
      </c>
      <c r="EI112" s="84">
        <f t="shared" si="896"/>
        <v>-299.7999999999999</v>
      </c>
      <c r="EJ112" s="84">
        <f t="shared" si="896"/>
        <v>318.60000000000002</v>
      </c>
      <c r="EK112" s="84">
        <f t="shared" si="896"/>
        <v>1515.1</v>
      </c>
      <c r="EL112" s="84">
        <f t="shared" si="896"/>
        <v>-1243.0999999999992</v>
      </c>
      <c r="EM112" s="84">
        <f t="shared" si="896"/>
        <v>-960.59999999999991</v>
      </c>
      <c r="EN112" s="84">
        <f t="shared" si="896"/>
        <v>-961.49999999999989</v>
      </c>
      <c r="EO112" s="84">
        <f t="shared" si="896"/>
        <v>321.2000000000001</v>
      </c>
      <c r="EP112" s="84">
        <f>EP8</f>
        <v>99.099999999999937</v>
      </c>
      <c r="EQ112" s="84">
        <f>EQ8</f>
        <v>460.19999999999993</v>
      </c>
      <c r="ER112" s="84">
        <f>ER8</f>
        <v>-697</v>
      </c>
      <c r="ES112" s="84">
        <f t="shared" ref="ES112:EX112" si="897">ES8</f>
        <v>-2063</v>
      </c>
      <c r="ET112" s="84">
        <f t="shared" si="897"/>
        <v>-927</v>
      </c>
      <c r="EU112" s="84">
        <f t="shared" si="897"/>
        <v>1870</v>
      </c>
      <c r="EV112" s="84">
        <f t="shared" si="897"/>
        <v>-169</v>
      </c>
      <c r="EW112" s="84">
        <f t="shared" si="897"/>
        <v>-1119</v>
      </c>
      <c r="EX112" s="84">
        <f t="shared" si="897"/>
        <v>1850</v>
      </c>
      <c r="EY112" s="84">
        <f>EY8</f>
        <v>3700</v>
      </c>
      <c r="EZ112" s="84">
        <f>EZ8</f>
        <v>2103</v>
      </c>
      <c r="FA112" s="84">
        <f t="shared" ref="FA112:FC112" si="898">FA8</f>
        <v>-301</v>
      </c>
      <c r="FB112" s="84">
        <f t="shared" si="898"/>
        <v>7588</v>
      </c>
      <c r="FC112" s="84">
        <f t="shared" si="898"/>
        <v>13059.462018350272</v>
      </c>
      <c r="FD112" s="85">
        <f t="shared" ref="FD112" si="899">FD8</f>
        <v>7354.9775833058993</v>
      </c>
    </row>
    <row r="113" spans="1:160" ht="14.25" customHeight="1">
      <c r="A113" s="7"/>
      <c r="B113" s="183" t="s">
        <v>327</v>
      </c>
      <c r="C113" s="184"/>
      <c r="D113" s="187"/>
      <c r="E113" s="185"/>
      <c r="F113" s="185"/>
      <c r="G113" s="186"/>
      <c r="H113" s="187"/>
      <c r="I113" s="185"/>
      <c r="J113" s="185"/>
      <c r="K113" s="186"/>
      <c r="L113" s="187"/>
      <c r="M113" s="185"/>
      <c r="N113" s="185"/>
      <c r="O113" s="186"/>
      <c r="P113" s="187"/>
      <c r="Q113" s="185"/>
      <c r="R113" s="185"/>
      <c r="S113" s="186"/>
      <c r="T113" s="187"/>
      <c r="U113" s="185"/>
      <c r="V113" s="185"/>
      <c r="W113" s="186"/>
      <c r="X113" s="187"/>
      <c r="Y113" s="185"/>
      <c r="Z113" s="185"/>
      <c r="AA113" s="186"/>
      <c r="AB113" s="187"/>
      <c r="AC113" s="185"/>
      <c r="AD113" s="185"/>
      <c r="AE113" s="186"/>
      <c r="AF113" s="187"/>
      <c r="AG113" s="185"/>
      <c r="AH113" s="185"/>
      <c r="AI113" s="186"/>
      <c r="AJ113" s="187"/>
      <c r="AK113" s="185"/>
      <c r="AL113" s="185"/>
      <c r="AM113" s="186"/>
      <c r="AN113" s="187"/>
      <c r="AO113" s="185"/>
      <c r="AP113" s="185"/>
      <c r="AQ113" s="186"/>
      <c r="AR113" s="187"/>
      <c r="AS113" s="185"/>
      <c r="AT113" s="185"/>
      <c r="AU113" s="186"/>
      <c r="AV113" s="187"/>
      <c r="AW113" s="185"/>
      <c r="AX113" s="185"/>
      <c r="AY113" s="186"/>
      <c r="AZ113" s="187"/>
      <c r="BA113" s="185"/>
      <c r="BB113" s="185"/>
      <c r="BC113" s="186"/>
      <c r="BD113" s="187"/>
      <c r="BE113" s="185"/>
      <c r="BF113" s="185"/>
      <c r="BG113" s="186"/>
      <c r="BH113" s="187"/>
      <c r="BI113" s="185"/>
      <c r="BJ113" s="185"/>
      <c r="BK113" s="186"/>
      <c r="BL113" s="187"/>
      <c r="BM113" s="185"/>
      <c r="BN113" s="185"/>
      <c r="BO113" s="186"/>
      <c r="BP113" s="187"/>
      <c r="BQ113" s="185"/>
      <c r="BR113" s="185"/>
      <c r="BS113" s="186"/>
      <c r="BT113" s="187"/>
      <c r="BU113" s="185"/>
      <c r="BV113" s="185"/>
      <c r="BW113" s="186"/>
      <c r="BX113" s="187"/>
      <c r="BY113" s="185"/>
      <c r="BZ113" s="185"/>
      <c r="CA113" s="186"/>
      <c r="CB113" s="187"/>
      <c r="CC113" s="185"/>
      <c r="CD113" s="185"/>
      <c r="CE113" s="186"/>
      <c r="CF113" s="187"/>
      <c r="CG113" s="185"/>
      <c r="CH113" s="185"/>
      <c r="CI113" s="186"/>
      <c r="CJ113" s="187"/>
      <c r="CK113" s="185"/>
      <c r="CL113" s="185"/>
      <c r="CM113" s="186"/>
      <c r="CN113" s="187"/>
      <c r="CO113" s="185"/>
      <c r="CP113" s="185"/>
      <c r="CQ113" s="186"/>
      <c r="CR113" s="187"/>
      <c r="CS113" s="185"/>
      <c r="CT113" s="185"/>
      <c r="CU113" s="186"/>
      <c r="CV113" s="187"/>
      <c r="CW113" s="185"/>
      <c r="CX113" s="185"/>
      <c r="CY113" s="186"/>
      <c r="CZ113" s="187"/>
      <c r="DA113" s="185"/>
      <c r="DB113" s="185"/>
      <c r="DC113" s="186"/>
      <c r="DD113" s="153"/>
      <c r="DE113" s="185"/>
      <c r="DF113" s="185"/>
      <c r="DG113" s="185"/>
      <c r="DH113" s="185"/>
      <c r="DI113" s="185"/>
      <c r="DJ113" s="185"/>
      <c r="DK113" s="185"/>
      <c r="DL113" s="185"/>
      <c r="DM113" s="185"/>
      <c r="DN113" s="185"/>
      <c r="DO113" s="185"/>
      <c r="DP113" s="185"/>
      <c r="DQ113" s="185"/>
      <c r="DR113" s="185"/>
      <c r="DS113" s="185"/>
      <c r="DT113" s="185"/>
      <c r="DU113" s="185"/>
      <c r="DV113" s="185"/>
      <c r="DW113" s="185"/>
      <c r="DX113" s="185"/>
      <c r="DY113" s="185"/>
      <c r="DZ113" s="185"/>
      <c r="EA113" s="185"/>
      <c r="EB113" s="185"/>
      <c r="EC113" s="185"/>
      <c r="ED113" s="185"/>
      <c r="EE113" s="18"/>
      <c r="EF113" s="187"/>
      <c r="EG113" s="185"/>
      <c r="EH113" s="185"/>
      <c r="EI113" s="185"/>
      <c r="EJ113" s="185"/>
      <c r="EK113" s="185"/>
      <c r="EL113" s="185"/>
      <c r="EM113" s="185"/>
      <c r="EN113" s="185"/>
      <c r="EO113" s="185"/>
      <c r="EP113" s="185"/>
      <c r="EQ113" s="185"/>
      <c r="ER113" s="185"/>
      <c r="ES113" s="185"/>
      <c r="ET113" s="185"/>
      <c r="EU113" s="185"/>
      <c r="EV113" s="185"/>
      <c r="EW113" s="185"/>
      <c r="EX113" s="185"/>
      <c r="EY113" s="185"/>
      <c r="EZ113" s="185"/>
      <c r="FA113" s="185"/>
      <c r="FB113" s="185"/>
      <c r="FC113" s="185"/>
      <c r="FD113" s="186"/>
    </row>
    <row r="114" spans="1:160" ht="14.25" customHeight="1">
      <c r="A114" s="7"/>
      <c r="B114" s="48" t="s">
        <v>376</v>
      </c>
      <c r="C114" s="49"/>
      <c r="D114" s="193">
        <v>0</v>
      </c>
      <c r="E114" s="191">
        <v>0</v>
      </c>
      <c r="F114" s="191">
        <v>0</v>
      </c>
      <c r="G114" s="192">
        <v>0</v>
      </c>
      <c r="H114" s="193">
        <v>0</v>
      </c>
      <c r="I114" s="191">
        <v>0</v>
      </c>
      <c r="J114" s="191">
        <v>0</v>
      </c>
      <c r="K114" s="192">
        <v>0</v>
      </c>
      <c r="L114" s="193">
        <v>110.3</v>
      </c>
      <c r="M114" s="191">
        <v>227.9</v>
      </c>
      <c r="N114" s="191">
        <v>350.3</v>
      </c>
      <c r="O114" s="192">
        <v>461.7</v>
      </c>
      <c r="P114" s="193">
        <v>136.30000000000001</v>
      </c>
      <c r="Q114" s="191">
        <v>283.60000000000002</v>
      </c>
      <c r="R114" s="191">
        <v>434.7</v>
      </c>
      <c r="S114" s="192">
        <v>606.6</v>
      </c>
      <c r="T114" s="193">
        <v>189.5</v>
      </c>
      <c r="U114" s="191">
        <v>408.9</v>
      </c>
      <c r="V114" s="191">
        <v>612.9</v>
      </c>
      <c r="W114" s="192">
        <v>843.3</v>
      </c>
      <c r="X114" s="193">
        <v>229.5</v>
      </c>
      <c r="Y114" s="191">
        <v>463.1</v>
      </c>
      <c r="Z114" s="191">
        <v>713.2</v>
      </c>
      <c r="AA114" s="192">
        <v>974.4</v>
      </c>
      <c r="AB114" s="193">
        <v>268.2</v>
      </c>
      <c r="AC114" s="191">
        <v>540.4</v>
      </c>
      <c r="AD114" s="191">
        <v>819.2</v>
      </c>
      <c r="AE114" s="192">
        <v>1114.4000000000001</v>
      </c>
      <c r="AF114" s="193">
        <v>297.60000000000002</v>
      </c>
      <c r="AG114" s="191">
        <v>588.5</v>
      </c>
      <c r="AH114" s="191">
        <v>881.9</v>
      </c>
      <c r="AI114" s="192">
        <v>1177.4000000000001</v>
      </c>
      <c r="AJ114" s="193">
        <v>299.89999999999998</v>
      </c>
      <c r="AK114" s="191">
        <v>610.1</v>
      </c>
      <c r="AL114" s="191">
        <v>911.1</v>
      </c>
      <c r="AM114" s="192">
        <v>1209.9000000000001</v>
      </c>
      <c r="AN114" s="193">
        <v>312.5</v>
      </c>
      <c r="AO114" s="191">
        <v>608.1</v>
      </c>
      <c r="AP114" s="191">
        <v>908.2</v>
      </c>
      <c r="AQ114" s="192">
        <v>1217.5</v>
      </c>
      <c r="AR114" s="193">
        <v>313.7</v>
      </c>
      <c r="AS114" s="191">
        <v>630.9</v>
      </c>
      <c r="AT114" s="191">
        <v>949.6</v>
      </c>
      <c r="AU114" s="192">
        <v>1264.5</v>
      </c>
      <c r="AV114" s="193">
        <v>303.39999999999998</v>
      </c>
      <c r="AW114" s="191">
        <v>594.6</v>
      </c>
      <c r="AX114" s="191">
        <v>936.2</v>
      </c>
      <c r="AY114" s="192">
        <v>1281</v>
      </c>
      <c r="AZ114" s="193">
        <v>380</v>
      </c>
      <c r="BA114" s="191">
        <v>800</v>
      </c>
      <c r="BB114" s="191">
        <v>1244</v>
      </c>
      <c r="BC114" s="192">
        <v>1718</v>
      </c>
      <c r="BD114" s="193">
        <v>504</v>
      </c>
      <c r="BE114" s="191">
        <v>1015</v>
      </c>
      <c r="BF114" s="191">
        <v>1528</v>
      </c>
      <c r="BG114" s="192">
        <v>2060</v>
      </c>
      <c r="BH114" s="193">
        <v>594</v>
      </c>
      <c r="BI114" s="191">
        <v>1134</v>
      </c>
      <c r="BJ114" s="191">
        <v>1648</v>
      </c>
      <c r="BK114" s="192">
        <v>2139</v>
      </c>
      <c r="BL114" s="193">
        <v>491</v>
      </c>
      <c r="BM114" s="191">
        <v>937</v>
      </c>
      <c r="BN114" s="191">
        <v>1413</v>
      </c>
      <c r="BO114" s="192">
        <v>1922</v>
      </c>
      <c r="BP114" s="193">
        <v>517</v>
      </c>
      <c r="BQ114" s="191">
        <f>30+1003</f>
        <v>1033</v>
      </c>
      <c r="BR114" s="191">
        <f>42+1550</f>
        <v>1592</v>
      </c>
      <c r="BS114" s="192">
        <f>57+2105</f>
        <v>2162</v>
      </c>
      <c r="BT114" s="193">
        <f>17+564</f>
        <v>581</v>
      </c>
      <c r="BU114" s="191">
        <f>34+1133</f>
        <v>1167</v>
      </c>
      <c r="BV114" s="191">
        <f>1658+55</f>
        <v>1713</v>
      </c>
      <c r="BW114" s="192">
        <f>2141+81</f>
        <v>2222</v>
      </c>
      <c r="BX114" s="193">
        <f>457+28</f>
        <v>485</v>
      </c>
      <c r="BY114" s="191">
        <f>912+58</f>
        <v>970</v>
      </c>
      <c r="BZ114" s="191">
        <f>1354+86</f>
        <v>1440</v>
      </c>
      <c r="CA114" s="192">
        <f>1804+122</f>
        <v>1926</v>
      </c>
      <c r="CB114" s="193">
        <f>491+50</f>
        <v>541</v>
      </c>
      <c r="CC114" s="191">
        <f>1008+94</f>
        <v>1102</v>
      </c>
      <c r="CD114" s="191">
        <f>1550+130</f>
        <v>1680</v>
      </c>
      <c r="CE114" s="192">
        <f>2103+167</f>
        <v>2270</v>
      </c>
      <c r="CF114" s="193">
        <f>643+38</f>
        <v>681</v>
      </c>
      <c r="CG114" s="191">
        <f>1284+71</f>
        <v>1355</v>
      </c>
      <c r="CH114" s="191">
        <f>1957+105</f>
        <v>2062</v>
      </c>
      <c r="CI114" s="192">
        <f>2667+138</f>
        <v>2805</v>
      </c>
      <c r="CJ114" s="193">
        <f>737+33</f>
        <v>770</v>
      </c>
      <c r="CK114" s="191">
        <f>1511+64</f>
        <v>1575</v>
      </c>
      <c r="CL114" s="191">
        <f>2266+94</f>
        <v>2360</v>
      </c>
      <c r="CM114" s="192">
        <f>2980+126</f>
        <v>3106</v>
      </c>
      <c r="CN114" s="193">
        <f>771+32</f>
        <v>803</v>
      </c>
      <c r="CO114" s="191">
        <f>1774+63</f>
        <v>1837</v>
      </c>
      <c r="CP114" s="191">
        <v>2888</v>
      </c>
      <c r="CQ114" s="192">
        <f>3861+125</f>
        <v>3986</v>
      </c>
      <c r="CR114" s="193">
        <f>1090+29</f>
        <v>1119</v>
      </c>
      <c r="CS114" s="191">
        <v>2296</v>
      </c>
      <c r="CT114" s="188">
        <f t="shared" ref="CT114:CT121" si="900">CS114+CT10</f>
        <v>3514.4154501321186</v>
      </c>
      <c r="CU114" s="189">
        <f t="shared" ref="CU114:CU121" si="901">CT114+CU10</f>
        <v>4745.8317390064594</v>
      </c>
      <c r="CV114" s="190">
        <f>CV10</f>
        <v>1250</v>
      </c>
      <c r="CW114" s="188">
        <f t="shared" ref="CW114:CW121" si="902">CV114+CW10</f>
        <v>2500</v>
      </c>
      <c r="CX114" s="188">
        <f t="shared" ref="CX114:CX121" si="903">CW114+CX10</f>
        <v>3750</v>
      </c>
      <c r="CY114" s="189">
        <f t="shared" ref="CY114:CY121" si="904">CX114+CY10</f>
        <v>5000</v>
      </c>
      <c r="CZ114" s="190">
        <f>CZ10</f>
        <v>1375</v>
      </c>
      <c r="DA114" s="188">
        <f t="shared" ref="DA114:DA121" si="905">CZ114+DA10</f>
        <v>2750</v>
      </c>
      <c r="DB114" s="188">
        <f t="shared" ref="DB114:DB121" si="906">DA114+DB10</f>
        <v>4125</v>
      </c>
      <c r="DC114" s="189">
        <f t="shared" ref="DC114:DC121" si="907">DB114+DC10</f>
        <v>5500</v>
      </c>
      <c r="DD114" s="153"/>
      <c r="DE114" s="188">
        <f t="shared" ref="DE114:DF121" si="908">DE10</f>
        <v>0</v>
      </c>
      <c r="DF114" s="188">
        <f t="shared" si="908"/>
        <v>0</v>
      </c>
      <c r="DG114" s="188">
        <f t="shared" ref="DG114:DN114" si="909">DG10</f>
        <v>461.7</v>
      </c>
      <c r="DH114" s="188">
        <f t="shared" si="909"/>
        <v>606.6</v>
      </c>
      <c r="DI114" s="188">
        <f t="shared" si="909"/>
        <v>843.3</v>
      </c>
      <c r="DJ114" s="188">
        <f t="shared" si="909"/>
        <v>974.4</v>
      </c>
      <c r="DK114" s="188">
        <f t="shared" si="909"/>
        <v>1114.4000000000001</v>
      </c>
      <c r="DL114" s="188">
        <f t="shared" si="909"/>
        <v>1177.4000000000001</v>
      </c>
      <c r="DM114" s="188">
        <f t="shared" si="909"/>
        <v>1209.9000000000001</v>
      </c>
      <c r="DN114" s="188">
        <f t="shared" si="909"/>
        <v>1217.5</v>
      </c>
      <c r="DO114" s="188">
        <f t="shared" ref="DO114:DQ121" si="910">DO10</f>
        <v>1264.5</v>
      </c>
      <c r="DP114" s="188">
        <f t="shared" si="910"/>
        <v>1281</v>
      </c>
      <c r="DQ114" s="188">
        <f t="shared" si="910"/>
        <v>1718</v>
      </c>
      <c r="DR114" s="188">
        <f t="shared" ref="DR114:EB114" si="911">DR10</f>
        <v>2060</v>
      </c>
      <c r="DS114" s="188">
        <f t="shared" si="911"/>
        <v>2139</v>
      </c>
      <c r="DT114" s="188">
        <f t="shared" si="911"/>
        <v>1922</v>
      </c>
      <c r="DU114" s="188">
        <f t="shared" si="911"/>
        <v>2162</v>
      </c>
      <c r="DV114" s="188">
        <f t="shared" si="911"/>
        <v>2222</v>
      </c>
      <c r="DW114" s="188">
        <f t="shared" si="911"/>
        <v>1926</v>
      </c>
      <c r="DX114" s="188">
        <f t="shared" si="911"/>
        <v>2270</v>
      </c>
      <c r="DY114" s="188">
        <f t="shared" si="911"/>
        <v>2805</v>
      </c>
      <c r="DZ114" s="188">
        <f t="shared" si="911"/>
        <v>3106</v>
      </c>
      <c r="EA114" s="188">
        <f t="shared" si="911"/>
        <v>3986</v>
      </c>
      <c r="EB114" s="188">
        <f t="shared" si="911"/>
        <v>4745.8317390064594</v>
      </c>
      <c r="EC114" s="188">
        <f t="shared" ref="EC114:ED114" si="912">EC10</f>
        <v>5000</v>
      </c>
      <c r="ED114" s="188">
        <f t="shared" si="912"/>
        <v>5500</v>
      </c>
      <c r="EE114" s="18"/>
      <c r="EF114" s="337"/>
      <c r="EG114" s="338"/>
      <c r="EH114" s="338">
        <f t="shared" ref="EH114:EO114" si="913">EH10</f>
        <v>487.7</v>
      </c>
      <c r="EI114" s="338">
        <f t="shared" si="913"/>
        <v>659.8</v>
      </c>
      <c r="EJ114" s="338">
        <f t="shared" si="913"/>
        <v>883.3</v>
      </c>
      <c r="EK114" s="338">
        <f t="shared" si="913"/>
        <v>1013.0999999999999</v>
      </c>
      <c r="EL114" s="338">
        <f t="shared" si="913"/>
        <v>1143.8000000000002</v>
      </c>
      <c r="EM114" s="338">
        <f t="shared" si="913"/>
        <v>1179.7</v>
      </c>
      <c r="EN114" s="338">
        <f t="shared" si="913"/>
        <v>1222.5</v>
      </c>
      <c r="EO114" s="338">
        <f t="shared" si="913"/>
        <v>1218.7</v>
      </c>
      <c r="EP114" s="338">
        <f t="shared" ref="EP114:EQ116" si="914">EP10</f>
        <v>1254.1999999999998</v>
      </c>
      <c r="EQ114" s="338">
        <f t="shared" si="914"/>
        <v>1357.6</v>
      </c>
      <c r="ER114" s="338">
        <f t="shared" ref="ER114:EX114" si="915">ER10</f>
        <v>1842</v>
      </c>
      <c r="ES114" s="338">
        <f t="shared" si="915"/>
        <v>2150</v>
      </c>
      <c r="ET114" s="338">
        <f t="shared" si="915"/>
        <v>2036</v>
      </c>
      <c r="EU114" s="338">
        <f t="shared" si="915"/>
        <v>1948</v>
      </c>
      <c r="EV114" s="338">
        <f t="shared" si="915"/>
        <v>2226</v>
      </c>
      <c r="EW114" s="338">
        <f t="shared" si="915"/>
        <v>2126</v>
      </c>
      <c r="EX114" s="338">
        <f t="shared" si="915"/>
        <v>1982</v>
      </c>
      <c r="EY114" s="338">
        <f t="shared" ref="EY114:EY121" si="916">EY10</f>
        <v>2410</v>
      </c>
      <c r="EZ114" s="338">
        <f t="shared" ref="EZ114:FC114" si="917">EZ10</f>
        <v>2894</v>
      </c>
      <c r="FA114" s="338">
        <f t="shared" si="917"/>
        <v>3139</v>
      </c>
      <c r="FB114" s="338">
        <f t="shared" si="917"/>
        <v>4302</v>
      </c>
      <c r="FC114" s="338">
        <f t="shared" si="917"/>
        <v>4876.8317390064594</v>
      </c>
      <c r="FD114" s="339">
        <f t="shared" ref="FD114" si="918">FD10</f>
        <v>5125</v>
      </c>
    </row>
    <row r="115" spans="1:160" ht="14.25" customHeight="1">
      <c r="A115" s="7"/>
      <c r="B115" s="48" t="s">
        <v>386</v>
      </c>
      <c r="C115" s="49"/>
      <c r="D115" s="193">
        <v>0</v>
      </c>
      <c r="E115" s="191">
        <v>0</v>
      </c>
      <c r="F115" s="191">
        <v>0</v>
      </c>
      <c r="G115" s="192">
        <v>0</v>
      </c>
      <c r="H115" s="193">
        <v>0</v>
      </c>
      <c r="I115" s="191">
        <v>0</v>
      </c>
      <c r="J115" s="191">
        <v>0</v>
      </c>
      <c r="K115" s="192">
        <v>0</v>
      </c>
      <c r="L115" s="193">
        <v>0</v>
      </c>
      <c r="M115" s="191">
        <v>0</v>
      </c>
      <c r="N115" s="191">
        <v>0</v>
      </c>
      <c r="O115" s="192">
        <v>0</v>
      </c>
      <c r="P115" s="193">
        <v>0</v>
      </c>
      <c r="Q115" s="191">
        <v>0</v>
      </c>
      <c r="R115" s="191">
        <v>0</v>
      </c>
      <c r="S115" s="192">
        <v>0</v>
      </c>
      <c r="T115" s="193">
        <v>0</v>
      </c>
      <c r="U115" s="191">
        <v>0</v>
      </c>
      <c r="V115" s="191">
        <v>0</v>
      </c>
      <c r="W115" s="192">
        <v>0</v>
      </c>
      <c r="X115" s="193">
        <v>0</v>
      </c>
      <c r="Y115" s="191">
        <v>0</v>
      </c>
      <c r="Z115" s="191">
        <v>0</v>
      </c>
      <c r="AA115" s="192">
        <v>0</v>
      </c>
      <c r="AB115" s="193">
        <v>0</v>
      </c>
      <c r="AC115" s="191">
        <v>0</v>
      </c>
      <c r="AD115" s="191">
        <v>0</v>
      </c>
      <c r="AE115" s="192">
        <v>0</v>
      </c>
      <c r="AF115" s="193">
        <v>0</v>
      </c>
      <c r="AG115" s="191">
        <v>0</v>
      </c>
      <c r="AH115" s="191">
        <v>0</v>
      </c>
      <c r="AI115" s="192">
        <v>0</v>
      </c>
      <c r="AJ115" s="193">
        <v>0</v>
      </c>
      <c r="AK115" s="191">
        <v>0</v>
      </c>
      <c r="AL115" s="191">
        <v>0</v>
      </c>
      <c r="AM115" s="192">
        <v>0</v>
      </c>
      <c r="AN115" s="193">
        <v>0</v>
      </c>
      <c r="AO115" s="191">
        <v>0</v>
      </c>
      <c r="AP115" s="191">
        <v>0</v>
      </c>
      <c r="AQ115" s="192">
        <v>0</v>
      </c>
      <c r="AR115" s="193">
        <v>0</v>
      </c>
      <c r="AS115" s="191">
        <v>0</v>
      </c>
      <c r="AT115" s="191">
        <v>0</v>
      </c>
      <c r="AU115" s="192">
        <v>0</v>
      </c>
      <c r="AV115" s="193">
        <v>3.8</v>
      </c>
      <c r="AW115" s="191">
        <v>10.4</v>
      </c>
      <c r="AX115" s="191">
        <v>17.8</v>
      </c>
      <c r="AY115" s="192">
        <v>26</v>
      </c>
      <c r="AZ115" s="193">
        <v>10</v>
      </c>
      <c r="BA115" s="191">
        <v>20</v>
      </c>
      <c r="BB115" s="191">
        <v>30</v>
      </c>
      <c r="BC115" s="192">
        <v>44</v>
      </c>
      <c r="BD115" s="193">
        <v>13</v>
      </c>
      <c r="BE115" s="191">
        <v>26</v>
      </c>
      <c r="BF115" s="191">
        <v>40</v>
      </c>
      <c r="BG115" s="192">
        <v>48</v>
      </c>
      <c r="BH115" s="193">
        <v>0</v>
      </c>
      <c r="BI115" s="191">
        <v>0</v>
      </c>
      <c r="BJ115" s="191">
        <v>0</v>
      </c>
      <c r="BK115" s="192">
        <v>0</v>
      </c>
      <c r="BL115" s="193">
        <v>31</v>
      </c>
      <c r="BM115" s="191">
        <v>53</v>
      </c>
      <c r="BN115" s="191">
        <v>73</v>
      </c>
      <c r="BO115" s="192">
        <v>93</v>
      </c>
      <c r="BP115" s="193">
        <v>19</v>
      </c>
      <c r="BQ115" s="191">
        <v>38</v>
      </c>
      <c r="BR115" s="191">
        <v>57</v>
      </c>
      <c r="BS115" s="192">
        <v>76</v>
      </c>
      <c r="BT115" s="193">
        <v>0</v>
      </c>
      <c r="BU115" s="191">
        <v>0</v>
      </c>
      <c r="BV115" s="191">
        <v>0</v>
      </c>
      <c r="BW115" s="192">
        <v>0</v>
      </c>
      <c r="BX115" s="193">
        <v>19</v>
      </c>
      <c r="BY115" s="191">
        <v>40</v>
      </c>
      <c r="BZ115" s="191">
        <v>61</v>
      </c>
      <c r="CA115" s="192">
        <v>91</v>
      </c>
      <c r="CB115" s="193">
        <v>22</v>
      </c>
      <c r="CC115" s="191">
        <v>49</v>
      </c>
      <c r="CD115" s="191">
        <v>81</v>
      </c>
      <c r="CE115" s="192">
        <v>115</v>
      </c>
      <c r="CF115" s="193">
        <v>35</v>
      </c>
      <c r="CG115" s="191">
        <v>84</v>
      </c>
      <c r="CH115" s="191">
        <v>127</v>
      </c>
      <c r="CI115" s="192">
        <v>168</v>
      </c>
      <c r="CJ115" s="193">
        <v>46</v>
      </c>
      <c r="CK115" s="191">
        <v>101</v>
      </c>
      <c r="CL115" s="191">
        <v>148</v>
      </c>
      <c r="CM115" s="192">
        <v>191</v>
      </c>
      <c r="CN115" s="193">
        <v>46</v>
      </c>
      <c r="CO115" s="191">
        <v>101</v>
      </c>
      <c r="CP115" s="191">
        <f>CO115</f>
        <v>101</v>
      </c>
      <c r="CQ115" s="192">
        <v>215</v>
      </c>
      <c r="CR115" s="193">
        <v>51</v>
      </c>
      <c r="CS115" s="188">
        <f t="shared" ref="CS115:CS121" si="919">CR115+CS11</f>
        <v>102</v>
      </c>
      <c r="CT115" s="188">
        <f t="shared" si="900"/>
        <v>153</v>
      </c>
      <c r="CU115" s="189">
        <f t="shared" si="901"/>
        <v>204</v>
      </c>
      <c r="CV115" s="190">
        <f t="shared" ref="CV115:CV131" si="920">CV11</f>
        <v>51</v>
      </c>
      <c r="CW115" s="188">
        <f t="shared" si="902"/>
        <v>102</v>
      </c>
      <c r="CX115" s="188">
        <f t="shared" si="903"/>
        <v>153</v>
      </c>
      <c r="CY115" s="189">
        <f t="shared" si="904"/>
        <v>204</v>
      </c>
      <c r="CZ115" s="190">
        <f t="shared" ref="CZ115:CZ131" si="921">CZ11</f>
        <v>51</v>
      </c>
      <c r="DA115" s="188">
        <f t="shared" si="905"/>
        <v>102</v>
      </c>
      <c r="DB115" s="188">
        <f t="shared" si="906"/>
        <v>153</v>
      </c>
      <c r="DC115" s="189">
        <f t="shared" si="907"/>
        <v>204</v>
      </c>
      <c r="DD115" s="153"/>
      <c r="DE115" s="188">
        <f t="shared" si="908"/>
        <v>0</v>
      </c>
      <c r="DF115" s="188">
        <f t="shared" si="908"/>
        <v>0</v>
      </c>
      <c r="DG115" s="188">
        <f t="shared" ref="DG115:DN115" si="922">DG11</f>
        <v>0</v>
      </c>
      <c r="DH115" s="188">
        <f t="shared" si="922"/>
        <v>0</v>
      </c>
      <c r="DI115" s="188">
        <f t="shared" si="922"/>
        <v>0</v>
      </c>
      <c r="DJ115" s="188">
        <f t="shared" si="922"/>
        <v>0</v>
      </c>
      <c r="DK115" s="188">
        <f t="shared" si="922"/>
        <v>0</v>
      </c>
      <c r="DL115" s="188">
        <f t="shared" si="922"/>
        <v>0</v>
      </c>
      <c r="DM115" s="188">
        <f t="shared" si="922"/>
        <v>0</v>
      </c>
      <c r="DN115" s="188">
        <f t="shared" si="922"/>
        <v>0</v>
      </c>
      <c r="DO115" s="188">
        <f t="shared" si="910"/>
        <v>0</v>
      </c>
      <c r="DP115" s="188">
        <f t="shared" si="910"/>
        <v>26</v>
      </c>
      <c r="DQ115" s="188">
        <f t="shared" si="910"/>
        <v>44</v>
      </c>
      <c r="DR115" s="188">
        <f t="shared" ref="DR115:EB115" si="923">DR11</f>
        <v>48</v>
      </c>
      <c r="DS115" s="188">
        <f t="shared" si="923"/>
        <v>0</v>
      </c>
      <c r="DT115" s="188">
        <f t="shared" si="923"/>
        <v>93</v>
      </c>
      <c r="DU115" s="188">
        <f t="shared" si="923"/>
        <v>76</v>
      </c>
      <c r="DV115" s="188">
        <f t="shared" si="923"/>
        <v>0</v>
      </c>
      <c r="DW115" s="188">
        <f t="shared" si="923"/>
        <v>91</v>
      </c>
      <c r="DX115" s="188">
        <f t="shared" si="923"/>
        <v>115</v>
      </c>
      <c r="DY115" s="188">
        <f t="shared" si="923"/>
        <v>168</v>
      </c>
      <c r="DZ115" s="188">
        <f t="shared" si="923"/>
        <v>191</v>
      </c>
      <c r="EA115" s="188">
        <f t="shared" si="923"/>
        <v>215</v>
      </c>
      <c r="EB115" s="188">
        <f t="shared" si="923"/>
        <v>204</v>
      </c>
      <c r="EC115" s="188">
        <f t="shared" ref="EC115:ED115" si="924">EC11</f>
        <v>204</v>
      </c>
      <c r="ED115" s="188">
        <f t="shared" si="924"/>
        <v>204</v>
      </c>
      <c r="EE115" s="18"/>
      <c r="EF115" s="337"/>
      <c r="EG115" s="338"/>
      <c r="EH115" s="338">
        <f t="shared" ref="EH115:EO115" si="925">EH11</f>
        <v>0</v>
      </c>
      <c r="EI115" s="338">
        <f t="shared" si="925"/>
        <v>0</v>
      </c>
      <c r="EJ115" s="338">
        <f t="shared" si="925"/>
        <v>0</v>
      </c>
      <c r="EK115" s="338">
        <f t="shared" si="925"/>
        <v>0</v>
      </c>
      <c r="EL115" s="338">
        <f t="shared" si="925"/>
        <v>0</v>
      </c>
      <c r="EM115" s="338">
        <f t="shared" si="925"/>
        <v>0</v>
      </c>
      <c r="EN115" s="338">
        <f t="shared" si="925"/>
        <v>0</v>
      </c>
      <c r="EO115" s="338">
        <f t="shared" si="925"/>
        <v>0</v>
      </c>
      <c r="EP115" s="338">
        <f t="shared" si="914"/>
        <v>3.8</v>
      </c>
      <c r="EQ115" s="338">
        <f t="shared" si="914"/>
        <v>32.200000000000003</v>
      </c>
      <c r="ER115" s="338">
        <f t="shared" ref="ER115:EX115" si="926">ER11</f>
        <v>47</v>
      </c>
      <c r="ES115" s="338">
        <f t="shared" si="926"/>
        <v>35</v>
      </c>
      <c r="ET115" s="338">
        <f t="shared" si="926"/>
        <v>31</v>
      </c>
      <c r="EU115" s="338">
        <f t="shared" si="926"/>
        <v>81</v>
      </c>
      <c r="EV115" s="338">
        <f t="shared" si="926"/>
        <v>57</v>
      </c>
      <c r="EW115" s="338">
        <f t="shared" si="926"/>
        <v>19</v>
      </c>
      <c r="EX115" s="338">
        <f t="shared" si="926"/>
        <v>94</v>
      </c>
      <c r="EY115" s="338">
        <f t="shared" si="916"/>
        <v>128</v>
      </c>
      <c r="EZ115" s="338">
        <f t="shared" ref="EZ115:FC115" si="927">EZ11</f>
        <v>179</v>
      </c>
      <c r="FA115" s="338">
        <f t="shared" si="927"/>
        <v>191</v>
      </c>
      <c r="FB115" s="338">
        <f t="shared" si="927"/>
        <v>220</v>
      </c>
      <c r="FC115" s="338">
        <f t="shared" si="927"/>
        <v>204</v>
      </c>
      <c r="FD115" s="339">
        <f t="shared" ref="FD115" si="928">FD11</f>
        <v>204</v>
      </c>
    </row>
    <row r="116" spans="1:160" ht="14.25" customHeight="1">
      <c r="A116" s="7"/>
      <c r="B116" s="48" t="s">
        <v>389</v>
      </c>
      <c r="C116" s="49"/>
      <c r="D116" s="193">
        <v>0</v>
      </c>
      <c r="E116" s="191">
        <v>0</v>
      </c>
      <c r="F116" s="191">
        <v>0</v>
      </c>
      <c r="G116" s="192">
        <v>0</v>
      </c>
      <c r="H116" s="193">
        <v>0</v>
      </c>
      <c r="I116" s="191">
        <v>0</v>
      </c>
      <c r="J116" s="191">
        <v>0</v>
      </c>
      <c r="K116" s="192">
        <v>0</v>
      </c>
      <c r="L116" s="193">
        <v>0</v>
      </c>
      <c r="M116" s="191">
        <v>0</v>
      </c>
      <c r="N116" s="191">
        <v>0</v>
      </c>
      <c r="O116" s="192">
        <v>0</v>
      </c>
      <c r="P116" s="193">
        <v>0</v>
      </c>
      <c r="Q116" s="191">
        <v>0</v>
      </c>
      <c r="R116" s="191">
        <v>0</v>
      </c>
      <c r="S116" s="192">
        <v>0</v>
      </c>
      <c r="T116" s="193">
        <v>0</v>
      </c>
      <c r="U116" s="191">
        <v>0</v>
      </c>
      <c r="V116" s="191">
        <v>0</v>
      </c>
      <c r="W116" s="192">
        <v>0</v>
      </c>
      <c r="X116" s="193">
        <v>0</v>
      </c>
      <c r="Y116" s="191">
        <v>0</v>
      </c>
      <c r="Z116" s="191">
        <v>0</v>
      </c>
      <c r="AA116" s="192">
        <v>0</v>
      </c>
      <c r="AB116" s="193">
        <v>0</v>
      </c>
      <c r="AC116" s="191">
        <v>0</v>
      </c>
      <c r="AD116" s="191">
        <v>0</v>
      </c>
      <c r="AE116" s="192">
        <v>0</v>
      </c>
      <c r="AF116" s="193">
        <v>0</v>
      </c>
      <c r="AG116" s="191">
        <v>0</v>
      </c>
      <c r="AH116" s="191">
        <v>0</v>
      </c>
      <c r="AI116" s="192">
        <v>0</v>
      </c>
      <c r="AJ116" s="193">
        <v>0</v>
      </c>
      <c r="AK116" s="191">
        <v>0</v>
      </c>
      <c r="AL116" s="191">
        <v>0</v>
      </c>
      <c r="AM116" s="192">
        <v>0</v>
      </c>
      <c r="AN116" s="193">
        <v>0</v>
      </c>
      <c r="AO116" s="191">
        <v>0</v>
      </c>
      <c r="AP116" s="191">
        <v>0</v>
      </c>
      <c r="AQ116" s="192">
        <v>0</v>
      </c>
      <c r="AR116" s="193">
        <v>0</v>
      </c>
      <c r="AS116" s="191">
        <v>0</v>
      </c>
      <c r="AT116" s="191">
        <v>0</v>
      </c>
      <c r="AU116" s="192">
        <v>0</v>
      </c>
      <c r="AV116" s="193">
        <v>0</v>
      </c>
      <c r="AW116" s="191">
        <v>0</v>
      </c>
      <c r="AX116" s="191">
        <v>0</v>
      </c>
      <c r="AY116" s="192">
        <v>0</v>
      </c>
      <c r="AZ116" s="193">
        <v>0</v>
      </c>
      <c r="BA116" s="191">
        <v>0</v>
      </c>
      <c r="BB116" s="191">
        <v>0</v>
      </c>
      <c r="BC116" s="192">
        <v>0</v>
      </c>
      <c r="BD116" s="193">
        <v>0</v>
      </c>
      <c r="BE116" s="191">
        <v>0</v>
      </c>
      <c r="BF116" s="191">
        <v>0</v>
      </c>
      <c r="BG116" s="192">
        <v>0</v>
      </c>
      <c r="BH116" s="193">
        <v>0</v>
      </c>
      <c r="BI116" s="191">
        <v>0</v>
      </c>
      <c r="BJ116" s="191">
        <v>0</v>
      </c>
      <c r="BK116" s="192">
        <v>0</v>
      </c>
      <c r="BL116" s="193">
        <v>0</v>
      </c>
      <c r="BM116" s="191">
        <v>0</v>
      </c>
      <c r="BN116" s="191">
        <v>0</v>
      </c>
      <c r="BO116" s="192">
        <v>0</v>
      </c>
      <c r="BP116" s="193">
        <v>0</v>
      </c>
      <c r="BQ116" s="191">
        <v>0</v>
      </c>
      <c r="BR116" s="191">
        <v>0</v>
      </c>
      <c r="BS116" s="192">
        <v>0</v>
      </c>
      <c r="BT116" s="193">
        <v>0</v>
      </c>
      <c r="BU116" s="191">
        <v>0</v>
      </c>
      <c r="BV116" s="191">
        <v>0</v>
      </c>
      <c r="BW116" s="192">
        <v>0</v>
      </c>
      <c r="BX116" s="193">
        <v>0</v>
      </c>
      <c r="BY116" s="191">
        <v>0</v>
      </c>
      <c r="BZ116" s="191">
        <v>0</v>
      </c>
      <c r="CA116" s="192">
        <v>0</v>
      </c>
      <c r="CB116" s="193">
        <v>0</v>
      </c>
      <c r="CC116" s="188">
        <v>0</v>
      </c>
      <c r="CD116" s="191">
        <v>0</v>
      </c>
      <c r="CE116" s="192">
        <v>0</v>
      </c>
      <c r="CF116" s="193">
        <v>0</v>
      </c>
      <c r="CG116" s="188">
        <v>0</v>
      </c>
      <c r="CH116" s="191">
        <v>0</v>
      </c>
      <c r="CI116" s="192">
        <v>0</v>
      </c>
      <c r="CJ116" s="193">
        <v>0</v>
      </c>
      <c r="CK116" s="188">
        <v>0</v>
      </c>
      <c r="CL116" s="191">
        <v>0</v>
      </c>
      <c r="CM116" s="192">
        <v>0</v>
      </c>
      <c r="CN116" s="193">
        <v>0</v>
      </c>
      <c r="CO116" s="188">
        <v>0</v>
      </c>
      <c r="CP116" s="191"/>
      <c r="CQ116" s="192">
        <v>0</v>
      </c>
      <c r="CR116" s="193">
        <v>0</v>
      </c>
      <c r="CS116" s="188">
        <f t="shared" si="919"/>
        <v>0</v>
      </c>
      <c r="CT116" s="188">
        <f t="shared" si="900"/>
        <v>0</v>
      </c>
      <c r="CU116" s="189">
        <f t="shared" si="901"/>
        <v>0</v>
      </c>
      <c r="CV116" s="190">
        <f t="shared" si="920"/>
        <v>0</v>
      </c>
      <c r="CW116" s="188">
        <f t="shared" si="902"/>
        <v>0</v>
      </c>
      <c r="CX116" s="188">
        <f t="shared" si="903"/>
        <v>0</v>
      </c>
      <c r="CY116" s="189">
        <f t="shared" si="904"/>
        <v>0</v>
      </c>
      <c r="CZ116" s="190">
        <f t="shared" si="921"/>
        <v>0</v>
      </c>
      <c r="DA116" s="188">
        <f t="shared" si="905"/>
        <v>0</v>
      </c>
      <c r="DB116" s="188">
        <f t="shared" si="906"/>
        <v>0</v>
      </c>
      <c r="DC116" s="189">
        <f t="shared" si="907"/>
        <v>0</v>
      </c>
      <c r="DD116" s="153"/>
      <c r="DE116" s="188">
        <f t="shared" si="908"/>
        <v>0</v>
      </c>
      <c r="DF116" s="188">
        <f t="shared" si="908"/>
        <v>0</v>
      </c>
      <c r="DG116" s="188">
        <f t="shared" ref="DG116:DN116" si="929">DG12</f>
        <v>0</v>
      </c>
      <c r="DH116" s="188">
        <f t="shared" si="929"/>
        <v>0</v>
      </c>
      <c r="DI116" s="188">
        <f t="shared" si="929"/>
        <v>0</v>
      </c>
      <c r="DJ116" s="188">
        <f t="shared" si="929"/>
        <v>0</v>
      </c>
      <c r="DK116" s="188">
        <f t="shared" si="929"/>
        <v>0</v>
      </c>
      <c r="DL116" s="188">
        <f t="shared" si="929"/>
        <v>0</v>
      </c>
      <c r="DM116" s="188">
        <f t="shared" si="929"/>
        <v>0</v>
      </c>
      <c r="DN116" s="188">
        <f t="shared" si="929"/>
        <v>0</v>
      </c>
      <c r="DO116" s="188">
        <f t="shared" si="910"/>
        <v>0</v>
      </c>
      <c r="DP116" s="188">
        <f t="shared" si="910"/>
        <v>0</v>
      </c>
      <c r="DQ116" s="188">
        <f t="shared" si="910"/>
        <v>0</v>
      </c>
      <c r="DR116" s="188">
        <f t="shared" ref="DR116:EB116" si="930">DR12</f>
        <v>0</v>
      </c>
      <c r="DS116" s="188">
        <f t="shared" si="930"/>
        <v>0</v>
      </c>
      <c r="DT116" s="188">
        <f t="shared" si="930"/>
        <v>0</v>
      </c>
      <c r="DU116" s="188">
        <f t="shared" si="930"/>
        <v>0</v>
      </c>
      <c r="DV116" s="188">
        <f t="shared" si="930"/>
        <v>0</v>
      </c>
      <c r="DW116" s="188">
        <f t="shared" si="930"/>
        <v>0</v>
      </c>
      <c r="DX116" s="188">
        <f t="shared" si="930"/>
        <v>0</v>
      </c>
      <c r="DY116" s="188">
        <f t="shared" si="930"/>
        <v>0</v>
      </c>
      <c r="DZ116" s="188">
        <f t="shared" si="930"/>
        <v>0</v>
      </c>
      <c r="EA116" s="188">
        <f t="shared" si="930"/>
        <v>0</v>
      </c>
      <c r="EB116" s="188">
        <f t="shared" si="930"/>
        <v>0</v>
      </c>
      <c r="EC116" s="188">
        <f>EC12</f>
        <v>0</v>
      </c>
      <c r="ED116" s="188">
        <f>ED12</f>
        <v>0</v>
      </c>
      <c r="EE116" s="18"/>
      <c r="EF116" s="337"/>
      <c r="EG116" s="338"/>
      <c r="EH116" s="338">
        <f t="shared" ref="EH116:EO116" si="931">EH12</f>
        <v>0</v>
      </c>
      <c r="EI116" s="338">
        <f t="shared" si="931"/>
        <v>0</v>
      </c>
      <c r="EJ116" s="338">
        <f t="shared" si="931"/>
        <v>0</v>
      </c>
      <c r="EK116" s="338">
        <f t="shared" si="931"/>
        <v>0</v>
      </c>
      <c r="EL116" s="338">
        <f t="shared" si="931"/>
        <v>0</v>
      </c>
      <c r="EM116" s="338">
        <f t="shared" si="931"/>
        <v>0</v>
      </c>
      <c r="EN116" s="338">
        <f t="shared" si="931"/>
        <v>0</v>
      </c>
      <c r="EO116" s="338">
        <f t="shared" si="931"/>
        <v>0</v>
      </c>
      <c r="EP116" s="338">
        <f t="shared" si="914"/>
        <v>0</v>
      </c>
      <c r="EQ116" s="338">
        <f t="shared" si="914"/>
        <v>0</v>
      </c>
      <c r="ER116" s="338">
        <f t="shared" ref="ER116:EX116" si="932">ER12</f>
        <v>0</v>
      </c>
      <c r="ES116" s="338">
        <f t="shared" si="932"/>
        <v>0</v>
      </c>
      <c r="ET116" s="338">
        <f t="shared" si="932"/>
        <v>0</v>
      </c>
      <c r="EU116" s="338">
        <f t="shared" si="932"/>
        <v>0</v>
      </c>
      <c r="EV116" s="338">
        <f t="shared" si="932"/>
        <v>0</v>
      </c>
      <c r="EW116" s="338">
        <f t="shared" si="932"/>
        <v>0</v>
      </c>
      <c r="EX116" s="338">
        <f t="shared" si="932"/>
        <v>0</v>
      </c>
      <c r="EY116" s="338">
        <f t="shared" si="916"/>
        <v>0</v>
      </c>
      <c r="EZ116" s="338">
        <f t="shared" ref="EZ116:FC116" si="933">EZ12</f>
        <v>0</v>
      </c>
      <c r="FA116" s="338">
        <f t="shared" si="933"/>
        <v>0</v>
      </c>
      <c r="FB116" s="338">
        <f t="shared" si="933"/>
        <v>0</v>
      </c>
      <c r="FC116" s="338">
        <f t="shared" si="933"/>
        <v>0</v>
      </c>
      <c r="FD116" s="339">
        <f t="shared" ref="FD116" si="934">FD12</f>
        <v>0</v>
      </c>
    </row>
    <row r="117" spans="1:160" ht="14.25" customHeight="1">
      <c r="A117" s="7"/>
      <c r="B117" s="48" t="s">
        <v>390</v>
      </c>
      <c r="C117" s="49"/>
      <c r="D117" s="193">
        <v>0</v>
      </c>
      <c r="E117" s="191">
        <v>0</v>
      </c>
      <c r="F117" s="191">
        <v>0</v>
      </c>
      <c r="G117" s="192">
        <v>0</v>
      </c>
      <c r="H117" s="193">
        <v>0</v>
      </c>
      <c r="I117" s="191">
        <v>0</v>
      </c>
      <c r="J117" s="191">
        <v>0</v>
      </c>
      <c r="K117" s="192">
        <v>0</v>
      </c>
      <c r="L117" s="193">
        <v>-10.1</v>
      </c>
      <c r="M117" s="191">
        <v>-214.3</v>
      </c>
      <c r="N117" s="191">
        <v>-214.2</v>
      </c>
      <c r="O117" s="192">
        <v>-215.8</v>
      </c>
      <c r="P117" s="193">
        <v>0</v>
      </c>
      <c r="Q117" s="191">
        <v>-157.69999999999999</v>
      </c>
      <c r="R117" s="191">
        <v>-157.9</v>
      </c>
      <c r="S117" s="192">
        <v>-157</v>
      </c>
      <c r="T117" s="193">
        <v>0</v>
      </c>
      <c r="U117" s="191">
        <v>0</v>
      </c>
      <c r="V117" s="191">
        <v>0</v>
      </c>
      <c r="W117" s="192">
        <v>0</v>
      </c>
      <c r="X117" s="193">
        <v>0</v>
      </c>
      <c r="Y117" s="191">
        <v>0</v>
      </c>
      <c r="Z117" s="191">
        <v>0</v>
      </c>
      <c r="AA117" s="192">
        <v>10.7</v>
      </c>
      <c r="AB117" s="193">
        <v>0.1</v>
      </c>
      <c r="AC117" s="191">
        <v>-0.1</v>
      </c>
      <c r="AD117" s="191">
        <v>-0.3</v>
      </c>
      <c r="AE117" s="192">
        <f>-0.5+186.5+48.3</f>
        <v>234.3</v>
      </c>
      <c r="AF117" s="193">
        <v>7.4</v>
      </c>
      <c r="AG117" s="191">
        <v>9.6</v>
      </c>
      <c r="AH117" s="191">
        <v>9.6999999999999993</v>
      </c>
      <c r="AI117" s="192">
        <v>11.5</v>
      </c>
      <c r="AJ117" s="193">
        <v>0.4</v>
      </c>
      <c r="AK117" s="191">
        <v>-0.7</v>
      </c>
      <c r="AL117" s="191">
        <v>-0.6</v>
      </c>
      <c r="AM117" s="192">
        <v>-0.6</v>
      </c>
      <c r="AN117" s="193">
        <v>0.4</v>
      </c>
      <c r="AO117" s="191">
        <v>0.5</v>
      </c>
      <c r="AP117" s="191">
        <v>0.6</v>
      </c>
      <c r="AQ117" s="192">
        <v>0.6</v>
      </c>
      <c r="AR117" s="193">
        <v>0.6</v>
      </c>
      <c r="AS117" s="191">
        <v>0.7</v>
      </c>
      <c r="AT117" s="191">
        <v>0.8</v>
      </c>
      <c r="AU117" s="192">
        <v>0.8</v>
      </c>
      <c r="AV117" s="193">
        <v>0.2</v>
      </c>
      <c r="AW117" s="191">
        <v>0.2</v>
      </c>
      <c r="AX117" s="191">
        <v>-0.3</v>
      </c>
      <c r="AY117" s="192">
        <v>0</v>
      </c>
      <c r="AZ117" s="193">
        <v>-30</v>
      </c>
      <c r="BA117" s="191">
        <v>-30</v>
      </c>
      <c r="BB117" s="191">
        <v>0</v>
      </c>
      <c r="BC117" s="192">
        <v>-30</v>
      </c>
      <c r="BD117" s="193">
        <v>0</v>
      </c>
      <c r="BE117" s="191">
        <v>0</v>
      </c>
      <c r="BF117" s="191">
        <v>0</v>
      </c>
      <c r="BG117" s="192">
        <v>0</v>
      </c>
      <c r="BH117" s="193">
        <v>0</v>
      </c>
      <c r="BI117" s="191">
        <v>0</v>
      </c>
      <c r="BJ117" s="191">
        <v>0</v>
      </c>
      <c r="BK117" s="192">
        <v>0</v>
      </c>
      <c r="BL117" s="193">
        <v>17</v>
      </c>
      <c r="BM117" s="191">
        <v>4</v>
      </c>
      <c r="BN117" s="191">
        <v>23</v>
      </c>
      <c r="BO117" s="192">
        <v>39</v>
      </c>
      <c r="BP117" s="193">
        <v>26</v>
      </c>
      <c r="BQ117" s="191">
        <v>74</v>
      </c>
      <c r="BR117" s="191">
        <v>118</v>
      </c>
      <c r="BS117" s="192">
        <v>158</v>
      </c>
      <c r="BT117" s="193">
        <v>74</v>
      </c>
      <c r="BU117" s="191">
        <v>147</v>
      </c>
      <c r="BV117" s="191">
        <v>262</v>
      </c>
      <c r="BW117" s="192">
        <v>294</v>
      </c>
      <c r="BX117" s="193">
        <v>52</v>
      </c>
      <c r="BY117" s="191">
        <v>110</v>
      </c>
      <c r="BZ117" s="191">
        <v>120</v>
      </c>
      <c r="CA117" s="192">
        <v>83</v>
      </c>
      <c r="CB117" s="193">
        <v>-86</v>
      </c>
      <c r="CC117" s="191">
        <v>-220</v>
      </c>
      <c r="CD117" s="191">
        <v>-355</v>
      </c>
      <c r="CE117" s="192">
        <v>-474</v>
      </c>
      <c r="CF117" s="193">
        <v>-124</v>
      </c>
      <c r="CG117" s="191">
        <v>-332</v>
      </c>
      <c r="CH117" s="191">
        <v>-400</v>
      </c>
      <c r="CI117" s="192">
        <v>-447</v>
      </c>
      <c r="CJ117" s="193">
        <v>-59</v>
      </c>
      <c r="CK117" s="191">
        <v>-64</v>
      </c>
      <c r="CL117" s="191">
        <v>-24</v>
      </c>
      <c r="CM117" s="192">
        <v>-25</v>
      </c>
      <c r="CN117" s="193">
        <v>2</v>
      </c>
      <c r="CO117" s="191">
        <v>-5</v>
      </c>
      <c r="CP117" s="191">
        <f>CO117</f>
        <v>-5</v>
      </c>
      <c r="CQ117" s="192">
        <v>-8</v>
      </c>
      <c r="CR117" s="193">
        <v>0</v>
      </c>
      <c r="CS117" s="188">
        <f t="shared" si="919"/>
        <v>-1</v>
      </c>
      <c r="CT117" s="188">
        <f t="shared" si="900"/>
        <v>-1</v>
      </c>
      <c r="CU117" s="189">
        <f t="shared" si="901"/>
        <v>-1</v>
      </c>
      <c r="CV117" s="190">
        <f t="shared" si="920"/>
        <v>0</v>
      </c>
      <c r="CW117" s="188">
        <f t="shared" si="902"/>
        <v>0</v>
      </c>
      <c r="CX117" s="188">
        <f t="shared" si="903"/>
        <v>0</v>
      </c>
      <c r="CY117" s="189">
        <f t="shared" si="904"/>
        <v>0</v>
      </c>
      <c r="CZ117" s="190">
        <f t="shared" si="921"/>
        <v>0</v>
      </c>
      <c r="DA117" s="188">
        <f t="shared" si="905"/>
        <v>0</v>
      </c>
      <c r="DB117" s="188">
        <f t="shared" si="906"/>
        <v>0</v>
      </c>
      <c r="DC117" s="189">
        <f t="shared" si="907"/>
        <v>0</v>
      </c>
      <c r="DD117" s="153"/>
      <c r="DE117" s="188">
        <f t="shared" si="908"/>
        <v>0</v>
      </c>
      <c r="DF117" s="188">
        <f t="shared" si="908"/>
        <v>0</v>
      </c>
      <c r="DG117" s="188">
        <f>DG13</f>
        <v>-215.8</v>
      </c>
      <c r="DH117" s="188">
        <f t="shared" ref="DH117:DN117" si="935">DH13</f>
        <v>-157</v>
      </c>
      <c r="DI117" s="188">
        <f t="shared" si="935"/>
        <v>0</v>
      </c>
      <c r="DJ117" s="188">
        <f t="shared" si="935"/>
        <v>10.7</v>
      </c>
      <c r="DK117" s="188">
        <f t="shared" si="935"/>
        <v>234.29999999999998</v>
      </c>
      <c r="DL117" s="188">
        <f t="shared" si="935"/>
        <v>11.5</v>
      </c>
      <c r="DM117" s="188">
        <f t="shared" si="935"/>
        <v>-0.6</v>
      </c>
      <c r="DN117" s="188">
        <f t="shared" si="935"/>
        <v>0.6</v>
      </c>
      <c r="DO117" s="188">
        <f t="shared" si="910"/>
        <v>0.8</v>
      </c>
      <c r="DP117" s="188">
        <f t="shared" si="910"/>
        <v>0</v>
      </c>
      <c r="DQ117" s="188">
        <f t="shared" si="910"/>
        <v>-30</v>
      </c>
      <c r="DR117" s="188">
        <f t="shared" ref="DR117:EB117" si="936">DR13</f>
        <v>0</v>
      </c>
      <c r="DS117" s="188">
        <f t="shared" si="936"/>
        <v>0</v>
      </c>
      <c r="DT117" s="188">
        <f t="shared" si="936"/>
        <v>39</v>
      </c>
      <c r="DU117" s="188">
        <f t="shared" si="936"/>
        <v>158</v>
      </c>
      <c r="DV117" s="188">
        <f t="shared" si="936"/>
        <v>294</v>
      </c>
      <c r="DW117" s="188">
        <f t="shared" si="936"/>
        <v>83</v>
      </c>
      <c r="DX117" s="188">
        <f t="shared" si="936"/>
        <v>-474</v>
      </c>
      <c r="DY117" s="188">
        <f t="shared" si="936"/>
        <v>-447</v>
      </c>
      <c r="DZ117" s="188">
        <f t="shared" si="936"/>
        <v>-25</v>
      </c>
      <c r="EA117" s="188">
        <f t="shared" si="936"/>
        <v>-8</v>
      </c>
      <c r="EB117" s="188">
        <f t="shared" si="936"/>
        <v>-1</v>
      </c>
      <c r="EC117" s="188">
        <f t="shared" ref="EC117:ED117" si="937">EC13</f>
        <v>0</v>
      </c>
      <c r="ED117" s="188">
        <f t="shared" si="937"/>
        <v>0</v>
      </c>
      <c r="EE117" s="18"/>
      <c r="EF117" s="337"/>
      <c r="EG117" s="338"/>
      <c r="EH117" s="338">
        <f t="shared" ref="EH117:EO117" si="938">EH13</f>
        <v>-205.70000000000002</v>
      </c>
      <c r="EI117" s="338">
        <f t="shared" si="938"/>
        <v>-157</v>
      </c>
      <c r="EJ117" s="338">
        <f t="shared" si="938"/>
        <v>0</v>
      </c>
      <c r="EK117" s="338">
        <f t="shared" si="938"/>
        <v>10.799999999999999</v>
      </c>
      <c r="EL117" s="338">
        <f t="shared" si="938"/>
        <v>241.6</v>
      </c>
      <c r="EM117" s="338">
        <f t="shared" si="938"/>
        <v>4.5</v>
      </c>
      <c r="EN117" s="338">
        <f t="shared" si="938"/>
        <v>-0.6</v>
      </c>
      <c r="EO117" s="338">
        <f t="shared" si="938"/>
        <v>0.79999999999999993</v>
      </c>
      <c r="EP117" s="338">
        <f t="shared" ref="EP117:EX117" si="939">EP13</f>
        <v>0.40000000000000008</v>
      </c>
      <c r="EQ117" s="338">
        <f t="shared" si="939"/>
        <v>-30.2</v>
      </c>
      <c r="ER117" s="338">
        <f t="shared" si="939"/>
        <v>0</v>
      </c>
      <c r="ES117" s="338">
        <f t="shared" si="939"/>
        <v>0</v>
      </c>
      <c r="ET117" s="338">
        <f t="shared" si="939"/>
        <v>17</v>
      </c>
      <c r="EU117" s="338">
        <f t="shared" si="939"/>
        <v>48</v>
      </c>
      <c r="EV117" s="338">
        <f t="shared" si="939"/>
        <v>206</v>
      </c>
      <c r="EW117" s="338">
        <f t="shared" si="939"/>
        <v>272</v>
      </c>
      <c r="EX117" s="338">
        <f t="shared" si="939"/>
        <v>-55</v>
      </c>
      <c r="EY117" s="338">
        <f t="shared" si="916"/>
        <v>-512</v>
      </c>
      <c r="EZ117" s="338">
        <f t="shared" ref="EZ117:FC117" si="940">EZ13</f>
        <v>-382</v>
      </c>
      <c r="FA117" s="338">
        <f t="shared" si="940"/>
        <v>36</v>
      </c>
      <c r="FB117" s="338">
        <f t="shared" si="940"/>
        <v>-10</v>
      </c>
      <c r="FC117" s="338">
        <f t="shared" si="940"/>
        <v>-1</v>
      </c>
      <c r="FD117" s="339">
        <f t="shared" ref="FD117" si="941">FD13</f>
        <v>0</v>
      </c>
    </row>
    <row r="118" spans="1:160" ht="14.25" customHeight="1">
      <c r="A118" s="7"/>
      <c r="B118" s="48" t="s">
        <v>388</v>
      </c>
      <c r="C118" s="49"/>
      <c r="D118" s="193">
        <v>0</v>
      </c>
      <c r="E118" s="191">
        <v>0</v>
      </c>
      <c r="F118" s="191">
        <v>0</v>
      </c>
      <c r="G118" s="192">
        <v>0</v>
      </c>
      <c r="H118" s="193">
        <v>0</v>
      </c>
      <c r="I118" s="191">
        <v>0</v>
      </c>
      <c r="J118" s="191">
        <v>0</v>
      </c>
      <c r="K118" s="192">
        <v>0</v>
      </c>
      <c r="L118" s="193">
        <v>0</v>
      </c>
      <c r="M118" s="191">
        <v>0</v>
      </c>
      <c r="N118" s="191">
        <v>0</v>
      </c>
      <c r="O118" s="192">
        <v>0</v>
      </c>
      <c r="P118" s="193">
        <v>0</v>
      </c>
      <c r="Q118" s="191">
        <v>0</v>
      </c>
      <c r="R118" s="191">
        <v>0</v>
      </c>
      <c r="S118" s="192">
        <v>0</v>
      </c>
      <c r="T118" s="193">
        <v>0</v>
      </c>
      <c r="U118" s="191">
        <v>0</v>
      </c>
      <c r="V118" s="191">
        <v>0</v>
      </c>
      <c r="W118" s="192">
        <v>0</v>
      </c>
      <c r="X118" s="193">
        <v>0</v>
      </c>
      <c r="Y118" s="191">
        <v>0</v>
      </c>
      <c r="Z118" s="191">
        <v>0</v>
      </c>
      <c r="AA118" s="192">
        <v>0</v>
      </c>
      <c r="AB118" s="193">
        <v>0</v>
      </c>
      <c r="AC118" s="191">
        <v>0</v>
      </c>
      <c r="AD118" s="191">
        <v>0</v>
      </c>
      <c r="AE118" s="192">
        <v>0</v>
      </c>
      <c r="AF118" s="193">
        <v>0</v>
      </c>
      <c r="AG118" s="191">
        <v>0</v>
      </c>
      <c r="AH118" s="191">
        <v>0</v>
      </c>
      <c r="AI118" s="192">
        <v>0</v>
      </c>
      <c r="AJ118" s="193">
        <v>90.8</v>
      </c>
      <c r="AK118" s="191">
        <v>288.2</v>
      </c>
      <c r="AL118" s="191">
        <v>302.8</v>
      </c>
      <c r="AM118" s="192">
        <v>307</v>
      </c>
      <c r="AN118" s="193">
        <v>0</v>
      </c>
      <c r="AO118" s="191">
        <v>0</v>
      </c>
      <c r="AP118" s="191">
        <v>0</v>
      </c>
      <c r="AQ118" s="192">
        <v>0</v>
      </c>
      <c r="AR118" s="193">
        <v>0</v>
      </c>
      <c r="AS118" s="191">
        <v>0</v>
      </c>
      <c r="AT118" s="191">
        <v>0</v>
      </c>
      <c r="AU118" s="192">
        <v>0</v>
      </c>
      <c r="AV118" s="193">
        <v>0</v>
      </c>
      <c r="AW118" s="191">
        <v>0</v>
      </c>
      <c r="AX118" s="191">
        <v>0</v>
      </c>
      <c r="AY118" s="192">
        <v>0</v>
      </c>
      <c r="AZ118" s="193">
        <v>0</v>
      </c>
      <c r="BA118" s="191">
        <v>0</v>
      </c>
      <c r="BB118" s="191">
        <v>0</v>
      </c>
      <c r="BC118" s="192">
        <v>0</v>
      </c>
      <c r="BD118" s="193">
        <v>62</v>
      </c>
      <c r="BE118" s="191">
        <v>77</v>
      </c>
      <c r="BF118" s="191">
        <v>77</v>
      </c>
      <c r="BG118" s="192">
        <v>282</v>
      </c>
      <c r="BH118" s="193">
        <v>369</v>
      </c>
      <c r="BI118" s="191">
        <v>603</v>
      </c>
      <c r="BJ118" s="191">
        <v>603</v>
      </c>
      <c r="BK118" s="192">
        <v>603</v>
      </c>
      <c r="BL118" s="193">
        <v>0</v>
      </c>
      <c r="BM118" s="191">
        <v>0</v>
      </c>
      <c r="BN118" s="191">
        <v>0</v>
      </c>
      <c r="BO118" s="192">
        <v>0</v>
      </c>
      <c r="BP118" s="193">
        <v>0</v>
      </c>
      <c r="BQ118" s="191">
        <v>0</v>
      </c>
      <c r="BR118" s="191">
        <v>0</v>
      </c>
      <c r="BS118" s="192">
        <v>0</v>
      </c>
      <c r="BT118" s="193">
        <v>0</v>
      </c>
      <c r="BU118" s="191">
        <v>0</v>
      </c>
      <c r="BV118" s="191">
        <v>0</v>
      </c>
      <c r="BW118" s="192">
        <v>0</v>
      </c>
      <c r="BX118" s="193">
        <v>0</v>
      </c>
      <c r="BY118" s="191">
        <v>0</v>
      </c>
      <c r="BZ118" s="191">
        <v>0</v>
      </c>
      <c r="CA118" s="192">
        <v>0</v>
      </c>
      <c r="CB118" s="193">
        <v>0</v>
      </c>
      <c r="CC118" s="188">
        <v>0</v>
      </c>
      <c r="CD118" s="191">
        <v>0</v>
      </c>
      <c r="CE118" s="192">
        <v>0</v>
      </c>
      <c r="CF118" s="193">
        <v>0</v>
      </c>
      <c r="CG118" s="191">
        <v>0</v>
      </c>
      <c r="CH118" s="191">
        <v>0</v>
      </c>
      <c r="CI118" s="192">
        <v>0</v>
      </c>
      <c r="CJ118" s="193">
        <v>0</v>
      </c>
      <c r="CK118" s="191">
        <v>0</v>
      </c>
      <c r="CL118" s="191">
        <v>0</v>
      </c>
      <c r="CM118" s="192">
        <v>0</v>
      </c>
      <c r="CN118" s="193">
        <v>0</v>
      </c>
      <c r="CO118" s="191">
        <v>0</v>
      </c>
      <c r="CP118" s="191"/>
      <c r="CQ118" s="192">
        <v>0</v>
      </c>
      <c r="CR118" s="193">
        <v>0</v>
      </c>
      <c r="CS118" s="188">
        <f t="shared" si="919"/>
        <v>0</v>
      </c>
      <c r="CT118" s="188">
        <f t="shared" si="900"/>
        <v>0</v>
      </c>
      <c r="CU118" s="189">
        <f t="shared" si="901"/>
        <v>0</v>
      </c>
      <c r="CV118" s="190">
        <f t="shared" si="920"/>
        <v>0</v>
      </c>
      <c r="CW118" s="188">
        <f t="shared" si="902"/>
        <v>0</v>
      </c>
      <c r="CX118" s="188">
        <f t="shared" si="903"/>
        <v>0</v>
      </c>
      <c r="CY118" s="189">
        <f t="shared" si="904"/>
        <v>0</v>
      </c>
      <c r="CZ118" s="190">
        <f t="shared" si="921"/>
        <v>0</v>
      </c>
      <c r="DA118" s="188">
        <f t="shared" si="905"/>
        <v>0</v>
      </c>
      <c r="DB118" s="188">
        <f t="shared" si="906"/>
        <v>0</v>
      </c>
      <c r="DC118" s="189">
        <f t="shared" si="907"/>
        <v>0</v>
      </c>
      <c r="DD118" s="153"/>
      <c r="DE118" s="188">
        <f t="shared" si="908"/>
        <v>0</v>
      </c>
      <c r="DF118" s="188">
        <f t="shared" si="908"/>
        <v>0</v>
      </c>
      <c r="DG118" s="188">
        <f>DG14</f>
        <v>0</v>
      </c>
      <c r="DH118" s="188">
        <f t="shared" ref="DH118:DN118" si="942">DH14</f>
        <v>0</v>
      </c>
      <c r="DI118" s="188">
        <f t="shared" si="942"/>
        <v>0</v>
      </c>
      <c r="DJ118" s="188">
        <f t="shared" si="942"/>
        <v>0</v>
      </c>
      <c r="DK118" s="188">
        <f t="shared" si="942"/>
        <v>0</v>
      </c>
      <c r="DL118" s="188">
        <f t="shared" si="942"/>
        <v>0</v>
      </c>
      <c r="DM118" s="188">
        <f t="shared" si="942"/>
        <v>307</v>
      </c>
      <c r="DN118" s="188">
        <f t="shared" si="942"/>
        <v>0</v>
      </c>
      <c r="DO118" s="188">
        <f t="shared" si="910"/>
        <v>0</v>
      </c>
      <c r="DP118" s="188">
        <f t="shared" si="910"/>
        <v>0</v>
      </c>
      <c r="DQ118" s="188">
        <f t="shared" si="910"/>
        <v>0</v>
      </c>
      <c r="DR118" s="188">
        <f t="shared" ref="DR118:EB118" si="943">DR14</f>
        <v>282</v>
      </c>
      <c r="DS118" s="188">
        <f t="shared" si="943"/>
        <v>603</v>
      </c>
      <c r="DT118" s="188">
        <f t="shared" si="943"/>
        <v>0</v>
      </c>
      <c r="DU118" s="188">
        <f t="shared" si="943"/>
        <v>0</v>
      </c>
      <c r="DV118" s="188">
        <f t="shared" si="943"/>
        <v>0</v>
      </c>
      <c r="DW118" s="188">
        <f t="shared" si="943"/>
        <v>0</v>
      </c>
      <c r="DX118" s="188">
        <f t="shared" si="943"/>
        <v>0</v>
      </c>
      <c r="DY118" s="188">
        <f t="shared" si="943"/>
        <v>0</v>
      </c>
      <c r="DZ118" s="188">
        <f t="shared" si="943"/>
        <v>0</v>
      </c>
      <c r="EA118" s="188">
        <f t="shared" si="943"/>
        <v>0</v>
      </c>
      <c r="EB118" s="188">
        <f t="shared" si="943"/>
        <v>0</v>
      </c>
      <c r="EC118" s="188">
        <f t="shared" ref="EC118:ED118" si="944">EC14</f>
        <v>0</v>
      </c>
      <c r="ED118" s="188">
        <f t="shared" si="944"/>
        <v>0</v>
      </c>
      <c r="EE118" s="18"/>
      <c r="EF118" s="337"/>
      <c r="EG118" s="338"/>
      <c r="EH118" s="338">
        <f t="shared" ref="EH118:EO118" si="945">EH14</f>
        <v>0</v>
      </c>
      <c r="EI118" s="338">
        <f t="shared" si="945"/>
        <v>0</v>
      </c>
      <c r="EJ118" s="338">
        <f t="shared" si="945"/>
        <v>0</v>
      </c>
      <c r="EK118" s="338">
        <f t="shared" si="945"/>
        <v>0</v>
      </c>
      <c r="EL118" s="338">
        <f t="shared" si="945"/>
        <v>0</v>
      </c>
      <c r="EM118" s="338">
        <f t="shared" si="945"/>
        <v>90.8</v>
      </c>
      <c r="EN118" s="338">
        <f t="shared" si="945"/>
        <v>216.2</v>
      </c>
      <c r="EO118" s="338">
        <f t="shared" si="945"/>
        <v>0</v>
      </c>
      <c r="EP118" s="338">
        <f t="shared" ref="EP118:EX118" si="946">EP14</f>
        <v>0</v>
      </c>
      <c r="EQ118" s="338">
        <f t="shared" si="946"/>
        <v>0</v>
      </c>
      <c r="ER118" s="338">
        <f t="shared" si="946"/>
        <v>62</v>
      </c>
      <c r="ES118" s="338">
        <f t="shared" si="946"/>
        <v>589</v>
      </c>
      <c r="ET118" s="338">
        <f t="shared" si="946"/>
        <v>234</v>
      </c>
      <c r="EU118" s="338">
        <f t="shared" si="946"/>
        <v>0</v>
      </c>
      <c r="EV118" s="338">
        <f t="shared" si="946"/>
        <v>0</v>
      </c>
      <c r="EW118" s="338">
        <f t="shared" si="946"/>
        <v>0</v>
      </c>
      <c r="EX118" s="338">
        <f t="shared" si="946"/>
        <v>0</v>
      </c>
      <c r="EY118" s="338">
        <f t="shared" si="916"/>
        <v>0</v>
      </c>
      <c r="EZ118" s="338">
        <f t="shared" ref="EZ118:FC118" si="947">EZ14</f>
        <v>0</v>
      </c>
      <c r="FA118" s="338">
        <f t="shared" si="947"/>
        <v>0</v>
      </c>
      <c r="FB118" s="338">
        <f t="shared" si="947"/>
        <v>0</v>
      </c>
      <c r="FC118" s="338">
        <f t="shared" si="947"/>
        <v>0</v>
      </c>
      <c r="FD118" s="339">
        <f t="shared" ref="FD118" si="948">FD14</f>
        <v>0</v>
      </c>
    </row>
    <row r="119" spans="1:160" ht="14.25" customHeight="1">
      <c r="A119" s="7"/>
      <c r="B119" s="48" t="s">
        <v>387</v>
      </c>
      <c r="C119" s="49"/>
      <c r="D119" s="193">
        <v>0</v>
      </c>
      <c r="E119" s="191">
        <v>0</v>
      </c>
      <c r="F119" s="191">
        <v>0</v>
      </c>
      <c r="G119" s="192">
        <v>0</v>
      </c>
      <c r="H119" s="193">
        <v>0</v>
      </c>
      <c r="I119" s="191">
        <v>0</v>
      </c>
      <c r="J119" s="191">
        <v>0</v>
      </c>
      <c r="K119" s="192">
        <v>0</v>
      </c>
      <c r="L119" s="193">
        <v>0</v>
      </c>
      <c r="M119" s="191">
        <v>0</v>
      </c>
      <c r="N119" s="191">
        <v>0</v>
      </c>
      <c r="O119" s="192">
        <v>0</v>
      </c>
      <c r="P119" s="193">
        <v>0</v>
      </c>
      <c r="Q119" s="191">
        <v>0</v>
      </c>
      <c r="R119" s="191">
        <v>0</v>
      </c>
      <c r="S119" s="192">
        <v>0</v>
      </c>
      <c r="T119" s="193">
        <v>0</v>
      </c>
      <c r="U119" s="191">
        <v>0</v>
      </c>
      <c r="V119" s="191">
        <v>0</v>
      </c>
      <c r="W119" s="192">
        <v>0</v>
      </c>
      <c r="X119" s="193">
        <v>0</v>
      </c>
      <c r="Y119" s="191">
        <v>0</v>
      </c>
      <c r="Z119" s="191">
        <v>0</v>
      </c>
      <c r="AA119" s="192">
        <v>0</v>
      </c>
      <c r="AB119" s="193">
        <v>-6</v>
      </c>
      <c r="AC119" s="191">
        <v>-12.9</v>
      </c>
      <c r="AD119" s="191">
        <v>9.8000000000000007</v>
      </c>
      <c r="AE119" s="192">
        <v>23.4</v>
      </c>
      <c r="AF119" s="193">
        <v>10.7</v>
      </c>
      <c r="AG119" s="191">
        <v>17.100000000000001</v>
      </c>
      <c r="AH119" s="191">
        <v>10.5</v>
      </c>
      <c r="AI119" s="192">
        <v>28.4</v>
      </c>
      <c r="AJ119" s="193">
        <v>6.7</v>
      </c>
      <c r="AK119" s="191">
        <v>11.6</v>
      </c>
      <c r="AL119" s="191">
        <v>22.4</v>
      </c>
      <c r="AM119" s="192">
        <v>48.4</v>
      </c>
      <c r="AN119" s="193">
        <v>-3.1</v>
      </c>
      <c r="AO119" s="191">
        <v>-8</v>
      </c>
      <c r="AP119" s="191">
        <v>-3.6</v>
      </c>
      <c r="AQ119" s="192">
        <v>-3.9</v>
      </c>
      <c r="AR119" s="193">
        <v>5.2</v>
      </c>
      <c r="AS119" s="191">
        <v>1.4</v>
      </c>
      <c r="AT119" s="191">
        <v>-13.1</v>
      </c>
      <c r="AU119" s="192">
        <v>-12.7</v>
      </c>
      <c r="AV119" s="193">
        <v>-0.2</v>
      </c>
      <c r="AW119" s="191">
        <v>9</v>
      </c>
      <c r="AX119" s="191">
        <v>4.7</v>
      </c>
      <c r="AY119" s="192">
        <v>0</v>
      </c>
      <c r="AZ119" s="193">
        <v>-5</v>
      </c>
      <c r="BA119" s="191">
        <v>-10</v>
      </c>
      <c r="BB119" s="191">
        <v>-25</v>
      </c>
      <c r="BC119" s="192">
        <v>-43</v>
      </c>
      <c r="BD119" s="193">
        <v>-10</v>
      </c>
      <c r="BE119" s="191">
        <v>-57</v>
      </c>
      <c r="BF119" s="191">
        <v>-70</v>
      </c>
      <c r="BG119" s="192">
        <v>-66</v>
      </c>
      <c r="BH119" s="193">
        <v>14</v>
      </c>
      <c r="BI119" s="191">
        <v>43</v>
      </c>
      <c r="BJ119" s="191">
        <v>55</v>
      </c>
      <c r="BK119" s="192">
        <v>54</v>
      </c>
      <c r="BL119" s="193">
        <v>0</v>
      </c>
      <c r="BM119" s="191">
        <v>0</v>
      </c>
      <c r="BN119" s="191">
        <v>0</v>
      </c>
      <c r="BO119" s="192">
        <v>0</v>
      </c>
      <c r="BP119" s="193">
        <v>0</v>
      </c>
      <c r="BQ119" s="191">
        <v>0</v>
      </c>
      <c r="BR119" s="191">
        <v>0</v>
      </c>
      <c r="BS119" s="192">
        <v>0</v>
      </c>
      <c r="BT119" s="193">
        <v>0</v>
      </c>
      <c r="BU119" s="191">
        <v>0</v>
      </c>
      <c r="BV119" s="191">
        <v>0</v>
      </c>
      <c r="BW119" s="192">
        <v>0</v>
      </c>
      <c r="BX119" s="193">
        <v>0</v>
      </c>
      <c r="BY119" s="191">
        <v>0</v>
      </c>
      <c r="BZ119" s="191">
        <v>0</v>
      </c>
      <c r="CA119" s="192">
        <v>0</v>
      </c>
      <c r="CB119" s="193">
        <v>0</v>
      </c>
      <c r="CC119" s="188">
        <v>0</v>
      </c>
      <c r="CD119" s="191">
        <v>33</v>
      </c>
      <c r="CE119" s="192">
        <v>33</v>
      </c>
      <c r="CF119" s="193">
        <v>0</v>
      </c>
      <c r="CG119" s="191">
        <v>0</v>
      </c>
      <c r="CH119" s="191">
        <v>0</v>
      </c>
      <c r="CI119" s="192">
        <v>0</v>
      </c>
      <c r="CJ119" s="193">
        <v>0</v>
      </c>
      <c r="CK119" s="191">
        <v>0</v>
      </c>
      <c r="CL119" s="191">
        <v>0</v>
      </c>
      <c r="CM119" s="192">
        <v>0</v>
      </c>
      <c r="CN119" s="193">
        <v>0</v>
      </c>
      <c r="CO119" s="191">
        <v>0</v>
      </c>
      <c r="CP119" s="191"/>
      <c r="CQ119" s="192">
        <v>0</v>
      </c>
      <c r="CR119" s="193">
        <v>0</v>
      </c>
      <c r="CS119" s="188">
        <f t="shared" si="919"/>
        <v>0</v>
      </c>
      <c r="CT119" s="188">
        <f t="shared" si="900"/>
        <v>0</v>
      </c>
      <c r="CU119" s="189">
        <f t="shared" si="901"/>
        <v>0</v>
      </c>
      <c r="CV119" s="190">
        <f t="shared" si="920"/>
        <v>0</v>
      </c>
      <c r="CW119" s="188">
        <f t="shared" si="902"/>
        <v>0</v>
      </c>
      <c r="CX119" s="188">
        <f t="shared" si="903"/>
        <v>0</v>
      </c>
      <c r="CY119" s="189">
        <f t="shared" si="904"/>
        <v>0</v>
      </c>
      <c r="CZ119" s="190">
        <f t="shared" si="921"/>
        <v>0</v>
      </c>
      <c r="DA119" s="188">
        <f t="shared" si="905"/>
        <v>0</v>
      </c>
      <c r="DB119" s="188">
        <f t="shared" si="906"/>
        <v>0</v>
      </c>
      <c r="DC119" s="189">
        <f t="shared" si="907"/>
        <v>0</v>
      </c>
      <c r="DD119" s="153"/>
      <c r="DE119" s="188">
        <f t="shared" si="908"/>
        <v>0</v>
      </c>
      <c r="DF119" s="188">
        <f t="shared" si="908"/>
        <v>0</v>
      </c>
      <c r="DG119" s="188">
        <f>DG15</f>
        <v>0</v>
      </c>
      <c r="DH119" s="188">
        <f t="shared" ref="DH119:DN119" si="949">DH15</f>
        <v>0</v>
      </c>
      <c r="DI119" s="188">
        <f t="shared" si="949"/>
        <v>0</v>
      </c>
      <c r="DJ119" s="188">
        <f t="shared" si="949"/>
        <v>0</v>
      </c>
      <c r="DK119" s="188">
        <f t="shared" si="949"/>
        <v>23.4</v>
      </c>
      <c r="DL119" s="188">
        <f t="shared" si="949"/>
        <v>28.4</v>
      </c>
      <c r="DM119" s="188">
        <f t="shared" si="949"/>
        <v>48.399999999999991</v>
      </c>
      <c r="DN119" s="188">
        <f t="shared" si="949"/>
        <v>-3.9</v>
      </c>
      <c r="DO119" s="188">
        <f t="shared" si="910"/>
        <v>-12.7</v>
      </c>
      <c r="DP119" s="188">
        <f t="shared" si="910"/>
        <v>0</v>
      </c>
      <c r="DQ119" s="188">
        <f t="shared" si="910"/>
        <v>-43</v>
      </c>
      <c r="DR119" s="188">
        <f t="shared" ref="DR119:EB119" si="950">DR15</f>
        <v>-66</v>
      </c>
      <c r="DS119" s="188">
        <f t="shared" si="950"/>
        <v>54</v>
      </c>
      <c r="DT119" s="188">
        <f t="shared" si="950"/>
        <v>0</v>
      </c>
      <c r="DU119" s="188">
        <f t="shared" si="950"/>
        <v>0</v>
      </c>
      <c r="DV119" s="188">
        <f t="shared" si="950"/>
        <v>0</v>
      </c>
      <c r="DW119" s="188">
        <f t="shared" si="950"/>
        <v>0</v>
      </c>
      <c r="DX119" s="188">
        <f t="shared" si="950"/>
        <v>33</v>
      </c>
      <c r="DY119" s="188">
        <f t="shared" si="950"/>
        <v>0</v>
      </c>
      <c r="DZ119" s="188">
        <f t="shared" si="950"/>
        <v>0</v>
      </c>
      <c r="EA119" s="188">
        <f t="shared" si="950"/>
        <v>0</v>
      </c>
      <c r="EB119" s="188">
        <f t="shared" si="950"/>
        <v>0</v>
      </c>
      <c r="EC119" s="188">
        <f t="shared" ref="EC119:ED119" si="951">EC15</f>
        <v>0</v>
      </c>
      <c r="ED119" s="188">
        <f t="shared" si="951"/>
        <v>0</v>
      </c>
      <c r="EE119" s="18"/>
      <c r="EF119" s="337"/>
      <c r="EG119" s="338"/>
      <c r="EH119" s="338">
        <f t="shared" ref="EH119:EO119" si="952">EH15</f>
        <v>0</v>
      </c>
      <c r="EI119" s="338">
        <f t="shared" si="952"/>
        <v>0</v>
      </c>
      <c r="EJ119" s="338">
        <f t="shared" si="952"/>
        <v>0</v>
      </c>
      <c r="EK119" s="338">
        <f t="shared" si="952"/>
        <v>-6</v>
      </c>
      <c r="EL119" s="338">
        <f t="shared" si="952"/>
        <v>40.099999999999994</v>
      </c>
      <c r="EM119" s="338">
        <f t="shared" si="952"/>
        <v>24.4</v>
      </c>
      <c r="EN119" s="338">
        <f t="shared" si="952"/>
        <v>38.599999999999994</v>
      </c>
      <c r="EO119" s="338">
        <f t="shared" si="952"/>
        <v>4.4000000000000004</v>
      </c>
      <c r="EP119" s="338">
        <f t="shared" ref="EP119:EX119" si="953">EP15</f>
        <v>-18.099999999999998</v>
      </c>
      <c r="EQ119" s="338">
        <f t="shared" si="953"/>
        <v>-4.8</v>
      </c>
      <c r="ER119" s="338">
        <f t="shared" si="953"/>
        <v>-48</v>
      </c>
      <c r="ES119" s="338">
        <f t="shared" si="953"/>
        <v>-42</v>
      </c>
      <c r="ET119" s="338">
        <f t="shared" si="953"/>
        <v>40</v>
      </c>
      <c r="EU119" s="338">
        <f t="shared" si="953"/>
        <v>0</v>
      </c>
      <c r="EV119" s="338">
        <f t="shared" si="953"/>
        <v>0</v>
      </c>
      <c r="EW119" s="338">
        <f t="shared" si="953"/>
        <v>0</v>
      </c>
      <c r="EX119" s="338">
        <f t="shared" si="953"/>
        <v>0</v>
      </c>
      <c r="EY119" s="338">
        <f t="shared" si="916"/>
        <v>33</v>
      </c>
      <c r="EZ119" s="338">
        <f t="shared" ref="EZ119:FC119" si="954">EZ15</f>
        <v>0</v>
      </c>
      <c r="FA119" s="338">
        <f t="shared" si="954"/>
        <v>0</v>
      </c>
      <c r="FB119" s="338">
        <f t="shared" si="954"/>
        <v>0</v>
      </c>
      <c r="FC119" s="338">
        <f t="shared" si="954"/>
        <v>0</v>
      </c>
      <c r="FD119" s="339">
        <f t="shared" ref="FD119" si="955">FD15</f>
        <v>0</v>
      </c>
    </row>
    <row r="120" spans="1:160" ht="14.25" customHeight="1">
      <c r="A120" s="10"/>
      <c r="B120" s="48" t="s">
        <v>370</v>
      </c>
      <c r="C120" s="49"/>
      <c r="D120" s="193">
        <v>0</v>
      </c>
      <c r="E120" s="191">
        <v>0</v>
      </c>
      <c r="F120" s="191">
        <v>0</v>
      </c>
      <c r="G120" s="192">
        <v>0</v>
      </c>
      <c r="H120" s="193">
        <v>0</v>
      </c>
      <c r="I120" s="191">
        <v>0</v>
      </c>
      <c r="J120" s="191">
        <v>0</v>
      </c>
      <c r="K120" s="192">
        <v>0</v>
      </c>
      <c r="L120" s="193">
        <v>0</v>
      </c>
      <c r="M120" s="191">
        <v>0</v>
      </c>
      <c r="N120" s="191">
        <v>0</v>
      </c>
      <c r="O120" s="192">
        <v>0</v>
      </c>
      <c r="P120" s="193">
        <v>0</v>
      </c>
      <c r="Q120" s="191">
        <v>0</v>
      </c>
      <c r="R120" s="191">
        <v>0</v>
      </c>
      <c r="S120" s="192">
        <v>0</v>
      </c>
      <c r="T120" s="193">
        <v>0</v>
      </c>
      <c r="U120" s="191">
        <v>0</v>
      </c>
      <c r="V120" s="191">
        <v>0</v>
      </c>
      <c r="W120" s="192">
        <v>0</v>
      </c>
      <c r="X120" s="193">
        <v>0</v>
      </c>
      <c r="Y120" s="191">
        <v>0</v>
      </c>
      <c r="Z120" s="191">
        <v>0</v>
      </c>
      <c r="AA120" s="192">
        <v>0</v>
      </c>
      <c r="AB120" s="193">
        <v>0</v>
      </c>
      <c r="AC120" s="191">
        <v>0</v>
      </c>
      <c r="AD120" s="191">
        <v>0</v>
      </c>
      <c r="AE120" s="192">
        <v>0</v>
      </c>
      <c r="AF120" s="193">
        <v>0</v>
      </c>
      <c r="AG120" s="191">
        <v>0</v>
      </c>
      <c r="AH120" s="191">
        <v>0</v>
      </c>
      <c r="AI120" s="192">
        <v>0</v>
      </c>
      <c r="AJ120" s="193">
        <v>0</v>
      </c>
      <c r="AK120" s="191">
        <v>0</v>
      </c>
      <c r="AL120" s="191">
        <v>0</v>
      </c>
      <c r="AM120" s="192">
        <v>0</v>
      </c>
      <c r="AN120" s="193">
        <v>0</v>
      </c>
      <c r="AO120" s="191">
        <v>0</v>
      </c>
      <c r="AP120" s="191">
        <v>0</v>
      </c>
      <c r="AQ120" s="192">
        <v>0</v>
      </c>
      <c r="AR120" s="193">
        <v>0</v>
      </c>
      <c r="AS120" s="191">
        <v>0</v>
      </c>
      <c r="AT120" s="191">
        <v>0</v>
      </c>
      <c r="AU120" s="192">
        <v>0</v>
      </c>
      <c r="AV120" s="193">
        <v>0</v>
      </c>
      <c r="AW120" s="191">
        <v>0</v>
      </c>
      <c r="AX120" s="191">
        <v>0</v>
      </c>
      <c r="AY120" s="192">
        <v>0</v>
      </c>
      <c r="AZ120" s="193">
        <v>0</v>
      </c>
      <c r="BA120" s="191">
        <v>0</v>
      </c>
      <c r="BB120" s="191">
        <v>0</v>
      </c>
      <c r="BC120" s="192">
        <v>0</v>
      </c>
      <c r="BD120" s="193">
        <v>0</v>
      </c>
      <c r="BE120" s="191">
        <v>0</v>
      </c>
      <c r="BF120" s="191">
        <v>0</v>
      </c>
      <c r="BG120" s="192">
        <v>0</v>
      </c>
      <c r="BH120" s="193">
        <v>0</v>
      </c>
      <c r="BI120" s="191">
        <v>0</v>
      </c>
      <c r="BJ120" s="191">
        <v>0</v>
      </c>
      <c r="BK120" s="192">
        <v>0</v>
      </c>
      <c r="BL120" s="193">
        <v>0</v>
      </c>
      <c r="BM120" s="191">
        <v>0</v>
      </c>
      <c r="BN120" s="191">
        <v>0</v>
      </c>
      <c r="BO120" s="192">
        <v>0</v>
      </c>
      <c r="BP120" s="193">
        <v>0</v>
      </c>
      <c r="BQ120" s="191">
        <v>0</v>
      </c>
      <c r="BR120" s="191">
        <v>0</v>
      </c>
      <c r="BS120" s="192">
        <v>0</v>
      </c>
      <c r="BT120" s="193">
        <v>0</v>
      </c>
      <c r="BU120" s="191">
        <v>0</v>
      </c>
      <c r="BV120" s="191">
        <v>0</v>
      </c>
      <c r="BW120" s="192">
        <v>0</v>
      </c>
      <c r="BX120" s="193">
        <v>0</v>
      </c>
      <c r="BY120" s="191">
        <v>0</v>
      </c>
      <c r="BZ120" s="191">
        <v>0</v>
      </c>
      <c r="CA120" s="192">
        <v>0</v>
      </c>
      <c r="CB120" s="193">
        <v>0</v>
      </c>
      <c r="CC120" s="188">
        <v>0</v>
      </c>
      <c r="CD120" s="191">
        <v>0</v>
      </c>
      <c r="CE120" s="192">
        <v>0</v>
      </c>
      <c r="CF120" s="193">
        <v>-84</v>
      </c>
      <c r="CG120" s="191">
        <v>159</v>
      </c>
      <c r="CH120" s="191">
        <v>248</v>
      </c>
      <c r="CI120" s="192">
        <v>168</v>
      </c>
      <c r="CJ120" s="193">
        <v>-1</v>
      </c>
      <c r="CK120" s="191">
        <v>0</v>
      </c>
      <c r="CL120" s="191">
        <v>0</v>
      </c>
      <c r="CM120" s="192">
        <v>-15</v>
      </c>
      <c r="CN120" s="193">
        <v>0</v>
      </c>
      <c r="CO120" s="191">
        <v>0</v>
      </c>
      <c r="CP120" s="191"/>
      <c r="CQ120" s="192">
        <v>0</v>
      </c>
      <c r="CR120" s="193">
        <v>0</v>
      </c>
      <c r="CS120" s="188">
        <f t="shared" si="919"/>
        <v>0</v>
      </c>
      <c r="CT120" s="188">
        <f t="shared" si="900"/>
        <v>0</v>
      </c>
      <c r="CU120" s="189">
        <f t="shared" si="901"/>
        <v>0</v>
      </c>
      <c r="CV120" s="190">
        <f t="shared" si="920"/>
        <v>0</v>
      </c>
      <c r="CW120" s="188">
        <f t="shared" si="902"/>
        <v>0</v>
      </c>
      <c r="CX120" s="188">
        <f t="shared" si="903"/>
        <v>0</v>
      </c>
      <c r="CY120" s="189">
        <f t="shared" si="904"/>
        <v>0</v>
      </c>
      <c r="CZ120" s="190">
        <f t="shared" si="921"/>
        <v>0</v>
      </c>
      <c r="DA120" s="188">
        <f t="shared" si="905"/>
        <v>0</v>
      </c>
      <c r="DB120" s="188">
        <f t="shared" si="906"/>
        <v>0</v>
      </c>
      <c r="DC120" s="189">
        <f t="shared" si="907"/>
        <v>0</v>
      </c>
      <c r="DD120" s="153"/>
      <c r="DE120" s="188">
        <f t="shared" si="908"/>
        <v>0</v>
      </c>
      <c r="DF120" s="188">
        <f t="shared" si="908"/>
        <v>0</v>
      </c>
      <c r="DG120" s="188">
        <f>DG16</f>
        <v>0</v>
      </c>
      <c r="DH120" s="188">
        <f t="shared" ref="DH120:DN120" si="956">DH16</f>
        <v>0</v>
      </c>
      <c r="DI120" s="188">
        <f t="shared" si="956"/>
        <v>0</v>
      </c>
      <c r="DJ120" s="188">
        <f t="shared" si="956"/>
        <v>0</v>
      </c>
      <c r="DK120" s="188">
        <f t="shared" si="956"/>
        <v>0</v>
      </c>
      <c r="DL120" s="188">
        <f t="shared" si="956"/>
        <v>0</v>
      </c>
      <c r="DM120" s="188">
        <f t="shared" si="956"/>
        <v>0</v>
      </c>
      <c r="DN120" s="188">
        <f t="shared" si="956"/>
        <v>0</v>
      </c>
      <c r="DO120" s="188">
        <f t="shared" si="910"/>
        <v>0</v>
      </c>
      <c r="DP120" s="188">
        <f t="shared" si="910"/>
        <v>0</v>
      </c>
      <c r="DQ120" s="188">
        <f t="shared" si="910"/>
        <v>0</v>
      </c>
      <c r="DR120" s="188">
        <f t="shared" ref="DR120:EB120" si="957">DR16</f>
        <v>0</v>
      </c>
      <c r="DS120" s="188">
        <f t="shared" si="957"/>
        <v>0</v>
      </c>
      <c r="DT120" s="188">
        <f t="shared" si="957"/>
        <v>0</v>
      </c>
      <c r="DU120" s="188">
        <f t="shared" si="957"/>
        <v>0</v>
      </c>
      <c r="DV120" s="188">
        <f t="shared" si="957"/>
        <v>0</v>
      </c>
      <c r="DW120" s="188">
        <f t="shared" si="957"/>
        <v>0</v>
      </c>
      <c r="DX120" s="188">
        <f t="shared" si="957"/>
        <v>0</v>
      </c>
      <c r="DY120" s="188">
        <f t="shared" si="957"/>
        <v>168</v>
      </c>
      <c r="DZ120" s="188">
        <f t="shared" si="957"/>
        <v>-15</v>
      </c>
      <c r="EA120" s="188">
        <f t="shared" si="957"/>
        <v>0</v>
      </c>
      <c r="EB120" s="188">
        <f t="shared" si="957"/>
        <v>0</v>
      </c>
      <c r="EC120" s="188">
        <f t="shared" ref="EC120:ED120" si="958">EC16</f>
        <v>0</v>
      </c>
      <c r="ED120" s="188">
        <f t="shared" si="958"/>
        <v>0</v>
      </c>
      <c r="EE120" s="153"/>
      <c r="EF120" s="337"/>
      <c r="EG120" s="338"/>
      <c r="EH120" s="338">
        <f t="shared" ref="EH120:EO120" si="959">EH16</f>
        <v>0</v>
      </c>
      <c r="EI120" s="338">
        <f t="shared" si="959"/>
        <v>0</v>
      </c>
      <c r="EJ120" s="338">
        <f t="shared" si="959"/>
        <v>0</v>
      </c>
      <c r="EK120" s="338">
        <f t="shared" si="959"/>
        <v>0</v>
      </c>
      <c r="EL120" s="338">
        <f t="shared" si="959"/>
        <v>0</v>
      </c>
      <c r="EM120" s="338">
        <f t="shared" si="959"/>
        <v>0</v>
      </c>
      <c r="EN120" s="338">
        <f t="shared" si="959"/>
        <v>0</v>
      </c>
      <c r="EO120" s="338">
        <f t="shared" si="959"/>
        <v>0</v>
      </c>
      <c r="EP120" s="338">
        <f t="shared" ref="EP120:EX120" si="960">EP16</f>
        <v>0</v>
      </c>
      <c r="EQ120" s="338">
        <f t="shared" si="960"/>
        <v>0</v>
      </c>
      <c r="ER120" s="338">
        <f t="shared" si="960"/>
        <v>0</v>
      </c>
      <c r="ES120" s="338">
        <f t="shared" si="960"/>
        <v>0</v>
      </c>
      <c r="ET120" s="338">
        <f t="shared" si="960"/>
        <v>0</v>
      </c>
      <c r="EU120" s="338">
        <f t="shared" si="960"/>
        <v>0</v>
      </c>
      <c r="EV120" s="338">
        <f t="shared" si="960"/>
        <v>0</v>
      </c>
      <c r="EW120" s="338">
        <f t="shared" si="960"/>
        <v>0</v>
      </c>
      <c r="EX120" s="338">
        <f t="shared" si="960"/>
        <v>0</v>
      </c>
      <c r="EY120" s="338">
        <f t="shared" si="916"/>
        <v>-84</v>
      </c>
      <c r="EZ120" s="338">
        <f t="shared" ref="EZ120:FC120" si="961">EZ16</f>
        <v>251</v>
      </c>
      <c r="FA120" s="338">
        <f t="shared" si="961"/>
        <v>-14</v>
      </c>
      <c r="FB120" s="338">
        <f t="shared" si="961"/>
        <v>0</v>
      </c>
      <c r="FC120" s="338">
        <f t="shared" si="961"/>
        <v>0</v>
      </c>
      <c r="FD120" s="339">
        <f t="shared" ref="FD120" si="962">FD16</f>
        <v>0</v>
      </c>
    </row>
    <row r="121" spans="1:160" ht="14.25" customHeight="1">
      <c r="A121" s="10"/>
      <c r="B121" s="48" t="s">
        <v>222</v>
      </c>
      <c r="C121" s="49"/>
      <c r="D121" s="193">
        <v>0</v>
      </c>
      <c r="E121" s="191">
        <v>0</v>
      </c>
      <c r="F121" s="191">
        <v>0</v>
      </c>
      <c r="G121" s="192">
        <v>0</v>
      </c>
      <c r="H121" s="193">
        <v>0</v>
      </c>
      <c r="I121" s="191">
        <v>0</v>
      </c>
      <c r="J121" s="191">
        <v>0</v>
      </c>
      <c r="K121" s="192">
        <v>0</v>
      </c>
      <c r="L121" s="193">
        <v>0</v>
      </c>
      <c r="M121" s="191">
        <v>0</v>
      </c>
      <c r="N121" s="191">
        <v>0</v>
      </c>
      <c r="O121" s="192">
        <v>0</v>
      </c>
      <c r="P121" s="193">
        <v>0</v>
      </c>
      <c r="Q121" s="191">
        <v>0</v>
      </c>
      <c r="R121" s="191">
        <v>0</v>
      </c>
      <c r="S121" s="192">
        <v>0</v>
      </c>
      <c r="T121" s="193"/>
      <c r="U121" s="191">
        <v>0</v>
      </c>
      <c r="V121" s="191">
        <v>0</v>
      </c>
      <c r="W121" s="192">
        <v>54.9</v>
      </c>
      <c r="X121" s="193">
        <f>7.5+26.1</f>
        <v>33.6</v>
      </c>
      <c r="Y121" s="191">
        <f>22.5+84.8</f>
        <v>107.3</v>
      </c>
      <c r="Z121" s="191">
        <f>34.1+147.6</f>
        <v>181.7</v>
      </c>
      <c r="AA121" s="192">
        <f>43.5+205.1</f>
        <v>248.6</v>
      </c>
      <c r="AB121" s="193">
        <f>7.3+6.3</f>
        <v>13.6</v>
      </c>
      <c r="AC121" s="191">
        <f>91.5+23.5</f>
        <v>115</v>
      </c>
      <c r="AD121" s="191">
        <f>103.8+261.1+37.3</f>
        <v>402.20000000000005</v>
      </c>
      <c r="AE121" s="192">
        <f>103.8+726.9</f>
        <v>830.69999999999993</v>
      </c>
      <c r="AF121" s="193">
        <f>172.8+3</f>
        <v>175.8</v>
      </c>
      <c r="AG121" s="191">
        <f>176.6+8.2</f>
        <v>184.79999999999998</v>
      </c>
      <c r="AH121" s="191">
        <f>202.5+12.2</f>
        <v>214.7</v>
      </c>
      <c r="AI121" s="192">
        <v>376.1</v>
      </c>
      <c r="AJ121" s="193">
        <v>0</v>
      </c>
      <c r="AK121" s="191">
        <v>115.7</v>
      </c>
      <c r="AL121" s="191">
        <v>82.2</v>
      </c>
      <c r="AM121" s="192">
        <v>85.2</v>
      </c>
      <c r="AN121" s="193">
        <v>-23.2</v>
      </c>
      <c r="AO121" s="191">
        <v>-30.9</v>
      </c>
      <c r="AP121" s="191">
        <v>-34.799999999999997</v>
      </c>
      <c r="AQ121" s="192">
        <v>-37</v>
      </c>
      <c r="AR121" s="193">
        <v>-1.7</v>
      </c>
      <c r="AS121" s="191">
        <v>-1.6</v>
      </c>
      <c r="AT121" s="191">
        <v>-1.6</v>
      </c>
      <c r="AU121" s="192">
        <v>-1.6</v>
      </c>
      <c r="AV121" s="193">
        <v>0</v>
      </c>
      <c r="AW121" s="191">
        <v>0</v>
      </c>
      <c r="AX121" s="191">
        <v>0</v>
      </c>
      <c r="AY121" s="192">
        <v>23</v>
      </c>
      <c r="AZ121" s="193">
        <v>0</v>
      </c>
      <c r="BA121" s="191">
        <v>0</v>
      </c>
      <c r="BB121" s="191">
        <v>0</v>
      </c>
      <c r="BC121" s="192">
        <f>20+5</f>
        <v>25</v>
      </c>
      <c r="BD121" s="193">
        <v>6</v>
      </c>
      <c r="BE121" s="191">
        <f>6+463</f>
        <v>469</v>
      </c>
      <c r="BF121" s="191">
        <f>7+463</f>
        <v>470</v>
      </c>
      <c r="BG121" s="192">
        <f>463+7</f>
        <v>470</v>
      </c>
      <c r="BH121" s="193">
        <v>-83</v>
      </c>
      <c r="BI121" s="191">
        <f>149+61+58</f>
        <v>268</v>
      </c>
      <c r="BJ121" s="191">
        <f>157+106+58+53-97</f>
        <v>277</v>
      </c>
      <c r="BK121" s="192">
        <f>156+140+58+41-111</f>
        <v>284</v>
      </c>
      <c r="BL121" s="193">
        <v>-56</v>
      </c>
      <c r="BM121" s="191">
        <f>41-56</f>
        <v>-15</v>
      </c>
      <c r="BN121" s="191">
        <f>61-56-437</f>
        <v>-432</v>
      </c>
      <c r="BO121" s="192">
        <f>83+27-17-1-437-52</f>
        <v>-397</v>
      </c>
      <c r="BP121" s="193">
        <v>111</v>
      </c>
      <c r="BQ121" s="191">
        <f>111</f>
        <v>111</v>
      </c>
      <c r="BR121" s="191">
        <f>113-54</f>
        <v>59</v>
      </c>
      <c r="BS121" s="192">
        <f>113+9-54-32-17</f>
        <v>19</v>
      </c>
      <c r="BT121" s="193">
        <v>20</v>
      </c>
      <c r="BU121" s="191">
        <v>50</v>
      </c>
      <c r="BV121" s="191">
        <v>71</v>
      </c>
      <c r="BW121" s="192">
        <v>87</v>
      </c>
      <c r="BX121" s="193">
        <v>0</v>
      </c>
      <c r="BY121" s="191">
        <f>62+31+173</f>
        <v>266</v>
      </c>
      <c r="BZ121" s="191">
        <f>93+31+224</f>
        <v>348</v>
      </c>
      <c r="CA121" s="192">
        <f>222+114+31-1484</f>
        <v>-1117</v>
      </c>
      <c r="CB121" s="193">
        <f>86+14-8</f>
        <v>92</v>
      </c>
      <c r="CC121" s="191">
        <f>33+21+166</f>
        <v>220</v>
      </c>
      <c r="CD121" s="191">
        <f>182+19-17</f>
        <v>184</v>
      </c>
      <c r="CE121" s="192">
        <f>-119-97+27+195-17</f>
        <v>-11</v>
      </c>
      <c r="CF121" s="193">
        <f>30</f>
        <v>30</v>
      </c>
      <c r="CG121" s="191">
        <f>30</f>
        <v>30</v>
      </c>
      <c r="CH121" s="191">
        <f>48</f>
        <v>48</v>
      </c>
      <c r="CI121" s="192">
        <f>64+49+1-3-1</f>
        <v>110</v>
      </c>
      <c r="CJ121" s="193">
        <v>1</v>
      </c>
      <c r="CK121" s="191">
        <v>1</v>
      </c>
      <c r="CL121" s="191">
        <v>4</v>
      </c>
      <c r="CM121" s="192">
        <f>4-183</f>
        <v>-179</v>
      </c>
      <c r="CN121" s="193">
        <v>0</v>
      </c>
      <c r="CO121" s="191">
        <v>-71</v>
      </c>
      <c r="CP121" s="191">
        <f>CO121</f>
        <v>-71</v>
      </c>
      <c r="CQ121" s="192">
        <f>99-71</f>
        <v>28</v>
      </c>
      <c r="CR121" s="193">
        <v>195</v>
      </c>
      <c r="CS121" s="188">
        <f t="shared" si="919"/>
        <v>195</v>
      </c>
      <c r="CT121" s="188">
        <f t="shared" si="900"/>
        <v>195</v>
      </c>
      <c r="CU121" s="189">
        <f t="shared" si="901"/>
        <v>195</v>
      </c>
      <c r="CV121" s="190">
        <f t="shared" si="920"/>
        <v>0</v>
      </c>
      <c r="CW121" s="188">
        <f t="shared" si="902"/>
        <v>0</v>
      </c>
      <c r="CX121" s="188">
        <f t="shared" si="903"/>
        <v>0</v>
      </c>
      <c r="CY121" s="189">
        <f t="shared" si="904"/>
        <v>0</v>
      </c>
      <c r="CZ121" s="190">
        <f t="shared" si="921"/>
        <v>0</v>
      </c>
      <c r="DA121" s="188">
        <f t="shared" si="905"/>
        <v>0</v>
      </c>
      <c r="DB121" s="188">
        <f t="shared" si="906"/>
        <v>0</v>
      </c>
      <c r="DC121" s="189">
        <f t="shared" si="907"/>
        <v>0</v>
      </c>
      <c r="DD121" s="153"/>
      <c r="DE121" s="188">
        <f t="shared" si="908"/>
        <v>0</v>
      </c>
      <c r="DF121" s="188">
        <f t="shared" si="908"/>
        <v>0</v>
      </c>
      <c r="DG121" s="188">
        <f>DG17</f>
        <v>0</v>
      </c>
      <c r="DH121" s="188">
        <f t="shared" ref="DH121:DN121" si="963">DH17</f>
        <v>0</v>
      </c>
      <c r="DI121" s="188">
        <f t="shared" si="963"/>
        <v>54.9</v>
      </c>
      <c r="DJ121" s="188">
        <f t="shared" si="963"/>
        <v>248.6</v>
      </c>
      <c r="DK121" s="188">
        <f t="shared" si="963"/>
        <v>830.69999999999993</v>
      </c>
      <c r="DL121" s="188">
        <f t="shared" si="963"/>
        <v>376.1</v>
      </c>
      <c r="DM121" s="188">
        <f t="shared" si="963"/>
        <v>85.2</v>
      </c>
      <c r="DN121" s="188">
        <f t="shared" si="963"/>
        <v>-37</v>
      </c>
      <c r="DO121" s="188">
        <f t="shared" si="910"/>
        <v>-1.6</v>
      </c>
      <c r="DP121" s="188">
        <f t="shared" si="910"/>
        <v>23</v>
      </c>
      <c r="DQ121" s="188">
        <f t="shared" si="910"/>
        <v>25</v>
      </c>
      <c r="DR121" s="188">
        <f t="shared" ref="DR121:EB121" si="964">DR17</f>
        <v>470</v>
      </c>
      <c r="DS121" s="188">
        <f t="shared" si="964"/>
        <v>284</v>
      </c>
      <c r="DT121" s="188">
        <f t="shared" si="964"/>
        <v>-397</v>
      </c>
      <c r="DU121" s="188">
        <f t="shared" si="964"/>
        <v>19</v>
      </c>
      <c r="DV121" s="188">
        <f t="shared" si="964"/>
        <v>87</v>
      </c>
      <c r="DW121" s="188">
        <f t="shared" si="964"/>
        <v>-1117</v>
      </c>
      <c r="DX121" s="188">
        <f t="shared" si="964"/>
        <v>-11</v>
      </c>
      <c r="DY121" s="188">
        <f t="shared" si="964"/>
        <v>110</v>
      </c>
      <c r="DZ121" s="188">
        <f t="shared" si="964"/>
        <v>-179</v>
      </c>
      <c r="EA121" s="188">
        <f t="shared" si="964"/>
        <v>28</v>
      </c>
      <c r="EB121" s="188">
        <f t="shared" si="964"/>
        <v>195</v>
      </c>
      <c r="EC121" s="188">
        <f t="shared" ref="EC121:ED121" si="965">EC17</f>
        <v>0</v>
      </c>
      <c r="ED121" s="188">
        <f t="shared" si="965"/>
        <v>0</v>
      </c>
      <c r="EE121" s="153"/>
      <c r="EF121" s="337"/>
      <c r="EG121" s="338"/>
      <c r="EH121" s="338">
        <f t="shared" ref="EH121:EO121" si="966">EH17</f>
        <v>0</v>
      </c>
      <c r="EI121" s="338">
        <f t="shared" si="966"/>
        <v>0</v>
      </c>
      <c r="EJ121" s="338">
        <f t="shared" si="966"/>
        <v>88.5</v>
      </c>
      <c r="EK121" s="338">
        <f t="shared" si="966"/>
        <v>228.6</v>
      </c>
      <c r="EL121" s="338">
        <f t="shared" si="966"/>
        <v>992.89999999999986</v>
      </c>
      <c r="EM121" s="338">
        <f t="shared" si="966"/>
        <v>200.3</v>
      </c>
      <c r="EN121" s="338">
        <f t="shared" si="966"/>
        <v>62</v>
      </c>
      <c r="EO121" s="338">
        <f t="shared" si="966"/>
        <v>-15.5</v>
      </c>
      <c r="EP121" s="338">
        <f t="shared" ref="EP121:EX121" si="967">EP17</f>
        <v>9.9999999999999867E-2</v>
      </c>
      <c r="EQ121" s="338">
        <f t="shared" si="967"/>
        <v>23</v>
      </c>
      <c r="ER121" s="338">
        <f t="shared" si="967"/>
        <v>31</v>
      </c>
      <c r="ES121" s="338">
        <f t="shared" si="967"/>
        <v>381</v>
      </c>
      <c r="ET121" s="338">
        <f t="shared" si="967"/>
        <v>311</v>
      </c>
      <c r="EU121" s="338">
        <f t="shared" si="967"/>
        <v>-230</v>
      </c>
      <c r="EV121" s="338">
        <f t="shared" si="967"/>
        <v>-72</v>
      </c>
      <c r="EW121" s="338">
        <f t="shared" si="967"/>
        <v>67</v>
      </c>
      <c r="EX121" s="338">
        <f t="shared" si="967"/>
        <v>-1025</v>
      </c>
      <c r="EY121" s="338">
        <f t="shared" si="916"/>
        <v>-73</v>
      </c>
      <c r="EZ121" s="338">
        <f t="shared" ref="EZ121:FC121" si="968">EZ17</f>
        <v>81</v>
      </c>
      <c r="FA121" s="338">
        <f t="shared" si="968"/>
        <v>-180</v>
      </c>
      <c r="FB121" s="338">
        <f t="shared" si="968"/>
        <v>223</v>
      </c>
      <c r="FC121" s="338">
        <f t="shared" si="968"/>
        <v>0</v>
      </c>
      <c r="FD121" s="339">
        <f t="shared" ref="FD121" si="969">FD17</f>
        <v>0</v>
      </c>
    </row>
    <row r="122" spans="1:160" ht="14.25" customHeight="1">
      <c r="A122" s="7"/>
      <c r="B122" s="24" t="s">
        <v>328</v>
      </c>
      <c r="C122" s="25"/>
      <c r="D122" s="193"/>
      <c r="E122" s="191"/>
      <c r="F122" s="191"/>
      <c r="G122" s="192"/>
      <c r="H122" s="193"/>
      <c r="I122" s="191"/>
      <c r="J122" s="191"/>
      <c r="K122" s="192"/>
      <c r="L122" s="193"/>
      <c r="M122" s="191"/>
      <c r="N122" s="191"/>
      <c r="O122" s="192"/>
      <c r="P122" s="193"/>
      <c r="Q122" s="191"/>
      <c r="R122" s="191"/>
      <c r="S122" s="192"/>
      <c r="T122" s="193"/>
      <c r="U122" s="191"/>
      <c r="V122" s="191"/>
      <c r="W122" s="192"/>
      <c r="X122" s="193"/>
      <c r="Y122" s="191"/>
      <c r="Z122" s="191"/>
      <c r="AA122" s="192"/>
      <c r="AB122" s="193"/>
      <c r="AC122" s="191"/>
      <c r="AD122" s="191"/>
      <c r="AE122" s="192"/>
      <c r="AF122" s="193"/>
      <c r="AG122" s="191"/>
      <c r="AH122" s="191"/>
      <c r="AI122" s="192"/>
      <c r="AJ122" s="193"/>
      <c r="AK122" s="191"/>
      <c r="AL122" s="191"/>
      <c r="AM122" s="192"/>
      <c r="AN122" s="193"/>
      <c r="AO122" s="191"/>
      <c r="AP122" s="191"/>
      <c r="AQ122" s="192"/>
      <c r="AR122" s="193"/>
      <c r="AS122" s="191"/>
      <c r="AT122" s="191"/>
      <c r="AU122" s="192"/>
      <c r="AV122" s="193"/>
      <c r="AW122" s="191"/>
      <c r="AX122" s="191"/>
      <c r="AY122" s="192"/>
      <c r="AZ122" s="193"/>
      <c r="BA122" s="191"/>
      <c r="BB122" s="191"/>
      <c r="BC122" s="192"/>
      <c r="BD122" s="193"/>
      <c r="BE122" s="191"/>
      <c r="BF122" s="191"/>
      <c r="BG122" s="192"/>
      <c r="BH122" s="193"/>
      <c r="BI122" s="191"/>
      <c r="BJ122" s="191"/>
      <c r="BK122" s="192"/>
      <c r="BL122" s="193"/>
      <c r="BM122" s="191"/>
      <c r="BN122" s="191"/>
      <c r="BO122" s="192"/>
      <c r="BP122" s="193"/>
      <c r="BQ122" s="191"/>
      <c r="BR122" s="191"/>
      <c r="BS122" s="192"/>
      <c r="BT122" s="193"/>
      <c r="BU122" s="191"/>
      <c r="BV122" s="191"/>
      <c r="BW122" s="192"/>
      <c r="BX122" s="193"/>
      <c r="BY122" s="191"/>
      <c r="BZ122" s="191"/>
      <c r="CA122" s="192"/>
      <c r="CB122" s="193"/>
      <c r="CC122" s="188"/>
      <c r="CD122" s="191"/>
      <c r="CE122" s="192"/>
      <c r="CF122" s="193"/>
      <c r="CG122" s="188"/>
      <c r="CH122" s="191"/>
      <c r="CI122" s="192"/>
      <c r="CJ122" s="193"/>
      <c r="CK122" s="188"/>
      <c r="CL122" s="191"/>
      <c r="CM122" s="192"/>
      <c r="CN122" s="193"/>
      <c r="CO122" s="188">
        <v>0</v>
      </c>
      <c r="CP122" s="191"/>
      <c r="CQ122" s="192"/>
      <c r="CR122" s="193"/>
      <c r="CS122" s="188"/>
      <c r="CT122" s="188"/>
      <c r="CU122" s="189"/>
      <c r="CV122" s="190">
        <f t="shared" si="920"/>
        <v>0</v>
      </c>
      <c r="CW122" s="188"/>
      <c r="CX122" s="188"/>
      <c r="CY122" s="189"/>
      <c r="CZ122" s="190">
        <f t="shared" si="921"/>
        <v>0</v>
      </c>
      <c r="DA122" s="188"/>
      <c r="DB122" s="188"/>
      <c r="DC122" s="189"/>
      <c r="DD122" s="153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  <c r="EB122" s="188"/>
      <c r="EC122" s="188"/>
      <c r="ED122" s="188"/>
      <c r="EE122" s="18"/>
      <c r="EF122" s="337"/>
      <c r="EG122" s="338"/>
      <c r="EH122" s="338"/>
      <c r="EI122" s="338"/>
      <c r="EJ122" s="338"/>
      <c r="EK122" s="338"/>
      <c r="EL122" s="338"/>
      <c r="EM122" s="338"/>
      <c r="EN122" s="338"/>
      <c r="EO122" s="338"/>
      <c r="EP122" s="338"/>
      <c r="EQ122" s="338"/>
      <c r="ER122" s="338"/>
      <c r="ES122" s="338"/>
      <c r="ET122" s="338"/>
      <c r="EU122" s="338"/>
      <c r="EV122" s="338"/>
      <c r="EW122" s="338"/>
      <c r="EX122" s="338"/>
      <c r="EY122" s="338"/>
      <c r="EZ122" s="338"/>
      <c r="FA122" s="338"/>
      <c r="FB122" s="338"/>
      <c r="FC122" s="338"/>
      <c r="FD122" s="339"/>
    </row>
    <row r="123" spans="1:160" ht="14.25" customHeight="1">
      <c r="A123" s="7"/>
      <c r="B123" s="48" t="s">
        <v>329</v>
      </c>
      <c r="C123" s="49"/>
      <c r="D123" s="193">
        <v>0</v>
      </c>
      <c r="E123" s="191">
        <v>0</v>
      </c>
      <c r="F123" s="191">
        <v>0</v>
      </c>
      <c r="G123" s="192">
        <v>0</v>
      </c>
      <c r="H123" s="193">
        <v>0</v>
      </c>
      <c r="I123" s="191">
        <v>0</v>
      </c>
      <c r="J123" s="191">
        <v>0</v>
      </c>
      <c r="K123" s="192">
        <v>0</v>
      </c>
      <c r="L123" s="193">
        <v>32</v>
      </c>
      <c r="M123" s="191">
        <v>43.8</v>
      </c>
      <c r="N123" s="191">
        <v>-19.600000000000001</v>
      </c>
      <c r="O123" s="192">
        <v>-97.7</v>
      </c>
      <c r="P123" s="193">
        <v>22.3</v>
      </c>
      <c r="Q123" s="191">
        <v>62.1</v>
      </c>
      <c r="R123" s="191">
        <v>17.899999999999999</v>
      </c>
      <c r="S123" s="192">
        <v>-73.8</v>
      </c>
      <c r="T123" s="193">
        <v>112.3</v>
      </c>
      <c r="U123" s="191">
        <v>2</v>
      </c>
      <c r="V123" s="191">
        <v>32.4</v>
      </c>
      <c r="W123" s="192">
        <v>-98.9</v>
      </c>
      <c r="X123" s="193">
        <v>-212.7</v>
      </c>
      <c r="Y123" s="191">
        <v>-197</v>
      </c>
      <c r="Z123" s="191">
        <v>-409.2</v>
      </c>
      <c r="AA123" s="192">
        <v>-784.5</v>
      </c>
      <c r="AB123" s="193">
        <v>572.1</v>
      </c>
      <c r="AC123" s="191">
        <v>833.3</v>
      </c>
      <c r="AD123" s="191">
        <v>767.7</v>
      </c>
      <c r="AE123" s="192">
        <v>605.79999999999995</v>
      </c>
      <c r="AF123" s="193">
        <v>496.9</v>
      </c>
      <c r="AG123" s="191">
        <v>330.5</v>
      </c>
      <c r="AH123" s="191">
        <v>191.1</v>
      </c>
      <c r="AI123" s="192">
        <v>239</v>
      </c>
      <c r="AJ123" s="193">
        <v>94.1</v>
      </c>
      <c r="AK123" s="191">
        <v>55</v>
      </c>
      <c r="AL123" s="191">
        <v>43.1</v>
      </c>
      <c r="AM123" s="192">
        <v>-103.8</v>
      </c>
      <c r="AN123" s="193">
        <v>-81.2</v>
      </c>
      <c r="AO123" s="191">
        <v>-68.099999999999994</v>
      </c>
      <c r="AP123" s="191">
        <v>-127.4</v>
      </c>
      <c r="AQ123" s="192">
        <v>-130.9</v>
      </c>
      <c r="AR123" s="193">
        <v>-89.3</v>
      </c>
      <c r="AS123" s="191">
        <v>-164.3</v>
      </c>
      <c r="AT123" s="191">
        <v>38.700000000000003</v>
      </c>
      <c r="AU123" s="192">
        <v>-22.4</v>
      </c>
      <c r="AV123" s="193">
        <v>-10.9</v>
      </c>
      <c r="AW123" s="191">
        <v>38.9</v>
      </c>
      <c r="AX123" s="191">
        <v>-34.299999999999997</v>
      </c>
      <c r="AY123" s="192">
        <v>-62</v>
      </c>
      <c r="AZ123" s="193">
        <v>-2</v>
      </c>
      <c r="BA123" s="191">
        <v>59</v>
      </c>
      <c r="BB123" s="191">
        <v>158</v>
      </c>
      <c r="BC123" s="192">
        <v>5</v>
      </c>
      <c r="BD123" s="193">
        <v>-80</v>
      </c>
      <c r="BE123" s="191">
        <v>107</v>
      </c>
      <c r="BF123" s="191">
        <v>11</v>
      </c>
      <c r="BG123" s="192">
        <v>-26</v>
      </c>
      <c r="BH123" s="193">
        <v>138</v>
      </c>
      <c r="BI123" s="191">
        <v>374</v>
      </c>
      <c r="BJ123" s="191">
        <v>224</v>
      </c>
      <c r="BK123" s="192">
        <v>126</v>
      </c>
      <c r="BL123" s="193">
        <v>-324</v>
      </c>
      <c r="BM123" s="191">
        <v>-310</v>
      </c>
      <c r="BN123" s="191">
        <v>-556</v>
      </c>
      <c r="BO123" s="192">
        <v>-516</v>
      </c>
      <c r="BP123" s="193">
        <v>173</v>
      </c>
      <c r="BQ123" s="191">
        <v>154</v>
      </c>
      <c r="BR123" s="191">
        <v>110</v>
      </c>
      <c r="BS123" s="192">
        <v>54</v>
      </c>
      <c r="BT123" s="193">
        <v>101</v>
      </c>
      <c r="BU123" s="191">
        <v>225</v>
      </c>
      <c r="BV123" s="191">
        <v>134</v>
      </c>
      <c r="BW123" s="192">
        <v>238</v>
      </c>
      <c r="BX123" s="193">
        <v>98</v>
      </c>
      <c r="BY123" s="191">
        <v>-3</v>
      </c>
      <c r="BZ123" s="191">
        <v>-280</v>
      </c>
      <c r="CA123" s="192">
        <v>-409</v>
      </c>
      <c r="CB123" s="193">
        <v>-494</v>
      </c>
      <c r="CC123" s="191">
        <v>-458</v>
      </c>
      <c r="CD123" s="191">
        <v>-330</v>
      </c>
      <c r="CE123" s="192">
        <v>-518</v>
      </c>
      <c r="CF123" s="193">
        <v>252</v>
      </c>
      <c r="CG123" s="191">
        <v>153</v>
      </c>
      <c r="CH123" s="191">
        <v>337</v>
      </c>
      <c r="CI123" s="192">
        <v>393</v>
      </c>
      <c r="CJ123" s="193">
        <v>297</v>
      </c>
      <c r="CK123" s="191">
        <v>542</v>
      </c>
      <c r="CL123" s="191">
        <v>468</v>
      </c>
      <c r="CM123" s="192">
        <v>465</v>
      </c>
      <c r="CN123" s="193">
        <v>-401</v>
      </c>
      <c r="CO123" s="191">
        <v>-773</v>
      </c>
      <c r="CP123" s="191">
        <f>CO123</f>
        <v>-773</v>
      </c>
      <c r="CQ123" s="192">
        <v>-1651</v>
      </c>
      <c r="CR123" s="193">
        <v>-121</v>
      </c>
      <c r="CS123" s="188">
        <f t="shared" ref="CS123:CS130" si="970">CR123+CS19</f>
        <v>-682</v>
      </c>
      <c r="CT123" s="188">
        <f t="shared" ref="CT123:CT131" si="971">CS123+CT19</f>
        <v>-1484.1853303698135</v>
      </c>
      <c r="CU123" s="189">
        <f t="shared" ref="CU123:CU131" si="972">CT123+CU19</f>
        <v>-1535.4944890066563</v>
      </c>
      <c r="CV123" s="190">
        <f t="shared" si="920"/>
        <v>324.98368148147165</v>
      </c>
      <c r="CW123" s="188">
        <f t="shared" ref="CW123:CW131" si="973">CV123+CW19</f>
        <v>616.38361904533667</v>
      </c>
      <c r="CX123" s="188">
        <f t="shared" ref="CX123:CX131" si="974">CW123+CX19</f>
        <v>702.99977701555963</v>
      </c>
      <c r="CY123" s="189">
        <f t="shared" ref="CY123:CY131" si="975">CX123+CY19</f>
        <v>692.30100451678481</v>
      </c>
      <c r="CZ123" s="190">
        <f t="shared" si="921"/>
        <v>220.14320982091158</v>
      </c>
      <c r="DA123" s="188">
        <f t="shared" ref="DA123:DA131" si="976">CZ123+DA19</f>
        <v>80.1115622398911</v>
      </c>
      <c r="DB123" s="188">
        <f t="shared" ref="DB123:DB131" si="977">DA123+DB19</f>
        <v>60.503165369874296</v>
      </c>
      <c r="DC123" s="189">
        <f t="shared" ref="DC123:DC131" si="978">DB123+DC19</f>
        <v>3.6320756455743322</v>
      </c>
      <c r="DD123" s="153"/>
      <c r="DE123" s="188">
        <f t="shared" ref="DE123:DF131" si="979">DE19</f>
        <v>0</v>
      </c>
      <c r="DF123" s="188">
        <f t="shared" si="979"/>
        <v>0</v>
      </c>
      <c r="DG123" s="188">
        <f t="shared" ref="DG123:DN123" si="980">DG19</f>
        <v>-97.699999999999989</v>
      </c>
      <c r="DH123" s="188">
        <f t="shared" si="980"/>
        <v>-73.8</v>
      </c>
      <c r="DI123" s="188">
        <f t="shared" si="980"/>
        <v>-98.90000000000002</v>
      </c>
      <c r="DJ123" s="188">
        <f t="shared" si="980"/>
        <v>-784.5</v>
      </c>
      <c r="DK123" s="188">
        <f t="shared" si="980"/>
        <v>605.79999999999995</v>
      </c>
      <c r="DL123" s="188">
        <f t="shared" si="980"/>
        <v>239</v>
      </c>
      <c r="DM123" s="188">
        <f t="shared" si="980"/>
        <v>-103.79999999999998</v>
      </c>
      <c r="DN123" s="188">
        <f t="shared" si="980"/>
        <v>-130.9</v>
      </c>
      <c r="DO123" s="188">
        <f t="shared" ref="DO123:DQ131" si="981">DO19</f>
        <v>-22.399999999999991</v>
      </c>
      <c r="DP123" s="188">
        <f t="shared" si="981"/>
        <v>-62</v>
      </c>
      <c r="DQ123" s="188">
        <f t="shared" si="981"/>
        <v>5</v>
      </c>
      <c r="DR123" s="188">
        <f t="shared" ref="DR123:EB123" si="982">DR19</f>
        <v>-26</v>
      </c>
      <c r="DS123" s="188">
        <f t="shared" si="982"/>
        <v>126</v>
      </c>
      <c r="DT123" s="188">
        <f t="shared" si="982"/>
        <v>-516</v>
      </c>
      <c r="DU123" s="188">
        <f t="shared" si="982"/>
        <v>54</v>
      </c>
      <c r="DV123" s="188">
        <f t="shared" si="982"/>
        <v>238</v>
      </c>
      <c r="DW123" s="188">
        <f t="shared" si="982"/>
        <v>-409</v>
      </c>
      <c r="DX123" s="188">
        <f t="shared" si="982"/>
        <v>-518</v>
      </c>
      <c r="DY123" s="188">
        <f t="shared" si="982"/>
        <v>393</v>
      </c>
      <c r="DZ123" s="188">
        <f t="shared" si="982"/>
        <v>465</v>
      </c>
      <c r="EA123" s="188">
        <f t="shared" si="982"/>
        <v>-1651</v>
      </c>
      <c r="EB123" s="188">
        <f t="shared" si="982"/>
        <v>-1535.4944890066563</v>
      </c>
      <c r="EC123" s="188">
        <f t="shared" ref="EC123:ED123" si="983">EC19</f>
        <v>692.30100451678481</v>
      </c>
      <c r="ED123" s="188">
        <f t="shared" si="983"/>
        <v>3.6320756455743322</v>
      </c>
      <c r="EE123" s="18"/>
      <c r="EF123" s="337"/>
      <c r="EG123" s="338"/>
      <c r="EH123" s="338">
        <f t="shared" ref="EH123:EO123" si="984">EH19</f>
        <v>-107.39999999999999</v>
      </c>
      <c r="EI123" s="338">
        <f t="shared" si="984"/>
        <v>16.200000000000003</v>
      </c>
      <c r="EJ123" s="338">
        <f t="shared" si="984"/>
        <v>-423.9</v>
      </c>
      <c r="EK123" s="338">
        <f t="shared" si="984"/>
        <v>0.30000000000006821</v>
      </c>
      <c r="EL123" s="338">
        <f t="shared" si="984"/>
        <v>530.59999999999991</v>
      </c>
      <c r="EM123" s="338">
        <f t="shared" si="984"/>
        <v>-163.79999999999998</v>
      </c>
      <c r="EN123" s="338">
        <f t="shared" si="984"/>
        <v>-279.09999999999997</v>
      </c>
      <c r="EO123" s="338">
        <f t="shared" si="984"/>
        <v>-139</v>
      </c>
      <c r="EP123" s="338">
        <f t="shared" ref="EP123:EX123" si="985">EP19</f>
        <v>56.000000000000007</v>
      </c>
      <c r="EQ123" s="338">
        <f t="shared" si="985"/>
        <v>-53.1</v>
      </c>
      <c r="ER123" s="338">
        <f t="shared" si="985"/>
        <v>-73</v>
      </c>
      <c r="ES123" s="338">
        <f t="shared" si="985"/>
        <v>192</v>
      </c>
      <c r="ET123" s="338">
        <f t="shared" si="985"/>
        <v>-336</v>
      </c>
      <c r="EU123" s="338">
        <f t="shared" si="985"/>
        <v>-19</v>
      </c>
      <c r="EV123" s="338">
        <f t="shared" si="985"/>
        <v>-18</v>
      </c>
      <c r="EW123" s="338">
        <f t="shared" si="985"/>
        <v>235</v>
      </c>
      <c r="EX123" s="338">
        <f t="shared" si="985"/>
        <v>-1001</v>
      </c>
      <c r="EY123" s="338">
        <f t="shared" ref="EY123:EY131" si="986">EY19</f>
        <v>228</v>
      </c>
      <c r="EZ123" s="338">
        <f t="shared" ref="EZ123:FC123" si="987">EZ19</f>
        <v>438</v>
      </c>
      <c r="FA123" s="338">
        <f t="shared" si="987"/>
        <v>-233</v>
      </c>
      <c r="FB123" s="338">
        <f t="shared" si="987"/>
        <v>-1371</v>
      </c>
      <c r="FC123" s="338">
        <f t="shared" si="987"/>
        <v>-1089.5108075251846</v>
      </c>
      <c r="FD123" s="339">
        <f t="shared" ref="FD123" si="988">FD19</f>
        <v>587.46053285622475</v>
      </c>
    </row>
    <row r="124" spans="1:160" ht="14.25" customHeight="1">
      <c r="A124" s="7"/>
      <c r="B124" s="48" t="s">
        <v>330</v>
      </c>
      <c r="C124" s="49"/>
      <c r="D124" s="193">
        <v>0</v>
      </c>
      <c r="E124" s="191">
        <v>0</v>
      </c>
      <c r="F124" s="191">
        <v>0</v>
      </c>
      <c r="G124" s="192">
        <v>0</v>
      </c>
      <c r="H124" s="193">
        <v>0</v>
      </c>
      <c r="I124" s="191">
        <v>0</v>
      </c>
      <c r="J124" s="191">
        <v>0</v>
      </c>
      <c r="K124" s="192">
        <v>0</v>
      </c>
      <c r="L124" s="193">
        <v>-52.7</v>
      </c>
      <c r="M124" s="191">
        <v>-80.3</v>
      </c>
      <c r="N124" s="191">
        <v>-125.2</v>
      </c>
      <c r="O124" s="192">
        <v>-194.2</v>
      </c>
      <c r="P124" s="193">
        <v>-27.2</v>
      </c>
      <c r="Q124" s="191">
        <v>-16.899999999999999</v>
      </c>
      <c r="R124" s="191">
        <v>52.4</v>
      </c>
      <c r="S124" s="192">
        <v>140</v>
      </c>
      <c r="T124" s="193">
        <v>-36.4</v>
      </c>
      <c r="U124" s="191">
        <v>-40.9</v>
      </c>
      <c r="V124" s="191">
        <v>-117.7</v>
      </c>
      <c r="W124" s="192">
        <v>-42.8</v>
      </c>
      <c r="X124" s="193">
        <v>-138.5</v>
      </c>
      <c r="Y124" s="191">
        <v>-316.3</v>
      </c>
      <c r="Z124" s="191">
        <v>-265.2</v>
      </c>
      <c r="AA124" s="192">
        <v>-331.6</v>
      </c>
      <c r="AB124" s="193">
        <v>-312.39999999999998</v>
      </c>
      <c r="AC124" s="191">
        <v>-452.5</v>
      </c>
      <c r="AD124" s="191">
        <v>-362.4</v>
      </c>
      <c r="AE124" s="192">
        <v>-482.8</v>
      </c>
      <c r="AF124" s="193">
        <v>-131.80000000000001</v>
      </c>
      <c r="AG124" s="191">
        <v>-232.2</v>
      </c>
      <c r="AH124" s="191">
        <v>-346.4</v>
      </c>
      <c r="AI124" s="192">
        <v>-378.9</v>
      </c>
      <c r="AJ124" s="193">
        <v>-119.4</v>
      </c>
      <c r="AK124" s="191">
        <v>-125.2</v>
      </c>
      <c r="AL124" s="191">
        <v>-204.4</v>
      </c>
      <c r="AM124" s="192">
        <v>-196.2</v>
      </c>
      <c r="AN124" s="193">
        <v>10.8</v>
      </c>
      <c r="AO124" s="191">
        <v>-27.3</v>
      </c>
      <c r="AP124" s="191">
        <v>-114.1</v>
      </c>
      <c r="AQ124" s="192">
        <v>-160.5</v>
      </c>
      <c r="AR124" s="193">
        <v>-127.2</v>
      </c>
      <c r="AS124" s="191">
        <v>-174.5</v>
      </c>
      <c r="AT124" s="191">
        <v>-248.5</v>
      </c>
      <c r="AU124" s="192">
        <v>-193.3</v>
      </c>
      <c r="AV124" s="193">
        <v>89.1</v>
      </c>
      <c r="AW124" s="191">
        <v>85.8</v>
      </c>
      <c r="AX124" s="191">
        <v>75.900000000000006</v>
      </c>
      <c r="AY124" s="192">
        <v>-12</v>
      </c>
      <c r="AZ124" s="193">
        <v>-151</v>
      </c>
      <c r="BA124" s="191">
        <v>-331</v>
      </c>
      <c r="BB124" s="191">
        <v>-487</v>
      </c>
      <c r="BC124" s="192">
        <v>-591</v>
      </c>
      <c r="BD124" s="193">
        <v>27</v>
      </c>
      <c r="BE124" s="191">
        <v>6</v>
      </c>
      <c r="BF124" s="191">
        <v>2</v>
      </c>
      <c r="BG124" s="192">
        <v>-40</v>
      </c>
      <c r="BH124" s="193">
        <v>39</v>
      </c>
      <c r="BI124" s="191">
        <v>-171</v>
      </c>
      <c r="BJ124" s="191">
        <v>-311</v>
      </c>
      <c r="BK124" s="192">
        <v>-356</v>
      </c>
      <c r="BL124" s="193">
        <v>-59</v>
      </c>
      <c r="BM124" s="191">
        <v>-102</v>
      </c>
      <c r="BN124" s="191">
        <v>-88</v>
      </c>
      <c r="BO124" s="192">
        <v>-121</v>
      </c>
      <c r="BP124" s="193">
        <v>-128</v>
      </c>
      <c r="BQ124" s="191">
        <v>-196</v>
      </c>
      <c r="BR124" s="191">
        <v>-345</v>
      </c>
      <c r="BS124" s="192">
        <v>-357</v>
      </c>
      <c r="BT124" s="193">
        <v>-17</v>
      </c>
      <c r="BU124" s="191">
        <v>-1</v>
      </c>
      <c r="BV124" s="191">
        <v>182</v>
      </c>
      <c r="BW124" s="192">
        <v>258</v>
      </c>
      <c r="BX124" s="193">
        <v>-26</v>
      </c>
      <c r="BY124" s="191">
        <v>27</v>
      </c>
      <c r="BZ124" s="191">
        <v>38</v>
      </c>
      <c r="CA124" s="192">
        <v>83</v>
      </c>
      <c r="CB124" s="193">
        <v>190</v>
      </c>
      <c r="CC124" s="191">
        <v>188</v>
      </c>
      <c r="CD124" s="191">
        <v>117</v>
      </c>
      <c r="CE124" s="192">
        <v>194</v>
      </c>
      <c r="CF124" s="193">
        <v>7</v>
      </c>
      <c r="CG124" s="191">
        <v>78</v>
      </c>
      <c r="CH124" s="191">
        <v>75</v>
      </c>
      <c r="CI124" s="192">
        <v>116</v>
      </c>
      <c r="CJ124" s="193">
        <v>-95</v>
      </c>
      <c r="CK124" s="191">
        <v>-268</v>
      </c>
      <c r="CL124" s="191">
        <v>-580</v>
      </c>
      <c r="CM124" s="192">
        <v>-549</v>
      </c>
      <c r="CN124" s="193">
        <v>139</v>
      </c>
      <c r="CO124" s="191">
        <v>174</v>
      </c>
      <c r="CP124" s="191">
        <f>CO124</f>
        <v>174</v>
      </c>
      <c r="CQ124" s="192">
        <v>50</v>
      </c>
      <c r="CR124" s="193">
        <v>-37</v>
      </c>
      <c r="CS124" s="188">
        <f t="shared" si="970"/>
        <v>-61</v>
      </c>
      <c r="CT124" s="188">
        <f t="shared" si="971"/>
        <v>167.54934921951462</v>
      </c>
      <c r="CU124" s="189">
        <f t="shared" si="972"/>
        <v>-23.942074391596634</v>
      </c>
      <c r="CV124" s="190">
        <f t="shared" si="920"/>
        <v>-196.35675830253058</v>
      </c>
      <c r="CW124" s="188">
        <f t="shared" si="973"/>
        <v>-48.66562930051532</v>
      </c>
      <c r="CX124" s="188">
        <f t="shared" si="974"/>
        <v>-403.91420276344252</v>
      </c>
      <c r="CY124" s="189">
        <f t="shared" si="975"/>
        <v>-663.14206447628385</v>
      </c>
      <c r="CZ124" s="190">
        <f t="shared" si="921"/>
        <v>-96.787825722752586</v>
      </c>
      <c r="DA124" s="188">
        <f t="shared" si="976"/>
        <v>-222.21351741350463</v>
      </c>
      <c r="DB124" s="188">
        <f t="shared" si="977"/>
        <v>-310.25433904520241</v>
      </c>
      <c r="DC124" s="189">
        <f t="shared" si="978"/>
        <v>-421.60924242666033</v>
      </c>
      <c r="DD124" s="153"/>
      <c r="DE124" s="188">
        <f t="shared" si="979"/>
        <v>0</v>
      </c>
      <c r="DF124" s="188">
        <f t="shared" si="979"/>
        <v>0</v>
      </c>
      <c r="DG124" s="188">
        <f t="shared" ref="DG124:DN124" si="989">DG20</f>
        <v>-194.2</v>
      </c>
      <c r="DH124" s="188">
        <f t="shared" si="989"/>
        <v>140</v>
      </c>
      <c r="DI124" s="188">
        <f t="shared" si="989"/>
        <v>-42.800000000000011</v>
      </c>
      <c r="DJ124" s="188">
        <f t="shared" si="989"/>
        <v>-331.6</v>
      </c>
      <c r="DK124" s="188">
        <f t="shared" si="989"/>
        <v>-482.80000000000007</v>
      </c>
      <c r="DL124" s="188">
        <f t="shared" si="989"/>
        <v>-378.9</v>
      </c>
      <c r="DM124" s="188">
        <f t="shared" si="989"/>
        <v>-196.2</v>
      </c>
      <c r="DN124" s="188">
        <f t="shared" si="989"/>
        <v>-160.5</v>
      </c>
      <c r="DO124" s="188">
        <f t="shared" si="981"/>
        <v>-193.3</v>
      </c>
      <c r="DP124" s="188">
        <f t="shared" si="981"/>
        <v>-12</v>
      </c>
      <c r="DQ124" s="188">
        <f t="shared" si="981"/>
        <v>-591</v>
      </c>
      <c r="DR124" s="188">
        <f t="shared" ref="DR124:EB124" si="990">DR20</f>
        <v>-40</v>
      </c>
      <c r="DS124" s="188">
        <f t="shared" si="990"/>
        <v>-356</v>
      </c>
      <c r="DT124" s="188">
        <f t="shared" si="990"/>
        <v>-121</v>
      </c>
      <c r="DU124" s="188">
        <f t="shared" si="990"/>
        <v>-357</v>
      </c>
      <c r="DV124" s="188">
        <f t="shared" si="990"/>
        <v>258</v>
      </c>
      <c r="DW124" s="188">
        <f t="shared" si="990"/>
        <v>83</v>
      </c>
      <c r="DX124" s="188">
        <f t="shared" si="990"/>
        <v>194</v>
      </c>
      <c r="DY124" s="188">
        <f t="shared" si="990"/>
        <v>116</v>
      </c>
      <c r="DZ124" s="188">
        <f t="shared" si="990"/>
        <v>-549</v>
      </c>
      <c r="EA124" s="188">
        <f t="shared" si="990"/>
        <v>50</v>
      </c>
      <c r="EB124" s="188">
        <f t="shared" si="990"/>
        <v>-23.942074391596634</v>
      </c>
      <c r="EC124" s="188">
        <f t="shared" ref="EC124:ED124" si="991">EC20</f>
        <v>-663.14206447628385</v>
      </c>
      <c r="ED124" s="188">
        <f t="shared" si="991"/>
        <v>-421.60924242666033</v>
      </c>
      <c r="EE124" s="18"/>
      <c r="EF124" s="337"/>
      <c r="EG124" s="338"/>
      <c r="EH124" s="338">
        <f t="shared" ref="EH124:EO124" si="992">EH20</f>
        <v>-168.7</v>
      </c>
      <c r="EI124" s="338">
        <f t="shared" si="992"/>
        <v>130.79999999999998</v>
      </c>
      <c r="EJ124" s="338">
        <f t="shared" si="992"/>
        <v>-144.9</v>
      </c>
      <c r="EK124" s="338">
        <f t="shared" si="992"/>
        <v>-505.5</v>
      </c>
      <c r="EL124" s="338">
        <f t="shared" si="992"/>
        <v>-302.2000000000001</v>
      </c>
      <c r="EM124" s="338">
        <f t="shared" si="992"/>
        <v>-366.5</v>
      </c>
      <c r="EN124" s="338">
        <f t="shared" si="992"/>
        <v>-65.999999999999986</v>
      </c>
      <c r="EO124" s="338">
        <f t="shared" si="992"/>
        <v>-298.5</v>
      </c>
      <c r="EP124" s="338">
        <f t="shared" ref="EP124:EX124" si="993">EP20</f>
        <v>22.999999999999986</v>
      </c>
      <c r="EQ124" s="338">
        <f t="shared" si="993"/>
        <v>-252.1</v>
      </c>
      <c r="ER124" s="338">
        <f t="shared" si="993"/>
        <v>-413</v>
      </c>
      <c r="ES124" s="338">
        <f t="shared" si="993"/>
        <v>-28</v>
      </c>
      <c r="ET124" s="338">
        <f t="shared" si="993"/>
        <v>-454</v>
      </c>
      <c r="EU124" s="338">
        <f t="shared" si="993"/>
        <v>-190</v>
      </c>
      <c r="EV124" s="338">
        <f t="shared" si="993"/>
        <v>-246</v>
      </c>
      <c r="EW124" s="338">
        <f t="shared" si="993"/>
        <v>249</v>
      </c>
      <c r="EX124" s="338">
        <f t="shared" si="993"/>
        <v>299</v>
      </c>
      <c r="EY124" s="338">
        <f t="shared" si="986"/>
        <v>11</v>
      </c>
      <c r="EZ124" s="338">
        <f t="shared" ref="EZ124:FC124" si="994">EZ20</f>
        <v>14</v>
      </c>
      <c r="FA124" s="338">
        <f t="shared" si="994"/>
        <v>-315</v>
      </c>
      <c r="FB124" s="338">
        <f t="shared" si="994"/>
        <v>-126</v>
      </c>
      <c r="FC124" s="338">
        <f t="shared" si="994"/>
        <v>-183.29883269412721</v>
      </c>
      <c r="FD124" s="339">
        <f t="shared" ref="FD124" si="995">FD20</f>
        <v>-563.57313189650586</v>
      </c>
    </row>
    <row r="125" spans="1:160" ht="14.25" customHeight="1">
      <c r="A125" s="7"/>
      <c r="B125" s="48" t="s">
        <v>380</v>
      </c>
      <c r="C125" s="49"/>
      <c r="D125" s="193">
        <v>0</v>
      </c>
      <c r="E125" s="191">
        <v>0</v>
      </c>
      <c r="F125" s="191">
        <v>0</v>
      </c>
      <c r="G125" s="192">
        <v>0</v>
      </c>
      <c r="H125" s="193">
        <v>0</v>
      </c>
      <c r="I125" s="191">
        <v>0</v>
      </c>
      <c r="J125" s="191">
        <v>0</v>
      </c>
      <c r="K125" s="192">
        <v>0</v>
      </c>
      <c r="L125" s="193">
        <v>0</v>
      </c>
      <c r="M125" s="191">
        <v>0</v>
      </c>
      <c r="N125" s="191">
        <v>0</v>
      </c>
      <c r="O125" s="192">
        <v>0</v>
      </c>
      <c r="P125" s="193">
        <v>0</v>
      </c>
      <c r="Q125" s="191">
        <v>0</v>
      </c>
      <c r="R125" s="191">
        <v>0</v>
      </c>
      <c r="S125" s="192">
        <v>0</v>
      </c>
      <c r="T125" s="193">
        <v>0</v>
      </c>
      <c r="U125" s="191">
        <v>0</v>
      </c>
      <c r="V125" s="191">
        <v>0</v>
      </c>
      <c r="W125" s="192">
        <v>0</v>
      </c>
      <c r="X125" s="193">
        <v>0</v>
      </c>
      <c r="Y125" s="191">
        <v>0</v>
      </c>
      <c r="Z125" s="191">
        <v>0</v>
      </c>
      <c r="AA125" s="192">
        <v>0</v>
      </c>
      <c r="AB125" s="193">
        <v>0</v>
      </c>
      <c r="AC125" s="191">
        <v>0</v>
      </c>
      <c r="AD125" s="191">
        <v>0</v>
      </c>
      <c r="AE125" s="192">
        <v>0</v>
      </c>
      <c r="AF125" s="193">
        <v>0</v>
      </c>
      <c r="AG125" s="191">
        <v>0</v>
      </c>
      <c r="AH125" s="191">
        <v>0</v>
      </c>
      <c r="AI125" s="192">
        <v>0</v>
      </c>
      <c r="AJ125" s="193">
        <v>0</v>
      </c>
      <c r="AK125" s="191">
        <v>0</v>
      </c>
      <c r="AL125" s="191">
        <v>0</v>
      </c>
      <c r="AM125" s="192">
        <v>0</v>
      </c>
      <c r="AN125" s="193">
        <v>0</v>
      </c>
      <c r="AO125" s="191">
        <v>0</v>
      </c>
      <c r="AP125" s="191">
        <v>0</v>
      </c>
      <c r="AQ125" s="192">
        <v>0</v>
      </c>
      <c r="AR125" s="193">
        <v>0</v>
      </c>
      <c r="AS125" s="191">
        <v>0</v>
      </c>
      <c r="AT125" s="191">
        <v>0</v>
      </c>
      <c r="AU125" s="192">
        <v>0</v>
      </c>
      <c r="AV125" s="193">
        <v>0</v>
      </c>
      <c r="AW125" s="191">
        <v>0</v>
      </c>
      <c r="AX125" s="191">
        <v>0</v>
      </c>
      <c r="AY125" s="192">
        <v>0</v>
      </c>
      <c r="AZ125" s="193">
        <v>0</v>
      </c>
      <c r="BA125" s="191">
        <v>0</v>
      </c>
      <c r="BB125" s="191">
        <v>0</v>
      </c>
      <c r="BC125" s="192">
        <v>0</v>
      </c>
      <c r="BD125" s="193">
        <v>0</v>
      </c>
      <c r="BE125" s="191">
        <v>0</v>
      </c>
      <c r="BF125" s="191">
        <v>0</v>
      </c>
      <c r="BG125" s="192">
        <v>0</v>
      </c>
      <c r="BH125" s="193">
        <v>0</v>
      </c>
      <c r="BI125" s="191">
        <v>0</v>
      </c>
      <c r="BJ125" s="191">
        <v>0</v>
      </c>
      <c r="BK125" s="192">
        <v>0</v>
      </c>
      <c r="BL125" s="193">
        <v>0</v>
      </c>
      <c r="BM125" s="191">
        <v>0</v>
      </c>
      <c r="BN125" s="191">
        <v>-44</v>
      </c>
      <c r="BO125" s="192">
        <v>-45</v>
      </c>
      <c r="BP125" s="193">
        <v>0</v>
      </c>
      <c r="BQ125" s="191">
        <v>0</v>
      </c>
      <c r="BR125" s="191">
        <v>101</v>
      </c>
      <c r="BS125" s="192">
        <v>103</v>
      </c>
      <c r="BT125" s="193">
        <v>0</v>
      </c>
      <c r="BU125" s="191">
        <v>0</v>
      </c>
      <c r="BV125" s="191">
        <v>0</v>
      </c>
      <c r="BW125" s="192">
        <v>0</v>
      </c>
      <c r="BX125" s="193">
        <v>0</v>
      </c>
      <c r="BY125" s="191">
        <v>0</v>
      </c>
      <c r="BZ125" s="191">
        <v>0</v>
      </c>
      <c r="CA125" s="192">
        <v>0</v>
      </c>
      <c r="CB125" s="193">
        <v>0</v>
      </c>
      <c r="CC125" s="191">
        <v>0</v>
      </c>
      <c r="CD125" s="191">
        <v>0</v>
      </c>
      <c r="CE125" s="192">
        <v>0</v>
      </c>
      <c r="CF125" s="193">
        <v>0</v>
      </c>
      <c r="CG125" s="191">
        <v>0</v>
      </c>
      <c r="CH125" s="191">
        <v>0</v>
      </c>
      <c r="CI125" s="192">
        <v>0</v>
      </c>
      <c r="CJ125" s="193">
        <v>0</v>
      </c>
      <c r="CK125" s="191">
        <v>0</v>
      </c>
      <c r="CL125" s="191">
        <v>0</v>
      </c>
      <c r="CM125" s="192">
        <v>0</v>
      </c>
      <c r="CN125" s="193">
        <v>0</v>
      </c>
      <c r="CO125" s="191">
        <v>0</v>
      </c>
      <c r="CP125" s="191"/>
      <c r="CQ125" s="192">
        <v>0</v>
      </c>
      <c r="CR125" s="193">
        <v>0</v>
      </c>
      <c r="CS125" s="188">
        <f t="shared" si="970"/>
        <v>0</v>
      </c>
      <c r="CT125" s="188">
        <f t="shared" si="971"/>
        <v>0</v>
      </c>
      <c r="CU125" s="189">
        <f t="shared" si="972"/>
        <v>0</v>
      </c>
      <c r="CV125" s="190">
        <f t="shared" si="920"/>
        <v>0</v>
      </c>
      <c r="CW125" s="188">
        <f t="shared" si="973"/>
        <v>0</v>
      </c>
      <c r="CX125" s="188">
        <f t="shared" si="974"/>
        <v>0</v>
      </c>
      <c r="CY125" s="189">
        <f t="shared" si="975"/>
        <v>0</v>
      </c>
      <c r="CZ125" s="190">
        <f t="shared" si="921"/>
        <v>0</v>
      </c>
      <c r="DA125" s="188">
        <f t="shared" si="976"/>
        <v>0</v>
      </c>
      <c r="DB125" s="188">
        <f t="shared" si="977"/>
        <v>0</v>
      </c>
      <c r="DC125" s="189">
        <f t="shared" si="978"/>
        <v>0</v>
      </c>
      <c r="DD125" s="153"/>
      <c r="DE125" s="188">
        <f t="shared" si="979"/>
        <v>0</v>
      </c>
      <c r="DF125" s="188">
        <f t="shared" si="979"/>
        <v>0</v>
      </c>
      <c r="DG125" s="188">
        <f t="shared" ref="DG125:DN125" si="996">DG21</f>
        <v>0</v>
      </c>
      <c r="DH125" s="188">
        <f t="shared" si="996"/>
        <v>0</v>
      </c>
      <c r="DI125" s="188">
        <f t="shared" si="996"/>
        <v>0</v>
      </c>
      <c r="DJ125" s="188">
        <f t="shared" si="996"/>
        <v>0</v>
      </c>
      <c r="DK125" s="188">
        <f t="shared" si="996"/>
        <v>0</v>
      </c>
      <c r="DL125" s="188">
        <f t="shared" si="996"/>
        <v>0</v>
      </c>
      <c r="DM125" s="188">
        <f t="shared" si="996"/>
        <v>0</v>
      </c>
      <c r="DN125" s="188">
        <f t="shared" si="996"/>
        <v>0</v>
      </c>
      <c r="DO125" s="188">
        <f t="shared" si="981"/>
        <v>0</v>
      </c>
      <c r="DP125" s="188">
        <f t="shared" si="981"/>
        <v>0</v>
      </c>
      <c r="DQ125" s="188">
        <f t="shared" si="981"/>
        <v>0</v>
      </c>
      <c r="DR125" s="188">
        <f t="shared" ref="DR125:EB125" si="997">DR21</f>
        <v>0</v>
      </c>
      <c r="DS125" s="188">
        <f t="shared" si="997"/>
        <v>0</v>
      </c>
      <c r="DT125" s="188">
        <f t="shared" si="997"/>
        <v>-45</v>
      </c>
      <c r="DU125" s="188">
        <f t="shared" si="997"/>
        <v>103</v>
      </c>
      <c r="DV125" s="188">
        <f t="shared" si="997"/>
        <v>0</v>
      </c>
      <c r="DW125" s="188">
        <f t="shared" si="997"/>
        <v>0</v>
      </c>
      <c r="DX125" s="188">
        <f t="shared" si="997"/>
        <v>0</v>
      </c>
      <c r="DY125" s="188">
        <f t="shared" si="997"/>
        <v>0</v>
      </c>
      <c r="DZ125" s="188">
        <f t="shared" si="997"/>
        <v>0</v>
      </c>
      <c r="EA125" s="188">
        <f t="shared" si="997"/>
        <v>0</v>
      </c>
      <c r="EB125" s="188">
        <f t="shared" si="997"/>
        <v>0</v>
      </c>
      <c r="EC125" s="188">
        <f t="shared" ref="EC125:ED125" si="998">EC21</f>
        <v>0</v>
      </c>
      <c r="ED125" s="188">
        <f t="shared" si="998"/>
        <v>0</v>
      </c>
      <c r="EE125" s="18"/>
      <c r="EF125" s="337"/>
      <c r="EG125" s="338"/>
      <c r="EH125" s="338">
        <f t="shared" ref="EH125:EO125" si="999">EH21</f>
        <v>0</v>
      </c>
      <c r="EI125" s="338">
        <f t="shared" si="999"/>
        <v>0</v>
      </c>
      <c r="EJ125" s="338">
        <f t="shared" si="999"/>
        <v>0</v>
      </c>
      <c r="EK125" s="338">
        <f t="shared" si="999"/>
        <v>0</v>
      </c>
      <c r="EL125" s="338">
        <f t="shared" si="999"/>
        <v>0</v>
      </c>
      <c r="EM125" s="338">
        <f t="shared" si="999"/>
        <v>0</v>
      </c>
      <c r="EN125" s="338">
        <f t="shared" si="999"/>
        <v>0</v>
      </c>
      <c r="EO125" s="338">
        <f t="shared" si="999"/>
        <v>0</v>
      </c>
      <c r="EP125" s="338">
        <f t="shared" ref="EP125:EX125" si="1000">EP21</f>
        <v>0</v>
      </c>
      <c r="EQ125" s="338">
        <f t="shared" si="1000"/>
        <v>0</v>
      </c>
      <c r="ER125" s="338">
        <f t="shared" si="1000"/>
        <v>0</v>
      </c>
      <c r="ES125" s="338">
        <f t="shared" si="1000"/>
        <v>0</v>
      </c>
      <c r="ET125" s="338">
        <f t="shared" si="1000"/>
        <v>0</v>
      </c>
      <c r="EU125" s="338">
        <f t="shared" si="1000"/>
        <v>-45</v>
      </c>
      <c r="EV125" s="338">
        <f t="shared" si="1000"/>
        <v>103</v>
      </c>
      <c r="EW125" s="338">
        <f t="shared" si="1000"/>
        <v>0</v>
      </c>
      <c r="EX125" s="338">
        <f t="shared" si="1000"/>
        <v>0</v>
      </c>
      <c r="EY125" s="338">
        <f t="shared" si="986"/>
        <v>0</v>
      </c>
      <c r="EZ125" s="338">
        <f t="shared" ref="EZ125:FC125" si="1001">EZ21</f>
        <v>0</v>
      </c>
      <c r="FA125" s="338">
        <f t="shared" si="1001"/>
        <v>0</v>
      </c>
      <c r="FB125" s="338">
        <f t="shared" si="1001"/>
        <v>0</v>
      </c>
      <c r="FC125" s="338">
        <f t="shared" si="1001"/>
        <v>0</v>
      </c>
      <c r="FD125" s="339">
        <f t="shared" ref="FD125" si="1002">FD21</f>
        <v>0</v>
      </c>
    </row>
    <row r="126" spans="1:160" ht="14.25" customHeight="1">
      <c r="A126" s="7"/>
      <c r="B126" s="48" t="s">
        <v>331</v>
      </c>
      <c r="C126" s="49"/>
      <c r="D126" s="193">
        <v>0</v>
      </c>
      <c r="E126" s="191">
        <v>0</v>
      </c>
      <c r="F126" s="191">
        <v>0</v>
      </c>
      <c r="G126" s="192">
        <v>0</v>
      </c>
      <c r="H126" s="193">
        <v>0</v>
      </c>
      <c r="I126" s="191">
        <v>0</v>
      </c>
      <c r="J126" s="191">
        <v>0</v>
      </c>
      <c r="K126" s="192">
        <v>0</v>
      </c>
      <c r="L126" s="193">
        <v>0</v>
      </c>
      <c r="M126" s="191">
        <v>0</v>
      </c>
      <c r="N126" s="191">
        <v>0</v>
      </c>
      <c r="O126" s="192">
        <v>0</v>
      </c>
      <c r="P126" s="193">
        <v>0</v>
      </c>
      <c r="Q126" s="191">
        <v>0</v>
      </c>
      <c r="R126" s="191">
        <v>0</v>
      </c>
      <c r="S126" s="192">
        <v>0</v>
      </c>
      <c r="T126" s="193">
        <v>0</v>
      </c>
      <c r="U126" s="191">
        <v>0</v>
      </c>
      <c r="V126" s="191">
        <v>0</v>
      </c>
      <c r="W126" s="192">
        <v>0</v>
      </c>
      <c r="X126" s="193">
        <v>0</v>
      </c>
      <c r="Y126" s="191">
        <v>0</v>
      </c>
      <c r="Z126" s="191">
        <v>0</v>
      </c>
      <c r="AA126" s="192">
        <v>0</v>
      </c>
      <c r="AB126" s="193">
        <v>0</v>
      </c>
      <c r="AC126" s="191">
        <v>0</v>
      </c>
      <c r="AD126" s="191">
        <v>0</v>
      </c>
      <c r="AE126" s="192">
        <v>0</v>
      </c>
      <c r="AF126" s="193">
        <v>0</v>
      </c>
      <c r="AG126" s="191">
        <v>0</v>
      </c>
      <c r="AH126" s="191">
        <v>0</v>
      </c>
      <c r="AI126" s="192">
        <v>0</v>
      </c>
      <c r="AJ126" s="193">
        <v>0</v>
      </c>
      <c r="AK126" s="191">
        <v>0</v>
      </c>
      <c r="AL126" s="191">
        <v>0</v>
      </c>
      <c r="AM126" s="192">
        <v>0</v>
      </c>
      <c r="AN126" s="193">
        <v>0</v>
      </c>
      <c r="AO126" s="191">
        <v>0</v>
      </c>
      <c r="AP126" s="191">
        <v>0</v>
      </c>
      <c r="AQ126" s="192">
        <v>0</v>
      </c>
      <c r="AR126" s="193">
        <v>0</v>
      </c>
      <c r="AS126" s="191">
        <v>0</v>
      </c>
      <c r="AT126" s="191">
        <v>0</v>
      </c>
      <c r="AU126" s="192">
        <v>0</v>
      </c>
      <c r="AV126" s="193">
        <v>0</v>
      </c>
      <c r="AW126" s="191">
        <v>0</v>
      </c>
      <c r="AX126" s="191">
        <v>0</v>
      </c>
      <c r="AY126" s="192">
        <v>0</v>
      </c>
      <c r="AZ126" s="193">
        <v>0</v>
      </c>
      <c r="BA126" s="191">
        <v>0</v>
      </c>
      <c r="BB126" s="191">
        <v>0</v>
      </c>
      <c r="BC126" s="192">
        <v>0</v>
      </c>
      <c r="BD126" s="193">
        <v>0</v>
      </c>
      <c r="BE126" s="191">
        <v>0</v>
      </c>
      <c r="BF126" s="191">
        <v>0</v>
      </c>
      <c r="BG126" s="192">
        <v>0</v>
      </c>
      <c r="BH126" s="193">
        <v>0</v>
      </c>
      <c r="BI126" s="191">
        <v>0</v>
      </c>
      <c r="BJ126" s="191">
        <v>0</v>
      </c>
      <c r="BK126" s="192">
        <v>0</v>
      </c>
      <c r="BL126" s="193">
        <v>0</v>
      </c>
      <c r="BM126" s="191">
        <v>0</v>
      </c>
      <c r="BN126" s="191">
        <v>0</v>
      </c>
      <c r="BO126" s="192">
        <v>0</v>
      </c>
      <c r="BP126" s="193">
        <v>0</v>
      </c>
      <c r="BQ126" s="191">
        <v>0</v>
      </c>
      <c r="BR126" s="191">
        <v>0</v>
      </c>
      <c r="BS126" s="192">
        <v>0</v>
      </c>
      <c r="BT126" s="193">
        <v>0</v>
      </c>
      <c r="BU126" s="191">
        <v>0</v>
      </c>
      <c r="BV126" s="191">
        <v>0</v>
      </c>
      <c r="BW126" s="192">
        <v>0</v>
      </c>
      <c r="BX126" s="193">
        <v>0</v>
      </c>
      <c r="BY126" s="191">
        <v>0</v>
      </c>
      <c r="BZ126" s="191">
        <v>0</v>
      </c>
      <c r="CA126" s="192">
        <v>0</v>
      </c>
      <c r="CB126" s="193">
        <v>0</v>
      </c>
      <c r="CC126" s="191">
        <v>0</v>
      </c>
      <c r="CD126" s="191">
        <v>0</v>
      </c>
      <c r="CE126" s="192">
        <v>0</v>
      </c>
      <c r="CF126" s="193">
        <v>0</v>
      </c>
      <c r="CG126" s="191">
        <v>0</v>
      </c>
      <c r="CH126" s="191">
        <v>0</v>
      </c>
      <c r="CI126" s="192">
        <v>0</v>
      </c>
      <c r="CJ126" s="193">
        <v>0</v>
      </c>
      <c r="CK126" s="191">
        <v>0</v>
      </c>
      <c r="CL126" s="191">
        <v>0</v>
      </c>
      <c r="CM126" s="192">
        <v>0</v>
      </c>
      <c r="CN126" s="193">
        <v>0</v>
      </c>
      <c r="CO126" s="191">
        <v>0</v>
      </c>
      <c r="CP126" s="191"/>
      <c r="CQ126" s="192">
        <v>0</v>
      </c>
      <c r="CR126" s="193">
        <v>0</v>
      </c>
      <c r="CS126" s="188">
        <f t="shared" si="970"/>
        <v>-272</v>
      </c>
      <c r="CT126" s="188">
        <f t="shared" si="971"/>
        <v>-272</v>
      </c>
      <c r="CU126" s="189">
        <f t="shared" si="972"/>
        <v>-272</v>
      </c>
      <c r="CV126" s="190">
        <f t="shared" si="920"/>
        <v>0</v>
      </c>
      <c r="CW126" s="188">
        <f t="shared" si="973"/>
        <v>0</v>
      </c>
      <c r="CX126" s="188">
        <f t="shared" si="974"/>
        <v>0</v>
      </c>
      <c r="CY126" s="189">
        <f t="shared" si="975"/>
        <v>0</v>
      </c>
      <c r="CZ126" s="190">
        <f t="shared" si="921"/>
        <v>0</v>
      </c>
      <c r="DA126" s="188">
        <f t="shared" si="976"/>
        <v>0</v>
      </c>
      <c r="DB126" s="188">
        <f t="shared" si="977"/>
        <v>0</v>
      </c>
      <c r="DC126" s="189">
        <f t="shared" si="978"/>
        <v>0</v>
      </c>
      <c r="DD126" s="153"/>
      <c r="DE126" s="188">
        <f t="shared" si="979"/>
        <v>0</v>
      </c>
      <c r="DF126" s="188">
        <f t="shared" si="979"/>
        <v>0</v>
      </c>
      <c r="DG126" s="188">
        <f t="shared" ref="DG126:DN126" si="1003">DG22</f>
        <v>0</v>
      </c>
      <c r="DH126" s="188">
        <f t="shared" si="1003"/>
        <v>0</v>
      </c>
      <c r="DI126" s="188">
        <f t="shared" si="1003"/>
        <v>0</v>
      </c>
      <c r="DJ126" s="188">
        <f t="shared" si="1003"/>
        <v>0</v>
      </c>
      <c r="DK126" s="188">
        <f t="shared" si="1003"/>
        <v>0</v>
      </c>
      <c r="DL126" s="188">
        <f t="shared" si="1003"/>
        <v>0</v>
      </c>
      <c r="DM126" s="188">
        <f t="shared" si="1003"/>
        <v>0</v>
      </c>
      <c r="DN126" s="188">
        <f t="shared" si="1003"/>
        <v>0</v>
      </c>
      <c r="DO126" s="188">
        <f t="shared" si="981"/>
        <v>0</v>
      </c>
      <c r="DP126" s="188">
        <f t="shared" si="981"/>
        <v>0</v>
      </c>
      <c r="DQ126" s="188">
        <f t="shared" si="981"/>
        <v>0</v>
      </c>
      <c r="DR126" s="188">
        <f t="shared" ref="DR126:EB126" si="1004">DR22</f>
        <v>0</v>
      </c>
      <c r="DS126" s="188">
        <f t="shared" si="1004"/>
        <v>0</v>
      </c>
      <c r="DT126" s="188">
        <f t="shared" si="1004"/>
        <v>0</v>
      </c>
      <c r="DU126" s="188">
        <f t="shared" si="1004"/>
        <v>0</v>
      </c>
      <c r="DV126" s="188">
        <f t="shared" si="1004"/>
        <v>0</v>
      </c>
      <c r="DW126" s="188">
        <f t="shared" si="1004"/>
        <v>0</v>
      </c>
      <c r="DX126" s="188">
        <f t="shared" si="1004"/>
        <v>0</v>
      </c>
      <c r="DY126" s="188">
        <f t="shared" si="1004"/>
        <v>0</v>
      </c>
      <c r="DZ126" s="188">
        <f t="shared" si="1004"/>
        <v>0</v>
      </c>
      <c r="EA126" s="188">
        <f t="shared" si="1004"/>
        <v>0</v>
      </c>
      <c r="EB126" s="188">
        <f t="shared" si="1004"/>
        <v>-272</v>
      </c>
      <c r="EC126" s="188">
        <f t="shared" ref="EC126:ED126" si="1005">EC22</f>
        <v>0</v>
      </c>
      <c r="ED126" s="188">
        <f t="shared" si="1005"/>
        <v>0</v>
      </c>
      <c r="EE126" s="18"/>
      <c r="EF126" s="337"/>
      <c r="EG126" s="338"/>
      <c r="EH126" s="338">
        <f t="shared" ref="EH126:EO126" si="1006">EH22</f>
        <v>0</v>
      </c>
      <c r="EI126" s="338">
        <f t="shared" si="1006"/>
        <v>0</v>
      </c>
      <c r="EJ126" s="338">
        <f t="shared" si="1006"/>
        <v>0</v>
      </c>
      <c r="EK126" s="338">
        <f t="shared" si="1006"/>
        <v>0</v>
      </c>
      <c r="EL126" s="338">
        <f t="shared" si="1006"/>
        <v>0</v>
      </c>
      <c r="EM126" s="338">
        <f t="shared" si="1006"/>
        <v>0</v>
      </c>
      <c r="EN126" s="338">
        <f t="shared" si="1006"/>
        <v>0</v>
      </c>
      <c r="EO126" s="338">
        <f t="shared" si="1006"/>
        <v>0</v>
      </c>
      <c r="EP126" s="338">
        <f t="shared" ref="EP126:EX126" si="1007">EP22</f>
        <v>0</v>
      </c>
      <c r="EQ126" s="338">
        <f t="shared" si="1007"/>
        <v>0</v>
      </c>
      <c r="ER126" s="338">
        <f t="shared" si="1007"/>
        <v>0</v>
      </c>
      <c r="ES126" s="338">
        <f t="shared" si="1007"/>
        <v>0</v>
      </c>
      <c r="ET126" s="338">
        <f t="shared" si="1007"/>
        <v>0</v>
      </c>
      <c r="EU126" s="338">
        <f t="shared" si="1007"/>
        <v>0</v>
      </c>
      <c r="EV126" s="338">
        <f t="shared" si="1007"/>
        <v>0</v>
      </c>
      <c r="EW126" s="338">
        <f t="shared" si="1007"/>
        <v>0</v>
      </c>
      <c r="EX126" s="338">
        <f t="shared" si="1007"/>
        <v>0</v>
      </c>
      <c r="EY126" s="338">
        <f t="shared" si="986"/>
        <v>0</v>
      </c>
      <c r="EZ126" s="338">
        <f t="shared" ref="EZ126:FC126" si="1008">EZ22</f>
        <v>0</v>
      </c>
      <c r="FA126" s="338">
        <f t="shared" si="1008"/>
        <v>0</v>
      </c>
      <c r="FB126" s="338">
        <f t="shared" si="1008"/>
        <v>0</v>
      </c>
      <c r="FC126" s="338">
        <f t="shared" si="1008"/>
        <v>-272</v>
      </c>
      <c r="FD126" s="339">
        <f t="shared" ref="FD126" si="1009">FD22</f>
        <v>0</v>
      </c>
    </row>
    <row r="127" spans="1:160" ht="14.25" customHeight="1">
      <c r="A127" s="7"/>
      <c r="B127" s="48" t="s">
        <v>293</v>
      </c>
      <c r="C127" s="49"/>
      <c r="D127" s="193">
        <v>0</v>
      </c>
      <c r="E127" s="191">
        <v>0</v>
      </c>
      <c r="F127" s="191">
        <v>0</v>
      </c>
      <c r="G127" s="192">
        <v>0</v>
      </c>
      <c r="H127" s="193">
        <v>0</v>
      </c>
      <c r="I127" s="191">
        <v>0</v>
      </c>
      <c r="J127" s="191">
        <v>0</v>
      </c>
      <c r="K127" s="192">
        <v>0</v>
      </c>
      <c r="L127" s="193">
        <v>3.4</v>
      </c>
      <c r="M127" s="191">
        <v>97.9</v>
      </c>
      <c r="N127" s="191">
        <v>42.4</v>
      </c>
      <c r="O127" s="192">
        <v>120.3</v>
      </c>
      <c r="P127" s="193">
        <v>59.1</v>
      </c>
      <c r="Q127" s="191">
        <v>31</v>
      </c>
      <c r="R127" s="191">
        <v>-45</v>
      </c>
      <c r="S127" s="192">
        <v>-86.1</v>
      </c>
      <c r="T127" s="193">
        <v>65.8</v>
      </c>
      <c r="U127" s="191">
        <v>15.5</v>
      </c>
      <c r="V127" s="191">
        <v>41.9</v>
      </c>
      <c r="W127" s="192">
        <v>142.4</v>
      </c>
      <c r="X127" s="193">
        <v>219.7</v>
      </c>
      <c r="Y127" s="191">
        <v>115.8</v>
      </c>
      <c r="Z127" s="191">
        <v>134</v>
      </c>
      <c r="AA127" s="192">
        <v>596.70000000000005</v>
      </c>
      <c r="AB127" s="193">
        <v>-124.4</v>
      </c>
      <c r="AC127" s="191">
        <v>-480</v>
      </c>
      <c r="AD127" s="191">
        <v>-664.1</v>
      </c>
      <c r="AE127" s="192">
        <v>-702.4</v>
      </c>
      <c r="AF127" s="193">
        <v>-9.5</v>
      </c>
      <c r="AG127" s="191">
        <v>-62.4</v>
      </c>
      <c r="AH127" s="191">
        <v>-6.7</v>
      </c>
      <c r="AI127" s="192">
        <v>39.9</v>
      </c>
      <c r="AJ127" s="193">
        <v>35.200000000000003</v>
      </c>
      <c r="AK127" s="191">
        <v>64.8</v>
      </c>
      <c r="AL127" s="191">
        <v>71.400000000000006</v>
      </c>
      <c r="AM127" s="192">
        <v>98.8</v>
      </c>
      <c r="AN127" s="193">
        <v>14.7</v>
      </c>
      <c r="AO127" s="191">
        <v>-4.8</v>
      </c>
      <c r="AP127" s="191">
        <v>-19.600000000000001</v>
      </c>
      <c r="AQ127" s="192">
        <v>30.1</v>
      </c>
      <c r="AR127" s="193">
        <v>26.6</v>
      </c>
      <c r="AS127" s="191">
        <v>26.8</v>
      </c>
      <c r="AT127" s="191">
        <v>59.1</v>
      </c>
      <c r="AU127" s="192">
        <v>11.1</v>
      </c>
      <c r="AV127" s="193">
        <v>16</v>
      </c>
      <c r="AW127" s="191">
        <v>127.5</v>
      </c>
      <c r="AX127" s="191">
        <v>79.900000000000006</v>
      </c>
      <c r="AY127" s="192">
        <v>130</v>
      </c>
      <c r="AZ127" s="193">
        <v>72</v>
      </c>
      <c r="BA127" s="191">
        <v>62</v>
      </c>
      <c r="BB127" s="191">
        <v>-56</v>
      </c>
      <c r="BC127" s="192">
        <v>-1</v>
      </c>
      <c r="BD127" s="193">
        <v>-6</v>
      </c>
      <c r="BE127" s="191">
        <v>-68</v>
      </c>
      <c r="BF127" s="191">
        <v>-48</v>
      </c>
      <c r="BG127" s="192">
        <v>-92</v>
      </c>
      <c r="BH127" s="193">
        <v>-67</v>
      </c>
      <c r="BI127" s="191">
        <v>-102</v>
      </c>
      <c r="BJ127" s="191">
        <v>-6</v>
      </c>
      <c r="BK127" s="192">
        <v>107</v>
      </c>
      <c r="BL127" s="193">
        <v>66</v>
      </c>
      <c r="BM127" s="191">
        <v>66</v>
      </c>
      <c r="BN127" s="191">
        <v>165</v>
      </c>
      <c r="BO127" s="192">
        <v>54</v>
      </c>
      <c r="BP127" s="193">
        <v>-192</v>
      </c>
      <c r="BQ127" s="191">
        <v>94</v>
      </c>
      <c r="BR127" s="191">
        <v>40</v>
      </c>
      <c r="BS127" s="192">
        <v>-84</v>
      </c>
      <c r="BT127" s="193">
        <v>-97</v>
      </c>
      <c r="BU127" s="191">
        <v>-40</v>
      </c>
      <c r="BV127" s="191">
        <v>-101</v>
      </c>
      <c r="BW127" s="192">
        <v>-83</v>
      </c>
      <c r="BX127" s="193">
        <v>-109</v>
      </c>
      <c r="BY127" s="191">
        <v>-189</v>
      </c>
      <c r="BZ127" s="191">
        <v>42</v>
      </c>
      <c r="CA127" s="192">
        <v>143</v>
      </c>
      <c r="CB127" s="193">
        <v>408</v>
      </c>
      <c r="CC127" s="191">
        <v>489</v>
      </c>
      <c r="CD127" s="191">
        <v>575</v>
      </c>
      <c r="CE127" s="192">
        <v>671</v>
      </c>
      <c r="CF127" s="193">
        <v>-321</v>
      </c>
      <c r="CG127" s="191">
        <v>-488</v>
      </c>
      <c r="CH127" s="191">
        <v>-533</v>
      </c>
      <c r="CI127" s="192">
        <v>-691</v>
      </c>
      <c r="CJ127" s="193">
        <v>2</v>
      </c>
      <c r="CK127" s="191">
        <v>-67</v>
      </c>
      <c r="CL127" s="191">
        <v>3</v>
      </c>
      <c r="CM127" s="192">
        <v>272</v>
      </c>
      <c r="CN127" s="193">
        <v>299</v>
      </c>
      <c r="CO127" s="191">
        <v>399</v>
      </c>
      <c r="CP127" s="191">
        <f>CO127</f>
        <v>399</v>
      </c>
      <c r="CQ127" s="192">
        <v>564</v>
      </c>
      <c r="CR127" s="193">
        <v>-261</v>
      </c>
      <c r="CS127" s="188">
        <f t="shared" si="970"/>
        <v>167</v>
      </c>
      <c r="CT127" s="188">
        <f t="shared" si="971"/>
        <v>-170.66937336180399</v>
      </c>
      <c r="CU127" s="189">
        <f t="shared" si="972"/>
        <v>79.19243414801258</v>
      </c>
      <c r="CV127" s="190">
        <f t="shared" si="920"/>
        <v>141.76372974570222</v>
      </c>
      <c r="CW127" s="188">
        <f t="shared" si="973"/>
        <v>-45.890881221564541</v>
      </c>
      <c r="CX127" s="188">
        <f t="shared" si="974"/>
        <v>405.48377682544924</v>
      </c>
      <c r="CY127" s="189">
        <f t="shared" si="975"/>
        <v>734.85564817823524</v>
      </c>
      <c r="CZ127" s="190">
        <f t="shared" si="921"/>
        <v>122.97747268302646</v>
      </c>
      <c r="DA127" s="188">
        <f t="shared" si="976"/>
        <v>282.34188094892397</v>
      </c>
      <c r="DB127" s="188">
        <f t="shared" si="977"/>
        <v>394.20551313978649</v>
      </c>
      <c r="DC127" s="189">
        <f t="shared" si="978"/>
        <v>535.69174331857994</v>
      </c>
      <c r="DD127" s="153"/>
      <c r="DE127" s="188">
        <f t="shared" si="979"/>
        <v>0</v>
      </c>
      <c r="DF127" s="188">
        <f t="shared" si="979"/>
        <v>0</v>
      </c>
      <c r="DG127" s="188">
        <f t="shared" ref="DG127:DN127" si="1010">DG23</f>
        <v>120.30000000000001</v>
      </c>
      <c r="DH127" s="188">
        <f t="shared" si="1010"/>
        <v>-86.1</v>
      </c>
      <c r="DI127" s="188">
        <f t="shared" si="1010"/>
        <v>142.4</v>
      </c>
      <c r="DJ127" s="188">
        <f t="shared" si="1010"/>
        <v>596.70000000000005</v>
      </c>
      <c r="DK127" s="188">
        <f t="shared" si="1010"/>
        <v>-702.4</v>
      </c>
      <c r="DL127" s="188">
        <f t="shared" si="1010"/>
        <v>39.9</v>
      </c>
      <c r="DM127" s="188">
        <f t="shared" si="1010"/>
        <v>98.8</v>
      </c>
      <c r="DN127" s="188">
        <f t="shared" si="1010"/>
        <v>30.1</v>
      </c>
      <c r="DO127" s="188">
        <f t="shared" si="981"/>
        <v>11.100000000000009</v>
      </c>
      <c r="DP127" s="188">
        <f t="shared" si="981"/>
        <v>130</v>
      </c>
      <c r="DQ127" s="188">
        <f t="shared" si="981"/>
        <v>-1</v>
      </c>
      <c r="DR127" s="188">
        <f t="shared" ref="DR127:EB127" si="1011">DR23</f>
        <v>-92</v>
      </c>
      <c r="DS127" s="188">
        <f t="shared" si="1011"/>
        <v>107</v>
      </c>
      <c r="DT127" s="188">
        <f t="shared" si="1011"/>
        <v>54</v>
      </c>
      <c r="DU127" s="188">
        <f t="shared" si="1011"/>
        <v>-84</v>
      </c>
      <c r="DV127" s="188">
        <f t="shared" si="1011"/>
        <v>-83</v>
      </c>
      <c r="DW127" s="188">
        <f t="shared" si="1011"/>
        <v>143</v>
      </c>
      <c r="DX127" s="188">
        <f t="shared" si="1011"/>
        <v>671</v>
      </c>
      <c r="DY127" s="188">
        <f t="shared" si="1011"/>
        <v>-691</v>
      </c>
      <c r="DZ127" s="188">
        <f t="shared" si="1011"/>
        <v>272</v>
      </c>
      <c r="EA127" s="188">
        <f t="shared" si="1011"/>
        <v>564</v>
      </c>
      <c r="EB127" s="188">
        <f t="shared" si="1011"/>
        <v>79.19243414801258</v>
      </c>
      <c r="EC127" s="188">
        <f t="shared" ref="EC127:ED127" si="1012">EC23</f>
        <v>734.85564817823524</v>
      </c>
      <c r="ED127" s="188">
        <f t="shared" si="1012"/>
        <v>535.69174331857994</v>
      </c>
      <c r="EE127" s="18"/>
      <c r="EF127" s="337"/>
      <c r="EG127" s="338"/>
      <c r="EH127" s="338">
        <f t="shared" ref="EH127:EO127" si="1013">EH23</f>
        <v>176</v>
      </c>
      <c r="EI127" s="338">
        <f t="shared" si="1013"/>
        <v>-79.399999999999991</v>
      </c>
      <c r="EJ127" s="338">
        <f t="shared" si="1013"/>
        <v>296.3</v>
      </c>
      <c r="EK127" s="338">
        <f t="shared" si="1013"/>
        <v>252.6</v>
      </c>
      <c r="EL127" s="338">
        <f t="shared" si="1013"/>
        <v>-587.5</v>
      </c>
      <c r="EM127" s="338">
        <f t="shared" si="1013"/>
        <v>84.6</v>
      </c>
      <c r="EN127" s="338">
        <f t="shared" si="1013"/>
        <v>78.3</v>
      </c>
      <c r="EO127" s="338">
        <f t="shared" si="1013"/>
        <v>42.000000000000007</v>
      </c>
      <c r="EP127" s="338">
        <f t="shared" ref="EP127:EX127" si="1014">EP23</f>
        <v>0.5</v>
      </c>
      <c r="EQ127" s="338">
        <f t="shared" si="1014"/>
        <v>186</v>
      </c>
      <c r="ER127" s="338">
        <f t="shared" si="1014"/>
        <v>-79</v>
      </c>
      <c r="ES127" s="338">
        <f t="shared" si="1014"/>
        <v>-153</v>
      </c>
      <c r="ET127" s="338">
        <f t="shared" si="1014"/>
        <v>240</v>
      </c>
      <c r="EU127" s="338">
        <f t="shared" si="1014"/>
        <v>-204</v>
      </c>
      <c r="EV127" s="338">
        <f t="shared" si="1014"/>
        <v>11</v>
      </c>
      <c r="EW127" s="338">
        <f t="shared" si="1014"/>
        <v>-95</v>
      </c>
      <c r="EX127" s="338">
        <f t="shared" si="1014"/>
        <v>660</v>
      </c>
      <c r="EY127" s="338">
        <f t="shared" si="986"/>
        <v>-58</v>
      </c>
      <c r="EZ127" s="338">
        <f t="shared" ref="EZ127:FC127" si="1015">EZ23</f>
        <v>-368</v>
      </c>
      <c r="FA127" s="338">
        <f t="shared" si="1015"/>
        <v>569</v>
      </c>
      <c r="FB127" s="338">
        <f t="shared" si="1015"/>
        <v>4</v>
      </c>
      <c r="FC127" s="338">
        <f t="shared" si="1015"/>
        <v>481.9561638937148</v>
      </c>
      <c r="FD127" s="339">
        <f t="shared" ref="FD127" si="1016">FD23</f>
        <v>716.06939111555948</v>
      </c>
    </row>
    <row r="128" spans="1:160" ht="14.25" customHeight="1">
      <c r="A128" s="7"/>
      <c r="B128" s="48" t="s">
        <v>382</v>
      </c>
      <c r="C128" s="49"/>
      <c r="D128" s="193">
        <v>0</v>
      </c>
      <c r="E128" s="191">
        <v>0</v>
      </c>
      <c r="F128" s="191">
        <v>0</v>
      </c>
      <c r="G128" s="192">
        <v>0</v>
      </c>
      <c r="H128" s="193">
        <v>0</v>
      </c>
      <c r="I128" s="191">
        <v>0</v>
      </c>
      <c r="J128" s="191">
        <v>0</v>
      </c>
      <c r="K128" s="192">
        <v>0</v>
      </c>
      <c r="L128" s="193">
        <v>0</v>
      </c>
      <c r="M128" s="191">
        <v>0</v>
      </c>
      <c r="N128" s="191">
        <v>0</v>
      </c>
      <c r="O128" s="192">
        <v>0</v>
      </c>
      <c r="P128" s="193">
        <v>0</v>
      </c>
      <c r="Q128" s="191">
        <v>0</v>
      </c>
      <c r="R128" s="191">
        <v>0</v>
      </c>
      <c r="S128" s="192">
        <v>0</v>
      </c>
      <c r="T128" s="193">
        <v>0</v>
      </c>
      <c r="U128" s="191">
        <v>0</v>
      </c>
      <c r="V128" s="191">
        <v>0</v>
      </c>
      <c r="W128" s="192">
        <v>0</v>
      </c>
      <c r="X128" s="193">
        <v>0</v>
      </c>
      <c r="Y128" s="191">
        <v>0</v>
      </c>
      <c r="Z128" s="191">
        <v>0</v>
      </c>
      <c r="AA128" s="192">
        <v>0</v>
      </c>
      <c r="AB128" s="193">
        <v>0</v>
      </c>
      <c r="AC128" s="191">
        <v>0</v>
      </c>
      <c r="AD128" s="191">
        <v>0</v>
      </c>
      <c r="AE128" s="192">
        <v>0</v>
      </c>
      <c r="AF128" s="193">
        <v>0</v>
      </c>
      <c r="AG128" s="191">
        <v>0</v>
      </c>
      <c r="AH128" s="191">
        <v>0</v>
      </c>
      <c r="AI128" s="192">
        <v>0</v>
      </c>
      <c r="AJ128" s="193">
        <v>0</v>
      </c>
      <c r="AK128" s="191">
        <v>0</v>
      </c>
      <c r="AL128" s="191">
        <v>0</v>
      </c>
      <c r="AM128" s="192">
        <v>0</v>
      </c>
      <c r="AN128" s="193">
        <v>0</v>
      </c>
      <c r="AO128" s="191">
        <v>0</v>
      </c>
      <c r="AP128" s="191">
        <v>0</v>
      </c>
      <c r="AQ128" s="192">
        <v>0</v>
      </c>
      <c r="AR128" s="193">
        <v>0</v>
      </c>
      <c r="AS128" s="191">
        <v>0</v>
      </c>
      <c r="AT128" s="191">
        <v>0</v>
      </c>
      <c r="AU128" s="192">
        <v>0</v>
      </c>
      <c r="AV128" s="193">
        <v>0</v>
      </c>
      <c r="AW128" s="191">
        <v>0</v>
      </c>
      <c r="AX128" s="191">
        <v>0</v>
      </c>
      <c r="AY128" s="192">
        <v>0</v>
      </c>
      <c r="AZ128" s="193">
        <v>0</v>
      </c>
      <c r="BA128" s="191">
        <v>0</v>
      </c>
      <c r="BB128" s="191">
        <v>0</v>
      </c>
      <c r="BC128" s="192">
        <v>0</v>
      </c>
      <c r="BD128" s="193">
        <v>0</v>
      </c>
      <c r="BE128" s="191">
        <v>0</v>
      </c>
      <c r="BF128" s="191">
        <v>0</v>
      </c>
      <c r="BG128" s="192">
        <v>0</v>
      </c>
      <c r="BH128" s="193">
        <v>0</v>
      </c>
      <c r="BI128" s="191">
        <v>0</v>
      </c>
      <c r="BJ128" s="191">
        <v>0</v>
      </c>
      <c r="BK128" s="192">
        <v>0</v>
      </c>
      <c r="BL128" s="193">
        <v>0</v>
      </c>
      <c r="BM128" s="191">
        <v>0</v>
      </c>
      <c r="BN128" s="191">
        <v>0</v>
      </c>
      <c r="BO128" s="192">
        <v>0</v>
      </c>
      <c r="BP128" s="193">
        <v>0</v>
      </c>
      <c r="BQ128" s="191">
        <v>0</v>
      </c>
      <c r="BR128" s="191">
        <v>0</v>
      </c>
      <c r="BS128" s="192">
        <v>0</v>
      </c>
      <c r="BT128" s="193">
        <v>0</v>
      </c>
      <c r="BU128" s="191">
        <v>0</v>
      </c>
      <c r="BV128" s="191">
        <v>296</v>
      </c>
      <c r="BW128" s="192">
        <v>254</v>
      </c>
      <c r="BX128" s="193">
        <v>0</v>
      </c>
      <c r="BY128" s="191">
        <v>-36</v>
      </c>
      <c r="BZ128" s="191">
        <v>-95</v>
      </c>
      <c r="CA128" s="192">
        <v>-123</v>
      </c>
      <c r="CB128" s="193">
        <v>212</v>
      </c>
      <c r="CC128" s="191">
        <v>0</v>
      </c>
      <c r="CD128" s="191">
        <v>71</v>
      </c>
      <c r="CE128" s="192">
        <v>68</v>
      </c>
      <c r="CF128" s="193">
        <v>0</v>
      </c>
      <c r="CG128" s="191">
        <v>0</v>
      </c>
      <c r="CH128" s="191">
        <v>0</v>
      </c>
      <c r="CI128" s="192">
        <v>0</v>
      </c>
      <c r="CJ128" s="193">
        <v>0</v>
      </c>
      <c r="CK128" s="191">
        <v>0</v>
      </c>
      <c r="CL128" s="191">
        <v>0</v>
      </c>
      <c r="CM128" s="192">
        <v>0</v>
      </c>
      <c r="CN128" s="193">
        <v>0</v>
      </c>
      <c r="CO128" s="191">
        <v>0</v>
      </c>
      <c r="CP128" s="191"/>
      <c r="CQ128" s="192">
        <v>0</v>
      </c>
      <c r="CR128" s="193">
        <v>0</v>
      </c>
      <c r="CS128" s="188">
        <f t="shared" si="970"/>
        <v>0</v>
      </c>
      <c r="CT128" s="188">
        <f t="shared" si="971"/>
        <v>0</v>
      </c>
      <c r="CU128" s="189">
        <f t="shared" si="972"/>
        <v>0</v>
      </c>
      <c r="CV128" s="190">
        <f t="shared" si="920"/>
        <v>0</v>
      </c>
      <c r="CW128" s="188">
        <f t="shared" si="973"/>
        <v>0</v>
      </c>
      <c r="CX128" s="188">
        <f t="shared" si="974"/>
        <v>0</v>
      </c>
      <c r="CY128" s="189">
        <f t="shared" si="975"/>
        <v>0</v>
      </c>
      <c r="CZ128" s="190">
        <f t="shared" si="921"/>
        <v>0</v>
      </c>
      <c r="DA128" s="188">
        <f t="shared" si="976"/>
        <v>0</v>
      </c>
      <c r="DB128" s="188">
        <f t="shared" si="977"/>
        <v>0</v>
      </c>
      <c r="DC128" s="189">
        <f t="shared" si="978"/>
        <v>0</v>
      </c>
      <c r="DD128" s="153"/>
      <c r="DE128" s="188">
        <f t="shared" si="979"/>
        <v>0</v>
      </c>
      <c r="DF128" s="188">
        <f t="shared" si="979"/>
        <v>0</v>
      </c>
      <c r="DG128" s="188">
        <f t="shared" ref="DG128:DN128" si="1017">DG24</f>
        <v>0</v>
      </c>
      <c r="DH128" s="188">
        <f t="shared" si="1017"/>
        <v>0</v>
      </c>
      <c r="DI128" s="188">
        <f t="shared" si="1017"/>
        <v>0</v>
      </c>
      <c r="DJ128" s="188">
        <f t="shared" si="1017"/>
        <v>0</v>
      </c>
      <c r="DK128" s="188">
        <f t="shared" si="1017"/>
        <v>0</v>
      </c>
      <c r="DL128" s="188">
        <f t="shared" si="1017"/>
        <v>0</v>
      </c>
      <c r="DM128" s="188">
        <f t="shared" si="1017"/>
        <v>0</v>
      </c>
      <c r="DN128" s="188">
        <f t="shared" si="1017"/>
        <v>0</v>
      </c>
      <c r="DO128" s="188">
        <f t="shared" si="981"/>
        <v>0</v>
      </c>
      <c r="DP128" s="188">
        <f t="shared" si="981"/>
        <v>0</v>
      </c>
      <c r="DQ128" s="188">
        <f t="shared" si="981"/>
        <v>0</v>
      </c>
      <c r="DR128" s="188">
        <f t="shared" ref="DR128:EB128" si="1018">DR24</f>
        <v>0</v>
      </c>
      <c r="DS128" s="188">
        <f t="shared" si="1018"/>
        <v>0</v>
      </c>
      <c r="DT128" s="188">
        <f t="shared" si="1018"/>
        <v>0</v>
      </c>
      <c r="DU128" s="188">
        <f t="shared" si="1018"/>
        <v>0</v>
      </c>
      <c r="DV128" s="188">
        <f t="shared" si="1018"/>
        <v>254</v>
      </c>
      <c r="DW128" s="188">
        <f t="shared" si="1018"/>
        <v>-123</v>
      </c>
      <c r="DX128" s="188">
        <f t="shared" si="1018"/>
        <v>68</v>
      </c>
      <c r="DY128" s="188">
        <f t="shared" si="1018"/>
        <v>0</v>
      </c>
      <c r="DZ128" s="188">
        <f t="shared" si="1018"/>
        <v>0</v>
      </c>
      <c r="EA128" s="188">
        <f t="shared" si="1018"/>
        <v>0</v>
      </c>
      <c r="EB128" s="188">
        <f t="shared" si="1018"/>
        <v>0</v>
      </c>
      <c r="EC128" s="188">
        <f t="shared" ref="EC128:ED128" si="1019">EC24</f>
        <v>0</v>
      </c>
      <c r="ED128" s="188">
        <f t="shared" si="1019"/>
        <v>0</v>
      </c>
      <c r="EE128" s="18"/>
      <c r="EF128" s="337"/>
      <c r="EG128" s="338"/>
      <c r="EH128" s="338">
        <f t="shared" ref="EH128:EO128" si="1020">EH24</f>
        <v>0</v>
      </c>
      <c r="EI128" s="338">
        <f t="shared" si="1020"/>
        <v>0</v>
      </c>
      <c r="EJ128" s="338">
        <f t="shared" si="1020"/>
        <v>0</v>
      </c>
      <c r="EK128" s="338">
        <f t="shared" si="1020"/>
        <v>0</v>
      </c>
      <c r="EL128" s="338">
        <f t="shared" si="1020"/>
        <v>0</v>
      </c>
      <c r="EM128" s="338">
        <f t="shared" si="1020"/>
        <v>0</v>
      </c>
      <c r="EN128" s="338">
        <f t="shared" si="1020"/>
        <v>0</v>
      </c>
      <c r="EO128" s="338">
        <f t="shared" si="1020"/>
        <v>0</v>
      </c>
      <c r="EP128" s="338">
        <f t="shared" ref="EP128:EX128" si="1021">EP24</f>
        <v>0</v>
      </c>
      <c r="EQ128" s="338">
        <f t="shared" si="1021"/>
        <v>0</v>
      </c>
      <c r="ER128" s="338">
        <f t="shared" si="1021"/>
        <v>0</v>
      </c>
      <c r="ES128" s="338">
        <f t="shared" si="1021"/>
        <v>0</v>
      </c>
      <c r="ET128" s="338">
        <f t="shared" si="1021"/>
        <v>0</v>
      </c>
      <c r="EU128" s="338">
        <f t="shared" si="1021"/>
        <v>0</v>
      </c>
      <c r="EV128" s="338">
        <f t="shared" si="1021"/>
        <v>0</v>
      </c>
      <c r="EW128" s="338">
        <f t="shared" si="1021"/>
        <v>254</v>
      </c>
      <c r="EX128" s="338">
        <f t="shared" si="1021"/>
        <v>89</v>
      </c>
      <c r="EY128" s="338">
        <f t="shared" si="986"/>
        <v>-144</v>
      </c>
      <c r="EZ128" s="338">
        <f t="shared" ref="EZ128:FC128" si="1022">EZ24</f>
        <v>0</v>
      </c>
      <c r="FA128" s="338">
        <f t="shared" si="1022"/>
        <v>0</v>
      </c>
      <c r="FB128" s="338">
        <f t="shared" si="1022"/>
        <v>0</v>
      </c>
      <c r="FC128" s="338">
        <f t="shared" si="1022"/>
        <v>0</v>
      </c>
      <c r="FD128" s="339">
        <f t="shared" ref="FD128" si="1023">FD24</f>
        <v>0</v>
      </c>
    </row>
    <row r="129" spans="1:160" ht="14.25" customHeight="1">
      <c r="A129" s="7"/>
      <c r="B129" s="48" t="s">
        <v>366</v>
      </c>
      <c r="C129" s="49"/>
      <c r="D129" s="193">
        <v>0</v>
      </c>
      <c r="E129" s="191">
        <v>0</v>
      </c>
      <c r="F129" s="191">
        <v>0</v>
      </c>
      <c r="G129" s="192">
        <v>0</v>
      </c>
      <c r="H129" s="193">
        <v>0</v>
      </c>
      <c r="I129" s="191">
        <v>0</v>
      </c>
      <c r="J129" s="191">
        <v>0</v>
      </c>
      <c r="K129" s="192">
        <v>0</v>
      </c>
      <c r="L129" s="193">
        <v>0</v>
      </c>
      <c r="M129" s="191">
        <v>0</v>
      </c>
      <c r="N129" s="191">
        <v>0</v>
      </c>
      <c r="O129" s="192">
        <v>0</v>
      </c>
      <c r="P129" s="193">
        <v>0</v>
      </c>
      <c r="Q129" s="191">
        <v>0</v>
      </c>
      <c r="R129" s="191">
        <v>0</v>
      </c>
      <c r="S129" s="192">
        <v>0</v>
      </c>
      <c r="T129" s="193">
        <v>0</v>
      </c>
      <c r="U129" s="191">
        <v>0</v>
      </c>
      <c r="V129" s="191">
        <v>0</v>
      </c>
      <c r="W129" s="192">
        <v>0</v>
      </c>
      <c r="X129" s="193">
        <v>0</v>
      </c>
      <c r="Y129" s="191">
        <v>0</v>
      </c>
      <c r="Z129" s="191">
        <v>0</v>
      </c>
      <c r="AA129" s="192">
        <v>0</v>
      </c>
      <c r="AB129" s="193">
        <v>0</v>
      </c>
      <c r="AC129" s="191">
        <v>0</v>
      </c>
      <c r="AD129" s="191">
        <v>0</v>
      </c>
      <c r="AE129" s="192">
        <v>0</v>
      </c>
      <c r="AF129" s="193">
        <v>0</v>
      </c>
      <c r="AG129" s="191">
        <v>0</v>
      </c>
      <c r="AH129" s="191">
        <v>0</v>
      </c>
      <c r="AI129" s="192">
        <v>0</v>
      </c>
      <c r="AJ129" s="193">
        <v>0</v>
      </c>
      <c r="AK129" s="191">
        <v>0</v>
      </c>
      <c r="AL129" s="191">
        <v>0</v>
      </c>
      <c r="AM129" s="192">
        <v>0</v>
      </c>
      <c r="AN129" s="193">
        <v>0</v>
      </c>
      <c r="AO129" s="191">
        <v>0</v>
      </c>
      <c r="AP129" s="191">
        <v>0</v>
      </c>
      <c r="AQ129" s="192">
        <v>0</v>
      </c>
      <c r="AR129" s="193">
        <v>0</v>
      </c>
      <c r="AS129" s="191">
        <v>0</v>
      </c>
      <c r="AT129" s="191">
        <v>0</v>
      </c>
      <c r="AU129" s="192">
        <v>0</v>
      </c>
      <c r="AV129" s="193">
        <v>0</v>
      </c>
      <c r="AW129" s="191">
        <v>0</v>
      </c>
      <c r="AX129" s="191">
        <v>0</v>
      </c>
      <c r="AY129" s="192">
        <v>0</v>
      </c>
      <c r="AZ129" s="193">
        <v>0</v>
      </c>
      <c r="BA129" s="191">
        <v>0</v>
      </c>
      <c r="BB129" s="191">
        <v>0</v>
      </c>
      <c r="BC129" s="192">
        <v>0</v>
      </c>
      <c r="BD129" s="193">
        <v>0</v>
      </c>
      <c r="BE129" s="191">
        <v>0</v>
      </c>
      <c r="BF129" s="191">
        <v>0</v>
      </c>
      <c r="BG129" s="192">
        <v>0</v>
      </c>
      <c r="BH129" s="193">
        <v>0</v>
      </c>
      <c r="BI129" s="191">
        <v>0</v>
      </c>
      <c r="BJ129" s="191">
        <v>0</v>
      </c>
      <c r="BK129" s="192">
        <v>0</v>
      </c>
      <c r="BL129" s="193">
        <v>0</v>
      </c>
      <c r="BM129" s="191">
        <v>0</v>
      </c>
      <c r="BN129" s="191">
        <v>0</v>
      </c>
      <c r="BO129" s="192">
        <v>0</v>
      </c>
      <c r="BP129" s="193">
        <v>0</v>
      </c>
      <c r="BQ129" s="191">
        <v>0</v>
      </c>
      <c r="BR129" s="191">
        <v>0</v>
      </c>
      <c r="BS129" s="192">
        <v>0</v>
      </c>
      <c r="BT129" s="193">
        <v>0</v>
      </c>
      <c r="BU129" s="191">
        <v>0</v>
      </c>
      <c r="BV129" s="191">
        <v>-8</v>
      </c>
      <c r="BW129" s="192">
        <v>3</v>
      </c>
      <c r="BX129" s="193">
        <v>0</v>
      </c>
      <c r="BY129" s="191">
        <v>0</v>
      </c>
      <c r="BZ129" s="191">
        <v>0</v>
      </c>
      <c r="CA129" s="192">
        <v>-7</v>
      </c>
      <c r="CB129" s="193">
        <v>0</v>
      </c>
      <c r="CC129" s="191">
        <v>127</v>
      </c>
      <c r="CD129" s="191">
        <v>184</v>
      </c>
      <c r="CE129" s="192">
        <v>243</v>
      </c>
      <c r="CF129" s="193">
        <v>0</v>
      </c>
      <c r="CG129" s="191">
        <v>0</v>
      </c>
      <c r="CH129" s="191">
        <v>0</v>
      </c>
      <c r="CI129" s="192">
        <v>0</v>
      </c>
      <c r="CJ129" s="193">
        <v>0</v>
      </c>
      <c r="CK129" s="191">
        <v>0</v>
      </c>
      <c r="CL129" s="191">
        <v>0</v>
      </c>
      <c r="CM129" s="192">
        <v>0</v>
      </c>
      <c r="CN129" s="193">
        <v>0</v>
      </c>
      <c r="CO129" s="191">
        <v>0</v>
      </c>
      <c r="CP129" s="191"/>
      <c r="CQ129" s="192">
        <v>0</v>
      </c>
      <c r="CR129" s="193">
        <v>0</v>
      </c>
      <c r="CS129" s="188">
        <f t="shared" si="970"/>
        <v>0</v>
      </c>
      <c r="CT129" s="188">
        <f t="shared" si="971"/>
        <v>0</v>
      </c>
      <c r="CU129" s="189">
        <f t="shared" si="972"/>
        <v>0</v>
      </c>
      <c r="CV129" s="190">
        <f t="shared" si="920"/>
        <v>0</v>
      </c>
      <c r="CW129" s="188">
        <f t="shared" si="973"/>
        <v>0</v>
      </c>
      <c r="CX129" s="188">
        <f t="shared" si="974"/>
        <v>0</v>
      </c>
      <c r="CY129" s="189">
        <f t="shared" si="975"/>
        <v>0</v>
      </c>
      <c r="CZ129" s="190">
        <f t="shared" si="921"/>
        <v>0</v>
      </c>
      <c r="DA129" s="188">
        <f t="shared" si="976"/>
        <v>0</v>
      </c>
      <c r="DB129" s="188">
        <f t="shared" si="977"/>
        <v>0</v>
      </c>
      <c r="DC129" s="189">
        <f t="shared" si="978"/>
        <v>0</v>
      </c>
      <c r="DD129" s="153"/>
      <c r="DE129" s="188">
        <f t="shared" si="979"/>
        <v>0</v>
      </c>
      <c r="DF129" s="188">
        <f t="shared" si="979"/>
        <v>0</v>
      </c>
      <c r="DG129" s="188">
        <f t="shared" ref="DG129:DN129" si="1024">DG25</f>
        <v>0</v>
      </c>
      <c r="DH129" s="188">
        <f t="shared" si="1024"/>
        <v>0</v>
      </c>
      <c r="DI129" s="188">
        <f t="shared" si="1024"/>
        <v>0</v>
      </c>
      <c r="DJ129" s="188">
        <f t="shared" si="1024"/>
        <v>0</v>
      </c>
      <c r="DK129" s="188">
        <f t="shared" si="1024"/>
        <v>0</v>
      </c>
      <c r="DL129" s="188">
        <f t="shared" si="1024"/>
        <v>0</v>
      </c>
      <c r="DM129" s="188">
        <f t="shared" si="1024"/>
        <v>0</v>
      </c>
      <c r="DN129" s="188">
        <f t="shared" si="1024"/>
        <v>0</v>
      </c>
      <c r="DO129" s="188">
        <f t="shared" si="981"/>
        <v>0</v>
      </c>
      <c r="DP129" s="188">
        <f t="shared" si="981"/>
        <v>0</v>
      </c>
      <c r="DQ129" s="188">
        <f t="shared" si="981"/>
        <v>0</v>
      </c>
      <c r="DR129" s="188">
        <f t="shared" ref="DR129:EB129" si="1025">DR25</f>
        <v>0</v>
      </c>
      <c r="DS129" s="188">
        <f t="shared" si="1025"/>
        <v>0</v>
      </c>
      <c r="DT129" s="188">
        <f t="shared" si="1025"/>
        <v>0</v>
      </c>
      <c r="DU129" s="188">
        <f t="shared" si="1025"/>
        <v>0</v>
      </c>
      <c r="DV129" s="188">
        <f t="shared" si="1025"/>
        <v>3</v>
      </c>
      <c r="DW129" s="188">
        <f t="shared" si="1025"/>
        <v>-7</v>
      </c>
      <c r="DX129" s="188">
        <f t="shared" si="1025"/>
        <v>243</v>
      </c>
      <c r="DY129" s="188">
        <f t="shared" si="1025"/>
        <v>0</v>
      </c>
      <c r="DZ129" s="188">
        <f t="shared" si="1025"/>
        <v>0</v>
      </c>
      <c r="EA129" s="188">
        <f t="shared" si="1025"/>
        <v>0</v>
      </c>
      <c r="EB129" s="188">
        <f t="shared" si="1025"/>
        <v>0</v>
      </c>
      <c r="EC129" s="188">
        <f t="shared" ref="EC129:ED129" si="1026">EC25</f>
        <v>0</v>
      </c>
      <c r="ED129" s="188">
        <f t="shared" si="1026"/>
        <v>0</v>
      </c>
      <c r="EE129" s="18"/>
      <c r="EF129" s="337"/>
      <c r="EG129" s="338"/>
      <c r="EH129" s="338">
        <f t="shared" ref="EH129:EO129" si="1027">EH25</f>
        <v>0</v>
      </c>
      <c r="EI129" s="338">
        <f t="shared" si="1027"/>
        <v>0</v>
      </c>
      <c r="EJ129" s="338">
        <f t="shared" si="1027"/>
        <v>0</v>
      </c>
      <c r="EK129" s="338">
        <f t="shared" si="1027"/>
        <v>0</v>
      </c>
      <c r="EL129" s="338">
        <f t="shared" si="1027"/>
        <v>0</v>
      </c>
      <c r="EM129" s="338">
        <f t="shared" si="1027"/>
        <v>0</v>
      </c>
      <c r="EN129" s="338">
        <f t="shared" si="1027"/>
        <v>0</v>
      </c>
      <c r="EO129" s="338">
        <f t="shared" si="1027"/>
        <v>0</v>
      </c>
      <c r="EP129" s="338">
        <f t="shared" ref="EP129:EX129" si="1028">EP25</f>
        <v>0</v>
      </c>
      <c r="EQ129" s="338">
        <f t="shared" si="1028"/>
        <v>0</v>
      </c>
      <c r="ER129" s="338">
        <f t="shared" si="1028"/>
        <v>0</v>
      </c>
      <c r="ES129" s="338">
        <f t="shared" si="1028"/>
        <v>0</v>
      </c>
      <c r="ET129" s="338">
        <f t="shared" si="1028"/>
        <v>0</v>
      </c>
      <c r="EU129" s="338">
        <f t="shared" si="1028"/>
        <v>0</v>
      </c>
      <c r="EV129" s="338">
        <f t="shared" si="1028"/>
        <v>0</v>
      </c>
      <c r="EW129" s="338">
        <f t="shared" si="1028"/>
        <v>3</v>
      </c>
      <c r="EX129" s="338">
        <f t="shared" si="1028"/>
        <v>-7</v>
      </c>
      <c r="EY129" s="338">
        <f t="shared" si="986"/>
        <v>243</v>
      </c>
      <c r="EZ129" s="338">
        <f t="shared" ref="EZ129:FC129" si="1029">EZ25</f>
        <v>0</v>
      </c>
      <c r="FA129" s="338">
        <f t="shared" si="1029"/>
        <v>0</v>
      </c>
      <c r="FB129" s="338">
        <f t="shared" si="1029"/>
        <v>0</v>
      </c>
      <c r="FC129" s="338">
        <f t="shared" si="1029"/>
        <v>0</v>
      </c>
      <c r="FD129" s="339">
        <f t="shared" ref="FD129" si="1030">FD25</f>
        <v>0</v>
      </c>
    </row>
    <row r="130" spans="1:160" ht="14.25" customHeight="1">
      <c r="A130" s="7"/>
      <c r="B130" s="48" t="s">
        <v>381</v>
      </c>
      <c r="C130" s="49"/>
      <c r="D130" s="193">
        <v>0</v>
      </c>
      <c r="E130" s="191">
        <v>0</v>
      </c>
      <c r="F130" s="191">
        <v>0</v>
      </c>
      <c r="G130" s="192">
        <v>0</v>
      </c>
      <c r="H130" s="193">
        <v>0</v>
      </c>
      <c r="I130" s="191">
        <v>0</v>
      </c>
      <c r="J130" s="191">
        <v>0</v>
      </c>
      <c r="K130" s="192">
        <v>0</v>
      </c>
      <c r="L130" s="193">
        <v>0</v>
      </c>
      <c r="M130" s="191">
        <v>0</v>
      </c>
      <c r="N130" s="191">
        <v>0</v>
      </c>
      <c r="O130" s="192">
        <v>0</v>
      </c>
      <c r="P130" s="193">
        <v>0</v>
      </c>
      <c r="Q130" s="191">
        <v>0</v>
      </c>
      <c r="R130" s="191">
        <v>0</v>
      </c>
      <c r="S130" s="192">
        <v>0</v>
      </c>
      <c r="T130" s="193">
        <v>0</v>
      </c>
      <c r="U130" s="191">
        <v>0</v>
      </c>
      <c r="V130" s="191">
        <v>0</v>
      </c>
      <c r="W130" s="192">
        <v>0</v>
      </c>
      <c r="X130" s="193">
        <v>0</v>
      </c>
      <c r="Y130" s="191">
        <v>0</v>
      </c>
      <c r="Z130" s="191">
        <v>0</v>
      </c>
      <c r="AA130" s="192">
        <v>0</v>
      </c>
      <c r="AB130" s="193">
        <v>-58.4</v>
      </c>
      <c r="AC130" s="191">
        <v>-15.8</v>
      </c>
      <c r="AD130" s="191">
        <v>30.5</v>
      </c>
      <c r="AE130" s="192">
        <v>-130.30000000000001</v>
      </c>
      <c r="AF130" s="193">
        <v>-164.5</v>
      </c>
      <c r="AG130" s="191">
        <v>-198.7</v>
      </c>
      <c r="AH130" s="191">
        <v>-122.6</v>
      </c>
      <c r="AI130" s="192">
        <v>11.4</v>
      </c>
      <c r="AJ130" s="193">
        <v>20.5</v>
      </c>
      <c r="AK130" s="191">
        <v>37</v>
      </c>
      <c r="AL130" s="191">
        <v>63</v>
      </c>
      <c r="AM130" s="192">
        <v>70.5</v>
      </c>
      <c r="AN130" s="193">
        <v>11.4</v>
      </c>
      <c r="AO130" s="191">
        <v>25.7</v>
      </c>
      <c r="AP130" s="191">
        <v>37.799999999999997</v>
      </c>
      <c r="AQ130" s="192">
        <v>57.8</v>
      </c>
      <c r="AR130" s="193">
        <v>6.2</v>
      </c>
      <c r="AS130" s="191">
        <v>1.6</v>
      </c>
      <c r="AT130" s="191">
        <v>-4.4000000000000004</v>
      </c>
      <c r="AU130" s="192">
        <v>-9.6999999999999993</v>
      </c>
      <c r="AV130" s="193">
        <v>-4.3</v>
      </c>
      <c r="AW130" s="191">
        <v>-12.5</v>
      </c>
      <c r="AX130" s="191">
        <v>-16.600000000000001</v>
      </c>
      <c r="AY130" s="192">
        <v>-24</v>
      </c>
      <c r="AZ130" s="193">
        <v>-1</v>
      </c>
      <c r="BA130" s="191">
        <v>-6</v>
      </c>
      <c r="BB130" s="191">
        <v>-2</v>
      </c>
      <c r="BC130" s="192">
        <v>-11</v>
      </c>
      <c r="BD130" s="193">
        <v>0</v>
      </c>
      <c r="BE130" s="191">
        <v>-3</v>
      </c>
      <c r="BF130" s="191">
        <v>-3</v>
      </c>
      <c r="BG130" s="192">
        <f>-52-3</f>
        <v>-55</v>
      </c>
      <c r="BH130" s="193">
        <v>78</v>
      </c>
      <c r="BI130" s="191">
        <v>83</v>
      </c>
      <c r="BJ130" s="191">
        <v>71</v>
      </c>
      <c r="BK130" s="192">
        <v>81</v>
      </c>
      <c r="BL130" s="193">
        <v>0</v>
      </c>
      <c r="BM130" s="191">
        <v>5</v>
      </c>
      <c r="BN130" s="191">
        <v>28</v>
      </c>
      <c r="BO130" s="192">
        <v>84</v>
      </c>
      <c r="BP130" s="193">
        <v>29</v>
      </c>
      <c r="BQ130" s="191">
        <v>-11</v>
      </c>
      <c r="BR130" s="191">
        <v>115</v>
      </c>
      <c r="BS130" s="192">
        <v>146</v>
      </c>
      <c r="BT130" s="193">
        <v>-37</v>
      </c>
      <c r="BU130" s="191">
        <v>-74</v>
      </c>
      <c r="BV130" s="191">
        <v>-61</v>
      </c>
      <c r="BW130" s="192">
        <v>-56</v>
      </c>
      <c r="BX130" s="193">
        <v>-21</v>
      </c>
      <c r="BY130" s="191">
        <v>-63</v>
      </c>
      <c r="BZ130" s="191">
        <v>-22</v>
      </c>
      <c r="CA130" s="192">
        <v>-7</v>
      </c>
      <c r="CB130" s="193">
        <v>59</v>
      </c>
      <c r="CC130" s="191">
        <v>153</v>
      </c>
      <c r="CD130" s="191">
        <v>0</v>
      </c>
      <c r="CE130" s="192">
        <v>0</v>
      </c>
      <c r="CF130" s="193">
        <v>0</v>
      </c>
      <c r="CG130" s="191">
        <v>0</v>
      </c>
      <c r="CH130" s="191">
        <v>0</v>
      </c>
      <c r="CI130" s="192">
        <v>0</v>
      </c>
      <c r="CJ130" s="193">
        <v>0</v>
      </c>
      <c r="CK130" s="191">
        <v>0</v>
      </c>
      <c r="CL130" s="191">
        <v>0</v>
      </c>
      <c r="CM130" s="192">
        <v>0</v>
      </c>
      <c r="CN130" s="193">
        <v>0</v>
      </c>
      <c r="CO130" s="191">
        <v>0</v>
      </c>
      <c r="CP130" s="191"/>
      <c r="CQ130" s="192">
        <v>0</v>
      </c>
      <c r="CR130" s="193">
        <v>0</v>
      </c>
      <c r="CS130" s="188">
        <f t="shared" si="970"/>
        <v>11</v>
      </c>
      <c r="CT130" s="188">
        <f t="shared" si="971"/>
        <v>11</v>
      </c>
      <c r="CU130" s="189">
        <f t="shared" si="972"/>
        <v>11</v>
      </c>
      <c r="CV130" s="190">
        <f t="shared" si="920"/>
        <v>0</v>
      </c>
      <c r="CW130" s="188">
        <f t="shared" si="973"/>
        <v>0</v>
      </c>
      <c r="CX130" s="188">
        <f t="shared" si="974"/>
        <v>0</v>
      </c>
      <c r="CY130" s="189">
        <f t="shared" si="975"/>
        <v>0</v>
      </c>
      <c r="CZ130" s="190">
        <f t="shared" si="921"/>
        <v>0</v>
      </c>
      <c r="DA130" s="188">
        <f t="shared" si="976"/>
        <v>0</v>
      </c>
      <c r="DB130" s="188">
        <f t="shared" si="977"/>
        <v>0</v>
      </c>
      <c r="DC130" s="189">
        <f t="shared" si="978"/>
        <v>0</v>
      </c>
      <c r="DD130" s="153"/>
      <c r="DE130" s="188">
        <f t="shared" si="979"/>
        <v>0</v>
      </c>
      <c r="DF130" s="188">
        <f t="shared" si="979"/>
        <v>0</v>
      </c>
      <c r="DG130" s="188">
        <f t="shared" ref="DG130:DN130" si="1031">DG26</f>
        <v>0</v>
      </c>
      <c r="DH130" s="188">
        <f t="shared" si="1031"/>
        <v>0</v>
      </c>
      <c r="DI130" s="188">
        <f t="shared" si="1031"/>
        <v>0</v>
      </c>
      <c r="DJ130" s="188">
        <f t="shared" si="1031"/>
        <v>0</v>
      </c>
      <c r="DK130" s="188">
        <f t="shared" si="1031"/>
        <v>-130.30000000000001</v>
      </c>
      <c r="DL130" s="188">
        <f t="shared" si="1031"/>
        <v>11.400000000000006</v>
      </c>
      <c r="DM130" s="188">
        <f t="shared" si="1031"/>
        <v>70.5</v>
      </c>
      <c r="DN130" s="188">
        <f t="shared" si="1031"/>
        <v>57.8</v>
      </c>
      <c r="DO130" s="188">
        <f t="shared" si="981"/>
        <v>-9.6999999999999993</v>
      </c>
      <c r="DP130" s="188">
        <f t="shared" si="981"/>
        <v>-24</v>
      </c>
      <c r="DQ130" s="188">
        <f t="shared" si="981"/>
        <v>-11</v>
      </c>
      <c r="DR130" s="188">
        <f t="shared" ref="DR130:EB130" si="1032">DR26</f>
        <v>-55</v>
      </c>
      <c r="DS130" s="188">
        <f t="shared" si="1032"/>
        <v>81</v>
      </c>
      <c r="DT130" s="188">
        <f t="shared" si="1032"/>
        <v>84</v>
      </c>
      <c r="DU130" s="188">
        <f t="shared" si="1032"/>
        <v>146</v>
      </c>
      <c r="DV130" s="188">
        <f t="shared" si="1032"/>
        <v>-56</v>
      </c>
      <c r="DW130" s="188">
        <f t="shared" si="1032"/>
        <v>-7</v>
      </c>
      <c r="DX130" s="188">
        <f t="shared" si="1032"/>
        <v>0</v>
      </c>
      <c r="DY130" s="188">
        <f t="shared" si="1032"/>
        <v>0</v>
      </c>
      <c r="DZ130" s="188">
        <f t="shared" si="1032"/>
        <v>0</v>
      </c>
      <c r="EA130" s="188">
        <f t="shared" si="1032"/>
        <v>0</v>
      </c>
      <c r="EB130" s="188">
        <f t="shared" si="1032"/>
        <v>11</v>
      </c>
      <c r="EC130" s="188">
        <f t="shared" ref="EC130:ED130" si="1033">EC26</f>
        <v>0</v>
      </c>
      <c r="ED130" s="188">
        <f t="shared" si="1033"/>
        <v>0</v>
      </c>
      <c r="EE130" s="18"/>
      <c r="EF130" s="337"/>
      <c r="EG130" s="338"/>
      <c r="EH130" s="338">
        <f t="shared" ref="EH130:EO130" si="1034">EH26</f>
        <v>0</v>
      </c>
      <c r="EI130" s="338">
        <f t="shared" si="1034"/>
        <v>0</v>
      </c>
      <c r="EJ130" s="338">
        <f t="shared" si="1034"/>
        <v>0</v>
      </c>
      <c r="EK130" s="338">
        <f t="shared" si="1034"/>
        <v>-58.4</v>
      </c>
      <c r="EL130" s="338">
        <f t="shared" si="1034"/>
        <v>-236.4</v>
      </c>
      <c r="EM130" s="338">
        <f t="shared" si="1034"/>
        <v>196.4</v>
      </c>
      <c r="EN130" s="338">
        <f t="shared" si="1034"/>
        <v>61.4</v>
      </c>
      <c r="EO130" s="338">
        <f t="shared" si="1034"/>
        <v>52.6</v>
      </c>
      <c r="EP130" s="338">
        <f t="shared" ref="EP130:EX130" si="1035">EP26</f>
        <v>-20.2</v>
      </c>
      <c r="EQ130" s="338">
        <f t="shared" si="1035"/>
        <v>-20.7</v>
      </c>
      <c r="ER130" s="338">
        <f t="shared" si="1035"/>
        <v>-10</v>
      </c>
      <c r="ES130" s="338">
        <f t="shared" si="1035"/>
        <v>23</v>
      </c>
      <c r="ET130" s="338">
        <f t="shared" si="1035"/>
        <v>3</v>
      </c>
      <c r="EU130" s="338">
        <f t="shared" si="1035"/>
        <v>113</v>
      </c>
      <c r="EV130" s="338">
        <f t="shared" si="1035"/>
        <v>80</v>
      </c>
      <c r="EW130" s="338">
        <f t="shared" si="1035"/>
        <v>-40</v>
      </c>
      <c r="EX130" s="338">
        <f t="shared" si="1035"/>
        <v>73</v>
      </c>
      <c r="EY130" s="338">
        <f t="shared" si="986"/>
        <v>-59</v>
      </c>
      <c r="EZ130" s="338">
        <f t="shared" ref="EZ130:FC130" si="1036">EZ26</f>
        <v>0</v>
      </c>
      <c r="FA130" s="338">
        <f t="shared" si="1036"/>
        <v>0</v>
      </c>
      <c r="FB130" s="338">
        <f t="shared" si="1036"/>
        <v>0</v>
      </c>
      <c r="FC130" s="338">
        <f t="shared" si="1036"/>
        <v>11</v>
      </c>
      <c r="FD130" s="339">
        <f t="shared" ref="FD130" si="1037">FD26</f>
        <v>0</v>
      </c>
    </row>
    <row r="131" spans="1:160" ht="14.25" customHeight="1">
      <c r="A131" s="7"/>
      <c r="B131" s="48" t="s">
        <v>367</v>
      </c>
      <c r="C131" s="49"/>
      <c r="D131" s="193">
        <v>0</v>
      </c>
      <c r="E131" s="191">
        <v>0</v>
      </c>
      <c r="F131" s="191">
        <v>0</v>
      </c>
      <c r="G131" s="192">
        <v>0</v>
      </c>
      <c r="H131" s="193">
        <v>0</v>
      </c>
      <c r="I131" s="191">
        <v>0</v>
      </c>
      <c r="J131" s="191">
        <v>0</v>
      </c>
      <c r="K131" s="192">
        <v>0</v>
      </c>
      <c r="L131" s="193">
        <f>22.1+22.3</f>
        <v>44.400000000000006</v>
      </c>
      <c r="M131" s="191">
        <f>59.4+0.3+50.4</f>
        <v>110.1</v>
      </c>
      <c r="N131" s="191">
        <f>72.3+70.2</f>
        <v>142.5</v>
      </c>
      <c r="O131" s="192">
        <f>0.6-2.9+93.9+105.5</f>
        <v>197.10000000000002</v>
      </c>
      <c r="P131" s="193">
        <v>-14.9</v>
      </c>
      <c r="Q131" s="191">
        <f>-34.1+10.3-21.2</f>
        <v>-45</v>
      </c>
      <c r="R131" s="191">
        <f>-33.4-13.3+3.7</f>
        <v>-43</v>
      </c>
      <c r="S131" s="192">
        <f>-22.4+5.2</f>
        <v>-17.2</v>
      </c>
      <c r="T131" s="193">
        <v>-29.4</v>
      </c>
      <c r="U131" s="191">
        <f>17.5+1.3-1.1-1.6</f>
        <v>16.099999999999998</v>
      </c>
      <c r="V131" s="191">
        <f>36.9+1.8+8.8-1.6</f>
        <v>45.9</v>
      </c>
      <c r="W131" s="192">
        <f>20-2.1</f>
        <v>17.899999999999999</v>
      </c>
      <c r="X131" s="193">
        <v>83.3</v>
      </c>
      <c r="Y131" s="191">
        <v>21.4</v>
      </c>
      <c r="Z131" s="191">
        <v>-7</v>
      </c>
      <c r="AA131" s="192">
        <v>-216.3</v>
      </c>
      <c r="AB131" s="193">
        <v>-90.8</v>
      </c>
      <c r="AC131" s="191">
        <v>-145.30000000000001</v>
      </c>
      <c r="AD131" s="191">
        <v>-107.9</v>
      </c>
      <c r="AE131" s="192">
        <v>-79</v>
      </c>
      <c r="AF131" s="193">
        <v>-19.399999999999999</v>
      </c>
      <c r="AG131" s="191">
        <v>-24.9</v>
      </c>
      <c r="AH131" s="191">
        <v>-18.899999999999999</v>
      </c>
      <c r="AI131" s="192">
        <v>-19.7</v>
      </c>
      <c r="AJ131" s="193">
        <v>-12.6</v>
      </c>
      <c r="AK131" s="191">
        <v>3.9</v>
      </c>
      <c r="AL131" s="191">
        <v>31.3</v>
      </c>
      <c r="AM131" s="192">
        <v>38.200000000000003</v>
      </c>
      <c r="AN131" s="193">
        <v>11.8</v>
      </c>
      <c r="AO131" s="191">
        <v>18.3</v>
      </c>
      <c r="AP131" s="191">
        <v>32.799999999999997</v>
      </c>
      <c r="AQ131" s="192">
        <v>27.9</v>
      </c>
      <c r="AR131" s="193">
        <v>2.4</v>
      </c>
      <c r="AS131" s="191">
        <v>6</v>
      </c>
      <c r="AT131" s="191">
        <v>7.9</v>
      </c>
      <c r="AU131" s="192">
        <v>13.1</v>
      </c>
      <c r="AV131" s="193">
        <v>-34.5</v>
      </c>
      <c r="AW131" s="191">
        <v>195.4</v>
      </c>
      <c r="AX131" s="191">
        <f>251.1+30</f>
        <v>281.10000000000002</v>
      </c>
      <c r="AY131" s="192">
        <v>249</v>
      </c>
      <c r="AZ131" s="193">
        <v>41</v>
      </c>
      <c r="BA131" s="191">
        <v>89</v>
      </c>
      <c r="BB131" s="191">
        <v>93</v>
      </c>
      <c r="BC131" s="192">
        <f>145-4</f>
        <v>141</v>
      </c>
      <c r="BD131" s="193">
        <v>22</v>
      </c>
      <c r="BE131" s="191">
        <v>25</v>
      </c>
      <c r="BF131" s="191">
        <v>43</v>
      </c>
      <c r="BG131" s="192">
        <f>-38+94</f>
        <v>56</v>
      </c>
      <c r="BH131" s="193">
        <v>-17</v>
      </c>
      <c r="BI131" s="191">
        <v>-77</v>
      </c>
      <c r="BJ131" s="191">
        <v>35</v>
      </c>
      <c r="BK131" s="192">
        <f>66-63</f>
        <v>3</v>
      </c>
      <c r="BL131" s="193">
        <f>-60+18</f>
        <v>-42</v>
      </c>
      <c r="BM131" s="191">
        <f>-103+14</f>
        <v>-89</v>
      </c>
      <c r="BN131" s="191">
        <f>-143+39</f>
        <v>-104</v>
      </c>
      <c r="BO131" s="192">
        <v>83</v>
      </c>
      <c r="BP131" s="193">
        <v>5</v>
      </c>
      <c r="BQ131" s="191">
        <f>-1-2</f>
        <v>-3</v>
      </c>
      <c r="BR131" s="191">
        <f>-1-40</f>
        <v>-41</v>
      </c>
      <c r="BS131" s="192">
        <v>17</v>
      </c>
      <c r="BT131" s="193">
        <v>-34</v>
      </c>
      <c r="BU131" s="191">
        <v>-27</v>
      </c>
      <c r="BV131" s="191">
        <v>-35</v>
      </c>
      <c r="BW131" s="192">
        <v>-72</v>
      </c>
      <c r="BX131" s="193">
        <f>49-36</f>
        <v>13</v>
      </c>
      <c r="BY131" s="191">
        <v>-93</v>
      </c>
      <c r="BZ131" s="191">
        <v>-42</v>
      </c>
      <c r="CA131" s="192">
        <v>-46</v>
      </c>
      <c r="CB131" s="193">
        <v>182</v>
      </c>
      <c r="CC131" s="191">
        <v>125</v>
      </c>
      <c r="CD131" s="191">
        <v>184</v>
      </c>
      <c r="CE131" s="192">
        <v>29</v>
      </c>
      <c r="CF131" s="193">
        <f>-12+126</f>
        <v>114</v>
      </c>
      <c r="CG131" s="191">
        <f>-12-121</f>
        <v>-133</v>
      </c>
      <c r="CH131" s="191">
        <f>-8-206</f>
        <v>-214</v>
      </c>
      <c r="CI131" s="192">
        <f>-16-297</f>
        <v>-313</v>
      </c>
      <c r="CJ131" s="193">
        <v>-47</v>
      </c>
      <c r="CK131" s="191">
        <f>-27-20</f>
        <v>-47</v>
      </c>
      <c r="CL131" s="191">
        <f>-13+11</f>
        <v>-2</v>
      </c>
      <c r="CM131" s="192">
        <f>-63+240</f>
        <v>177</v>
      </c>
      <c r="CN131" s="193">
        <f>64+6</f>
        <v>70</v>
      </c>
      <c r="CO131" s="191">
        <f>-361+59+109</f>
        <v>-193</v>
      </c>
      <c r="CP131" s="191">
        <f>4950-SUM(CP112:CP130)</f>
        <v>-484</v>
      </c>
      <c r="CQ131" s="192">
        <f>-361+218+22</f>
        <v>-121</v>
      </c>
      <c r="CR131" s="193">
        <v>12</v>
      </c>
      <c r="CS131" s="188">
        <f>7984-SUM(CS112:CS130)</f>
        <v>247</v>
      </c>
      <c r="CT131" s="188">
        <f t="shared" si="971"/>
        <v>247</v>
      </c>
      <c r="CU131" s="189">
        <f t="shared" si="972"/>
        <v>247</v>
      </c>
      <c r="CV131" s="190">
        <f t="shared" si="920"/>
        <v>0</v>
      </c>
      <c r="CW131" s="188">
        <f t="shared" si="973"/>
        <v>0</v>
      </c>
      <c r="CX131" s="188">
        <f t="shared" si="974"/>
        <v>0</v>
      </c>
      <c r="CY131" s="189">
        <f t="shared" si="975"/>
        <v>0</v>
      </c>
      <c r="CZ131" s="190">
        <f t="shared" si="921"/>
        <v>0</v>
      </c>
      <c r="DA131" s="188">
        <f t="shared" si="976"/>
        <v>0</v>
      </c>
      <c r="DB131" s="188">
        <f t="shared" si="977"/>
        <v>0</v>
      </c>
      <c r="DC131" s="189">
        <f t="shared" si="978"/>
        <v>0</v>
      </c>
      <c r="DD131" s="153"/>
      <c r="DE131" s="188">
        <f t="shared" si="979"/>
        <v>0</v>
      </c>
      <c r="DF131" s="188">
        <f t="shared" si="979"/>
        <v>0</v>
      </c>
      <c r="DG131" s="188">
        <f t="shared" ref="DG131:DN131" si="1038">DG27</f>
        <v>197.10000000000002</v>
      </c>
      <c r="DH131" s="188">
        <f t="shared" si="1038"/>
        <v>-17.200000000000003</v>
      </c>
      <c r="DI131" s="188">
        <f t="shared" si="1038"/>
        <v>17.899999999999999</v>
      </c>
      <c r="DJ131" s="188">
        <f t="shared" si="1038"/>
        <v>-216.3</v>
      </c>
      <c r="DK131" s="188">
        <f t="shared" si="1038"/>
        <v>-79</v>
      </c>
      <c r="DL131" s="188">
        <f t="shared" si="1038"/>
        <v>-19.7</v>
      </c>
      <c r="DM131" s="188">
        <f t="shared" si="1038"/>
        <v>38.200000000000003</v>
      </c>
      <c r="DN131" s="188">
        <f t="shared" si="1038"/>
        <v>27.9</v>
      </c>
      <c r="DO131" s="188">
        <f t="shared" si="981"/>
        <v>13.1</v>
      </c>
      <c r="DP131" s="188">
        <f t="shared" si="981"/>
        <v>249</v>
      </c>
      <c r="DQ131" s="188">
        <f t="shared" si="981"/>
        <v>141</v>
      </c>
      <c r="DR131" s="188">
        <f t="shared" ref="DR131:EB131" si="1039">DR27</f>
        <v>56</v>
      </c>
      <c r="DS131" s="188">
        <f t="shared" si="1039"/>
        <v>3</v>
      </c>
      <c r="DT131" s="188">
        <f t="shared" si="1039"/>
        <v>83</v>
      </c>
      <c r="DU131" s="188">
        <f t="shared" si="1039"/>
        <v>17</v>
      </c>
      <c r="DV131" s="188">
        <f t="shared" si="1039"/>
        <v>-72</v>
      </c>
      <c r="DW131" s="188">
        <f t="shared" si="1039"/>
        <v>-46</v>
      </c>
      <c r="DX131" s="188">
        <f t="shared" si="1039"/>
        <v>29</v>
      </c>
      <c r="DY131" s="188">
        <f t="shared" si="1039"/>
        <v>-313</v>
      </c>
      <c r="DZ131" s="188">
        <f t="shared" si="1039"/>
        <v>177</v>
      </c>
      <c r="EA131" s="188">
        <f t="shared" si="1039"/>
        <v>-121</v>
      </c>
      <c r="EB131" s="188">
        <f t="shared" si="1039"/>
        <v>247</v>
      </c>
      <c r="EC131" s="188">
        <f t="shared" ref="EC131:ED131" si="1040">EC27</f>
        <v>0</v>
      </c>
      <c r="ED131" s="188">
        <f t="shared" si="1040"/>
        <v>0</v>
      </c>
      <c r="EE131" s="18"/>
      <c r="EF131" s="337"/>
      <c r="EG131" s="338"/>
      <c r="EH131" s="338">
        <f t="shared" ref="EH131:EO131" si="1041">EH27</f>
        <v>137.80000000000001</v>
      </c>
      <c r="EI131" s="338">
        <f t="shared" si="1041"/>
        <v>-31.700000000000003</v>
      </c>
      <c r="EJ131" s="338">
        <f t="shared" si="1041"/>
        <v>130.6</v>
      </c>
      <c r="EK131" s="338">
        <f t="shared" si="1041"/>
        <v>-390.40000000000003</v>
      </c>
      <c r="EL131" s="338">
        <f t="shared" si="1041"/>
        <v>-7.6000000000000014</v>
      </c>
      <c r="EM131" s="338">
        <f t="shared" si="1041"/>
        <v>-12.9</v>
      </c>
      <c r="EN131" s="338">
        <f t="shared" si="1041"/>
        <v>62.600000000000009</v>
      </c>
      <c r="EO131" s="338">
        <f t="shared" si="1041"/>
        <v>18.499999999999996</v>
      </c>
      <c r="EP131" s="338">
        <f t="shared" ref="EP131:EX131" si="1042">EP27</f>
        <v>-23.8</v>
      </c>
      <c r="EQ131" s="338">
        <f t="shared" si="1042"/>
        <v>324.5</v>
      </c>
      <c r="ER131" s="338">
        <f t="shared" si="1042"/>
        <v>122</v>
      </c>
      <c r="ES131" s="338">
        <f t="shared" si="1042"/>
        <v>17</v>
      </c>
      <c r="ET131" s="338">
        <f t="shared" si="1042"/>
        <v>-22</v>
      </c>
      <c r="EU131" s="338">
        <f t="shared" si="1042"/>
        <v>130</v>
      </c>
      <c r="EV131" s="338">
        <f t="shared" si="1042"/>
        <v>-22</v>
      </c>
      <c r="EW131" s="338">
        <f t="shared" si="1042"/>
        <v>-25</v>
      </c>
      <c r="EX131" s="338">
        <f t="shared" si="1042"/>
        <v>123</v>
      </c>
      <c r="EY131" s="338">
        <f t="shared" si="986"/>
        <v>-39</v>
      </c>
      <c r="EZ131" s="338">
        <f t="shared" ref="EZ131:FC131" si="1043">EZ27</f>
        <v>-474</v>
      </c>
      <c r="FA131" s="338">
        <f t="shared" si="1043"/>
        <v>294</v>
      </c>
      <c r="FB131" s="338">
        <f t="shared" si="1043"/>
        <v>-179</v>
      </c>
      <c r="FC131" s="338">
        <f t="shared" si="1043"/>
        <v>235</v>
      </c>
      <c r="FD131" s="339">
        <f t="shared" ref="FD131" si="1044">FD27</f>
        <v>0</v>
      </c>
    </row>
    <row r="132" spans="1:160" ht="14.25" customHeight="1" thickBot="1">
      <c r="A132" s="7"/>
      <c r="B132" s="194" t="s">
        <v>332</v>
      </c>
      <c r="C132" s="195"/>
      <c r="D132" s="197">
        <f t="shared" ref="D132:AY132" si="1045">D112+SUM(D114:D121)+SUM(D123:D131)</f>
        <v>159.30000000000001</v>
      </c>
      <c r="E132" s="196">
        <f t="shared" si="1045"/>
        <v>342.80000000000007</v>
      </c>
      <c r="F132" s="196">
        <f t="shared" si="1045"/>
        <v>563.00000000000011</v>
      </c>
      <c r="G132" s="198">
        <f t="shared" si="1045"/>
        <v>844.10000000000014</v>
      </c>
      <c r="H132" s="197">
        <f t="shared" si="1045"/>
        <v>328.49999999999989</v>
      </c>
      <c r="I132" s="196">
        <f t="shared" si="1045"/>
        <v>516.69999999999982</v>
      </c>
      <c r="J132" s="196">
        <f t="shared" si="1045"/>
        <v>574.89999999999975</v>
      </c>
      <c r="K132" s="198">
        <f t="shared" si="1045"/>
        <v>593.49999999999966</v>
      </c>
      <c r="L132" s="197">
        <f t="shared" si="1045"/>
        <v>147.90000000000003</v>
      </c>
      <c r="M132" s="196">
        <f t="shared" si="1045"/>
        <v>348.40000000000009</v>
      </c>
      <c r="N132" s="196">
        <f t="shared" si="1045"/>
        <v>436.30000000000007</v>
      </c>
      <c r="O132" s="198">
        <f t="shared" si="1045"/>
        <v>603.60000000000014</v>
      </c>
      <c r="P132" s="197">
        <f t="shared" si="1045"/>
        <v>182.09999999999997</v>
      </c>
      <c r="Q132" s="196">
        <f t="shared" si="1045"/>
        <v>112.70000000000006</v>
      </c>
      <c r="R132" s="196">
        <f t="shared" si="1045"/>
        <v>105.29999999999997</v>
      </c>
      <c r="S132" s="198">
        <f t="shared" si="1045"/>
        <v>165.40000000000012</v>
      </c>
      <c r="T132" s="197">
        <f t="shared" si="1045"/>
        <v>255.59999999999997</v>
      </c>
      <c r="U132" s="196">
        <f t="shared" si="1045"/>
        <v>377.7999999999999</v>
      </c>
      <c r="V132" s="196">
        <f t="shared" si="1045"/>
        <v>563.89999999999986</v>
      </c>
      <c r="W132" s="198">
        <f t="shared" si="1045"/>
        <v>847.89999999999986</v>
      </c>
      <c r="X132" s="197">
        <f t="shared" si="1045"/>
        <v>556.20000000000005</v>
      </c>
      <c r="Y132" s="196">
        <f t="shared" si="1045"/>
        <v>696.90000000000009</v>
      </c>
      <c r="Z132" s="196">
        <f t="shared" si="1045"/>
        <v>1125</v>
      </c>
      <c r="AA132" s="198">
        <f t="shared" si="1045"/>
        <v>2002.2000000000007</v>
      </c>
      <c r="AB132" s="197">
        <f t="shared" si="1045"/>
        <v>614.19999999999993</v>
      </c>
      <c r="AC132" s="196">
        <f t="shared" si="1045"/>
        <v>645.99999999999977</v>
      </c>
      <c r="AD132" s="196">
        <f t="shared" si="1045"/>
        <v>845.20000000000016</v>
      </c>
      <c r="AE132" s="198">
        <f t="shared" si="1045"/>
        <v>789.10000000000082</v>
      </c>
      <c r="AF132" s="197">
        <f t="shared" si="1045"/>
        <v>397.29999999999995</v>
      </c>
      <c r="AG132" s="196">
        <f t="shared" si="1045"/>
        <v>316</v>
      </c>
      <c r="AH132" s="196">
        <f t="shared" si="1045"/>
        <v>492.2</v>
      </c>
      <c r="AI132" s="198">
        <f t="shared" si="1045"/>
        <v>576.00000000000011</v>
      </c>
      <c r="AJ132" s="197">
        <f t="shared" si="1045"/>
        <v>98.200000000000017</v>
      </c>
      <c r="AK132" s="196">
        <f t="shared" si="1045"/>
        <v>122.20000000000005</v>
      </c>
      <c r="AL132" s="196">
        <f t="shared" si="1045"/>
        <v>167.60000000000028</v>
      </c>
      <c r="AM132" s="198">
        <f t="shared" si="1045"/>
        <v>277.90000000000055</v>
      </c>
      <c r="AN132" s="197">
        <f t="shared" si="1045"/>
        <v>254.69999999999993</v>
      </c>
      <c r="AO132" s="196">
        <f t="shared" si="1045"/>
        <v>485.80000000000013</v>
      </c>
      <c r="AP132" s="196">
        <f t="shared" si="1045"/>
        <v>746.50000000000011</v>
      </c>
      <c r="AQ132" s="198">
        <f t="shared" si="1045"/>
        <v>1165.0999999999999</v>
      </c>
      <c r="AR132" s="197">
        <f t="shared" si="1045"/>
        <v>294.8</v>
      </c>
      <c r="AS132" s="196">
        <f t="shared" si="1045"/>
        <v>606.60000000000014</v>
      </c>
      <c r="AT132" s="196">
        <f t="shared" si="1045"/>
        <v>940.2</v>
      </c>
      <c r="AU132" s="198">
        <f t="shared" si="1045"/>
        <v>1244.6000000000001</v>
      </c>
      <c r="AV132" s="197">
        <f t="shared" si="1045"/>
        <v>425.19999999999987</v>
      </c>
      <c r="AW132" s="196">
        <f t="shared" si="1045"/>
        <v>1305.0999999999999</v>
      </c>
      <c r="AX132" s="196">
        <f t="shared" si="1045"/>
        <v>1688.6999999999998</v>
      </c>
      <c r="AY132" s="198">
        <f t="shared" si="1045"/>
        <v>2018.7999999999997</v>
      </c>
      <c r="AZ132" s="197">
        <f t="shared" ref="AZ132:CC132" si="1046">AZ112+SUM(AZ114:AZ121)+SUM(AZ123:AZ131)</f>
        <v>429</v>
      </c>
      <c r="BA132" s="196">
        <f t="shared" si="1046"/>
        <v>716</v>
      </c>
      <c r="BB132" s="196">
        <f t="shared" si="1046"/>
        <v>793</v>
      </c>
      <c r="BC132" s="198">
        <f t="shared" si="1046"/>
        <v>937</v>
      </c>
      <c r="BD132" s="197">
        <f t="shared" si="1046"/>
        <v>276</v>
      </c>
      <c r="BE132" s="196">
        <f t="shared" si="1046"/>
        <v>558</v>
      </c>
      <c r="BF132" s="196">
        <f t="shared" si="1046"/>
        <v>775</v>
      </c>
      <c r="BG132" s="198">
        <f t="shared" si="1046"/>
        <v>1018</v>
      </c>
      <c r="BH132" s="197">
        <f t="shared" si="1046"/>
        <v>359</v>
      </c>
      <c r="BI132" s="196">
        <f t="shared" si="1046"/>
        <v>698</v>
      </c>
      <c r="BJ132" s="196">
        <f t="shared" si="1046"/>
        <v>849</v>
      </c>
      <c r="BK132" s="198">
        <f t="shared" si="1046"/>
        <v>1206</v>
      </c>
      <c r="BL132" s="197">
        <f t="shared" si="1046"/>
        <v>326</v>
      </c>
      <c r="BM132" s="196">
        <f t="shared" si="1046"/>
        <v>1130</v>
      </c>
      <c r="BN132" s="196">
        <f t="shared" si="1046"/>
        <v>2019</v>
      </c>
      <c r="BO132" s="198">
        <f t="shared" si="1046"/>
        <v>3096</v>
      </c>
      <c r="BP132" s="197">
        <f t="shared" si="1046"/>
        <v>732</v>
      </c>
      <c r="BQ132" s="196">
        <f t="shared" si="1046"/>
        <v>1541</v>
      </c>
      <c r="BR132" s="196">
        <f t="shared" si="1046"/>
        <v>2130</v>
      </c>
      <c r="BS132" s="198">
        <f t="shared" ref="BS132:CI132" si="1047">BS112+SUM(BS114:BS121)+SUM(BS123:BS131)</f>
        <v>2484</v>
      </c>
      <c r="BT132" s="197">
        <f t="shared" si="1046"/>
        <v>404</v>
      </c>
      <c r="BU132" s="196">
        <f t="shared" si="1047"/>
        <v>978</v>
      </c>
      <c r="BV132" s="196">
        <f t="shared" si="1046"/>
        <v>1664</v>
      </c>
      <c r="BW132" s="198">
        <f t="shared" si="1047"/>
        <v>2114</v>
      </c>
      <c r="BX132" s="197">
        <f t="shared" si="1046"/>
        <v>236</v>
      </c>
      <c r="BY132" s="196">
        <f t="shared" si="1047"/>
        <v>470</v>
      </c>
      <c r="BZ132" s="196">
        <f t="shared" si="1046"/>
        <v>1094</v>
      </c>
      <c r="CA132" s="198">
        <f t="shared" si="1047"/>
        <v>1811</v>
      </c>
      <c r="CB132" s="197">
        <f t="shared" si="1046"/>
        <v>1507</v>
      </c>
      <c r="CC132" s="196">
        <f t="shared" si="1046"/>
        <v>2897</v>
      </c>
      <c r="CD132" s="196">
        <f>CD112+SUM(CD114:CD121)+SUM(CD123:CD131)</f>
        <v>4352</v>
      </c>
      <c r="CE132" s="198">
        <f t="shared" si="1047"/>
        <v>5699</v>
      </c>
      <c r="CF132" s="197">
        <f t="shared" si="1047"/>
        <v>1592</v>
      </c>
      <c r="CG132" s="196">
        <f t="shared" si="1047"/>
        <v>2843</v>
      </c>
      <c r="CH132" s="196">
        <f t="shared" si="1047"/>
        <v>4178</v>
      </c>
      <c r="CI132" s="198">
        <f t="shared" si="1047"/>
        <v>5208</v>
      </c>
      <c r="CJ132" s="197">
        <f t="shared" ref="CJ132:CM132" si="1048">CJ112+SUM(CJ114:CJ121)+SUM(CJ123:CJ131)</f>
        <v>1120</v>
      </c>
      <c r="CK132" s="196">
        <f t="shared" si="1048"/>
        <v>1883</v>
      </c>
      <c r="CL132" s="196">
        <f t="shared" si="1048"/>
        <v>2272</v>
      </c>
      <c r="CM132" s="198">
        <f t="shared" si="1048"/>
        <v>3168</v>
      </c>
      <c r="CN132" s="197">
        <f>CN112+SUM(CN114:CN121)+SUM(CN123:CN131)</f>
        <v>1138</v>
      </c>
      <c r="CO132" s="196">
        <f t="shared" ref="CO132:CQ132" si="1049">CO112+SUM(CO114:CO121)+SUM(CO123:CO131)</f>
        <v>2543</v>
      </c>
      <c r="CP132" s="196">
        <f t="shared" si="1049"/>
        <v>4950</v>
      </c>
      <c r="CQ132" s="198">
        <f t="shared" si="1049"/>
        <v>8153</v>
      </c>
      <c r="CR132" s="197">
        <f>CR112+SUM(CR114:CR121)+SUM(CR123:CR131)</f>
        <v>3636</v>
      </c>
      <c r="CS132" s="196">
        <f t="shared" ref="CS132:CU132" si="1050">CS112+SUM(CS114:CS121)+SUM(CS123:CS131)</f>
        <v>7984</v>
      </c>
      <c r="CT132" s="196">
        <f t="shared" si="1050"/>
        <v>11864.319700958727</v>
      </c>
      <c r="CU132" s="198">
        <f t="shared" si="1050"/>
        <v>16620.063215695303</v>
      </c>
      <c r="CV132" s="197">
        <f>CV112+SUM(CV114:CV121)+SUM(CV123:CV131)</f>
        <v>4338.3770653358297</v>
      </c>
      <c r="CW132" s="196">
        <f t="shared" ref="CW132:CY132" si="1051">CW112+SUM(CW114:CW121)+SUM(CW123:CW131)</f>
        <v>8211.7387407389706</v>
      </c>
      <c r="CX132" s="196">
        <f t="shared" si="1051"/>
        <v>11583.552963897066</v>
      </c>
      <c r="CY132" s="198">
        <f t="shared" si="1051"/>
        <v>14604.197628379596</v>
      </c>
      <c r="CZ132" s="197">
        <f>CZ112+SUM(CZ114:CZ121)+SUM(CZ123:CZ131)</f>
        <v>3158.1138123374108</v>
      </c>
      <c r="DA132" s="196">
        <f t="shared" ref="DA132:DC132" si="1052">DA112+SUM(DA114:DA121)+SUM(DA123:DA131)</f>
        <v>5830.5935358254173</v>
      </c>
      <c r="DB132" s="196">
        <f t="shared" si="1052"/>
        <v>8551.9954194142665</v>
      </c>
      <c r="DC132" s="198">
        <f t="shared" si="1052"/>
        <v>11202.534788333809</v>
      </c>
      <c r="DD132" s="153"/>
      <c r="DE132" s="196">
        <f t="shared" ref="DE132:DN132" si="1053">DE112+SUM(DE114:DE121)+SUM(DE123:DE131)</f>
        <v>844.10000000000014</v>
      </c>
      <c r="DF132" s="196">
        <f t="shared" si="1053"/>
        <v>593.49999999999966</v>
      </c>
      <c r="DG132" s="196">
        <f t="shared" si="1053"/>
        <v>603.60000000000014</v>
      </c>
      <c r="DH132" s="196">
        <f t="shared" si="1053"/>
        <v>165.40000000000012</v>
      </c>
      <c r="DI132" s="196">
        <f t="shared" si="1053"/>
        <v>847.89999999999975</v>
      </c>
      <c r="DJ132" s="196">
        <f t="shared" si="1053"/>
        <v>2002.2000000000007</v>
      </c>
      <c r="DK132" s="196">
        <f t="shared" si="1053"/>
        <v>789.10000000000082</v>
      </c>
      <c r="DL132" s="196">
        <f t="shared" si="1053"/>
        <v>576.00000000000011</v>
      </c>
      <c r="DM132" s="196">
        <f t="shared" si="1053"/>
        <v>277.90000000000055</v>
      </c>
      <c r="DN132" s="196">
        <f t="shared" si="1053"/>
        <v>1165.0999999999999</v>
      </c>
      <c r="DO132" s="196">
        <f t="shared" ref="DO132:EB132" si="1054">DO112+SUM(DO114:DO121)+SUM(DO123:DO131)</f>
        <v>1244.6000000000001</v>
      </c>
      <c r="DP132" s="196">
        <f t="shared" si="1054"/>
        <v>2018.7999999999997</v>
      </c>
      <c r="DQ132" s="196">
        <f t="shared" si="1054"/>
        <v>937</v>
      </c>
      <c r="DR132" s="196">
        <f t="shared" si="1054"/>
        <v>1018</v>
      </c>
      <c r="DS132" s="196">
        <f t="shared" si="1054"/>
        <v>1206</v>
      </c>
      <c r="DT132" s="196">
        <f t="shared" si="1054"/>
        <v>3096</v>
      </c>
      <c r="DU132" s="196">
        <f t="shared" si="1054"/>
        <v>2484</v>
      </c>
      <c r="DV132" s="196">
        <f t="shared" si="1054"/>
        <v>2114</v>
      </c>
      <c r="DW132" s="196">
        <f t="shared" si="1054"/>
        <v>1811</v>
      </c>
      <c r="DX132" s="196">
        <f t="shared" si="1054"/>
        <v>5699</v>
      </c>
      <c r="DY132" s="196">
        <f t="shared" si="1054"/>
        <v>5208</v>
      </c>
      <c r="DZ132" s="196">
        <f t="shared" si="1054"/>
        <v>3168</v>
      </c>
      <c r="EA132" s="196">
        <f t="shared" si="1054"/>
        <v>8153</v>
      </c>
      <c r="EB132" s="196">
        <f t="shared" si="1054"/>
        <v>16620.063215695303</v>
      </c>
      <c r="EC132" s="196">
        <f t="shared" ref="EC132:ED132" si="1055">EC112+SUM(EC114:EC121)+SUM(EC123:EC131)</f>
        <v>14604.197628379596</v>
      </c>
      <c r="ED132" s="196">
        <f t="shared" si="1055"/>
        <v>11202.534788333809</v>
      </c>
      <c r="EE132" s="18"/>
      <c r="EF132" s="197"/>
      <c r="EG132" s="196"/>
      <c r="EH132" s="196">
        <f t="shared" ref="EH132:EO132" si="1056">EH112+SUM(EH114:EH121)+SUM(EH123:EH131)</f>
        <v>637.80000000000018</v>
      </c>
      <c r="EI132" s="196">
        <f t="shared" si="1056"/>
        <v>238.90000000000006</v>
      </c>
      <c r="EJ132" s="196">
        <f t="shared" si="1056"/>
        <v>1148.5000000000002</v>
      </c>
      <c r="EK132" s="196">
        <f t="shared" si="1056"/>
        <v>2060.1999999999994</v>
      </c>
      <c r="EL132" s="196">
        <f t="shared" si="1056"/>
        <v>572.20000000000016</v>
      </c>
      <c r="EM132" s="196">
        <f t="shared" si="1056"/>
        <v>276.9000000000002</v>
      </c>
      <c r="EN132" s="196">
        <f t="shared" si="1056"/>
        <v>434.4000000000002</v>
      </c>
      <c r="EO132" s="196">
        <f t="shared" si="1056"/>
        <v>1205.2000000000003</v>
      </c>
      <c r="EP132" s="196">
        <f t="shared" ref="EP132:EY132" si="1057">EP112+SUM(EP114:EP121)+SUM(EP123:EP131)</f>
        <v>1374.9999999999998</v>
      </c>
      <c r="EQ132" s="196">
        <f t="shared" si="1057"/>
        <v>2022.6</v>
      </c>
      <c r="ER132" s="196">
        <f t="shared" si="1057"/>
        <v>784</v>
      </c>
      <c r="ES132" s="196">
        <f t="shared" si="1057"/>
        <v>1101</v>
      </c>
      <c r="ET132" s="196">
        <f t="shared" si="1057"/>
        <v>1173</v>
      </c>
      <c r="EU132" s="196">
        <f t="shared" si="1057"/>
        <v>3502</v>
      </c>
      <c r="EV132" s="196">
        <f t="shared" si="1057"/>
        <v>2156</v>
      </c>
      <c r="EW132" s="196">
        <f t="shared" si="1057"/>
        <v>1946</v>
      </c>
      <c r="EX132" s="196">
        <f t="shared" si="1057"/>
        <v>3082</v>
      </c>
      <c r="EY132" s="196">
        <f t="shared" si="1057"/>
        <v>5784</v>
      </c>
      <c r="EZ132" s="196">
        <f t="shared" ref="EZ132:FC132" si="1058">EZ112+SUM(EZ114:EZ121)+SUM(EZ123:EZ131)</f>
        <v>4736</v>
      </c>
      <c r="FA132" s="196">
        <f t="shared" si="1058"/>
        <v>3186</v>
      </c>
      <c r="FB132" s="196">
        <f t="shared" si="1058"/>
        <v>10651</v>
      </c>
      <c r="FC132" s="196">
        <f t="shared" si="1058"/>
        <v>17322.440281031137</v>
      </c>
      <c r="FD132" s="198">
        <f t="shared" ref="FD132" si="1059">FD112+SUM(FD114:FD121)+SUM(FD123:FD131)</f>
        <v>13423.934375381177</v>
      </c>
    </row>
    <row r="133" spans="1:160" ht="14.25" customHeight="1" thickTop="1">
      <c r="A133" s="7"/>
      <c r="B133" s="22"/>
      <c r="C133" s="23"/>
      <c r="D133" s="193"/>
      <c r="E133" s="191"/>
      <c r="F133" s="191"/>
      <c r="G133" s="192"/>
      <c r="H133" s="193"/>
      <c r="I133" s="191"/>
      <c r="J133" s="191"/>
      <c r="K133" s="192"/>
      <c r="L133" s="193"/>
      <c r="M133" s="191"/>
      <c r="N133" s="191"/>
      <c r="O133" s="192"/>
      <c r="P133" s="193"/>
      <c r="Q133" s="191"/>
      <c r="R133" s="191"/>
      <c r="S133" s="192"/>
      <c r="T133" s="193"/>
      <c r="U133" s="191"/>
      <c r="V133" s="191"/>
      <c r="W133" s="192"/>
      <c r="X133" s="193"/>
      <c r="Y133" s="191"/>
      <c r="Z133" s="191"/>
      <c r="AA133" s="192"/>
      <c r="AB133" s="193"/>
      <c r="AC133" s="191"/>
      <c r="AD133" s="191"/>
      <c r="AE133" s="192"/>
      <c r="AF133" s="193"/>
      <c r="AG133" s="191"/>
      <c r="AH133" s="191"/>
      <c r="AI133" s="192"/>
      <c r="AJ133" s="193"/>
      <c r="AK133" s="191"/>
      <c r="AL133" s="191"/>
      <c r="AM133" s="192"/>
      <c r="AN133" s="193"/>
      <c r="AO133" s="191"/>
      <c r="AP133" s="191"/>
      <c r="AQ133" s="192"/>
      <c r="AR133" s="193"/>
      <c r="AS133" s="191"/>
      <c r="AT133" s="191"/>
      <c r="AU133" s="192"/>
      <c r="AV133" s="193"/>
      <c r="AW133" s="191"/>
      <c r="AX133" s="191"/>
      <c r="AY133" s="192"/>
      <c r="AZ133" s="193"/>
      <c r="BA133" s="191"/>
      <c r="BB133" s="191"/>
      <c r="BC133" s="192"/>
      <c r="BD133" s="193"/>
      <c r="BE133" s="191"/>
      <c r="BF133" s="191"/>
      <c r="BG133" s="192"/>
      <c r="BH133" s="193"/>
      <c r="BI133" s="191"/>
      <c r="BJ133" s="191"/>
      <c r="BK133" s="192"/>
      <c r="BL133" s="193"/>
      <c r="BM133" s="191"/>
      <c r="BN133" s="191"/>
      <c r="BO133" s="192"/>
      <c r="BP133" s="193"/>
      <c r="BQ133" s="191"/>
      <c r="BR133" s="191"/>
      <c r="BS133" s="192"/>
      <c r="BT133" s="193"/>
      <c r="BU133" s="191"/>
      <c r="BV133" s="191"/>
      <c r="BW133" s="192"/>
      <c r="BX133" s="193"/>
      <c r="BY133" s="191"/>
      <c r="BZ133" s="191"/>
      <c r="CA133" s="192"/>
      <c r="CB133" s="193"/>
      <c r="CC133" s="191">
        <f>CC132-2897</f>
        <v>0</v>
      </c>
      <c r="CD133" s="191"/>
      <c r="CE133" s="192"/>
      <c r="CF133" s="193"/>
      <c r="CG133" s="191"/>
      <c r="CH133" s="191"/>
      <c r="CI133" s="192"/>
      <c r="CJ133" s="193"/>
      <c r="CK133" s="191"/>
      <c r="CL133" s="191"/>
      <c r="CM133" s="192"/>
      <c r="CN133" s="193"/>
      <c r="CO133" s="191"/>
      <c r="CP133" s="191"/>
      <c r="CQ133" s="192"/>
      <c r="CR133" s="193"/>
      <c r="CS133" s="191"/>
      <c r="CT133" s="191"/>
      <c r="CU133" s="192"/>
      <c r="CV133" s="193"/>
      <c r="CW133" s="191"/>
      <c r="CX133" s="191"/>
      <c r="CY133" s="192"/>
      <c r="CZ133" s="193"/>
      <c r="DA133" s="191"/>
      <c r="DB133" s="191"/>
      <c r="DC133" s="192"/>
      <c r="DD133" s="153"/>
      <c r="DE133" s="191"/>
      <c r="DF133" s="191"/>
      <c r="DG133" s="191"/>
      <c r="DH133" s="191"/>
      <c r="DI133" s="191"/>
      <c r="DJ133" s="191"/>
      <c r="DK133" s="191"/>
      <c r="DL133" s="191"/>
      <c r="DM133" s="191"/>
      <c r="DN133" s="191"/>
      <c r="DO133" s="191"/>
      <c r="DP133" s="191"/>
      <c r="DQ133" s="191"/>
      <c r="DR133" s="191"/>
      <c r="DS133" s="191"/>
      <c r="DT133" s="191"/>
      <c r="DU133" s="191"/>
      <c r="DV133" s="191"/>
      <c r="DW133" s="191"/>
      <c r="DX133" s="191"/>
      <c r="DY133" s="191"/>
      <c r="DZ133" s="191"/>
      <c r="EA133" s="191"/>
      <c r="EB133" s="191"/>
      <c r="EC133" s="191"/>
      <c r="ED133" s="191"/>
      <c r="EE133" s="18"/>
      <c r="EF133" s="193"/>
      <c r="EG133" s="191"/>
      <c r="EH133" s="191"/>
      <c r="EI133" s="191"/>
      <c r="EJ133" s="191"/>
      <c r="EK133" s="191"/>
      <c r="EL133" s="191"/>
      <c r="EM133" s="191"/>
      <c r="EN133" s="191"/>
      <c r="EO133" s="191"/>
      <c r="EP133" s="191"/>
      <c r="EQ133" s="191"/>
      <c r="ER133" s="191"/>
      <c r="ES133" s="191"/>
      <c r="ET133" s="191"/>
      <c r="EU133" s="191"/>
      <c r="EV133" s="191"/>
      <c r="EW133" s="191"/>
      <c r="EX133" s="191"/>
      <c r="EY133" s="191"/>
      <c r="EZ133" s="191"/>
      <c r="FA133" s="191"/>
      <c r="FB133" s="191"/>
      <c r="FC133" s="191"/>
      <c r="FD133" s="192"/>
    </row>
    <row r="134" spans="1:160" ht="14.25" customHeight="1">
      <c r="A134" s="7"/>
      <c r="B134" s="43" t="s">
        <v>333</v>
      </c>
      <c r="C134" s="44"/>
      <c r="D134" s="193"/>
      <c r="E134" s="191"/>
      <c r="F134" s="191"/>
      <c r="G134" s="192"/>
      <c r="H134" s="193"/>
      <c r="I134" s="191"/>
      <c r="J134" s="191"/>
      <c r="K134" s="192"/>
      <c r="L134" s="193"/>
      <c r="M134" s="191"/>
      <c r="N134" s="191"/>
      <c r="O134" s="192"/>
      <c r="P134" s="193"/>
      <c r="Q134" s="191"/>
      <c r="R134" s="191"/>
      <c r="S134" s="192"/>
      <c r="T134" s="193"/>
      <c r="U134" s="191"/>
      <c r="V134" s="191"/>
      <c r="W134" s="192"/>
      <c r="X134" s="193"/>
      <c r="Y134" s="191"/>
      <c r="Z134" s="191"/>
      <c r="AA134" s="192"/>
      <c r="AB134" s="193"/>
      <c r="AC134" s="191"/>
      <c r="AD134" s="191"/>
      <c r="AE134" s="192"/>
      <c r="AF134" s="193"/>
      <c r="AG134" s="191"/>
      <c r="AH134" s="191"/>
      <c r="AI134" s="192"/>
      <c r="AJ134" s="193"/>
      <c r="AK134" s="191"/>
      <c r="AL134" s="191"/>
      <c r="AM134" s="192"/>
      <c r="AN134" s="193"/>
      <c r="AO134" s="191"/>
      <c r="AP134" s="191"/>
      <c r="AQ134" s="192"/>
      <c r="AR134" s="193"/>
      <c r="AS134" s="191"/>
      <c r="AT134" s="191"/>
      <c r="AU134" s="192"/>
      <c r="AV134" s="193"/>
      <c r="AW134" s="191"/>
      <c r="AX134" s="191"/>
      <c r="AY134" s="192"/>
      <c r="AZ134" s="193"/>
      <c r="BA134" s="191"/>
      <c r="BB134" s="191"/>
      <c r="BC134" s="192"/>
      <c r="BD134" s="193"/>
      <c r="BE134" s="191"/>
      <c r="BF134" s="191"/>
      <c r="BG134" s="192"/>
      <c r="BH134" s="193"/>
      <c r="BI134" s="191"/>
      <c r="BJ134" s="191"/>
      <c r="BK134" s="192"/>
      <c r="BL134" s="193"/>
      <c r="BM134" s="191"/>
      <c r="BN134" s="191"/>
      <c r="BO134" s="192"/>
      <c r="BP134" s="193"/>
      <c r="BQ134" s="191"/>
      <c r="BR134" s="191"/>
      <c r="BS134" s="192"/>
      <c r="BT134" s="193"/>
      <c r="BU134" s="191"/>
      <c r="BV134" s="191"/>
      <c r="BW134" s="192"/>
      <c r="BX134" s="193"/>
      <c r="BY134" s="191"/>
      <c r="BZ134" s="191"/>
      <c r="CA134" s="192"/>
      <c r="CB134" s="193"/>
      <c r="CC134" s="191"/>
      <c r="CD134" s="191"/>
      <c r="CE134" s="192"/>
      <c r="CF134" s="193"/>
      <c r="CG134" s="191"/>
      <c r="CH134" s="191"/>
      <c r="CI134" s="192"/>
      <c r="CJ134" s="193"/>
      <c r="CK134" s="191"/>
      <c r="CL134" s="191"/>
      <c r="CM134" s="192"/>
      <c r="CN134" s="193"/>
      <c r="CO134" s="191"/>
      <c r="CP134" s="191"/>
      <c r="CQ134" s="192"/>
      <c r="CR134" s="193"/>
      <c r="CS134" s="191"/>
      <c r="CT134" s="191"/>
      <c r="CU134" s="192"/>
      <c r="CV134" s="193"/>
      <c r="CW134" s="191"/>
      <c r="CX134" s="191"/>
      <c r="CY134" s="192"/>
      <c r="CZ134" s="193"/>
      <c r="DA134" s="191"/>
      <c r="DB134" s="191"/>
      <c r="DC134" s="192"/>
      <c r="DD134" s="153"/>
      <c r="DE134" s="191"/>
      <c r="DF134" s="191"/>
      <c r="DG134" s="191"/>
      <c r="DH134" s="191"/>
      <c r="DI134" s="191"/>
      <c r="DJ134" s="191"/>
      <c r="DK134" s="191"/>
      <c r="DL134" s="191"/>
      <c r="DM134" s="191"/>
      <c r="DN134" s="191"/>
      <c r="DO134" s="191"/>
      <c r="DP134" s="191"/>
      <c r="DQ134" s="191"/>
      <c r="DR134" s="191"/>
      <c r="DS134" s="191"/>
      <c r="DT134" s="191"/>
      <c r="DU134" s="191"/>
      <c r="DV134" s="191"/>
      <c r="DW134" s="191"/>
      <c r="DX134" s="191"/>
      <c r="DY134" s="191"/>
      <c r="DZ134" s="191"/>
      <c r="EA134" s="191"/>
      <c r="EB134" s="191"/>
      <c r="EC134" s="191"/>
      <c r="ED134" s="191"/>
      <c r="EE134" s="18"/>
      <c r="EF134" s="193"/>
      <c r="EG134" s="191"/>
      <c r="EH134" s="191"/>
      <c r="EI134" s="191"/>
      <c r="EJ134" s="191"/>
      <c r="EK134" s="191"/>
      <c r="EL134" s="191"/>
      <c r="EM134" s="191"/>
      <c r="EN134" s="191"/>
      <c r="EO134" s="191"/>
      <c r="EP134" s="191"/>
      <c r="EQ134" s="191"/>
      <c r="ER134" s="191"/>
      <c r="ES134" s="191"/>
      <c r="ET134" s="191"/>
      <c r="EU134" s="191"/>
      <c r="EV134" s="191"/>
      <c r="EW134" s="191"/>
      <c r="EX134" s="191"/>
      <c r="EY134" s="191"/>
      <c r="EZ134" s="191"/>
      <c r="FA134" s="191"/>
      <c r="FB134" s="191"/>
      <c r="FC134" s="191"/>
      <c r="FD134" s="192"/>
    </row>
    <row r="135" spans="1:160" ht="14.25" customHeight="1">
      <c r="A135" s="7"/>
      <c r="B135" s="24" t="s">
        <v>374</v>
      </c>
      <c r="C135" s="25"/>
      <c r="D135" s="193">
        <v>0</v>
      </c>
      <c r="E135" s="191">
        <v>0</v>
      </c>
      <c r="F135" s="191">
        <v>0</v>
      </c>
      <c r="G135" s="192">
        <v>0</v>
      </c>
      <c r="H135" s="193">
        <v>0</v>
      </c>
      <c r="I135" s="191">
        <v>0</v>
      </c>
      <c r="J135" s="191">
        <v>0</v>
      </c>
      <c r="K135" s="192">
        <v>0</v>
      </c>
      <c r="L135" s="193">
        <f>-84.6+1.8</f>
        <v>-82.8</v>
      </c>
      <c r="M135" s="191">
        <v>-150.6</v>
      </c>
      <c r="N135" s="191">
        <f>-368.4+8.5</f>
        <v>-359.9</v>
      </c>
      <c r="O135" s="192">
        <f>-516.9+15.5</f>
        <v>-501.4</v>
      </c>
      <c r="P135" s="193">
        <v>-187.9</v>
      </c>
      <c r="Q135" s="191">
        <f>-381.3+31</f>
        <v>-350.3</v>
      </c>
      <c r="R135" s="191">
        <v>-564.20000000000005</v>
      </c>
      <c r="S135" s="192">
        <f>-707.1+33.4</f>
        <v>-673.7</v>
      </c>
      <c r="T135" s="193">
        <v>-117.5</v>
      </c>
      <c r="U135" s="191">
        <f>-306.2+18.6</f>
        <v>-287.59999999999997</v>
      </c>
      <c r="V135" s="191">
        <v>-513.79999999999995</v>
      </c>
      <c r="W135" s="192">
        <f>-803.9+41.2</f>
        <v>-762.69999999999993</v>
      </c>
      <c r="X135" s="193">
        <v>-219.8</v>
      </c>
      <c r="Y135" s="191">
        <v>-449.1</v>
      </c>
      <c r="Z135" s="191">
        <v>-713.9</v>
      </c>
      <c r="AA135" s="192">
        <f>-1127.4+151.2</f>
        <v>-976.2</v>
      </c>
      <c r="AB135" s="193">
        <f>-499.7+10.2</f>
        <v>-489.5</v>
      </c>
      <c r="AC135" s="191">
        <f>-894.3+19.6</f>
        <v>-874.69999999999993</v>
      </c>
      <c r="AD135" s="191">
        <f>-1225.4+19.7</f>
        <v>-1205.7</v>
      </c>
      <c r="AE135" s="192">
        <f>-1488.6+23.7</f>
        <v>-1464.8999999999999</v>
      </c>
      <c r="AF135" s="193">
        <v>-182.6</v>
      </c>
      <c r="AG135" s="191">
        <f>-323+0.9</f>
        <v>-322.10000000000002</v>
      </c>
      <c r="AH135" s="191">
        <f>-475.2+2.1</f>
        <v>-473.09999999999997</v>
      </c>
      <c r="AI135" s="192">
        <f>-759.9+4.5</f>
        <v>-755.4</v>
      </c>
      <c r="AJ135" s="193">
        <v>-326.39999999999998</v>
      </c>
      <c r="AK135" s="191">
        <f>-545.7+4.8</f>
        <v>-540.90000000000009</v>
      </c>
      <c r="AL135" s="191">
        <f>-674+9</f>
        <v>-665</v>
      </c>
      <c r="AM135" s="192">
        <f>-821.5+20</f>
        <v>-801.5</v>
      </c>
      <c r="AN135" s="193">
        <f>-260.6+22</f>
        <v>-238.60000000000002</v>
      </c>
      <c r="AO135" s="191">
        <f>-468.5+69.9</f>
        <v>-398.6</v>
      </c>
      <c r="AP135" s="191">
        <f>-739.7+79.7</f>
        <v>-660</v>
      </c>
      <c r="AQ135" s="192">
        <f>-1080.7+92.7</f>
        <v>-988</v>
      </c>
      <c r="AR135" s="193">
        <f>-359.4+3.8</f>
        <v>-355.59999999999997</v>
      </c>
      <c r="AS135" s="191">
        <f>-670.6+13.1</f>
        <v>-657.5</v>
      </c>
      <c r="AT135" s="191">
        <f>-921.6+38.6</f>
        <v>-883</v>
      </c>
      <c r="AU135" s="192">
        <f>-1064.8+47.2</f>
        <v>-1017.5999999999999</v>
      </c>
      <c r="AV135" s="193">
        <f>-268.7+5.4</f>
        <v>-263.3</v>
      </c>
      <c r="AW135" s="191">
        <f>-455.2+17.2</f>
        <v>-438</v>
      </c>
      <c r="AX135" s="191">
        <f>-790.1+32.2</f>
        <v>-757.9</v>
      </c>
      <c r="AY135" s="192">
        <f>-1365+55</f>
        <v>-1310</v>
      </c>
      <c r="AZ135" s="193">
        <f>-1099+11</f>
        <v>-1088</v>
      </c>
      <c r="BA135" s="191">
        <f>-2180+24</f>
        <v>-2156</v>
      </c>
      <c r="BB135" s="191">
        <f>-2851+49</f>
        <v>-2802</v>
      </c>
      <c r="BC135" s="192">
        <f>-3603+94</f>
        <v>-3509</v>
      </c>
      <c r="BD135" s="193">
        <f>-765+64</f>
        <v>-701</v>
      </c>
      <c r="BE135" s="191">
        <v>-1306</v>
      </c>
      <c r="BF135" s="191">
        <f>-1809+175</f>
        <v>-1634</v>
      </c>
      <c r="BG135" s="192">
        <f>-2529+187</f>
        <v>-2342</v>
      </c>
      <c r="BH135" s="193">
        <v>-270</v>
      </c>
      <c r="BI135" s="191">
        <v>-375</v>
      </c>
      <c r="BJ135" s="191">
        <f>-439+13</f>
        <v>-426</v>
      </c>
      <c r="BK135" s="192">
        <f>-488+26</f>
        <v>-462</v>
      </c>
      <c r="BL135" s="193">
        <v>-62</v>
      </c>
      <c r="BM135" s="191">
        <v>-155</v>
      </c>
      <c r="BN135" s="191">
        <v>-269</v>
      </c>
      <c r="BO135" s="192">
        <v>-616</v>
      </c>
      <c r="BP135" s="193">
        <v>-465</v>
      </c>
      <c r="BQ135" s="191">
        <v>-1189</v>
      </c>
      <c r="BR135" s="191">
        <v>-1682</v>
      </c>
      <c r="BS135" s="192">
        <v>-2550</v>
      </c>
      <c r="BT135" s="193">
        <v>-697</v>
      </c>
      <c r="BU135" s="191">
        <v>-1089</v>
      </c>
      <c r="BV135" s="191">
        <v>-1367</v>
      </c>
      <c r="BW135" s="192">
        <v>-1699</v>
      </c>
      <c r="BX135" s="193">
        <v>-434</v>
      </c>
      <c r="BY135" s="191">
        <v>-761</v>
      </c>
      <c r="BZ135" s="191">
        <v>-964</v>
      </c>
      <c r="CA135" s="192">
        <v>-1244</v>
      </c>
      <c r="CB135" s="193">
        <v>-526</v>
      </c>
      <c r="CC135" s="191">
        <v>-1031</v>
      </c>
      <c r="CD135" s="191">
        <v>-1518</v>
      </c>
      <c r="CE135" s="192">
        <v>-2658</v>
      </c>
      <c r="CF135" s="193">
        <v>-669</v>
      </c>
      <c r="CG135" s="191">
        <v>-1522</v>
      </c>
      <c r="CH135" s="191">
        <v>-2256</v>
      </c>
      <c r="CI135" s="192">
        <v>-4021</v>
      </c>
      <c r="CJ135" s="193">
        <v>-990</v>
      </c>
      <c r="CK135" s="191">
        <v>-2209</v>
      </c>
      <c r="CL135" s="191">
        <v>-3894</v>
      </c>
      <c r="CM135" s="192">
        <v>-5817</v>
      </c>
      <c r="CN135" s="193">
        <v>-1264</v>
      </c>
      <c r="CO135" s="191">
        <v>-2428</v>
      </c>
      <c r="CP135" s="191">
        <v>-3730</v>
      </c>
      <c r="CQ135" s="192">
        <v>-4734</v>
      </c>
      <c r="CR135" s="193">
        <v>-1956</v>
      </c>
      <c r="CS135" s="1444">
        <v>-4370</v>
      </c>
      <c r="CT135" s="188">
        <f>CS135+CT31</f>
        <v>-6170</v>
      </c>
      <c r="CU135" s="189">
        <f t="shared" ref="CU135:CU142" si="1060">CT135+CU31</f>
        <v>-7970</v>
      </c>
      <c r="CV135" s="190">
        <f>CV31</f>
        <v>-2500</v>
      </c>
      <c r="CW135" s="188">
        <f t="shared" ref="CW135:CW142" si="1061">CV135+CW31</f>
        <v>-4850</v>
      </c>
      <c r="CX135" s="188">
        <f t="shared" ref="CX135:CX142" si="1062">CW135+CX31</f>
        <v>-7200</v>
      </c>
      <c r="CY135" s="189">
        <f t="shared" ref="CY135:CY142" si="1063">CX135+CY31</f>
        <v>-9550</v>
      </c>
      <c r="CZ135" s="190">
        <f>CZ31</f>
        <v>-2400</v>
      </c>
      <c r="DA135" s="188">
        <f t="shared" ref="DA135:DA142" si="1064">CZ135+DA31</f>
        <v>-4800</v>
      </c>
      <c r="DB135" s="188">
        <f t="shared" ref="DB135:DB142" si="1065">DA135+DB31</f>
        <v>-7200</v>
      </c>
      <c r="DC135" s="189">
        <f t="shared" ref="DC135:DC142" si="1066">DB135+DC31</f>
        <v>-9600</v>
      </c>
      <c r="DD135" s="153"/>
      <c r="DE135" s="188">
        <f>DE31</f>
        <v>0</v>
      </c>
      <c r="DF135" s="188">
        <f>DF31</f>
        <v>0</v>
      </c>
      <c r="DG135" s="188">
        <f t="shared" ref="DG135:DN135" si="1067">DG31</f>
        <v>-501.4</v>
      </c>
      <c r="DH135" s="188">
        <f t="shared" si="1067"/>
        <v>-673.7</v>
      </c>
      <c r="DI135" s="188">
        <f t="shared" si="1067"/>
        <v>-762.7</v>
      </c>
      <c r="DJ135" s="188">
        <f t="shared" si="1067"/>
        <v>-976.2</v>
      </c>
      <c r="DK135" s="188">
        <f t="shared" si="1067"/>
        <v>-1464.8999999999996</v>
      </c>
      <c r="DL135" s="188">
        <f t="shared" si="1067"/>
        <v>-755.4</v>
      </c>
      <c r="DM135" s="188">
        <f t="shared" si="1067"/>
        <v>-801.5</v>
      </c>
      <c r="DN135" s="188">
        <f t="shared" si="1067"/>
        <v>-988</v>
      </c>
      <c r="DO135" s="188">
        <f t="shared" ref="DO135:DQ136" si="1068">DO31</f>
        <v>-1017.5999999999999</v>
      </c>
      <c r="DP135" s="188">
        <f t="shared" si="1068"/>
        <v>-1310</v>
      </c>
      <c r="DQ135" s="188">
        <f t="shared" si="1068"/>
        <v>-3509</v>
      </c>
      <c r="DR135" s="188">
        <f t="shared" ref="DR135:EB135" si="1069">DR31</f>
        <v>-2342</v>
      </c>
      <c r="DS135" s="188">
        <f t="shared" si="1069"/>
        <v>-462</v>
      </c>
      <c r="DT135" s="188">
        <f t="shared" si="1069"/>
        <v>-616</v>
      </c>
      <c r="DU135" s="188">
        <f t="shared" si="1069"/>
        <v>-2550</v>
      </c>
      <c r="DV135" s="188">
        <f t="shared" si="1069"/>
        <v>-1699</v>
      </c>
      <c r="DW135" s="188">
        <f t="shared" si="1069"/>
        <v>-1244</v>
      </c>
      <c r="DX135" s="188">
        <f t="shared" si="1069"/>
        <v>-2658</v>
      </c>
      <c r="DY135" s="188">
        <f t="shared" si="1069"/>
        <v>-4021</v>
      </c>
      <c r="DZ135" s="188">
        <f t="shared" si="1069"/>
        <v>-5817</v>
      </c>
      <c r="EA135" s="188">
        <f>EA31</f>
        <v>-4734</v>
      </c>
      <c r="EB135" s="188">
        <f t="shared" si="1069"/>
        <v>-7970</v>
      </c>
      <c r="EC135" s="188">
        <f t="shared" ref="EC135:ED135" si="1070">EC31</f>
        <v>-9550</v>
      </c>
      <c r="ED135" s="188">
        <f t="shared" si="1070"/>
        <v>-9600</v>
      </c>
      <c r="EE135" s="18"/>
      <c r="EF135" s="337"/>
      <c r="EG135" s="338"/>
      <c r="EH135" s="338">
        <f t="shared" ref="EH135:EO135" si="1071">EH31</f>
        <v>-606.5</v>
      </c>
      <c r="EI135" s="338">
        <f t="shared" si="1071"/>
        <v>-603.30000000000007</v>
      </c>
      <c r="EJ135" s="338">
        <f t="shared" si="1071"/>
        <v>-865</v>
      </c>
      <c r="EK135" s="338">
        <f t="shared" si="1071"/>
        <v>-1245.9000000000001</v>
      </c>
      <c r="EL135" s="338">
        <f t="shared" si="1071"/>
        <v>-1157.9999999999998</v>
      </c>
      <c r="EM135" s="338">
        <f t="shared" si="1071"/>
        <v>-899.19999999999993</v>
      </c>
      <c r="EN135" s="338">
        <f t="shared" si="1071"/>
        <v>-713.7</v>
      </c>
      <c r="EO135" s="338">
        <f t="shared" si="1071"/>
        <v>-1105</v>
      </c>
      <c r="EP135" s="338">
        <f t="shared" ref="EP135:EX135" si="1072">EP31</f>
        <v>-925.3</v>
      </c>
      <c r="EQ135" s="338">
        <f t="shared" si="1072"/>
        <v>-2134.6999999999998</v>
      </c>
      <c r="ER135" s="338">
        <f t="shared" si="1072"/>
        <v>-3122</v>
      </c>
      <c r="ES135" s="338">
        <f t="shared" si="1072"/>
        <v>-1911</v>
      </c>
      <c r="ET135" s="338">
        <f t="shared" si="1072"/>
        <v>-254</v>
      </c>
      <c r="EU135" s="338">
        <f t="shared" si="1072"/>
        <v>-1019</v>
      </c>
      <c r="EV135" s="338">
        <f t="shared" si="1072"/>
        <v>-2782</v>
      </c>
      <c r="EW135" s="338">
        <f t="shared" si="1072"/>
        <v>-1436</v>
      </c>
      <c r="EX135" s="338">
        <f t="shared" si="1072"/>
        <v>-1336</v>
      </c>
      <c r="EY135" s="338">
        <f>EY31</f>
        <v>-2801</v>
      </c>
      <c r="EZ135" s="338">
        <f>EZ31</f>
        <v>-4342</v>
      </c>
      <c r="FA135" s="338">
        <f t="shared" ref="FA135:FC135" si="1073">FA31</f>
        <v>-6091</v>
      </c>
      <c r="FB135" s="338">
        <f t="shared" si="1073"/>
        <v>-5426</v>
      </c>
      <c r="FC135" s="338">
        <f t="shared" si="1073"/>
        <v>-8514</v>
      </c>
      <c r="FD135" s="339">
        <f t="shared" ref="FD135" si="1074">FD31</f>
        <v>-9450</v>
      </c>
    </row>
    <row r="136" spans="1:160" ht="14.25" customHeight="1">
      <c r="A136" s="7"/>
      <c r="B136" s="24" t="s">
        <v>204</v>
      </c>
      <c r="C136" s="25"/>
      <c r="D136" s="193"/>
      <c r="E136" s="191"/>
      <c r="F136" s="191"/>
      <c r="G136" s="192"/>
      <c r="H136" s="193"/>
      <c r="I136" s="191"/>
      <c r="J136" s="191"/>
      <c r="K136" s="192"/>
      <c r="L136" s="193"/>
      <c r="M136" s="191"/>
      <c r="N136" s="191"/>
      <c r="O136" s="192"/>
      <c r="P136" s="193"/>
      <c r="Q136" s="191"/>
      <c r="R136" s="191"/>
      <c r="S136" s="192"/>
      <c r="T136" s="193"/>
      <c r="U136" s="191"/>
      <c r="V136" s="191"/>
      <c r="W136" s="192"/>
      <c r="X136" s="193"/>
      <c r="Y136" s="191"/>
      <c r="Z136" s="191"/>
      <c r="AA136" s="192"/>
      <c r="AB136" s="193"/>
      <c r="AC136" s="191"/>
      <c r="AD136" s="191"/>
      <c r="AE136" s="192"/>
      <c r="AF136" s="193"/>
      <c r="AG136" s="191"/>
      <c r="AH136" s="191"/>
      <c r="AI136" s="192"/>
      <c r="AJ136" s="193"/>
      <c r="AK136" s="191"/>
      <c r="AL136" s="191"/>
      <c r="AM136" s="192"/>
      <c r="AN136" s="193"/>
      <c r="AO136" s="191"/>
      <c r="AP136" s="191"/>
      <c r="AQ136" s="192"/>
      <c r="AR136" s="193"/>
      <c r="AS136" s="191"/>
      <c r="AT136" s="191"/>
      <c r="AU136" s="192"/>
      <c r="AV136" s="193"/>
      <c r="AW136" s="191"/>
      <c r="AX136" s="191"/>
      <c r="AY136" s="192"/>
      <c r="AZ136" s="193"/>
      <c r="BA136" s="191"/>
      <c r="BB136" s="191"/>
      <c r="BC136" s="192"/>
      <c r="BD136" s="193"/>
      <c r="BE136" s="191"/>
      <c r="BF136" s="191"/>
      <c r="BG136" s="192"/>
      <c r="BH136" s="193"/>
      <c r="BI136" s="191"/>
      <c r="BJ136" s="191"/>
      <c r="BK136" s="192"/>
      <c r="BL136" s="193">
        <v>0</v>
      </c>
      <c r="BM136" s="191">
        <v>-143</v>
      </c>
      <c r="BN136" s="191">
        <v>-151</v>
      </c>
      <c r="BO136" s="192">
        <v>-165</v>
      </c>
      <c r="BP136" s="193">
        <v>0</v>
      </c>
      <c r="BQ136" s="191">
        <v>-11</v>
      </c>
      <c r="BR136" s="191">
        <v>-22</v>
      </c>
      <c r="BS136" s="192">
        <v>-31</v>
      </c>
      <c r="BT136" s="193">
        <v>0</v>
      </c>
      <c r="BU136" s="191">
        <v>-7</v>
      </c>
      <c r="BV136" s="191">
        <v>-180</v>
      </c>
      <c r="BW136" s="192">
        <v>-187</v>
      </c>
      <c r="BX136" s="193">
        <v>0</v>
      </c>
      <c r="BY136" s="191">
        <v>0</v>
      </c>
      <c r="BZ136" s="191">
        <v>0</v>
      </c>
      <c r="CA136" s="192">
        <v>0</v>
      </c>
      <c r="CB136" s="193">
        <v>0</v>
      </c>
      <c r="CC136" s="191">
        <v>0</v>
      </c>
      <c r="CD136" s="191">
        <v>0</v>
      </c>
      <c r="CE136" s="192">
        <v>0</v>
      </c>
      <c r="CF136" s="193">
        <v>0</v>
      </c>
      <c r="CG136" s="191">
        <v>0</v>
      </c>
      <c r="CH136" s="191">
        <v>0</v>
      </c>
      <c r="CI136" s="192">
        <v>0</v>
      </c>
      <c r="CJ136" s="193">
        <v>0</v>
      </c>
      <c r="CK136" s="191">
        <v>0</v>
      </c>
      <c r="CL136" s="191">
        <v>0</v>
      </c>
      <c r="CM136" s="192">
        <v>0</v>
      </c>
      <c r="CN136" s="193">
        <v>0</v>
      </c>
      <c r="CO136" s="191">
        <v>0</v>
      </c>
      <c r="CP136" s="191">
        <v>0</v>
      </c>
      <c r="CQ136" s="192">
        <v>0</v>
      </c>
      <c r="CR136" s="193">
        <v>0</v>
      </c>
      <c r="CS136" s="191">
        <f t="shared" ref="CS136:CS141" si="1075">CR136+CS32</f>
        <v>0</v>
      </c>
      <c r="CT136" s="191">
        <f t="shared" ref="CT136:CT142" si="1076">CS136+CT32</f>
        <v>0</v>
      </c>
      <c r="CU136" s="189">
        <f t="shared" si="1060"/>
        <v>0</v>
      </c>
      <c r="CV136" s="193">
        <f>CV32</f>
        <v>0</v>
      </c>
      <c r="CW136" s="191">
        <f t="shared" si="1061"/>
        <v>0</v>
      </c>
      <c r="CX136" s="191">
        <f t="shared" si="1062"/>
        <v>0</v>
      </c>
      <c r="CY136" s="189">
        <f t="shared" si="1063"/>
        <v>0</v>
      </c>
      <c r="CZ136" s="193">
        <f>CZ32</f>
        <v>0</v>
      </c>
      <c r="DA136" s="191">
        <f t="shared" si="1064"/>
        <v>0</v>
      </c>
      <c r="DB136" s="191">
        <f t="shared" si="1065"/>
        <v>0</v>
      </c>
      <c r="DC136" s="189">
        <f t="shared" si="1066"/>
        <v>0</v>
      </c>
      <c r="DD136" s="153"/>
      <c r="DE136" s="188">
        <f>DE32</f>
        <v>0</v>
      </c>
      <c r="DF136" s="188">
        <f>DF32</f>
        <v>0</v>
      </c>
      <c r="DG136" s="188">
        <f t="shared" ref="DG136:DN136" si="1077">DG32</f>
        <v>0</v>
      </c>
      <c r="DH136" s="188">
        <f t="shared" si="1077"/>
        <v>0</v>
      </c>
      <c r="DI136" s="188">
        <f t="shared" si="1077"/>
        <v>0</v>
      </c>
      <c r="DJ136" s="188">
        <f t="shared" si="1077"/>
        <v>0</v>
      </c>
      <c r="DK136" s="188">
        <f t="shared" si="1077"/>
        <v>0</v>
      </c>
      <c r="DL136" s="188">
        <f t="shared" si="1077"/>
        <v>0</v>
      </c>
      <c r="DM136" s="188">
        <f t="shared" si="1077"/>
        <v>0</v>
      </c>
      <c r="DN136" s="188">
        <f t="shared" si="1077"/>
        <v>0</v>
      </c>
      <c r="DO136" s="188">
        <f t="shared" si="1068"/>
        <v>0</v>
      </c>
      <c r="DP136" s="188">
        <f t="shared" si="1068"/>
        <v>0</v>
      </c>
      <c r="DQ136" s="188">
        <f t="shared" si="1068"/>
        <v>0</v>
      </c>
      <c r="DR136" s="188">
        <f>DR32</f>
        <v>0</v>
      </c>
      <c r="DS136" s="188">
        <f>DS32</f>
        <v>0</v>
      </c>
      <c r="DT136" s="188">
        <f>DT32</f>
        <v>-165</v>
      </c>
      <c r="DU136" s="188">
        <f t="shared" ref="DU136:EB136" si="1078">DU32</f>
        <v>-31</v>
      </c>
      <c r="DV136" s="188">
        <f t="shared" si="1078"/>
        <v>-187</v>
      </c>
      <c r="DW136" s="188">
        <f t="shared" si="1078"/>
        <v>0</v>
      </c>
      <c r="DX136" s="188">
        <f t="shared" si="1078"/>
        <v>0</v>
      </c>
      <c r="DY136" s="188">
        <f t="shared" si="1078"/>
        <v>0</v>
      </c>
      <c r="DZ136" s="188">
        <f t="shared" si="1078"/>
        <v>0</v>
      </c>
      <c r="EA136" s="188">
        <f t="shared" si="1078"/>
        <v>0</v>
      </c>
      <c r="EB136" s="188">
        <f t="shared" si="1078"/>
        <v>0</v>
      </c>
      <c r="EC136" s="188">
        <f t="shared" ref="EC136:ED136" si="1079">EC32</f>
        <v>0</v>
      </c>
      <c r="ED136" s="188">
        <f t="shared" si="1079"/>
        <v>0</v>
      </c>
      <c r="EE136" s="18"/>
      <c r="EF136" s="337"/>
      <c r="EG136" s="338"/>
      <c r="EH136" s="338">
        <f t="shared" ref="EH136:EY136" si="1080">EH32</f>
        <v>0</v>
      </c>
      <c r="EI136" s="338">
        <f t="shared" si="1080"/>
        <v>0</v>
      </c>
      <c r="EJ136" s="338">
        <f t="shared" si="1080"/>
        <v>0</v>
      </c>
      <c r="EK136" s="338">
        <f t="shared" si="1080"/>
        <v>0</v>
      </c>
      <c r="EL136" s="338">
        <f t="shared" si="1080"/>
        <v>0</v>
      </c>
      <c r="EM136" s="338">
        <f t="shared" si="1080"/>
        <v>0</v>
      </c>
      <c r="EN136" s="338">
        <f t="shared" si="1080"/>
        <v>0</v>
      </c>
      <c r="EO136" s="338">
        <f t="shared" si="1080"/>
        <v>0</v>
      </c>
      <c r="EP136" s="338">
        <f t="shared" si="1080"/>
        <v>0</v>
      </c>
      <c r="EQ136" s="338">
        <f t="shared" si="1080"/>
        <v>0</v>
      </c>
      <c r="ER136" s="338">
        <f t="shared" si="1080"/>
        <v>0</v>
      </c>
      <c r="ES136" s="338">
        <f t="shared" si="1080"/>
        <v>0</v>
      </c>
      <c r="ET136" s="338">
        <f t="shared" si="1080"/>
        <v>0</v>
      </c>
      <c r="EU136" s="338">
        <f t="shared" si="1080"/>
        <v>-165</v>
      </c>
      <c r="EV136" s="338">
        <f t="shared" si="1080"/>
        <v>-31</v>
      </c>
      <c r="EW136" s="338">
        <f t="shared" si="1080"/>
        <v>-187</v>
      </c>
      <c r="EX136" s="338">
        <f t="shared" si="1080"/>
        <v>0</v>
      </c>
      <c r="EY136" s="338">
        <f t="shared" si="1080"/>
        <v>0</v>
      </c>
      <c r="EZ136" s="338">
        <f t="shared" ref="EZ136:FC136" si="1081">EZ32</f>
        <v>0</v>
      </c>
      <c r="FA136" s="338">
        <f t="shared" si="1081"/>
        <v>0</v>
      </c>
      <c r="FB136" s="338">
        <f t="shared" si="1081"/>
        <v>0</v>
      </c>
      <c r="FC136" s="338">
        <f t="shared" si="1081"/>
        <v>0</v>
      </c>
      <c r="FD136" s="339">
        <f t="shared" ref="FD136" si="1082">FD32</f>
        <v>0</v>
      </c>
    </row>
    <row r="137" spans="1:160" ht="14.25" customHeight="1">
      <c r="A137" s="7"/>
      <c r="B137" s="24" t="s">
        <v>205</v>
      </c>
      <c r="C137" s="25"/>
      <c r="D137" s="193"/>
      <c r="E137" s="191"/>
      <c r="F137" s="191"/>
      <c r="G137" s="192"/>
      <c r="H137" s="193"/>
      <c r="I137" s="191"/>
      <c r="J137" s="191"/>
      <c r="K137" s="192"/>
      <c r="L137" s="193"/>
      <c r="M137" s="191"/>
      <c r="N137" s="191"/>
      <c r="O137" s="192"/>
      <c r="P137" s="193"/>
      <c r="Q137" s="191"/>
      <c r="R137" s="191"/>
      <c r="S137" s="192"/>
      <c r="T137" s="193"/>
      <c r="U137" s="191"/>
      <c r="V137" s="191"/>
      <c r="W137" s="192"/>
      <c r="X137" s="193"/>
      <c r="Y137" s="191"/>
      <c r="Z137" s="191"/>
      <c r="AA137" s="192"/>
      <c r="AB137" s="193"/>
      <c r="AC137" s="191"/>
      <c r="AD137" s="191"/>
      <c r="AE137" s="192"/>
      <c r="AF137" s="193"/>
      <c r="AG137" s="191"/>
      <c r="AH137" s="191"/>
      <c r="AI137" s="192"/>
      <c r="AJ137" s="193"/>
      <c r="AK137" s="191"/>
      <c r="AL137" s="191"/>
      <c r="AM137" s="192"/>
      <c r="AN137" s="193"/>
      <c r="AO137" s="191"/>
      <c r="AP137" s="191"/>
      <c r="AQ137" s="192"/>
      <c r="AR137" s="193"/>
      <c r="AS137" s="191"/>
      <c r="AT137" s="191"/>
      <c r="AU137" s="192"/>
      <c r="AV137" s="193"/>
      <c r="AW137" s="191"/>
      <c r="AX137" s="191"/>
      <c r="AY137" s="192"/>
      <c r="AZ137" s="193"/>
      <c r="BA137" s="191"/>
      <c r="BB137" s="191"/>
      <c r="BC137" s="192"/>
      <c r="BD137" s="193"/>
      <c r="BE137" s="191"/>
      <c r="BF137" s="191"/>
      <c r="BG137" s="192"/>
      <c r="BH137" s="193"/>
      <c r="BI137" s="191"/>
      <c r="BJ137" s="191"/>
      <c r="BK137" s="192"/>
      <c r="BL137" s="193">
        <v>0</v>
      </c>
      <c r="BM137" s="191">
        <v>0</v>
      </c>
      <c r="BN137" s="191">
        <v>0</v>
      </c>
      <c r="BO137" s="192">
        <v>0</v>
      </c>
      <c r="BP137" s="193">
        <v>0</v>
      </c>
      <c r="BQ137" s="191">
        <v>48</v>
      </c>
      <c r="BR137" s="191">
        <v>48</v>
      </c>
      <c r="BS137" s="192">
        <v>48</v>
      </c>
      <c r="BT137" s="193">
        <v>0</v>
      </c>
      <c r="BU137" s="191">
        <v>0</v>
      </c>
      <c r="BV137" s="191">
        <v>1</v>
      </c>
      <c r="BW137" s="192">
        <v>1</v>
      </c>
      <c r="BX137" s="193">
        <v>0</v>
      </c>
      <c r="BY137" s="191">
        <v>0</v>
      </c>
      <c r="BZ137" s="191">
        <v>0</v>
      </c>
      <c r="CA137" s="192">
        <v>0</v>
      </c>
      <c r="CB137" s="193">
        <v>0</v>
      </c>
      <c r="CC137" s="191">
        <v>0</v>
      </c>
      <c r="CD137" s="191">
        <v>0</v>
      </c>
      <c r="CE137" s="192">
        <v>0</v>
      </c>
      <c r="CF137" s="193">
        <v>0</v>
      </c>
      <c r="CG137" s="191">
        <v>0</v>
      </c>
      <c r="CH137" s="191">
        <v>0</v>
      </c>
      <c r="CI137" s="192">
        <v>0</v>
      </c>
      <c r="CJ137" s="193">
        <v>0</v>
      </c>
      <c r="CK137" s="191">
        <v>0</v>
      </c>
      <c r="CL137" s="191">
        <v>0</v>
      </c>
      <c r="CM137" s="192">
        <v>0</v>
      </c>
      <c r="CN137" s="193">
        <v>0</v>
      </c>
      <c r="CO137" s="191">
        <v>0</v>
      </c>
      <c r="CP137" s="191">
        <v>0</v>
      </c>
      <c r="CQ137" s="192">
        <v>0</v>
      </c>
      <c r="CR137" s="193">
        <v>0</v>
      </c>
      <c r="CS137" s="191">
        <f t="shared" si="1075"/>
        <v>0</v>
      </c>
      <c r="CT137" s="191">
        <f t="shared" si="1076"/>
        <v>0</v>
      </c>
      <c r="CU137" s="189">
        <f t="shared" si="1060"/>
        <v>0</v>
      </c>
      <c r="CV137" s="193">
        <f t="shared" ref="CV137:CV142" si="1083">CV33</f>
        <v>0</v>
      </c>
      <c r="CW137" s="191">
        <f t="shared" si="1061"/>
        <v>0</v>
      </c>
      <c r="CX137" s="191">
        <f t="shared" si="1062"/>
        <v>0</v>
      </c>
      <c r="CY137" s="189">
        <f t="shared" si="1063"/>
        <v>0</v>
      </c>
      <c r="CZ137" s="193">
        <f t="shared" ref="CZ137:CZ142" si="1084">CZ33</f>
        <v>0</v>
      </c>
      <c r="DA137" s="191">
        <f t="shared" si="1064"/>
        <v>0</v>
      </c>
      <c r="DB137" s="191">
        <f t="shared" si="1065"/>
        <v>0</v>
      </c>
      <c r="DC137" s="189">
        <f t="shared" si="1066"/>
        <v>0</v>
      </c>
      <c r="DD137" s="153"/>
      <c r="DE137" s="188">
        <f t="shared" ref="DE137:DT137" si="1085">DE33</f>
        <v>0</v>
      </c>
      <c r="DF137" s="188">
        <f t="shared" si="1085"/>
        <v>0</v>
      </c>
      <c r="DG137" s="188">
        <f t="shared" si="1085"/>
        <v>0</v>
      </c>
      <c r="DH137" s="188">
        <f t="shared" si="1085"/>
        <v>0</v>
      </c>
      <c r="DI137" s="188">
        <f t="shared" si="1085"/>
        <v>0</v>
      </c>
      <c r="DJ137" s="188">
        <f t="shared" si="1085"/>
        <v>0</v>
      </c>
      <c r="DK137" s="188">
        <f t="shared" si="1085"/>
        <v>0</v>
      </c>
      <c r="DL137" s="188">
        <f t="shared" si="1085"/>
        <v>0</v>
      </c>
      <c r="DM137" s="188">
        <f t="shared" si="1085"/>
        <v>0</v>
      </c>
      <c r="DN137" s="188">
        <f t="shared" si="1085"/>
        <v>0</v>
      </c>
      <c r="DO137" s="188">
        <f t="shared" si="1085"/>
        <v>0</v>
      </c>
      <c r="DP137" s="188">
        <f t="shared" si="1085"/>
        <v>0</v>
      </c>
      <c r="DQ137" s="188">
        <f t="shared" si="1085"/>
        <v>0</v>
      </c>
      <c r="DR137" s="188">
        <f t="shared" si="1085"/>
        <v>0</v>
      </c>
      <c r="DS137" s="188">
        <f t="shared" si="1085"/>
        <v>0</v>
      </c>
      <c r="DT137" s="188">
        <f t="shared" si="1085"/>
        <v>0</v>
      </c>
      <c r="DU137" s="188">
        <f t="shared" ref="DU137:EB137" si="1086">DU33</f>
        <v>48</v>
      </c>
      <c r="DV137" s="188">
        <f t="shared" si="1086"/>
        <v>1</v>
      </c>
      <c r="DW137" s="188">
        <f t="shared" si="1086"/>
        <v>0</v>
      </c>
      <c r="DX137" s="188">
        <f t="shared" si="1086"/>
        <v>0</v>
      </c>
      <c r="DY137" s="188">
        <f t="shared" si="1086"/>
        <v>0</v>
      </c>
      <c r="DZ137" s="188">
        <f t="shared" si="1086"/>
        <v>0</v>
      </c>
      <c r="EA137" s="188">
        <f t="shared" si="1086"/>
        <v>0</v>
      </c>
      <c r="EB137" s="188">
        <f t="shared" si="1086"/>
        <v>0</v>
      </c>
      <c r="EC137" s="188">
        <f t="shared" ref="EC137:ED137" si="1087">EC33</f>
        <v>0</v>
      </c>
      <c r="ED137" s="188">
        <f t="shared" si="1087"/>
        <v>0</v>
      </c>
      <c r="EE137" s="18"/>
      <c r="EF137" s="337"/>
      <c r="EG137" s="338"/>
      <c r="EH137" s="338">
        <f t="shared" ref="EH137:EY137" si="1088">EH33</f>
        <v>0</v>
      </c>
      <c r="EI137" s="338">
        <f t="shared" si="1088"/>
        <v>0</v>
      </c>
      <c r="EJ137" s="338">
        <f t="shared" si="1088"/>
        <v>0</v>
      </c>
      <c r="EK137" s="338">
        <f t="shared" si="1088"/>
        <v>0</v>
      </c>
      <c r="EL137" s="338">
        <f t="shared" si="1088"/>
        <v>0</v>
      </c>
      <c r="EM137" s="338">
        <f t="shared" si="1088"/>
        <v>0</v>
      </c>
      <c r="EN137" s="338">
        <f t="shared" si="1088"/>
        <v>0</v>
      </c>
      <c r="EO137" s="338">
        <f t="shared" si="1088"/>
        <v>0</v>
      </c>
      <c r="EP137" s="338">
        <f t="shared" si="1088"/>
        <v>0</v>
      </c>
      <c r="EQ137" s="338">
        <f t="shared" si="1088"/>
        <v>0</v>
      </c>
      <c r="ER137" s="338">
        <f t="shared" si="1088"/>
        <v>0</v>
      </c>
      <c r="ES137" s="338">
        <f t="shared" si="1088"/>
        <v>0</v>
      </c>
      <c r="ET137" s="338">
        <f t="shared" si="1088"/>
        <v>0</v>
      </c>
      <c r="EU137" s="338">
        <f t="shared" si="1088"/>
        <v>0</v>
      </c>
      <c r="EV137" s="338">
        <f t="shared" si="1088"/>
        <v>48</v>
      </c>
      <c r="EW137" s="338">
        <f t="shared" si="1088"/>
        <v>1</v>
      </c>
      <c r="EX137" s="338">
        <f t="shared" si="1088"/>
        <v>0</v>
      </c>
      <c r="EY137" s="338">
        <f t="shared" si="1088"/>
        <v>0</v>
      </c>
      <c r="EZ137" s="338">
        <f t="shared" ref="EZ137:FC137" si="1089">EZ33</f>
        <v>0</v>
      </c>
      <c r="FA137" s="338">
        <f t="shared" si="1089"/>
        <v>0</v>
      </c>
      <c r="FB137" s="338">
        <f t="shared" si="1089"/>
        <v>0</v>
      </c>
      <c r="FC137" s="338">
        <f t="shared" si="1089"/>
        <v>0</v>
      </c>
      <c r="FD137" s="339">
        <f t="shared" ref="FD137" si="1090">FD33</f>
        <v>0</v>
      </c>
    </row>
    <row r="138" spans="1:160" ht="14.25" customHeight="1">
      <c r="A138" s="7"/>
      <c r="B138" s="24" t="s">
        <v>206</v>
      </c>
      <c r="C138" s="25"/>
      <c r="D138" s="193"/>
      <c r="E138" s="191"/>
      <c r="F138" s="191"/>
      <c r="G138" s="192"/>
      <c r="H138" s="193"/>
      <c r="I138" s="191"/>
      <c r="J138" s="191"/>
      <c r="K138" s="192"/>
      <c r="L138" s="193"/>
      <c r="M138" s="191"/>
      <c r="N138" s="191"/>
      <c r="O138" s="192"/>
      <c r="P138" s="193"/>
      <c r="Q138" s="191"/>
      <c r="R138" s="191"/>
      <c r="S138" s="192"/>
      <c r="T138" s="193"/>
      <c r="U138" s="191"/>
      <c r="V138" s="191"/>
      <c r="W138" s="192"/>
      <c r="X138" s="193"/>
      <c r="Y138" s="191"/>
      <c r="Z138" s="191"/>
      <c r="AA138" s="192"/>
      <c r="AB138" s="193"/>
      <c r="AC138" s="191"/>
      <c r="AD138" s="191"/>
      <c r="AE138" s="192"/>
      <c r="AF138" s="193"/>
      <c r="AG138" s="191"/>
      <c r="AH138" s="191"/>
      <c r="AI138" s="192"/>
      <c r="AJ138" s="193"/>
      <c r="AK138" s="191"/>
      <c r="AL138" s="191"/>
      <c r="AM138" s="192"/>
      <c r="AN138" s="193"/>
      <c r="AO138" s="191"/>
      <c r="AP138" s="191"/>
      <c r="AQ138" s="192"/>
      <c r="AR138" s="193"/>
      <c r="AS138" s="191"/>
      <c r="AT138" s="191"/>
      <c r="AU138" s="192"/>
      <c r="AV138" s="193"/>
      <c r="AW138" s="191"/>
      <c r="AX138" s="191"/>
      <c r="AY138" s="192"/>
      <c r="AZ138" s="193"/>
      <c r="BA138" s="191"/>
      <c r="BB138" s="191"/>
      <c r="BC138" s="192"/>
      <c r="BD138" s="193"/>
      <c r="BE138" s="191"/>
      <c r="BF138" s="191"/>
      <c r="BG138" s="192"/>
      <c r="BH138" s="193"/>
      <c r="BI138" s="191"/>
      <c r="BJ138" s="191"/>
      <c r="BK138" s="192"/>
      <c r="BL138" s="193">
        <v>31</v>
      </c>
      <c r="BM138" s="191">
        <v>36</v>
      </c>
      <c r="BN138" s="191">
        <v>86</v>
      </c>
      <c r="BO138" s="192">
        <v>94</v>
      </c>
      <c r="BP138" s="193">
        <v>34</v>
      </c>
      <c r="BQ138" s="191">
        <v>96</v>
      </c>
      <c r="BR138" s="191">
        <v>124</v>
      </c>
      <c r="BS138" s="192">
        <v>127</v>
      </c>
      <c r="BT138" s="193">
        <v>9</v>
      </c>
      <c r="BU138" s="191">
        <v>48</v>
      </c>
      <c r="BV138" s="191">
        <v>51</v>
      </c>
      <c r="BW138" s="192">
        <v>67</v>
      </c>
      <c r="BX138" s="193">
        <v>6</v>
      </c>
      <c r="BY138" s="191">
        <v>14</v>
      </c>
      <c r="BZ138" s="191">
        <v>23</v>
      </c>
      <c r="CA138" s="192">
        <v>28</v>
      </c>
      <c r="CB138" s="193">
        <v>0</v>
      </c>
      <c r="CC138" s="191">
        <v>63</v>
      </c>
      <c r="CD138" s="191">
        <v>16</v>
      </c>
      <c r="CE138" s="192">
        <v>0</v>
      </c>
      <c r="CF138" s="193">
        <v>0</v>
      </c>
      <c r="CG138" s="191">
        <v>0</v>
      </c>
      <c r="CH138" s="191">
        <v>0</v>
      </c>
      <c r="CI138" s="192">
        <v>0</v>
      </c>
      <c r="CJ138" s="193">
        <v>0</v>
      </c>
      <c r="CK138" s="191">
        <v>0</v>
      </c>
      <c r="CL138" s="191">
        <v>0</v>
      </c>
      <c r="CM138" s="192">
        <v>0</v>
      </c>
      <c r="CN138" s="193">
        <v>0</v>
      </c>
      <c r="CO138" s="191">
        <v>0</v>
      </c>
      <c r="CP138" s="191">
        <v>0</v>
      </c>
      <c r="CQ138" s="192">
        <v>0</v>
      </c>
      <c r="CR138" s="193">
        <v>0</v>
      </c>
      <c r="CS138" s="188">
        <f t="shared" si="1075"/>
        <v>0</v>
      </c>
      <c r="CT138" s="188">
        <f t="shared" si="1076"/>
        <v>0</v>
      </c>
      <c r="CU138" s="189">
        <f t="shared" si="1060"/>
        <v>0</v>
      </c>
      <c r="CV138" s="193">
        <f t="shared" si="1083"/>
        <v>0</v>
      </c>
      <c r="CW138" s="191">
        <f t="shared" si="1061"/>
        <v>0</v>
      </c>
      <c r="CX138" s="191">
        <f t="shared" si="1062"/>
        <v>0</v>
      </c>
      <c r="CY138" s="189">
        <f t="shared" si="1063"/>
        <v>0</v>
      </c>
      <c r="CZ138" s="193">
        <f t="shared" si="1084"/>
        <v>0</v>
      </c>
      <c r="DA138" s="191">
        <f t="shared" si="1064"/>
        <v>0</v>
      </c>
      <c r="DB138" s="191">
        <f t="shared" si="1065"/>
        <v>0</v>
      </c>
      <c r="DC138" s="189">
        <f t="shared" si="1066"/>
        <v>0</v>
      </c>
      <c r="DD138" s="153"/>
      <c r="DE138" s="188">
        <f t="shared" ref="DE138:EB138" si="1091">DE34</f>
        <v>0</v>
      </c>
      <c r="DF138" s="188">
        <f t="shared" si="1091"/>
        <v>0</v>
      </c>
      <c r="DG138" s="188">
        <f t="shared" si="1091"/>
        <v>0</v>
      </c>
      <c r="DH138" s="188">
        <f t="shared" si="1091"/>
        <v>0</v>
      </c>
      <c r="DI138" s="188">
        <f t="shared" si="1091"/>
        <v>0</v>
      </c>
      <c r="DJ138" s="188">
        <f t="shared" si="1091"/>
        <v>0</v>
      </c>
      <c r="DK138" s="188">
        <f t="shared" si="1091"/>
        <v>0</v>
      </c>
      <c r="DL138" s="188">
        <f t="shared" si="1091"/>
        <v>0</v>
      </c>
      <c r="DM138" s="188">
        <f t="shared" si="1091"/>
        <v>0</v>
      </c>
      <c r="DN138" s="188">
        <f t="shared" si="1091"/>
        <v>0</v>
      </c>
      <c r="DO138" s="188">
        <f t="shared" si="1091"/>
        <v>0</v>
      </c>
      <c r="DP138" s="188">
        <f t="shared" si="1091"/>
        <v>0</v>
      </c>
      <c r="DQ138" s="188">
        <f t="shared" si="1091"/>
        <v>0</v>
      </c>
      <c r="DR138" s="188">
        <f t="shared" si="1091"/>
        <v>0</v>
      </c>
      <c r="DS138" s="188">
        <f t="shared" si="1091"/>
        <v>0</v>
      </c>
      <c r="DT138" s="188">
        <f t="shared" si="1091"/>
        <v>94</v>
      </c>
      <c r="DU138" s="188">
        <f t="shared" si="1091"/>
        <v>127</v>
      </c>
      <c r="DV138" s="188">
        <f t="shared" si="1091"/>
        <v>67</v>
      </c>
      <c r="DW138" s="188">
        <f t="shared" si="1091"/>
        <v>28</v>
      </c>
      <c r="DX138" s="188">
        <f t="shared" si="1091"/>
        <v>0</v>
      </c>
      <c r="DY138" s="188">
        <f t="shared" si="1091"/>
        <v>0</v>
      </c>
      <c r="DZ138" s="188">
        <f t="shared" si="1091"/>
        <v>0</v>
      </c>
      <c r="EA138" s="188">
        <f t="shared" si="1091"/>
        <v>0</v>
      </c>
      <c r="EB138" s="188">
        <f t="shared" si="1091"/>
        <v>0</v>
      </c>
      <c r="EC138" s="188">
        <f t="shared" ref="EC138:ED138" si="1092">EC34</f>
        <v>0</v>
      </c>
      <c r="ED138" s="188">
        <f t="shared" si="1092"/>
        <v>0</v>
      </c>
      <c r="EE138" s="18"/>
      <c r="EF138" s="337"/>
      <c r="EG138" s="338"/>
      <c r="EH138" s="338">
        <f t="shared" ref="EH138:EY138" si="1093">EH34</f>
        <v>0</v>
      </c>
      <c r="EI138" s="338">
        <f t="shared" si="1093"/>
        <v>0</v>
      </c>
      <c r="EJ138" s="338">
        <f t="shared" si="1093"/>
        <v>0</v>
      </c>
      <c r="EK138" s="338">
        <f t="shared" si="1093"/>
        <v>0</v>
      </c>
      <c r="EL138" s="338">
        <f t="shared" si="1093"/>
        <v>0</v>
      </c>
      <c r="EM138" s="338">
        <f t="shared" si="1093"/>
        <v>0</v>
      </c>
      <c r="EN138" s="338">
        <f t="shared" si="1093"/>
        <v>0</v>
      </c>
      <c r="EO138" s="338">
        <f t="shared" si="1093"/>
        <v>0</v>
      </c>
      <c r="EP138" s="338">
        <f t="shared" si="1093"/>
        <v>0</v>
      </c>
      <c r="EQ138" s="338">
        <f t="shared" si="1093"/>
        <v>0</v>
      </c>
      <c r="ER138" s="338">
        <f t="shared" si="1093"/>
        <v>0</v>
      </c>
      <c r="ES138" s="338">
        <f t="shared" si="1093"/>
        <v>0</v>
      </c>
      <c r="ET138" s="338">
        <f t="shared" si="1093"/>
        <v>31</v>
      </c>
      <c r="EU138" s="338">
        <f t="shared" si="1093"/>
        <v>97</v>
      </c>
      <c r="EV138" s="338">
        <f t="shared" si="1093"/>
        <v>102</v>
      </c>
      <c r="EW138" s="338">
        <f t="shared" si="1093"/>
        <v>64</v>
      </c>
      <c r="EX138" s="338">
        <f t="shared" si="1093"/>
        <v>22</v>
      </c>
      <c r="EY138" s="338">
        <f t="shared" si="1093"/>
        <v>0</v>
      </c>
      <c r="EZ138" s="338">
        <f t="shared" ref="EZ138:FC138" si="1094">EZ34</f>
        <v>0</v>
      </c>
      <c r="FA138" s="338">
        <f t="shared" si="1094"/>
        <v>0</v>
      </c>
      <c r="FB138" s="338">
        <f t="shared" si="1094"/>
        <v>0</v>
      </c>
      <c r="FC138" s="338">
        <f t="shared" si="1094"/>
        <v>0</v>
      </c>
      <c r="FD138" s="339">
        <f t="shared" ref="FD138" si="1095">FD34</f>
        <v>0</v>
      </c>
    </row>
    <row r="139" spans="1:160" ht="14.25" customHeight="1">
      <c r="A139" s="7"/>
      <c r="B139" s="24" t="s">
        <v>363</v>
      </c>
      <c r="C139" s="25"/>
      <c r="D139" s="193">
        <v>0</v>
      </c>
      <c r="E139" s="191">
        <v>0</v>
      </c>
      <c r="F139" s="191">
        <v>0</v>
      </c>
      <c r="G139" s="192">
        <v>0</v>
      </c>
      <c r="H139" s="193">
        <v>0</v>
      </c>
      <c r="I139" s="191">
        <v>0</v>
      </c>
      <c r="J139" s="191">
        <v>0</v>
      </c>
      <c r="K139" s="192">
        <v>0</v>
      </c>
      <c r="L139" s="193">
        <v>0</v>
      </c>
      <c r="M139" s="191">
        <v>0</v>
      </c>
      <c r="N139" s="191">
        <v>0</v>
      </c>
      <c r="O139" s="192">
        <v>0</v>
      </c>
      <c r="P139" s="193">
        <v>0</v>
      </c>
      <c r="Q139" s="191">
        <v>0</v>
      </c>
      <c r="R139" s="191">
        <v>0</v>
      </c>
      <c r="S139" s="192">
        <v>0</v>
      </c>
      <c r="T139" s="193">
        <v>0</v>
      </c>
      <c r="U139" s="191">
        <v>0</v>
      </c>
      <c r="V139" s="191">
        <v>0</v>
      </c>
      <c r="W139" s="192">
        <v>0</v>
      </c>
      <c r="X139" s="193">
        <v>0</v>
      </c>
      <c r="Y139" s="191">
        <v>0</v>
      </c>
      <c r="Z139" s="191">
        <v>0</v>
      </c>
      <c r="AA139" s="192">
        <v>0</v>
      </c>
      <c r="AB139" s="193">
        <v>0</v>
      </c>
      <c r="AC139" s="191">
        <v>0</v>
      </c>
      <c r="AD139" s="191">
        <v>0</v>
      </c>
      <c r="AE139" s="192">
        <v>0</v>
      </c>
      <c r="AF139" s="193">
        <v>0</v>
      </c>
      <c r="AG139" s="191">
        <v>0</v>
      </c>
      <c r="AH139" s="191">
        <v>0</v>
      </c>
      <c r="AI139" s="192">
        <v>0</v>
      </c>
      <c r="AJ139" s="193">
        <v>0</v>
      </c>
      <c r="AK139" s="191">
        <v>0</v>
      </c>
      <c r="AL139" s="191">
        <v>0</v>
      </c>
      <c r="AM139" s="192">
        <v>0</v>
      </c>
      <c r="AN139" s="193">
        <v>0</v>
      </c>
      <c r="AO139" s="191">
        <v>0</v>
      </c>
      <c r="AP139" s="191">
        <v>0</v>
      </c>
      <c r="AQ139" s="192">
        <v>0</v>
      </c>
      <c r="AR139" s="193">
        <v>0</v>
      </c>
      <c r="AS139" s="191">
        <v>0</v>
      </c>
      <c r="AT139" s="191">
        <v>0</v>
      </c>
      <c r="AU139" s="192">
        <v>0</v>
      </c>
      <c r="AV139" s="193">
        <v>0</v>
      </c>
      <c r="AW139" s="191">
        <v>0</v>
      </c>
      <c r="AX139" s="191">
        <v>0</v>
      </c>
      <c r="AY139" s="192">
        <v>0</v>
      </c>
      <c r="AZ139" s="193">
        <v>0</v>
      </c>
      <c r="BA139" s="191">
        <v>0</v>
      </c>
      <c r="BB139" s="191">
        <v>0</v>
      </c>
      <c r="BC139" s="192">
        <v>0</v>
      </c>
      <c r="BD139" s="193">
        <v>0</v>
      </c>
      <c r="BE139" s="191">
        <v>0</v>
      </c>
      <c r="BF139" s="191">
        <v>0</v>
      </c>
      <c r="BG139" s="192">
        <v>0</v>
      </c>
      <c r="BH139" s="193">
        <v>0</v>
      </c>
      <c r="BI139" s="191">
        <v>0</v>
      </c>
      <c r="BJ139" s="191">
        <v>0</v>
      </c>
      <c r="BK139" s="192">
        <v>0</v>
      </c>
      <c r="BL139" s="193">
        <v>0</v>
      </c>
      <c r="BM139" s="191">
        <v>0</v>
      </c>
      <c r="BN139" s="191">
        <v>10</v>
      </c>
      <c r="BO139" s="192">
        <v>-240</v>
      </c>
      <c r="BP139" s="193">
        <v>0</v>
      </c>
      <c r="BQ139" s="191">
        <v>-1</v>
      </c>
      <c r="BR139" s="191">
        <v>324</v>
      </c>
      <c r="BS139" s="192">
        <v>330</v>
      </c>
      <c r="BT139" s="193">
        <v>0</v>
      </c>
      <c r="BU139" s="191">
        <v>0</v>
      </c>
      <c r="BV139" s="191">
        <v>-1</v>
      </c>
      <c r="BW139" s="192">
        <v>5</v>
      </c>
      <c r="BX139" s="193">
        <v>0</v>
      </c>
      <c r="BY139" s="191">
        <v>0</v>
      </c>
      <c r="BZ139" s="191">
        <v>0</v>
      </c>
      <c r="CA139" s="192">
        <v>0</v>
      </c>
      <c r="CB139" s="193">
        <v>556</v>
      </c>
      <c r="CC139" s="191">
        <v>556</v>
      </c>
      <c r="CD139" s="191">
        <v>0</v>
      </c>
      <c r="CE139" s="192">
        <v>536</v>
      </c>
      <c r="CF139" s="193">
        <v>0</v>
      </c>
      <c r="CG139" s="191">
        <v>5</v>
      </c>
      <c r="CH139" s="191">
        <v>0</v>
      </c>
      <c r="CI139" s="192">
        <v>0</v>
      </c>
      <c r="CJ139" s="193">
        <v>0</v>
      </c>
      <c r="CK139" s="191">
        <v>0</v>
      </c>
      <c r="CL139" s="191">
        <v>0</v>
      </c>
      <c r="CM139" s="192">
        <v>0</v>
      </c>
      <c r="CN139" s="193">
        <v>0</v>
      </c>
      <c r="CO139" s="191">
        <v>0</v>
      </c>
      <c r="CP139" s="191">
        <v>0</v>
      </c>
      <c r="CQ139" s="192">
        <v>0</v>
      </c>
      <c r="CR139" s="193">
        <v>0</v>
      </c>
      <c r="CS139" s="188">
        <f t="shared" si="1075"/>
        <v>0</v>
      </c>
      <c r="CT139" s="188">
        <f t="shared" si="1076"/>
        <v>0</v>
      </c>
      <c r="CU139" s="189">
        <f t="shared" si="1060"/>
        <v>0</v>
      </c>
      <c r="CV139" s="193">
        <f t="shared" si="1083"/>
        <v>0</v>
      </c>
      <c r="CW139" s="191">
        <f t="shared" si="1061"/>
        <v>0</v>
      </c>
      <c r="CX139" s="191">
        <f t="shared" si="1062"/>
        <v>0</v>
      </c>
      <c r="CY139" s="189">
        <f t="shared" si="1063"/>
        <v>0</v>
      </c>
      <c r="CZ139" s="193">
        <f t="shared" si="1084"/>
        <v>0</v>
      </c>
      <c r="DA139" s="191">
        <f t="shared" si="1064"/>
        <v>0</v>
      </c>
      <c r="DB139" s="191">
        <f t="shared" si="1065"/>
        <v>0</v>
      </c>
      <c r="DC139" s="189">
        <f t="shared" si="1066"/>
        <v>0</v>
      </c>
      <c r="DD139" s="153"/>
      <c r="DE139" s="188">
        <f t="shared" ref="DE139:DF142" si="1096">DE35</f>
        <v>0</v>
      </c>
      <c r="DF139" s="188">
        <f t="shared" si="1096"/>
        <v>0</v>
      </c>
      <c r="DG139" s="188">
        <f t="shared" ref="DG139:DN139" si="1097">DG35</f>
        <v>0</v>
      </c>
      <c r="DH139" s="188">
        <f t="shared" si="1097"/>
        <v>0</v>
      </c>
      <c r="DI139" s="188">
        <f t="shared" si="1097"/>
        <v>0</v>
      </c>
      <c r="DJ139" s="188">
        <f t="shared" si="1097"/>
        <v>0</v>
      </c>
      <c r="DK139" s="188">
        <f t="shared" si="1097"/>
        <v>0</v>
      </c>
      <c r="DL139" s="188">
        <f t="shared" si="1097"/>
        <v>0</v>
      </c>
      <c r="DM139" s="188">
        <f t="shared" si="1097"/>
        <v>0</v>
      </c>
      <c r="DN139" s="188">
        <f t="shared" si="1097"/>
        <v>0</v>
      </c>
      <c r="DO139" s="188">
        <f t="shared" ref="DO139:DQ142" si="1098">DO35</f>
        <v>0</v>
      </c>
      <c r="DP139" s="188">
        <f t="shared" si="1098"/>
        <v>0</v>
      </c>
      <c r="DQ139" s="188">
        <f t="shared" si="1098"/>
        <v>0</v>
      </c>
      <c r="DR139" s="188">
        <f t="shared" ref="DR139:EB139" si="1099">DR35</f>
        <v>0</v>
      </c>
      <c r="DS139" s="188">
        <f t="shared" si="1099"/>
        <v>0</v>
      </c>
      <c r="DT139" s="188">
        <f t="shared" si="1099"/>
        <v>-240</v>
      </c>
      <c r="DU139" s="188">
        <f t="shared" si="1099"/>
        <v>330</v>
      </c>
      <c r="DV139" s="188">
        <f t="shared" si="1099"/>
        <v>5</v>
      </c>
      <c r="DW139" s="188">
        <f t="shared" si="1099"/>
        <v>0</v>
      </c>
      <c r="DX139" s="188">
        <f t="shared" si="1099"/>
        <v>536</v>
      </c>
      <c r="DY139" s="188">
        <f t="shared" si="1099"/>
        <v>0</v>
      </c>
      <c r="DZ139" s="188">
        <f t="shared" si="1099"/>
        <v>0</v>
      </c>
      <c r="EA139" s="188">
        <f t="shared" si="1099"/>
        <v>0</v>
      </c>
      <c r="EB139" s="188">
        <f t="shared" si="1099"/>
        <v>0</v>
      </c>
      <c r="EC139" s="188">
        <f t="shared" ref="EC139:ED139" si="1100">EC35</f>
        <v>0</v>
      </c>
      <c r="ED139" s="188">
        <f t="shared" si="1100"/>
        <v>0</v>
      </c>
      <c r="EE139" s="18"/>
      <c r="EF139" s="337"/>
      <c r="EG139" s="338"/>
      <c r="EH139" s="338">
        <f t="shared" ref="EH139:EO139" si="1101">EH35</f>
        <v>0</v>
      </c>
      <c r="EI139" s="338">
        <f t="shared" si="1101"/>
        <v>0</v>
      </c>
      <c r="EJ139" s="338">
        <f t="shared" si="1101"/>
        <v>0</v>
      </c>
      <c r="EK139" s="338">
        <f t="shared" si="1101"/>
        <v>0</v>
      </c>
      <c r="EL139" s="338">
        <f t="shared" si="1101"/>
        <v>0</v>
      </c>
      <c r="EM139" s="338">
        <f t="shared" si="1101"/>
        <v>0</v>
      </c>
      <c r="EN139" s="338">
        <f t="shared" si="1101"/>
        <v>0</v>
      </c>
      <c r="EO139" s="338">
        <f t="shared" si="1101"/>
        <v>0</v>
      </c>
      <c r="EP139" s="338">
        <f t="shared" ref="EP139:EX139" si="1102">EP35</f>
        <v>0</v>
      </c>
      <c r="EQ139" s="338">
        <f t="shared" si="1102"/>
        <v>0</v>
      </c>
      <c r="ER139" s="338">
        <f t="shared" si="1102"/>
        <v>0</v>
      </c>
      <c r="ES139" s="338">
        <f t="shared" si="1102"/>
        <v>0</v>
      </c>
      <c r="ET139" s="338">
        <f t="shared" si="1102"/>
        <v>0</v>
      </c>
      <c r="EU139" s="338">
        <f t="shared" si="1102"/>
        <v>-240</v>
      </c>
      <c r="EV139" s="338">
        <f t="shared" si="1102"/>
        <v>330</v>
      </c>
      <c r="EW139" s="338">
        <f t="shared" si="1102"/>
        <v>5</v>
      </c>
      <c r="EX139" s="338">
        <f t="shared" si="1102"/>
        <v>556</v>
      </c>
      <c r="EY139" s="338">
        <f t="shared" ref="EY139:EZ142" si="1103">EY35</f>
        <v>-20</v>
      </c>
      <c r="EZ139" s="338">
        <f t="shared" si="1103"/>
        <v>0</v>
      </c>
      <c r="FA139" s="338">
        <f t="shared" ref="FA139:FC139" si="1104">FA35</f>
        <v>0</v>
      </c>
      <c r="FB139" s="338">
        <f t="shared" si="1104"/>
        <v>0</v>
      </c>
      <c r="FC139" s="338">
        <f t="shared" si="1104"/>
        <v>0</v>
      </c>
      <c r="FD139" s="339">
        <f t="shared" ref="FD139" si="1105">FD35</f>
        <v>0</v>
      </c>
    </row>
    <row r="140" spans="1:160" ht="14.25" customHeight="1">
      <c r="A140" s="7"/>
      <c r="B140" s="24" t="s">
        <v>408</v>
      </c>
      <c r="C140" s="25"/>
      <c r="D140" s="193">
        <v>0</v>
      </c>
      <c r="E140" s="191">
        <v>0</v>
      </c>
      <c r="F140" s="191">
        <v>0</v>
      </c>
      <c r="G140" s="192">
        <v>0</v>
      </c>
      <c r="H140" s="193">
        <v>0</v>
      </c>
      <c r="I140" s="191">
        <v>0</v>
      </c>
      <c r="J140" s="191">
        <v>0</v>
      </c>
      <c r="K140" s="192">
        <v>0</v>
      </c>
      <c r="L140" s="193">
        <f>-2.1+19.4</f>
        <v>17.299999999999997</v>
      </c>
      <c r="M140" s="191">
        <f>32.7-2.2</f>
        <v>30.500000000000004</v>
      </c>
      <c r="N140" s="191">
        <f>-85+34.7</f>
        <v>-50.3</v>
      </c>
      <c r="O140" s="192">
        <f>-446.8+89.1</f>
        <v>-357.70000000000005</v>
      </c>
      <c r="P140" s="193">
        <f>-362+151.5</f>
        <v>-210.5</v>
      </c>
      <c r="Q140" s="191">
        <f>-482.4+490.5</f>
        <v>8.1000000000000227</v>
      </c>
      <c r="R140" s="191">
        <f>-611.3+796.6</f>
        <v>185.30000000000007</v>
      </c>
      <c r="S140" s="192">
        <f>-601.1-52.5+892.5+23.6+34</f>
        <v>296.5</v>
      </c>
      <c r="T140" s="193">
        <f>-1273.5+211.5</f>
        <v>-1062</v>
      </c>
      <c r="U140" s="191">
        <f>-1945.8+655.5</f>
        <v>-1290.3</v>
      </c>
      <c r="V140" s="191">
        <f>-2368.4+1116.1</f>
        <v>-1252.3000000000002</v>
      </c>
      <c r="W140" s="192">
        <f>-2683.4-205.3+1437.5+154.1+98.4</f>
        <v>-1198.7000000000003</v>
      </c>
      <c r="X140" s="193">
        <f>-638+564.7+24.6-99.7+33.7</f>
        <v>-114.69999999999995</v>
      </c>
      <c r="Y140" s="191">
        <f>-1123.4+1079.7+76.3-124.3+154.9</f>
        <v>63.19999999999996</v>
      </c>
      <c r="Z140" s="191">
        <f>-1916.6+1653.1+100.1-158.2+212.5</f>
        <v>-109.10000000000002</v>
      </c>
      <c r="AA140" s="192">
        <f>-2504.7-245.9+2027+260.7+100.1</f>
        <v>-362.79999999999995</v>
      </c>
      <c r="AB140" s="193">
        <f>-791.9-56.7+621.5+36+10</f>
        <v>-181.10000000000002</v>
      </c>
      <c r="AC140" s="191">
        <f>-1475.3-75.1+1655.6+49.7+132</f>
        <v>286.90000000000003</v>
      </c>
      <c r="AD140" s="191">
        <f>-1907.2-116.3+2354.2+110.7+167.5</f>
        <v>608.89999999999986</v>
      </c>
      <c r="AE140" s="192">
        <f>-2860.3-116.3+3104.1+131.1+207.7</f>
        <v>466.29999999999956</v>
      </c>
      <c r="AF140" s="193">
        <f>-769.7+387.2+133.2</f>
        <v>-249.30000000000007</v>
      </c>
      <c r="AG140" s="191">
        <f>-1110.6+1099.3+322.7</f>
        <v>311.40000000000003</v>
      </c>
      <c r="AH140" s="191">
        <f>-1807.9+1540.5+521.5</f>
        <v>254.09999999999991</v>
      </c>
      <c r="AI140" s="192">
        <f>-1867.9+1842+596.6</f>
        <v>570.69999999999993</v>
      </c>
      <c r="AJ140" s="193">
        <f>-122.8+350.8+46.7</f>
        <v>274.7</v>
      </c>
      <c r="AK140" s="191">
        <f>-319.7+241.6+533</f>
        <v>454.9</v>
      </c>
      <c r="AL140" s="191">
        <f>-584.8+687.1+319.1</f>
        <v>421.40000000000009</v>
      </c>
      <c r="AM140" s="192">
        <f>-758+832+319.1</f>
        <v>393.1</v>
      </c>
      <c r="AN140" s="193">
        <f>-474.9+110.2+31.9</f>
        <v>-332.8</v>
      </c>
      <c r="AO140" s="191">
        <f>-1059.5+595.6+112</f>
        <v>-351.9</v>
      </c>
      <c r="AP140" s="191">
        <f>-1456.8+784.8+219.2</f>
        <v>-452.8</v>
      </c>
      <c r="AQ140" s="192">
        <f>-1799.4+1179+225.7</f>
        <v>-394.7000000000001</v>
      </c>
      <c r="AR140" s="193">
        <f>-459.3+463.4+10</f>
        <v>14.099999999999966</v>
      </c>
      <c r="AS140" s="191">
        <f>-954.2+918.2+10</f>
        <v>-26</v>
      </c>
      <c r="AT140" s="191">
        <f>-1429.7+1344.9+10.3</f>
        <v>-74.499999999999957</v>
      </c>
      <c r="AU140" s="192">
        <f>-1848.6+1825.8+10.3</f>
        <v>-12.499999999999954</v>
      </c>
      <c r="AV140" s="193">
        <f>-478.4+530.3</f>
        <v>51.899999999999977</v>
      </c>
      <c r="AW140" s="191">
        <f>-1274.3+1000</f>
        <v>-274.29999999999995</v>
      </c>
      <c r="AX140" s="191">
        <f>-2090.7+1477.4+31.3</f>
        <v>-581.99999999999977</v>
      </c>
      <c r="AY140" s="192">
        <f>-3080+2189+33</f>
        <v>-858</v>
      </c>
      <c r="AZ140" s="193">
        <f>-827+1082+66</f>
        <v>321</v>
      </c>
      <c r="BA140" s="191">
        <f>-1003+1723+307</f>
        <v>1027</v>
      </c>
      <c r="BB140" s="191">
        <f>-1227+2088+531</f>
        <v>1392</v>
      </c>
      <c r="BC140" s="192">
        <f>-1466+2156+540</f>
        <v>1230</v>
      </c>
      <c r="BD140" s="193">
        <f>-123+365+19</f>
        <v>261</v>
      </c>
      <c r="BE140" s="191">
        <f>-151+395+24</f>
        <v>268</v>
      </c>
      <c r="BF140" s="191">
        <f>-259+529+24</f>
        <v>294</v>
      </c>
      <c r="BG140" s="192">
        <f>-283+547+24</f>
        <v>288</v>
      </c>
      <c r="BH140" s="193">
        <f>-2+123+6</f>
        <v>127</v>
      </c>
      <c r="BI140" s="191">
        <f>-6+130</f>
        <v>124</v>
      </c>
      <c r="BJ140" s="191">
        <f>-6+130</f>
        <v>124</v>
      </c>
      <c r="BK140" s="192">
        <f>-6+130</f>
        <v>124</v>
      </c>
      <c r="BL140" s="193">
        <v>0</v>
      </c>
      <c r="BM140" s="191">
        <v>0</v>
      </c>
      <c r="BN140" s="191">
        <v>0</v>
      </c>
      <c r="BO140" s="192">
        <v>0</v>
      </c>
      <c r="BP140" s="193">
        <v>0</v>
      </c>
      <c r="BQ140" s="191">
        <v>0</v>
      </c>
      <c r="BR140" s="191">
        <f>-9+1</f>
        <v>-8</v>
      </c>
      <c r="BS140" s="192">
        <v>0</v>
      </c>
      <c r="BT140" s="193">
        <v>0</v>
      </c>
      <c r="BU140" s="191">
        <v>0</v>
      </c>
      <c r="BV140" s="191">
        <f>-499+63</f>
        <v>-436</v>
      </c>
      <c r="BW140" s="192">
        <f>-564+152</f>
        <v>-412</v>
      </c>
      <c r="BX140" s="193">
        <f>-317+109</f>
        <v>-208</v>
      </c>
      <c r="BY140" s="191">
        <f>-430+198</f>
        <v>-232</v>
      </c>
      <c r="BZ140" s="191">
        <f>-574+592</f>
        <v>18</v>
      </c>
      <c r="CA140" s="192">
        <f>-924+678</f>
        <v>-246</v>
      </c>
      <c r="CB140" s="193">
        <f>-196+162</f>
        <v>-34</v>
      </c>
      <c r="CC140" s="191">
        <v>320</v>
      </c>
      <c r="CD140" s="191">
        <f>-475+442</f>
        <v>-33</v>
      </c>
      <c r="CE140" s="192">
        <f>-1063-26+557</f>
        <v>-532</v>
      </c>
      <c r="CF140" s="193">
        <f>-668+330</f>
        <v>-338</v>
      </c>
      <c r="CG140" s="191">
        <f>-2222+631</f>
        <v>-1591</v>
      </c>
      <c r="CH140" s="191">
        <f>-3809+1386</f>
        <v>-2423</v>
      </c>
      <c r="CI140" s="192">
        <f>-4392+2248</f>
        <v>-2144</v>
      </c>
      <c r="CJ140" s="193">
        <f>-510+1044</f>
        <v>534</v>
      </c>
      <c r="CK140" s="191">
        <f>-679+1950</f>
        <v>1271</v>
      </c>
      <c r="CL140" s="191">
        <f>-879+3189</f>
        <v>2310</v>
      </c>
      <c r="CM140" s="192">
        <f>-1026+3690</f>
        <v>2664</v>
      </c>
      <c r="CN140" s="193">
        <f>-84+567</f>
        <v>483</v>
      </c>
      <c r="CO140" s="191">
        <f>-803+620</f>
        <v>-183</v>
      </c>
      <c r="CP140" s="191">
        <f>CO140</f>
        <v>-183</v>
      </c>
      <c r="CQ140" s="192">
        <f>-1239+970</f>
        <v>-269</v>
      </c>
      <c r="CR140" s="193">
        <f>-186+554+85</f>
        <v>453</v>
      </c>
      <c r="CS140" s="188">
        <f t="shared" si="1075"/>
        <v>247</v>
      </c>
      <c r="CT140" s="188">
        <f t="shared" si="1076"/>
        <v>247</v>
      </c>
      <c r="CU140" s="189">
        <f t="shared" si="1060"/>
        <v>247</v>
      </c>
      <c r="CV140" s="193">
        <f t="shared" si="1083"/>
        <v>0</v>
      </c>
      <c r="CW140" s="191">
        <f t="shared" si="1061"/>
        <v>0</v>
      </c>
      <c r="CX140" s="191">
        <f t="shared" si="1062"/>
        <v>0</v>
      </c>
      <c r="CY140" s="189">
        <f t="shared" si="1063"/>
        <v>0</v>
      </c>
      <c r="CZ140" s="193">
        <f t="shared" si="1084"/>
        <v>0</v>
      </c>
      <c r="DA140" s="191">
        <f t="shared" si="1064"/>
        <v>0</v>
      </c>
      <c r="DB140" s="191">
        <f t="shared" si="1065"/>
        <v>0</v>
      </c>
      <c r="DC140" s="189">
        <f t="shared" si="1066"/>
        <v>0</v>
      </c>
      <c r="DD140" s="153"/>
      <c r="DE140" s="188">
        <f t="shared" si="1096"/>
        <v>0</v>
      </c>
      <c r="DF140" s="188">
        <f t="shared" si="1096"/>
        <v>0</v>
      </c>
      <c r="DG140" s="188">
        <f t="shared" ref="DG140:DN140" si="1106">DG36</f>
        <v>-357.70000000000005</v>
      </c>
      <c r="DH140" s="188">
        <f t="shared" si="1106"/>
        <v>296.5</v>
      </c>
      <c r="DI140" s="188">
        <f t="shared" si="1106"/>
        <v>-1198.7000000000003</v>
      </c>
      <c r="DJ140" s="188">
        <f t="shared" si="1106"/>
        <v>-362.79999999999995</v>
      </c>
      <c r="DK140" s="188">
        <f t="shared" si="1106"/>
        <v>466.29999999999956</v>
      </c>
      <c r="DL140" s="188">
        <f t="shared" si="1106"/>
        <v>570.69999999999993</v>
      </c>
      <c r="DM140" s="188">
        <f t="shared" si="1106"/>
        <v>393.1</v>
      </c>
      <c r="DN140" s="188">
        <f t="shared" si="1106"/>
        <v>-394.7000000000001</v>
      </c>
      <c r="DO140" s="188">
        <f t="shared" si="1098"/>
        <v>-12.499999999999957</v>
      </c>
      <c r="DP140" s="188">
        <f t="shared" si="1098"/>
        <v>-858</v>
      </c>
      <c r="DQ140" s="188">
        <f t="shared" si="1098"/>
        <v>1230</v>
      </c>
      <c r="DR140" s="188">
        <f t="shared" ref="DR140:EB140" si="1107">DR36</f>
        <v>288</v>
      </c>
      <c r="DS140" s="188">
        <f t="shared" si="1107"/>
        <v>124</v>
      </c>
      <c r="DT140" s="188">
        <f t="shared" si="1107"/>
        <v>0</v>
      </c>
      <c r="DU140" s="188">
        <f t="shared" si="1107"/>
        <v>0</v>
      </c>
      <c r="DV140" s="188">
        <f t="shared" si="1107"/>
        <v>-412</v>
      </c>
      <c r="DW140" s="188">
        <f t="shared" si="1107"/>
        <v>-246</v>
      </c>
      <c r="DX140" s="188">
        <f t="shared" si="1107"/>
        <v>-532</v>
      </c>
      <c r="DY140" s="188">
        <f t="shared" si="1107"/>
        <v>-2144</v>
      </c>
      <c r="DZ140" s="188">
        <f t="shared" si="1107"/>
        <v>2664</v>
      </c>
      <c r="EA140" s="188">
        <f t="shared" si="1107"/>
        <v>-269</v>
      </c>
      <c r="EB140" s="188">
        <f t="shared" si="1107"/>
        <v>247</v>
      </c>
      <c r="EC140" s="188">
        <f t="shared" ref="EC140:ED140" si="1108">EC36</f>
        <v>0</v>
      </c>
      <c r="ED140" s="188">
        <f t="shared" si="1108"/>
        <v>0</v>
      </c>
      <c r="EE140" s="18"/>
      <c r="EF140" s="337"/>
      <c r="EG140" s="338"/>
      <c r="EH140" s="338">
        <f t="shared" ref="EH140:EO140" si="1109">EH36</f>
        <v>-585.5</v>
      </c>
      <c r="EI140" s="338">
        <f t="shared" si="1109"/>
        <v>-555</v>
      </c>
      <c r="EJ140" s="338">
        <f t="shared" si="1109"/>
        <v>-251.4000000000002</v>
      </c>
      <c r="EK140" s="338">
        <f t="shared" si="1109"/>
        <v>-429.20000000000005</v>
      </c>
      <c r="EL140" s="338">
        <f t="shared" si="1109"/>
        <v>398.09999999999957</v>
      </c>
      <c r="EM140" s="338">
        <f t="shared" si="1109"/>
        <v>1094.7</v>
      </c>
      <c r="EN140" s="338">
        <f t="shared" si="1109"/>
        <v>-214.39999999999998</v>
      </c>
      <c r="EO140" s="338">
        <f t="shared" si="1109"/>
        <v>-47.800000000000125</v>
      </c>
      <c r="EP140" s="338">
        <f t="shared" ref="EP140:EX140" si="1110">EP36</f>
        <v>25.300000000000054</v>
      </c>
      <c r="EQ140" s="338">
        <f t="shared" si="1110"/>
        <v>-588.9</v>
      </c>
      <c r="ER140" s="338">
        <f t="shared" si="1110"/>
        <v>1170</v>
      </c>
      <c r="ES140" s="338">
        <f t="shared" si="1110"/>
        <v>154</v>
      </c>
      <c r="ET140" s="338">
        <f t="shared" si="1110"/>
        <v>-3</v>
      </c>
      <c r="EU140" s="338">
        <f t="shared" si="1110"/>
        <v>0</v>
      </c>
      <c r="EV140" s="338">
        <f t="shared" si="1110"/>
        <v>0</v>
      </c>
      <c r="EW140" s="338">
        <f t="shared" si="1110"/>
        <v>-620</v>
      </c>
      <c r="EX140" s="338">
        <f t="shared" si="1110"/>
        <v>-72</v>
      </c>
      <c r="EY140" s="338">
        <f t="shared" si="1103"/>
        <v>-836</v>
      </c>
      <c r="EZ140" s="338">
        <f t="shared" si="1103"/>
        <v>-1272</v>
      </c>
      <c r="FA140" s="338">
        <f t="shared" ref="FA140:FC140" si="1111">FA36</f>
        <v>2613</v>
      </c>
      <c r="FB140" s="338">
        <f t="shared" si="1111"/>
        <v>-299</v>
      </c>
      <c r="FC140" s="338">
        <f t="shared" si="1111"/>
        <v>-206</v>
      </c>
      <c r="FD140" s="339">
        <f t="shared" ref="FD140" si="1112">FD36</f>
        <v>0</v>
      </c>
    </row>
    <row r="141" spans="1:160" ht="14.25" customHeight="1">
      <c r="A141" s="7"/>
      <c r="B141" s="24" t="s">
        <v>403</v>
      </c>
      <c r="C141" s="25"/>
      <c r="D141" s="193">
        <v>0</v>
      </c>
      <c r="E141" s="191">
        <v>0</v>
      </c>
      <c r="F141" s="191">
        <v>0</v>
      </c>
      <c r="G141" s="192">
        <v>0</v>
      </c>
      <c r="H141" s="193">
        <v>0</v>
      </c>
      <c r="I141" s="191">
        <v>0</v>
      </c>
      <c r="J141" s="191">
        <v>0</v>
      </c>
      <c r="K141" s="192">
        <v>0</v>
      </c>
      <c r="L141" s="193">
        <v>0</v>
      </c>
      <c r="M141" s="191">
        <v>199.9</v>
      </c>
      <c r="N141" s="191">
        <v>199.9</v>
      </c>
      <c r="O141" s="192">
        <v>199.9</v>
      </c>
      <c r="P141" s="193"/>
      <c r="Q141" s="191">
        <v>235.9</v>
      </c>
      <c r="R141" s="191">
        <v>235.9</v>
      </c>
      <c r="S141" s="192">
        <v>235.9</v>
      </c>
      <c r="T141" s="193">
        <v>0</v>
      </c>
      <c r="U141" s="191">
        <v>0</v>
      </c>
      <c r="V141" s="191">
        <v>0</v>
      </c>
      <c r="W141" s="192">
        <v>0</v>
      </c>
      <c r="X141" s="193">
        <v>0</v>
      </c>
      <c r="Y141" s="191">
        <v>0</v>
      </c>
      <c r="Z141" s="191">
        <v>0</v>
      </c>
      <c r="AA141" s="192">
        <v>0</v>
      </c>
      <c r="AB141" s="193">
        <v>0</v>
      </c>
      <c r="AC141" s="191">
        <v>0</v>
      </c>
      <c r="AD141" s="191">
        <v>-76.5</v>
      </c>
      <c r="AE141" s="192">
        <f>-170.9-76.5</f>
        <v>-247.4</v>
      </c>
      <c r="AF141" s="193">
        <v>0</v>
      </c>
      <c r="AG141" s="191">
        <v>0</v>
      </c>
      <c r="AH141" s="191">
        <v>-252.4</v>
      </c>
      <c r="AI141" s="192">
        <v>-252.4</v>
      </c>
      <c r="AJ141" s="193">
        <v>0</v>
      </c>
      <c r="AK141" s="191">
        <v>0</v>
      </c>
      <c r="AL141" s="191">
        <v>0</v>
      </c>
      <c r="AM141" s="192">
        <v>0</v>
      </c>
      <c r="AN141" s="193">
        <v>0</v>
      </c>
      <c r="AO141" s="191">
        <v>0</v>
      </c>
      <c r="AP141" s="191">
        <v>0</v>
      </c>
      <c r="AQ141" s="192">
        <v>0</v>
      </c>
      <c r="AR141" s="193">
        <v>0</v>
      </c>
      <c r="AS141" s="191">
        <v>0</v>
      </c>
      <c r="AT141" s="191">
        <v>0</v>
      </c>
      <c r="AU141" s="192">
        <v>0</v>
      </c>
      <c r="AV141" s="193">
        <v>0</v>
      </c>
      <c r="AW141" s="191">
        <v>0</v>
      </c>
      <c r="AX141" s="191">
        <v>0</v>
      </c>
      <c r="AY141" s="192">
        <v>97</v>
      </c>
      <c r="AZ141" s="193">
        <v>0</v>
      </c>
      <c r="BA141" s="191">
        <v>0</v>
      </c>
      <c r="BB141" s="191">
        <v>0</v>
      </c>
      <c r="BC141" s="192">
        <v>0</v>
      </c>
      <c r="BD141" s="193">
        <v>0</v>
      </c>
      <c r="BE141" s="191">
        <v>0</v>
      </c>
      <c r="BF141" s="191">
        <v>0</v>
      </c>
      <c r="BG141" s="192">
        <v>0</v>
      </c>
      <c r="BH141" s="193">
        <v>-409</v>
      </c>
      <c r="BI141" s="191">
        <v>-408</v>
      </c>
      <c r="BJ141" s="191">
        <v>-408</v>
      </c>
      <c r="BK141" s="192">
        <v>-408</v>
      </c>
      <c r="BL141" s="193">
        <v>0</v>
      </c>
      <c r="BM141" s="191">
        <v>0</v>
      </c>
      <c r="BN141" s="191">
        <v>0</v>
      </c>
      <c r="BO141" s="192">
        <v>0</v>
      </c>
      <c r="BP141" s="193">
        <v>0</v>
      </c>
      <c r="BQ141" s="191">
        <v>0</v>
      </c>
      <c r="BR141" s="191">
        <v>0</v>
      </c>
      <c r="BS141" s="192">
        <v>0</v>
      </c>
      <c r="BT141" s="193">
        <v>0</v>
      </c>
      <c r="BU141" s="191">
        <v>0</v>
      </c>
      <c r="BV141" s="191">
        <v>0</v>
      </c>
      <c r="BW141" s="192">
        <v>0</v>
      </c>
      <c r="BX141" s="193">
        <v>0</v>
      </c>
      <c r="BY141" s="191">
        <v>0</v>
      </c>
      <c r="BZ141" s="191">
        <v>0</v>
      </c>
      <c r="CA141" s="192">
        <v>0</v>
      </c>
      <c r="CB141" s="193">
        <v>0</v>
      </c>
      <c r="CC141" s="191">
        <v>0</v>
      </c>
      <c r="CD141" s="191">
        <v>0</v>
      </c>
      <c r="CE141" s="192">
        <v>0</v>
      </c>
      <c r="CF141" s="193">
        <v>0</v>
      </c>
      <c r="CG141" s="191">
        <v>0</v>
      </c>
      <c r="CH141" s="191">
        <v>0</v>
      </c>
      <c r="CI141" s="192">
        <v>0</v>
      </c>
      <c r="CJ141" s="193">
        <v>0</v>
      </c>
      <c r="CK141" s="191">
        <v>0</v>
      </c>
      <c r="CL141" s="191">
        <v>0</v>
      </c>
      <c r="CM141" s="192">
        <v>0</v>
      </c>
      <c r="CN141" s="193">
        <v>0</v>
      </c>
      <c r="CO141" s="191">
        <v>-2634</v>
      </c>
      <c r="CP141" s="191">
        <v>-2634</v>
      </c>
      <c r="CQ141" s="192">
        <v>-2634</v>
      </c>
      <c r="CR141" s="193"/>
      <c r="CS141" s="188">
        <f t="shared" si="1075"/>
        <v>0</v>
      </c>
      <c r="CT141" s="188">
        <f t="shared" si="1076"/>
        <v>0</v>
      </c>
      <c r="CU141" s="192">
        <f t="shared" si="1060"/>
        <v>0</v>
      </c>
      <c r="CV141" s="193">
        <f t="shared" si="1083"/>
        <v>0</v>
      </c>
      <c r="CW141" s="191">
        <f t="shared" si="1061"/>
        <v>0</v>
      </c>
      <c r="CX141" s="191">
        <f t="shared" si="1062"/>
        <v>0</v>
      </c>
      <c r="CY141" s="192">
        <f t="shared" si="1063"/>
        <v>0</v>
      </c>
      <c r="CZ141" s="193">
        <f t="shared" si="1084"/>
        <v>0</v>
      </c>
      <c r="DA141" s="191">
        <f t="shared" si="1064"/>
        <v>0</v>
      </c>
      <c r="DB141" s="191">
        <f t="shared" si="1065"/>
        <v>0</v>
      </c>
      <c r="DC141" s="192">
        <f t="shared" si="1066"/>
        <v>0</v>
      </c>
      <c r="DD141" s="153"/>
      <c r="DE141" s="188">
        <f t="shared" si="1096"/>
        <v>0</v>
      </c>
      <c r="DF141" s="188">
        <f t="shared" si="1096"/>
        <v>0</v>
      </c>
      <c r="DG141" s="188">
        <f t="shared" ref="DG141:DN141" si="1113">DG37</f>
        <v>199.9</v>
      </c>
      <c r="DH141" s="188">
        <f t="shared" si="1113"/>
        <v>235.9</v>
      </c>
      <c r="DI141" s="188">
        <f t="shared" si="1113"/>
        <v>0</v>
      </c>
      <c r="DJ141" s="188">
        <f t="shared" si="1113"/>
        <v>0</v>
      </c>
      <c r="DK141" s="188">
        <f t="shared" si="1113"/>
        <v>-247.4</v>
      </c>
      <c r="DL141" s="188">
        <f t="shared" si="1113"/>
        <v>-252.4</v>
      </c>
      <c r="DM141" s="188">
        <f t="shared" si="1113"/>
        <v>0</v>
      </c>
      <c r="DN141" s="188">
        <f t="shared" si="1113"/>
        <v>0</v>
      </c>
      <c r="DO141" s="188">
        <f t="shared" si="1098"/>
        <v>0</v>
      </c>
      <c r="DP141" s="188">
        <f t="shared" si="1098"/>
        <v>97</v>
      </c>
      <c r="DQ141" s="188">
        <f t="shared" si="1098"/>
        <v>0</v>
      </c>
      <c r="DR141" s="188">
        <f t="shared" ref="DR141:EB141" si="1114">DR37</f>
        <v>0</v>
      </c>
      <c r="DS141" s="188">
        <f t="shared" si="1114"/>
        <v>-408</v>
      </c>
      <c r="DT141" s="188">
        <f t="shared" si="1114"/>
        <v>0</v>
      </c>
      <c r="DU141" s="188">
        <f t="shared" si="1114"/>
        <v>0</v>
      </c>
      <c r="DV141" s="188">
        <f t="shared" si="1114"/>
        <v>0</v>
      </c>
      <c r="DW141" s="188">
        <f t="shared" si="1114"/>
        <v>0</v>
      </c>
      <c r="DX141" s="188">
        <f t="shared" si="1114"/>
        <v>0</v>
      </c>
      <c r="DY141" s="188">
        <f t="shared" si="1114"/>
        <v>0</v>
      </c>
      <c r="DZ141" s="188">
        <f t="shared" si="1114"/>
        <v>0</v>
      </c>
      <c r="EA141" s="188">
        <f t="shared" si="1114"/>
        <v>-2634</v>
      </c>
      <c r="EB141" s="188">
        <f t="shared" si="1114"/>
        <v>0</v>
      </c>
      <c r="EC141" s="188">
        <f t="shared" ref="EC141:ED141" si="1115">EC37</f>
        <v>0</v>
      </c>
      <c r="ED141" s="188">
        <f t="shared" si="1115"/>
        <v>0</v>
      </c>
      <c r="EE141" s="18"/>
      <c r="EF141" s="337"/>
      <c r="EG141" s="338"/>
      <c r="EH141" s="338">
        <f t="shared" ref="EH141:EO141" si="1116">EH37</f>
        <v>199.9</v>
      </c>
      <c r="EI141" s="338">
        <f t="shared" si="1116"/>
        <v>235.9</v>
      </c>
      <c r="EJ141" s="338">
        <f t="shared" si="1116"/>
        <v>0</v>
      </c>
      <c r="EK141" s="338">
        <f t="shared" si="1116"/>
        <v>0</v>
      </c>
      <c r="EL141" s="338">
        <f t="shared" si="1116"/>
        <v>-247.4</v>
      </c>
      <c r="EM141" s="338">
        <f t="shared" si="1116"/>
        <v>-252.4</v>
      </c>
      <c r="EN141" s="338">
        <f t="shared" si="1116"/>
        <v>0</v>
      </c>
      <c r="EO141" s="338">
        <f t="shared" si="1116"/>
        <v>0</v>
      </c>
      <c r="EP141" s="338">
        <f t="shared" ref="EP141:EX141" si="1117">EP37</f>
        <v>0</v>
      </c>
      <c r="EQ141" s="338">
        <f t="shared" si="1117"/>
        <v>97</v>
      </c>
      <c r="ER141" s="338">
        <f t="shared" si="1117"/>
        <v>0</v>
      </c>
      <c r="ES141" s="338">
        <f t="shared" si="1117"/>
        <v>-409</v>
      </c>
      <c r="ET141" s="338">
        <f t="shared" si="1117"/>
        <v>1</v>
      </c>
      <c r="EU141" s="338">
        <f t="shared" si="1117"/>
        <v>0</v>
      </c>
      <c r="EV141" s="338">
        <f t="shared" si="1117"/>
        <v>0</v>
      </c>
      <c r="EW141" s="338">
        <f t="shared" si="1117"/>
        <v>0</v>
      </c>
      <c r="EX141" s="338">
        <f t="shared" si="1117"/>
        <v>0</v>
      </c>
      <c r="EY141" s="338">
        <f t="shared" si="1103"/>
        <v>0</v>
      </c>
      <c r="EZ141" s="338">
        <f t="shared" si="1103"/>
        <v>0</v>
      </c>
      <c r="FA141" s="338">
        <f t="shared" ref="FA141:FC141" si="1118">FA37</f>
        <v>0</v>
      </c>
      <c r="FB141" s="338">
        <f t="shared" si="1118"/>
        <v>-2634</v>
      </c>
      <c r="FC141" s="338">
        <f t="shared" si="1118"/>
        <v>0</v>
      </c>
      <c r="FD141" s="339">
        <f t="shared" ref="FD141" si="1119">FD37</f>
        <v>0</v>
      </c>
    </row>
    <row r="142" spans="1:160" ht="14.25" customHeight="1">
      <c r="A142" s="10"/>
      <c r="B142" s="24" t="s">
        <v>334</v>
      </c>
      <c r="C142" s="25"/>
      <c r="D142" s="193">
        <v>0</v>
      </c>
      <c r="E142" s="191">
        <v>0</v>
      </c>
      <c r="F142" s="191">
        <v>0</v>
      </c>
      <c r="G142" s="192">
        <v>0</v>
      </c>
      <c r="H142" s="193">
        <v>0</v>
      </c>
      <c r="I142" s="191">
        <v>0</v>
      </c>
      <c r="J142" s="191">
        <v>0</v>
      </c>
      <c r="K142" s="192">
        <v>0</v>
      </c>
      <c r="L142" s="193">
        <v>-2.1</v>
      </c>
      <c r="M142" s="191">
        <v>0.9</v>
      </c>
      <c r="N142" s="191">
        <v>-6</v>
      </c>
      <c r="O142" s="192">
        <v>-19.7</v>
      </c>
      <c r="P142" s="193">
        <v>-12.4</v>
      </c>
      <c r="Q142" s="191">
        <v>-17.2</v>
      </c>
      <c r="R142" s="191">
        <v>9.1999999999999993</v>
      </c>
      <c r="S142" s="192">
        <v>-24.8</v>
      </c>
      <c r="T142" s="193">
        <v>-1.5</v>
      </c>
      <c r="U142" s="191">
        <f>-5.4-1.5</f>
        <v>-6.9</v>
      </c>
      <c r="V142" s="191">
        <v>3.6</v>
      </c>
      <c r="W142" s="192">
        <v>-66.599999999999994</v>
      </c>
      <c r="X142" s="193">
        <v>1.4</v>
      </c>
      <c r="Y142" s="191">
        <v>-51.3</v>
      </c>
      <c r="Z142" s="191">
        <v>-62.6</v>
      </c>
      <c r="AA142" s="192">
        <v>-118.1</v>
      </c>
      <c r="AB142" s="193">
        <v>-58.8</v>
      </c>
      <c r="AC142" s="191">
        <v>-91.1</v>
      </c>
      <c r="AD142" s="191">
        <v>-152.4</v>
      </c>
      <c r="AE142" s="192">
        <f>-50.8-85.8</f>
        <v>-136.6</v>
      </c>
      <c r="AF142" s="193">
        <v>-46.8</v>
      </c>
      <c r="AG142" s="191">
        <v>-54.2</v>
      </c>
      <c r="AH142" s="191">
        <v>-67.2</v>
      </c>
      <c r="AI142" s="192">
        <f>-0.8-76</f>
        <v>-76.8</v>
      </c>
      <c r="AJ142" s="193">
        <v>-7.4</v>
      </c>
      <c r="AK142" s="191">
        <v>-21.8</v>
      </c>
      <c r="AL142" s="191">
        <f>-50-27.6</f>
        <v>-77.599999999999994</v>
      </c>
      <c r="AM142" s="192">
        <f>-75.1-34.6</f>
        <v>-109.69999999999999</v>
      </c>
      <c r="AN142" s="193">
        <f>-24.4-7.5</f>
        <v>-31.9</v>
      </c>
      <c r="AO142" s="191">
        <v>-10.9</v>
      </c>
      <c r="AP142" s="191">
        <f>1.7-19.4</f>
        <v>-17.7</v>
      </c>
      <c r="AQ142" s="192">
        <f>101.6-31.6</f>
        <v>70</v>
      </c>
      <c r="AR142" s="193">
        <f>-0.1-8.5</f>
        <v>-8.6</v>
      </c>
      <c r="AS142" s="191">
        <v>-16.7</v>
      </c>
      <c r="AT142" s="191">
        <f>-23.4-23.7</f>
        <v>-47.099999999999994</v>
      </c>
      <c r="AU142" s="192">
        <f>-23.4-30.4</f>
        <v>-53.8</v>
      </c>
      <c r="AV142" s="193">
        <f>0.7-8.6</f>
        <v>-7.8999999999999995</v>
      </c>
      <c r="AW142" s="191">
        <f>35.8-17.6</f>
        <v>18.199999999999996</v>
      </c>
      <c r="AX142" s="191">
        <f>35.3+319-27.8</f>
        <v>326.5</v>
      </c>
      <c r="AY142" s="192">
        <f>319-4</f>
        <v>315</v>
      </c>
      <c r="AZ142" s="193">
        <f>14+30-45</f>
        <v>-1</v>
      </c>
      <c r="BA142" s="191">
        <f>14-110+30</f>
        <v>-66</v>
      </c>
      <c r="BB142" s="191">
        <f>14-73-44</f>
        <v>-103</v>
      </c>
      <c r="BC142" s="192">
        <f>30-69-73</f>
        <v>-112</v>
      </c>
      <c r="BD142" s="193">
        <v>34</v>
      </c>
      <c r="BE142" s="191">
        <f>-40+19+134</f>
        <v>113</v>
      </c>
      <c r="BF142" s="191">
        <v>51</v>
      </c>
      <c r="BG142" s="192">
        <f>46-84</f>
        <v>-38</v>
      </c>
      <c r="BH142" s="193">
        <v>63</v>
      </c>
      <c r="BI142" s="191">
        <f>-27+60+8</f>
        <v>41</v>
      </c>
      <c r="BJ142" s="191">
        <f>-57+86</f>
        <v>29</v>
      </c>
      <c r="BK142" s="192">
        <f>-56+41+87</f>
        <v>72</v>
      </c>
      <c r="BL142" s="193">
        <f>6</f>
        <v>6</v>
      </c>
      <c r="BM142" s="191">
        <f>-29+28</f>
        <v>-1</v>
      </c>
      <c r="BN142" s="191">
        <f>95+10</f>
        <v>105</v>
      </c>
      <c r="BO142" s="192">
        <f>423+95-39</f>
        <v>479</v>
      </c>
      <c r="BP142" s="193">
        <v>-5</v>
      </c>
      <c r="BQ142" s="191">
        <f>-159-22</f>
        <v>-181</v>
      </c>
      <c r="BR142" s="191">
        <f>3-159</f>
        <v>-156</v>
      </c>
      <c r="BS142" s="192">
        <f>-159+34</f>
        <v>-125</v>
      </c>
      <c r="BT142" s="193">
        <v>-26</v>
      </c>
      <c r="BU142" s="191">
        <f>-133-2</f>
        <v>-135</v>
      </c>
      <c r="BV142" s="191">
        <v>-48</v>
      </c>
      <c r="BW142" s="192">
        <v>-87</v>
      </c>
      <c r="BX142" s="193">
        <v>-3</v>
      </c>
      <c r="BY142" s="191">
        <v>-20</v>
      </c>
      <c r="BZ142" s="191">
        <f>-216+23-54</f>
        <v>-247</v>
      </c>
      <c r="CA142" s="192">
        <f>69+27-93-253</f>
        <v>-250</v>
      </c>
      <c r="CB142" s="193">
        <v>25</v>
      </c>
      <c r="CC142" s="191">
        <v>-359</v>
      </c>
      <c r="CD142" s="191">
        <f>-25+559+78</f>
        <v>612</v>
      </c>
      <c r="CE142" s="192">
        <f>105+96</f>
        <v>201</v>
      </c>
      <c r="CF142" s="193">
        <f>-66-3</f>
        <v>-69</v>
      </c>
      <c r="CG142" s="191">
        <f>-88-6</f>
        <v>-94</v>
      </c>
      <c r="CH142" s="191">
        <f>51-94</f>
        <v>-43</v>
      </c>
      <c r="CI142" s="192">
        <f>-132-15+1+79</f>
        <v>-67</v>
      </c>
      <c r="CJ142" s="193">
        <f>-46-158</f>
        <v>-204</v>
      </c>
      <c r="CK142" s="191">
        <f>-22-66</f>
        <v>-88</v>
      </c>
      <c r="CL142" s="191">
        <f>-107+190-141</f>
        <v>-58</v>
      </c>
      <c r="CM142" s="192">
        <f>-152-23+335+6-81</f>
        <v>85</v>
      </c>
      <c r="CN142" s="193">
        <f>-173+64</f>
        <v>-109</v>
      </c>
      <c r="CO142" s="191">
        <f>74+54-249</f>
        <v>-121</v>
      </c>
      <c r="CP142" s="191">
        <f>-6239-SUM(CP135:CP141)</f>
        <v>308</v>
      </c>
      <c r="CQ142" s="192">
        <f>-274+184+190</f>
        <v>100</v>
      </c>
      <c r="CR142" s="193">
        <f>-17+28+58</f>
        <v>69</v>
      </c>
      <c r="CS142" s="188">
        <f>-3843-SUM(CS135:CS141)</f>
        <v>280</v>
      </c>
      <c r="CT142" s="188">
        <f t="shared" si="1076"/>
        <v>280</v>
      </c>
      <c r="CU142" s="189">
        <f t="shared" si="1060"/>
        <v>280</v>
      </c>
      <c r="CV142" s="193">
        <f t="shared" si="1083"/>
        <v>0</v>
      </c>
      <c r="CW142" s="191">
        <f t="shared" si="1061"/>
        <v>0</v>
      </c>
      <c r="CX142" s="191">
        <f t="shared" si="1062"/>
        <v>0</v>
      </c>
      <c r="CY142" s="189">
        <f t="shared" si="1063"/>
        <v>0</v>
      </c>
      <c r="CZ142" s="193">
        <f t="shared" si="1084"/>
        <v>0</v>
      </c>
      <c r="DA142" s="191">
        <f t="shared" si="1064"/>
        <v>0</v>
      </c>
      <c r="DB142" s="191">
        <f t="shared" si="1065"/>
        <v>0</v>
      </c>
      <c r="DC142" s="189">
        <f t="shared" si="1066"/>
        <v>0</v>
      </c>
      <c r="DD142" s="153"/>
      <c r="DE142" s="188">
        <f t="shared" si="1096"/>
        <v>0</v>
      </c>
      <c r="DF142" s="188">
        <f t="shared" si="1096"/>
        <v>0</v>
      </c>
      <c r="DG142" s="188">
        <f t="shared" ref="DG142:DN142" si="1120">DG38</f>
        <v>-19.7</v>
      </c>
      <c r="DH142" s="188">
        <f t="shared" si="1120"/>
        <v>-24.800000000000008</v>
      </c>
      <c r="DI142" s="188">
        <f t="shared" si="1120"/>
        <v>-66.599999999999994</v>
      </c>
      <c r="DJ142" s="188">
        <f t="shared" si="1120"/>
        <v>-118.1</v>
      </c>
      <c r="DK142" s="188">
        <f t="shared" si="1120"/>
        <v>-136.6</v>
      </c>
      <c r="DL142" s="188">
        <f t="shared" si="1120"/>
        <v>-76.8</v>
      </c>
      <c r="DM142" s="188">
        <f t="shared" si="1120"/>
        <v>-109.69999999999999</v>
      </c>
      <c r="DN142" s="188">
        <f t="shared" si="1120"/>
        <v>70.000000000000014</v>
      </c>
      <c r="DO142" s="188">
        <f t="shared" si="1098"/>
        <v>-53.8</v>
      </c>
      <c r="DP142" s="188">
        <f t="shared" si="1098"/>
        <v>315</v>
      </c>
      <c r="DQ142" s="188">
        <f t="shared" si="1098"/>
        <v>-112</v>
      </c>
      <c r="DR142" s="188">
        <f t="shared" ref="DR142:EB142" si="1121">DR38</f>
        <v>-38</v>
      </c>
      <c r="DS142" s="188">
        <f t="shared" si="1121"/>
        <v>72</v>
      </c>
      <c r="DT142" s="188">
        <f t="shared" si="1121"/>
        <v>479</v>
      </c>
      <c r="DU142" s="188">
        <f t="shared" si="1121"/>
        <v>-125</v>
      </c>
      <c r="DV142" s="188">
        <f t="shared" si="1121"/>
        <v>-87</v>
      </c>
      <c r="DW142" s="188">
        <f t="shared" si="1121"/>
        <v>-250</v>
      </c>
      <c r="DX142" s="188">
        <f>DX38</f>
        <v>201</v>
      </c>
      <c r="DY142" s="188">
        <f>DY38</f>
        <v>-67</v>
      </c>
      <c r="DZ142" s="188">
        <f>DZ38</f>
        <v>85</v>
      </c>
      <c r="EA142" s="188">
        <f t="shared" si="1121"/>
        <v>100</v>
      </c>
      <c r="EB142" s="188">
        <f t="shared" si="1121"/>
        <v>280</v>
      </c>
      <c r="EC142" s="188">
        <f t="shared" ref="EC142:ED142" si="1122">EC38</f>
        <v>0</v>
      </c>
      <c r="ED142" s="188">
        <f t="shared" si="1122"/>
        <v>0</v>
      </c>
      <c r="EE142" s="153"/>
      <c r="EF142" s="337"/>
      <c r="EG142" s="338"/>
      <c r="EH142" s="338">
        <f t="shared" ref="EH142:EO142" si="1123">EH38</f>
        <v>-30</v>
      </c>
      <c r="EI142" s="338">
        <f t="shared" si="1123"/>
        <v>-13.900000000000006</v>
      </c>
      <c r="EJ142" s="338">
        <f t="shared" si="1123"/>
        <v>-63.699999999999996</v>
      </c>
      <c r="EK142" s="338">
        <f t="shared" si="1123"/>
        <v>-178.29999999999998</v>
      </c>
      <c r="EL142" s="338">
        <f t="shared" si="1123"/>
        <v>-124.6</v>
      </c>
      <c r="EM142" s="338">
        <f t="shared" si="1123"/>
        <v>-37.4</v>
      </c>
      <c r="EN142" s="338">
        <f t="shared" si="1123"/>
        <v>-134.19999999999999</v>
      </c>
      <c r="EO142" s="338">
        <f t="shared" si="1123"/>
        <v>93.300000000000011</v>
      </c>
      <c r="EP142" s="338">
        <f t="shared" ref="EP142:EX142" si="1124">EP38</f>
        <v>-53.1</v>
      </c>
      <c r="EQ142" s="338">
        <f t="shared" si="1124"/>
        <v>321.90000000000003</v>
      </c>
      <c r="ER142" s="338">
        <f t="shared" si="1124"/>
        <v>-77</v>
      </c>
      <c r="ES142" s="338">
        <f t="shared" si="1124"/>
        <v>-9</v>
      </c>
      <c r="ET142" s="338">
        <f t="shared" si="1124"/>
        <v>15</v>
      </c>
      <c r="EU142" s="338">
        <f t="shared" si="1124"/>
        <v>468</v>
      </c>
      <c r="EV142" s="338">
        <f t="shared" si="1124"/>
        <v>-146</v>
      </c>
      <c r="EW142" s="338">
        <f t="shared" si="1124"/>
        <v>-64</v>
      </c>
      <c r="EX142" s="338">
        <f t="shared" si="1124"/>
        <v>-222</v>
      </c>
      <c r="EY142" s="338">
        <f t="shared" si="1103"/>
        <v>107</v>
      </c>
      <c r="EZ142" s="338">
        <f t="shared" si="1103"/>
        <v>-202</v>
      </c>
      <c r="FA142" s="338">
        <f t="shared" ref="FA142:FC142" si="1125">FA38</f>
        <v>180</v>
      </c>
      <c r="FB142" s="338">
        <f t="shared" si="1125"/>
        <v>278</v>
      </c>
      <c r="FC142" s="338">
        <f t="shared" si="1125"/>
        <v>211</v>
      </c>
      <c r="FD142" s="339">
        <f t="shared" ref="FD142" si="1126">FD38</f>
        <v>0</v>
      </c>
    </row>
    <row r="143" spans="1:160" ht="14.25" customHeight="1" thickBot="1">
      <c r="A143" s="7"/>
      <c r="B143" s="194" t="s">
        <v>335</v>
      </c>
      <c r="C143" s="195"/>
      <c r="D143" s="197">
        <f t="shared" ref="D143:AY143" si="1127">SUM(D135:D142)</f>
        <v>0</v>
      </c>
      <c r="E143" s="196">
        <f t="shared" si="1127"/>
        <v>0</v>
      </c>
      <c r="F143" s="196">
        <f t="shared" si="1127"/>
        <v>0</v>
      </c>
      <c r="G143" s="198">
        <f t="shared" si="1127"/>
        <v>0</v>
      </c>
      <c r="H143" s="197">
        <f t="shared" si="1127"/>
        <v>0</v>
      </c>
      <c r="I143" s="196">
        <f t="shared" si="1127"/>
        <v>0</v>
      </c>
      <c r="J143" s="196">
        <f t="shared" si="1127"/>
        <v>0</v>
      </c>
      <c r="K143" s="198">
        <f t="shared" si="1127"/>
        <v>0</v>
      </c>
      <c r="L143" s="197">
        <f t="shared" si="1127"/>
        <v>-67.599999999999994</v>
      </c>
      <c r="M143" s="196">
        <f t="shared" si="1127"/>
        <v>80.700000000000017</v>
      </c>
      <c r="N143" s="196">
        <f t="shared" si="1127"/>
        <v>-216.29999999999998</v>
      </c>
      <c r="O143" s="198">
        <f t="shared" si="1127"/>
        <v>-678.90000000000009</v>
      </c>
      <c r="P143" s="197">
        <f t="shared" si="1127"/>
        <v>-410.79999999999995</v>
      </c>
      <c r="Q143" s="196">
        <f t="shared" si="1127"/>
        <v>-123.49999999999999</v>
      </c>
      <c r="R143" s="196">
        <f t="shared" si="1127"/>
        <v>-133.79999999999998</v>
      </c>
      <c r="S143" s="198">
        <f t="shared" si="1127"/>
        <v>-166.10000000000005</v>
      </c>
      <c r="T143" s="197">
        <f t="shared" si="1127"/>
        <v>-1181</v>
      </c>
      <c r="U143" s="196">
        <f t="shared" si="1127"/>
        <v>-1584.8</v>
      </c>
      <c r="V143" s="196">
        <f t="shared" si="1127"/>
        <v>-1762.5000000000002</v>
      </c>
      <c r="W143" s="198">
        <f t="shared" si="1127"/>
        <v>-2028</v>
      </c>
      <c r="X143" s="197">
        <f>SUM(X135:X142)</f>
        <v>-333.09999999999997</v>
      </c>
      <c r="Y143" s="196">
        <f t="shared" si="1127"/>
        <v>-437.2000000000001</v>
      </c>
      <c r="Z143" s="196">
        <f t="shared" si="1127"/>
        <v>-885.6</v>
      </c>
      <c r="AA143" s="198">
        <f t="shared" si="1127"/>
        <v>-1457.1</v>
      </c>
      <c r="AB143" s="197">
        <f t="shared" si="1127"/>
        <v>-729.4</v>
      </c>
      <c r="AC143" s="196">
        <f t="shared" si="1127"/>
        <v>-678.9</v>
      </c>
      <c r="AD143" s="196">
        <f t="shared" si="1127"/>
        <v>-825.70000000000016</v>
      </c>
      <c r="AE143" s="198">
        <f t="shared" si="1127"/>
        <v>-1382.6000000000004</v>
      </c>
      <c r="AF143" s="197">
        <f t="shared" si="1127"/>
        <v>-478.7000000000001</v>
      </c>
      <c r="AG143" s="196">
        <f t="shared" si="1127"/>
        <v>-64.899999999999991</v>
      </c>
      <c r="AH143" s="196">
        <f t="shared" si="1127"/>
        <v>-538.60000000000014</v>
      </c>
      <c r="AI143" s="198">
        <f t="shared" si="1127"/>
        <v>-513.9</v>
      </c>
      <c r="AJ143" s="197">
        <f t="shared" si="1127"/>
        <v>-59.099999999999987</v>
      </c>
      <c r="AK143" s="196">
        <f t="shared" si="1127"/>
        <v>-107.80000000000011</v>
      </c>
      <c r="AL143" s="196">
        <f t="shared" si="1127"/>
        <v>-321.19999999999993</v>
      </c>
      <c r="AM143" s="198">
        <f t="shared" si="1127"/>
        <v>-518.09999999999991</v>
      </c>
      <c r="AN143" s="197">
        <f t="shared" si="1127"/>
        <v>-603.30000000000007</v>
      </c>
      <c r="AO143" s="196">
        <f t="shared" si="1127"/>
        <v>-761.4</v>
      </c>
      <c r="AP143" s="196">
        <f t="shared" si="1127"/>
        <v>-1130.5</v>
      </c>
      <c r="AQ143" s="198">
        <f t="shared" si="1127"/>
        <v>-1312.7</v>
      </c>
      <c r="AR143" s="197">
        <f t="shared" si="1127"/>
        <v>-350.1</v>
      </c>
      <c r="AS143" s="196">
        <f t="shared" si="1127"/>
        <v>-700.2</v>
      </c>
      <c r="AT143" s="196">
        <f t="shared" si="1127"/>
        <v>-1004.6</v>
      </c>
      <c r="AU143" s="198">
        <f t="shared" si="1127"/>
        <v>-1083.8999999999999</v>
      </c>
      <c r="AV143" s="197">
        <f t="shared" si="1127"/>
        <v>-219.30000000000004</v>
      </c>
      <c r="AW143" s="196">
        <f t="shared" si="1127"/>
        <v>-694.09999999999991</v>
      </c>
      <c r="AX143" s="196">
        <f t="shared" si="1127"/>
        <v>-1013.3999999999996</v>
      </c>
      <c r="AY143" s="198">
        <f t="shared" si="1127"/>
        <v>-1756</v>
      </c>
      <c r="AZ143" s="197">
        <f t="shared" ref="AZ143:CB143" si="1128">SUM(AZ135:AZ142)</f>
        <v>-768</v>
      </c>
      <c r="BA143" s="196">
        <f t="shared" si="1128"/>
        <v>-1195</v>
      </c>
      <c r="BB143" s="196">
        <f t="shared" si="1128"/>
        <v>-1513</v>
      </c>
      <c r="BC143" s="198">
        <f t="shared" si="1128"/>
        <v>-2391</v>
      </c>
      <c r="BD143" s="197">
        <f t="shared" si="1128"/>
        <v>-406</v>
      </c>
      <c r="BE143" s="196">
        <f t="shared" si="1128"/>
        <v>-925</v>
      </c>
      <c r="BF143" s="196">
        <f t="shared" si="1128"/>
        <v>-1289</v>
      </c>
      <c r="BG143" s="198">
        <f t="shared" si="1128"/>
        <v>-2092</v>
      </c>
      <c r="BH143" s="197">
        <f t="shared" si="1128"/>
        <v>-489</v>
      </c>
      <c r="BI143" s="196">
        <f t="shared" si="1128"/>
        <v>-618</v>
      </c>
      <c r="BJ143" s="196">
        <f t="shared" si="1128"/>
        <v>-681</v>
      </c>
      <c r="BK143" s="198">
        <f t="shared" si="1128"/>
        <v>-674</v>
      </c>
      <c r="BL143" s="197">
        <f t="shared" si="1128"/>
        <v>-25</v>
      </c>
      <c r="BM143" s="196">
        <f t="shared" si="1128"/>
        <v>-263</v>
      </c>
      <c r="BN143" s="196">
        <f t="shared" si="1128"/>
        <v>-219</v>
      </c>
      <c r="BO143" s="198">
        <f t="shared" si="1128"/>
        <v>-448</v>
      </c>
      <c r="BP143" s="197">
        <f t="shared" si="1128"/>
        <v>-436</v>
      </c>
      <c r="BQ143" s="196">
        <f t="shared" si="1128"/>
        <v>-1238</v>
      </c>
      <c r="BR143" s="196">
        <f t="shared" si="1128"/>
        <v>-1372</v>
      </c>
      <c r="BS143" s="198">
        <f>SUM(BS135:BS142)</f>
        <v>-2201</v>
      </c>
      <c r="BT143" s="197">
        <f t="shared" si="1128"/>
        <v>-714</v>
      </c>
      <c r="BU143" s="196">
        <f>SUM(BU135:BU142)</f>
        <v>-1183</v>
      </c>
      <c r="BV143" s="196">
        <f t="shared" si="1128"/>
        <v>-1980</v>
      </c>
      <c r="BW143" s="198">
        <f>SUM(BW135:BW142)</f>
        <v>-2312</v>
      </c>
      <c r="BX143" s="197">
        <f t="shared" si="1128"/>
        <v>-639</v>
      </c>
      <c r="BY143" s="196">
        <f>SUM(BY135:BY142)</f>
        <v>-999</v>
      </c>
      <c r="BZ143" s="196">
        <f t="shared" si="1128"/>
        <v>-1170</v>
      </c>
      <c r="CA143" s="198">
        <f>SUM(CA135:CA142)</f>
        <v>-1712</v>
      </c>
      <c r="CB143" s="197">
        <f t="shared" si="1128"/>
        <v>21</v>
      </c>
      <c r="CC143" s="196">
        <f>SUM(CC135:CC142)</f>
        <v>-451</v>
      </c>
      <c r="CD143" s="196">
        <f t="shared" ref="CD143:CI143" si="1129">SUM(CD135:CD142)</f>
        <v>-923</v>
      </c>
      <c r="CE143" s="198">
        <f t="shared" si="1129"/>
        <v>-2453</v>
      </c>
      <c r="CF143" s="197">
        <f t="shared" si="1129"/>
        <v>-1076</v>
      </c>
      <c r="CG143" s="196">
        <f t="shared" si="1129"/>
        <v>-3202</v>
      </c>
      <c r="CH143" s="196">
        <f t="shared" si="1129"/>
        <v>-4722</v>
      </c>
      <c r="CI143" s="198">
        <f t="shared" si="1129"/>
        <v>-6232</v>
      </c>
      <c r="CJ143" s="197">
        <f t="shared" ref="CJ143:CM143" si="1130">SUM(CJ135:CJ142)</f>
        <v>-660</v>
      </c>
      <c r="CK143" s="196">
        <f t="shared" si="1130"/>
        <v>-1026</v>
      </c>
      <c r="CL143" s="196">
        <f t="shared" si="1130"/>
        <v>-1642</v>
      </c>
      <c r="CM143" s="198">
        <f t="shared" si="1130"/>
        <v>-3068</v>
      </c>
      <c r="CN143" s="197">
        <f t="shared" ref="CN143" si="1131">SUM(CN135:CN142)</f>
        <v>-890</v>
      </c>
      <c r="CO143" s="196">
        <f t="shared" ref="CO143:CR143" si="1132">SUM(CO135:CO142)</f>
        <v>-5366</v>
      </c>
      <c r="CP143" s="196">
        <f t="shared" si="1132"/>
        <v>-6239</v>
      </c>
      <c r="CQ143" s="198">
        <f t="shared" si="1132"/>
        <v>-7537</v>
      </c>
      <c r="CR143" s="197">
        <f t="shared" si="1132"/>
        <v>-1434</v>
      </c>
      <c r="CS143" s="196">
        <f t="shared" ref="CS143:CU143" si="1133">SUM(CS135:CS142)</f>
        <v>-3843</v>
      </c>
      <c r="CT143" s="196">
        <f t="shared" si="1133"/>
        <v>-5643</v>
      </c>
      <c r="CU143" s="198">
        <f t="shared" si="1133"/>
        <v>-7443</v>
      </c>
      <c r="CV143" s="197">
        <f t="shared" ref="CV143:CY143" si="1134">SUM(CV135:CV142)</f>
        <v>-2500</v>
      </c>
      <c r="CW143" s="196">
        <f t="shared" si="1134"/>
        <v>-4850</v>
      </c>
      <c r="CX143" s="196">
        <f t="shared" si="1134"/>
        <v>-7200</v>
      </c>
      <c r="CY143" s="198">
        <f t="shared" si="1134"/>
        <v>-9550</v>
      </c>
      <c r="CZ143" s="197">
        <f t="shared" ref="CZ143:DC143" si="1135">SUM(CZ135:CZ142)</f>
        <v>-2400</v>
      </c>
      <c r="DA143" s="196">
        <f t="shared" si="1135"/>
        <v>-4800</v>
      </c>
      <c r="DB143" s="196">
        <f t="shared" si="1135"/>
        <v>-7200</v>
      </c>
      <c r="DC143" s="198">
        <f t="shared" si="1135"/>
        <v>-9600</v>
      </c>
      <c r="DD143" s="153"/>
      <c r="DE143" s="196">
        <f t="shared" ref="DE143:DN143" si="1136">SUM(DE135:DE142)</f>
        <v>0</v>
      </c>
      <c r="DF143" s="196">
        <f t="shared" si="1136"/>
        <v>0</v>
      </c>
      <c r="DG143" s="196">
        <f t="shared" si="1136"/>
        <v>-678.90000000000009</v>
      </c>
      <c r="DH143" s="196">
        <f t="shared" si="1136"/>
        <v>-166.10000000000005</v>
      </c>
      <c r="DI143" s="196">
        <f t="shared" si="1136"/>
        <v>-2028.0000000000002</v>
      </c>
      <c r="DJ143" s="196">
        <f t="shared" si="1136"/>
        <v>-1457.1</v>
      </c>
      <c r="DK143" s="196">
        <f t="shared" si="1136"/>
        <v>-1382.6000000000001</v>
      </c>
      <c r="DL143" s="196">
        <f t="shared" si="1136"/>
        <v>-513.9</v>
      </c>
      <c r="DM143" s="196">
        <f t="shared" si="1136"/>
        <v>-518.09999999999991</v>
      </c>
      <c r="DN143" s="196">
        <f t="shared" si="1136"/>
        <v>-1312.7</v>
      </c>
      <c r="DO143" s="196">
        <f t="shared" ref="DO143:DT143" si="1137">SUM(DO135:DO142)</f>
        <v>-1083.8999999999999</v>
      </c>
      <c r="DP143" s="196">
        <f t="shared" si="1137"/>
        <v>-1756</v>
      </c>
      <c r="DQ143" s="196">
        <f t="shared" si="1137"/>
        <v>-2391</v>
      </c>
      <c r="DR143" s="196">
        <f t="shared" si="1137"/>
        <v>-2092</v>
      </c>
      <c r="DS143" s="196">
        <f t="shared" si="1137"/>
        <v>-674</v>
      </c>
      <c r="DT143" s="196">
        <f t="shared" si="1137"/>
        <v>-448</v>
      </c>
      <c r="DU143" s="196">
        <f t="shared" ref="DU143:EB143" si="1138">SUM(DU135:DU142)</f>
        <v>-2201</v>
      </c>
      <c r="DV143" s="196">
        <f t="shared" si="1138"/>
        <v>-2312</v>
      </c>
      <c r="DW143" s="196">
        <f t="shared" si="1138"/>
        <v>-1712</v>
      </c>
      <c r="DX143" s="196">
        <f t="shared" si="1138"/>
        <v>-2453</v>
      </c>
      <c r="DY143" s="196">
        <f t="shared" si="1138"/>
        <v>-6232</v>
      </c>
      <c r="DZ143" s="196">
        <f t="shared" si="1138"/>
        <v>-3068</v>
      </c>
      <c r="EA143" s="196">
        <f t="shared" si="1138"/>
        <v>-7537</v>
      </c>
      <c r="EB143" s="196">
        <f t="shared" si="1138"/>
        <v>-7443</v>
      </c>
      <c r="EC143" s="196">
        <f t="shared" ref="EC143:ED143" si="1139">SUM(EC135:EC142)</f>
        <v>-9550</v>
      </c>
      <c r="ED143" s="196">
        <f t="shared" si="1139"/>
        <v>-9600</v>
      </c>
      <c r="EE143" s="18"/>
      <c r="EF143" s="346"/>
      <c r="EG143" s="347"/>
      <c r="EH143" s="347">
        <f t="shared" ref="EH143:EO143" si="1140">SUM(EH135:EH142)</f>
        <v>-1022.1</v>
      </c>
      <c r="EI143" s="347">
        <f t="shared" si="1140"/>
        <v>-936.30000000000018</v>
      </c>
      <c r="EJ143" s="347">
        <f t="shared" si="1140"/>
        <v>-1180.1000000000001</v>
      </c>
      <c r="EK143" s="347">
        <f t="shared" si="1140"/>
        <v>-1853.4</v>
      </c>
      <c r="EL143" s="347">
        <f t="shared" si="1140"/>
        <v>-1131.9000000000001</v>
      </c>
      <c r="EM143" s="347">
        <f t="shared" si="1140"/>
        <v>-94.299999999999898</v>
      </c>
      <c r="EN143" s="347">
        <f t="shared" si="1140"/>
        <v>-1062.3</v>
      </c>
      <c r="EO143" s="347">
        <f t="shared" si="1140"/>
        <v>-1059.5000000000002</v>
      </c>
      <c r="EP143" s="347">
        <f t="shared" ref="EP143:EY143" si="1141">SUM(EP135:EP142)</f>
        <v>-953.09999999999991</v>
      </c>
      <c r="EQ143" s="347">
        <f t="shared" si="1141"/>
        <v>-2304.6999999999998</v>
      </c>
      <c r="ER143" s="347">
        <f t="shared" si="1141"/>
        <v>-2029</v>
      </c>
      <c r="ES143" s="347">
        <f t="shared" si="1141"/>
        <v>-2175</v>
      </c>
      <c r="ET143" s="347">
        <f t="shared" si="1141"/>
        <v>-210</v>
      </c>
      <c r="EU143" s="347">
        <f t="shared" si="1141"/>
        <v>-859</v>
      </c>
      <c r="EV143" s="347">
        <f t="shared" si="1141"/>
        <v>-2479</v>
      </c>
      <c r="EW143" s="347">
        <f t="shared" si="1141"/>
        <v>-2237</v>
      </c>
      <c r="EX143" s="347">
        <f t="shared" si="1141"/>
        <v>-1052</v>
      </c>
      <c r="EY143" s="347">
        <f t="shared" si="1141"/>
        <v>-3550</v>
      </c>
      <c r="EZ143" s="347">
        <f t="shared" ref="EZ143:FC143" si="1142">SUM(EZ135:EZ142)</f>
        <v>-5816</v>
      </c>
      <c r="FA143" s="347">
        <f t="shared" si="1142"/>
        <v>-3298</v>
      </c>
      <c r="FB143" s="347">
        <f t="shared" si="1142"/>
        <v>-8081</v>
      </c>
      <c r="FC143" s="347">
        <f t="shared" si="1142"/>
        <v>-8509</v>
      </c>
      <c r="FD143" s="348">
        <f t="shared" ref="FD143" si="1143">SUM(FD135:FD142)</f>
        <v>-9450</v>
      </c>
    </row>
    <row r="144" spans="1:160" ht="14.25" customHeight="1" thickTop="1">
      <c r="A144" s="7"/>
      <c r="B144" s="22"/>
      <c r="C144" s="23"/>
      <c r="D144" s="193"/>
      <c r="E144" s="191"/>
      <c r="F144" s="191"/>
      <c r="G144" s="192"/>
      <c r="H144" s="193"/>
      <c r="I144" s="191"/>
      <c r="J144" s="191"/>
      <c r="K144" s="192"/>
      <c r="L144" s="193"/>
      <c r="M144" s="191"/>
      <c r="N144" s="191"/>
      <c r="O144" s="192"/>
      <c r="P144" s="193"/>
      <c r="Q144" s="191"/>
      <c r="R144" s="191"/>
      <c r="S144" s="192"/>
      <c r="T144" s="193"/>
      <c r="U144" s="191"/>
      <c r="V144" s="191"/>
      <c r="W144" s="192"/>
      <c r="X144" s="193"/>
      <c r="Y144" s="191"/>
      <c r="Z144" s="191"/>
      <c r="AA144" s="192"/>
      <c r="AB144" s="193"/>
      <c r="AC144" s="191"/>
      <c r="AD144" s="191"/>
      <c r="AE144" s="192"/>
      <c r="AF144" s="193"/>
      <c r="AG144" s="191"/>
      <c r="AH144" s="191"/>
      <c r="AI144" s="192"/>
      <c r="AJ144" s="193"/>
      <c r="AK144" s="191"/>
      <c r="AL144" s="191"/>
      <c r="AM144" s="192"/>
      <c r="AN144" s="193"/>
      <c r="AO144" s="191"/>
      <c r="AP144" s="191"/>
      <c r="AQ144" s="192"/>
      <c r="AR144" s="193"/>
      <c r="AS144" s="191"/>
      <c r="AT144" s="191"/>
      <c r="AU144" s="192"/>
      <c r="AV144" s="193"/>
      <c r="AW144" s="191"/>
      <c r="AX144" s="191"/>
      <c r="AY144" s="192"/>
      <c r="AZ144" s="193"/>
      <c r="BA144" s="191"/>
      <c r="BB144" s="191"/>
      <c r="BC144" s="192"/>
      <c r="BD144" s="193"/>
      <c r="BE144" s="191"/>
      <c r="BF144" s="191"/>
      <c r="BG144" s="192"/>
      <c r="BH144" s="193"/>
      <c r="BI144" s="191"/>
      <c r="BJ144" s="191"/>
      <c r="BK144" s="192"/>
      <c r="BL144" s="193"/>
      <c r="BM144" s="191"/>
      <c r="BN144" s="191"/>
      <c r="BO144" s="192"/>
      <c r="BP144" s="193"/>
      <c r="BQ144" s="191"/>
      <c r="BR144" s="191"/>
      <c r="BS144" s="192"/>
      <c r="BT144" s="193"/>
      <c r="BU144" s="191"/>
      <c r="BV144" s="191"/>
      <c r="BW144" s="192"/>
      <c r="BX144" s="193"/>
      <c r="BY144" s="191"/>
      <c r="BZ144" s="191"/>
      <c r="CA144" s="192"/>
      <c r="CB144" s="193"/>
      <c r="CC144" s="191"/>
      <c r="CD144" s="191"/>
      <c r="CE144" s="192"/>
      <c r="CF144" s="193"/>
      <c r="CG144" s="191"/>
      <c r="CH144" s="191"/>
      <c r="CI144" s="192"/>
      <c r="CJ144" s="193"/>
      <c r="CK144" s="191"/>
      <c r="CL144" s="191"/>
      <c r="CM144" s="192"/>
      <c r="CN144" s="193"/>
      <c r="CO144" s="191"/>
      <c r="CP144" s="191"/>
      <c r="CQ144" s="192"/>
      <c r="CR144" s="193"/>
      <c r="CS144" s="191"/>
      <c r="CT144" s="191"/>
      <c r="CU144" s="192"/>
      <c r="CV144" s="193"/>
      <c r="CW144" s="191"/>
      <c r="CX144" s="191"/>
      <c r="CY144" s="192"/>
      <c r="CZ144" s="193"/>
      <c r="DA144" s="191"/>
      <c r="DB144" s="191"/>
      <c r="DC144" s="192"/>
      <c r="DD144" s="153"/>
      <c r="DE144" s="191"/>
      <c r="DF144" s="191"/>
      <c r="DG144" s="191"/>
      <c r="DH144" s="191"/>
      <c r="DI144" s="191"/>
      <c r="DJ144" s="191"/>
      <c r="DK144" s="191"/>
      <c r="DL144" s="191"/>
      <c r="DM144" s="191"/>
      <c r="DN144" s="191"/>
      <c r="DO144" s="191"/>
      <c r="DP144" s="191"/>
      <c r="DQ144" s="191"/>
      <c r="DR144" s="191"/>
      <c r="DS144" s="191"/>
      <c r="DT144" s="191"/>
      <c r="DU144" s="191"/>
      <c r="DV144" s="191"/>
      <c r="DW144" s="191"/>
      <c r="DX144" s="191"/>
      <c r="DY144" s="191"/>
      <c r="DZ144" s="191"/>
      <c r="EA144" s="191"/>
      <c r="EB144" s="191"/>
      <c r="EC144" s="191"/>
      <c r="ED144" s="191"/>
      <c r="EE144" s="18"/>
      <c r="EF144" s="349"/>
      <c r="EG144" s="350"/>
      <c r="EH144" s="350"/>
      <c r="EI144" s="350"/>
      <c r="EJ144" s="350"/>
      <c r="EK144" s="350"/>
      <c r="EL144" s="350"/>
      <c r="EM144" s="350"/>
      <c r="EN144" s="350"/>
      <c r="EO144" s="350"/>
      <c r="EP144" s="350"/>
      <c r="EQ144" s="350"/>
      <c r="ER144" s="350"/>
      <c r="ES144" s="350"/>
      <c r="ET144" s="350"/>
      <c r="EU144" s="350"/>
      <c r="EV144" s="350"/>
      <c r="EW144" s="350"/>
      <c r="EX144" s="350"/>
      <c r="EY144" s="350"/>
      <c r="EZ144" s="350"/>
      <c r="FA144" s="350"/>
      <c r="FB144" s="350"/>
      <c r="FC144" s="350"/>
      <c r="FD144" s="351"/>
    </row>
    <row r="145" spans="1:170" ht="14.25" customHeight="1">
      <c r="A145" s="7"/>
      <c r="B145" s="199" t="s">
        <v>336</v>
      </c>
      <c r="C145" s="200"/>
      <c r="D145" s="193"/>
      <c r="E145" s="201"/>
      <c r="F145" s="201"/>
      <c r="G145" s="192"/>
      <c r="H145" s="193"/>
      <c r="I145" s="201"/>
      <c r="J145" s="201"/>
      <c r="K145" s="192"/>
      <c r="L145" s="193"/>
      <c r="M145" s="201"/>
      <c r="N145" s="201"/>
      <c r="O145" s="192"/>
      <c r="P145" s="193"/>
      <c r="Q145" s="201"/>
      <c r="R145" s="201"/>
      <c r="S145" s="192"/>
      <c r="T145" s="193"/>
      <c r="U145" s="201"/>
      <c r="V145" s="201"/>
      <c r="W145" s="192"/>
      <c r="X145" s="193"/>
      <c r="Y145" s="201"/>
      <c r="Z145" s="201"/>
      <c r="AA145" s="192"/>
      <c r="AB145" s="193"/>
      <c r="AC145" s="201"/>
      <c r="AD145" s="201"/>
      <c r="AE145" s="192"/>
      <c r="AF145" s="193"/>
      <c r="AG145" s="201"/>
      <c r="AH145" s="201"/>
      <c r="AI145" s="192"/>
      <c r="AJ145" s="193"/>
      <c r="AK145" s="201"/>
      <c r="AL145" s="201"/>
      <c r="AM145" s="192"/>
      <c r="AN145" s="193"/>
      <c r="AO145" s="201"/>
      <c r="AP145" s="201"/>
      <c r="AQ145" s="192"/>
      <c r="AR145" s="193"/>
      <c r="AS145" s="201"/>
      <c r="AT145" s="201"/>
      <c r="AU145" s="192"/>
      <c r="AV145" s="193"/>
      <c r="AW145" s="201"/>
      <c r="AX145" s="201"/>
      <c r="AY145" s="192"/>
      <c r="AZ145" s="193"/>
      <c r="BA145" s="201"/>
      <c r="BB145" s="201"/>
      <c r="BC145" s="192"/>
      <c r="BD145" s="193"/>
      <c r="BE145" s="201"/>
      <c r="BF145" s="201"/>
      <c r="BG145" s="192"/>
      <c r="BH145" s="193"/>
      <c r="BI145" s="201"/>
      <c r="BJ145" s="201"/>
      <c r="BK145" s="192"/>
      <c r="BL145" s="193"/>
      <c r="BM145" s="201"/>
      <c r="BN145" s="201"/>
      <c r="BO145" s="192"/>
      <c r="BP145" s="193"/>
      <c r="BQ145" s="201"/>
      <c r="BR145" s="201"/>
      <c r="BS145" s="192"/>
      <c r="BT145" s="193"/>
      <c r="BU145" s="191"/>
      <c r="BV145" s="201"/>
      <c r="BW145" s="192"/>
      <c r="BX145" s="193"/>
      <c r="BY145" s="191"/>
      <c r="BZ145" s="201"/>
      <c r="CA145" s="192"/>
      <c r="CB145" s="193"/>
      <c r="CC145" s="191"/>
      <c r="CD145" s="201"/>
      <c r="CE145" s="192"/>
      <c r="CF145" s="193"/>
      <c r="CG145" s="191"/>
      <c r="CH145" s="201"/>
      <c r="CI145" s="192"/>
      <c r="CJ145" s="193"/>
      <c r="CK145" s="191"/>
      <c r="CL145" s="201"/>
      <c r="CM145" s="192"/>
      <c r="CN145" s="193"/>
      <c r="CO145" s="191"/>
      <c r="CP145" s="201"/>
      <c r="CQ145" s="192"/>
      <c r="CR145" s="193"/>
      <c r="CS145" s="191"/>
      <c r="CT145" s="201"/>
      <c r="CU145" s="192"/>
      <c r="CV145" s="193"/>
      <c r="CW145" s="191"/>
      <c r="CX145" s="201"/>
      <c r="CY145" s="192"/>
      <c r="CZ145" s="193"/>
      <c r="DA145" s="191"/>
      <c r="DB145" s="201"/>
      <c r="DC145" s="192"/>
      <c r="DD145" s="153"/>
      <c r="DE145" s="191"/>
      <c r="DF145" s="191"/>
      <c r="DG145" s="191"/>
      <c r="DH145" s="191"/>
      <c r="DI145" s="191"/>
      <c r="DJ145" s="191"/>
      <c r="DK145" s="191"/>
      <c r="DL145" s="191"/>
      <c r="DM145" s="191"/>
      <c r="DN145" s="191"/>
      <c r="DO145" s="191"/>
      <c r="DP145" s="191"/>
      <c r="DQ145" s="191"/>
      <c r="DR145" s="191"/>
      <c r="DS145" s="191"/>
      <c r="DT145" s="191"/>
      <c r="DU145" s="191"/>
      <c r="DV145" s="191"/>
      <c r="DW145" s="191"/>
      <c r="DX145" s="191"/>
      <c r="DY145" s="191"/>
      <c r="DZ145" s="191"/>
      <c r="EA145" s="191"/>
      <c r="EB145" s="191"/>
      <c r="EC145" s="191"/>
      <c r="ED145" s="191"/>
      <c r="EE145" s="18"/>
      <c r="EF145" s="349"/>
      <c r="EG145" s="350"/>
      <c r="EH145" s="350"/>
      <c r="EI145" s="350"/>
      <c r="EJ145" s="350"/>
      <c r="EK145" s="350"/>
      <c r="EL145" s="350"/>
      <c r="EM145" s="350"/>
      <c r="EN145" s="350"/>
      <c r="EO145" s="350"/>
      <c r="EP145" s="350"/>
      <c r="EQ145" s="350"/>
      <c r="ER145" s="350"/>
      <c r="ES145" s="350"/>
      <c r="ET145" s="350"/>
      <c r="EU145" s="350"/>
      <c r="EV145" s="350"/>
      <c r="EW145" s="350"/>
      <c r="EX145" s="350"/>
      <c r="EY145" s="350"/>
      <c r="EZ145" s="350"/>
      <c r="FA145" s="350"/>
      <c r="FB145" s="350"/>
      <c r="FC145" s="350"/>
      <c r="FD145" s="351"/>
    </row>
    <row r="146" spans="1:170" ht="14.25" customHeight="1">
      <c r="A146" s="7"/>
      <c r="B146" s="24" t="s">
        <v>207</v>
      </c>
      <c r="C146" s="25"/>
      <c r="D146" s="193"/>
      <c r="E146" s="191"/>
      <c r="F146" s="191"/>
      <c r="G146" s="192"/>
      <c r="H146" s="193"/>
      <c r="I146" s="191"/>
      <c r="J146" s="191"/>
      <c r="K146" s="192"/>
      <c r="L146" s="193"/>
      <c r="M146" s="191"/>
      <c r="N146" s="191"/>
      <c r="O146" s="192"/>
      <c r="P146" s="193"/>
      <c r="Q146" s="191"/>
      <c r="R146" s="191"/>
      <c r="S146" s="192"/>
      <c r="T146" s="193"/>
      <c r="U146" s="191"/>
      <c r="V146" s="191"/>
      <c r="W146" s="192"/>
      <c r="X146" s="193"/>
      <c r="Y146" s="191"/>
      <c r="Z146" s="191"/>
      <c r="AA146" s="192"/>
      <c r="AB146" s="193"/>
      <c r="AC146" s="191"/>
      <c r="AD146" s="191"/>
      <c r="AE146" s="192"/>
      <c r="AF146" s="193"/>
      <c r="AG146" s="191"/>
      <c r="AH146" s="191"/>
      <c r="AI146" s="192"/>
      <c r="AJ146" s="193"/>
      <c r="AK146" s="191"/>
      <c r="AL146" s="191"/>
      <c r="AM146" s="192"/>
      <c r="AN146" s="193"/>
      <c r="AO146" s="191"/>
      <c r="AP146" s="191"/>
      <c r="AQ146" s="192"/>
      <c r="AR146" s="193"/>
      <c r="AS146" s="191"/>
      <c r="AT146" s="191"/>
      <c r="AU146" s="192"/>
      <c r="AV146" s="193"/>
      <c r="AW146" s="191"/>
      <c r="AX146" s="191"/>
      <c r="AY146" s="192"/>
      <c r="AZ146" s="193"/>
      <c r="BA146" s="191"/>
      <c r="BB146" s="191"/>
      <c r="BC146" s="192"/>
      <c r="BD146" s="193"/>
      <c r="BE146" s="191"/>
      <c r="BF146" s="191"/>
      <c r="BG146" s="192"/>
      <c r="BH146" s="193"/>
      <c r="BI146" s="191"/>
      <c r="BJ146" s="191"/>
      <c r="BK146" s="192"/>
      <c r="BL146" s="193"/>
      <c r="BM146" s="191">
        <v>0</v>
      </c>
      <c r="BN146" s="191">
        <v>0</v>
      </c>
      <c r="BO146" s="192">
        <v>0</v>
      </c>
      <c r="BP146" s="193">
        <v>0</v>
      </c>
      <c r="BQ146" s="191">
        <v>95</v>
      </c>
      <c r="BR146" s="191">
        <v>268</v>
      </c>
      <c r="BS146" s="192">
        <v>268</v>
      </c>
      <c r="BT146" s="193">
        <v>138</v>
      </c>
      <c r="BU146" s="191">
        <v>340</v>
      </c>
      <c r="BV146" s="191">
        <v>403</v>
      </c>
      <c r="BW146" s="192">
        <v>609</v>
      </c>
      <c r="BX146" s="193">
        <v>173</v>
      </c>
      <c r="BY146" s="191">
        <v>73</v>
      </c>
      <c r="BZ146" s="191">
        <v>106</v>
      </c>
      <c r="CA146" s="192">
        <v>126</v>
      </c>
      <c r="CB146" s="193">
        <v>14</v>
      </c>
      <c r="CC146" s="191">
        <v>14</v>
      </c>
      <c r="CD146" s="191">
        <v>14</v>
      </c>
      <c r="CE146" s="192">
        <v>14</v>
      </c>
      <c r="CF146" s="193">
        <v>0</v>
      </c>
      <c r="CG146" s="191">
        <v>0</v>
      </c>
      <c r="CH146" s="191">
        <v>0</v>
      </c>
      <c r="CI146" s="192">
        <v>0</v>
      </c>
      <c r="CJ146" s="193">
        <v>0</v>
      </c>
      <c r="CK146" s="191">
        <v>0</v>
      </c>
      <c r="CL146" s="191">
        <v>0</v>
      </c>
      <c r="CM146" s="192">
        <v>0</v>
      </c>
      <c r="CN146" s="193">
        <v>0</v>
      </c>
      <c r="CO146" s="191">
        <v>2961</v>
      </c>
      <c r="CP146" s="191">
        <v>3136</v>
      </c>
      <c r="CQ146" s="192">
        <v>0</v>
      </c>
      <c r="CR146" s="193">
        <v>0</v>
      </c>
      <c r="CS146" s="191">
        <f t="shared" ref="CS146:CS153" si="1144">CR146+CS42</f>
        <v>0</v>
      </c>
      <c r="CT146" s="191">
        <f t="shared" ref="CT146:CT154" si="1145">CS146+CT42</f>
        <v>0</v>
      </c>
      <c r="CU146" s="192">
        <f t="shared" ref="CU146:CU154" si="1146">CT146+CU42</f>
        <v>0</v>
      </c>
      <c r="CV146" s="193">
        <f>CV42</f>
        <v>0</v>
      </c>
      <c r="CW146" s="191">
        <f t="shared" ref="CW146:CW154" si="1147">CV146+CW42</f>
        <v>0</v>
      </c>
      <c r="CX146" s="191">
        <f t="shared" ref="CX146:CX154" si="1148">CW146+CX42</f>
        <v>0</v>
      </c>
      <c r="CY146" s="192">
        <f t="shared" ref="CY146:CY154" si="1149">CX146+CY42</f>
        <v>0</v>
      </c>
      <c r="CZ146" s="193">
        <f>CZ42</f>
        <v>0</v>
      </c>
      <c r="DA146" s="191">
        <f t="shared" ref="DA146:DA154" si="1150">CZ146+DA42</f>
        <v>0</v>
      </c>
      <c r="DB146" s="191">
        <f t="shared" ref="DB146:DB154" si="1151">DA146+DB42</f>
        <v>0</v>
      </c>
      <c r="DC146" s="192">
        <f t="shared" ref="DC146:DC154" si="1152">DB146+DC42</f>
        <v>0</v>
      </c>
      <c r="DD146" s="153"/>
      <c r="DE146" s="188">
        <f t="shared" ref="DE146:DT146" si="1153">DE42</f>
        <v>0</v>
      </c>
      <c r="DF146" s="188">
        <f t="shared" si="1153"/>
        <v>0</v>
      </c>
      <c r="DG146" s="188">
        <f t="shared" si="1153"/>
        <v>0</v>
      </c>
      <c r="DH146" s="188">
        <f t="shared" si="1153"/>
        <v>0</v>
      </c>
      <c r="DI146" s="188">
        <f t="shared" si="1153"/>
        <v>0</v>
      </c>
      <c r="DJ146" s="188">
        <f t="shared" si="1153"/>
        <v>0</v>
      </c>
      <c r="DK146" s="188">
        <f t="shared" si="1153"/>
        <v>0</v>
      </c>
      <c r="DL146" s="188">
        <f t="shared" si="1153"/>
        <v>0</v>
      </c>
      <c r="DM146" s="188">
        <f t="shared" si="1153"/>
        <v>0</v>
      </c>
      <c r="DN146" s="188">
        <f t="shared" si="1153"/>
        <v>0</v>
      </c>
      <c r="DO146" s="188">
        <f t="shared" si="1153"/>
        <v>0</v>
      </c>
      <c r="DP146" s="188">
        <f t="shared" si="1153"/>
        <v>0</v>
      </c>
      <c r="DQ146" s="188">
        <f t="shared" si="1153"/>
        <v>0</v>
      </c>
      <c r="DR146" s="188">
        <f t="shared" si="1153"/>
        <v>0</v>
      </c>
      <c r="DS146" s="188">
        <f t="shared" si="1153"/>
        <v>0</v>
      </c>
      <c r="DT146" s="188">
        <f t="shared" si="1153"/>
        <v>0</v>
      </c>
      <c r="DU146" s="188">
        <f t="shared" ref="DU146:EB146" si="1154">DU42</f>
        <v>268</v>
      </c>
      <c r="DV146" s="188">
        <f t="shared" si="1154"/>
        <v>609</v>
      </c>
      <c r="DW146" s="188">
        <f t="shared" si="1154"/>
        <v>126</v>
      </c>
      <c r="DX146" s="188">
        <f t="shared" si="1154"/>
        <v>14</v>
      </c>
      <c r="DY146" s="188">
        <f t="shared" si="1154"/>
        <v>0</v>
      </c>
      <c r="DZ146" s="188">
        <f t="shared" si="1154"/>
        <v>0</v>
      </c>
      <c r="EA146" s="188">
        <f t="shared" si="1154"/>
        <v>0</v>
      </c>
      <c r="EB146" s="188">
        <f t="shared" si="1154"/>
        <v>0</v>
      </c>
      <c r="EC146" s="188">
        <f t="shared" ref="EC146:ED146" si="1155">EC42</f>
        <v>0</v>
      </c>
      <c r="ED146" s="188">
        <f t="shared" si="1155"/>
        <v>0</v>
      </c>
      <c r="EE146" s="18"/>
      <c r="EF146" s="337"/>
      <c r="EG146" s="338"/>
      <c r="EH146" s="338">
        <f t="shared" ref="EH146:EY146" si="1156">EH42</f>
        <v>0</v>
      </c>
      <c r="EI146" s="338">
        <f t="shared" si="1156"/>
        <v>0</v>
      </c>
      <c r="EJ146" s="338">
        <f t="shared" si="1156"/>
        <v>0</v>
      </c>
      <c r="EK146" s="338">
        <f t="shared" si="1156"/>
        <v>0</v>
      </c>
      <c r="EL146" s="338">
        <f t="shared" si="1156"/>
        <v>0</v>
      </c>
      <c r="EM146" s="338">
        <f t="shared" si="1156"/>
        <v>0</v>
      </c>
      <c r="EN146" s="338">
        <f t="shared" si="1156"/>
        <v>0</v>
      </c>
      <c r="EO146" s="338">
        <f t="shared" si="1156"/>
        <v>0</v>
      </c>
      <c r="EP146" s="338">
        <f t="shared" si="1156"/>
        <v>0</v>
      </c>
      <c r="EQ146" s="338">
        <f t="shared" si="1156"/>
        <v>0</v>
      </c>
      <c r="ER146" s="338">
        <f t="shared" si="1156"/>
        <v>0</v>
      </c>
      <c r="ES146" s="338">
        <f t="shared" si="1156"/>
        <v>0</v>
      </c>
      <c r="ET146" s="338">
        <f t="shared" si="1156"/>
        <v>0</v>
      </c>
      <c r="EU146" s="338">
        <f t="shared" si="1156"/>
        <v>0</v>
      </c>
      <c r="EV146" s="338">
        <f t="shared" si="1156"/>
        <v>406</v>
      </c>
      <c r="EW146" s="338">
        <f t="shared" si="1156"/>
        <v>644</v>
      </c>
      <c r="EX146" s="338">
        <f t="shared" si="1156"/>
        <v>-33</v>
      </c>
      <c r="EY146" s="338">
        <f t="shared" si="1156"/>
        <v>0</v>
      </c>
      <c r="EZ146" s="338">
        <f t="shared" ref="EZ146:FC146" si="1157">EZ42</f>
        <v>0</v>
      </c>
      <c r="FA146" s="338">
        <f t="shared" si="1157"/>
        <v>0</v>
      </c>
      <c r="FB146" s="338">
        <f t="shared" si="1157"/>
        <v>0</v>
      </c>
      <c r="FC146" s="338">
        <f t="shared" si="1157"/>
        <v>0</v>
      </c>
      <c r="FD146" s="339">
        <f t="shared" ref="FD146" si="1158">FD42</f>
        <v>0</v>
      </c>
    </row>
    <row r="147" spans="1:170" ht="14.25" customHeight="1">
      <c r="A147" s="7"/>
      <c r="B147" s="24" t="s">
        <v>208</v>
      </c>
      <c r="C147" s="25"/>
      <c r="D147" s="193"/>
      <c r="E147" s="191"/>
      <c r="F147" s="191"/>
      <c r="G147" s="192"/>
      <c r="H147" s="193"/>
      <c r="I147" s="191"/>
      <c r="J147" s="191"/>
      <c r="K147" s="192"/>
      <c r="L147" s="193"/>
      <c r="M147" s="191"/>
      <c r="N147" s="191"/>
      <c r="O147" s="192"/>
      <c r="P147" s="193"/>
      <c r="Q147" s="191"/>
      <c r="R147" s="191"/>
      <c r="S147" s="192"/>
      <c r="T147" s="193"/>
      <c r="U147" s="191"/>
      <c r="V147" s="191"/>
      <c r="W147" s="192"/>
      <c r="X147" s="193"/>
      <c r="Y147" s="191"/>
      <c r="Z147" s="191"/>
      <c r="AA147" s="192"/>
      <c r="AB147" s="193"/>
      <c r="AC147" s="191"/>
      <c r="AD147" s="191"/>
      <c r="AE147" s="192"/>
      <c r="AF147" s="193"/>
      <c r="AG147" s="191"/>
      <c r="AH147" s="191"/>
      <c r="AI147" s="192"/>
      <c r="AJ147" s="193"/>
      <c r="AK147" s="191"/>
      <c r="AL147" s="191"/>
      <c r="AM147" s="192"/>
      <c r="AN147" s="193"/>
      <c r="AO147" s="191"/>
      <c r="AP147" s="191"/>
      <c r="AQ147" s="192"/>
      <c r="AR147" s="193"/>
      <c r="AS147" s="191"/>
      <c r="AT147" s="191"/>
      <c r="AU147" s="192"/>
      <c r="AV147" s="193"/>
      <c r="AW147" s="191"/>
      <c r="AX147" s="191"/>
      <c r="AY147" s="192"/>
      <c r="AZ147" s="193"/>
      <c r="BA147" s="191"/>
      <c r="BB147" s="191"/>
      <c r="BC147" s="192"/>
      <c r="BD147" s="193"/>
      <c r="BE147" s="191"/>
      <c r="BF147" s="191"/>
      <c r="BG147" s="192"/>
      <c r="BH147" s="193"/>
      <c r="BI147" s="191"/>
      <c r="BJ147" s="191"/>
      <c r="BK147" s="192"/>
      <c r="BL147" s="193"/>
      <c r="BM147" s="191">
        <v>0</v>
      </c>
      <c r="BN147" s="191">
        <v>24</v>
      </c>
      <c r="BO147" s="192">
        <v>38</v>
      </c>
      <c r="BP147" s="193">
        <v>0</v>
      </c>
      <c r="BQ147" s="191">
        <v>4</v>
      </c>
      <c r="BR147" s="191">
        <v>8</v>
      </c>
      <c r="BS147" s="192">
        <v>8</v>
      </c>
      <c r="BT147" s="193">
        <v>110</v>
      </c>
      <c r="BU147" s="191">
        <v>138</v>
      </c>
      <c r="BV147" s="191">
        <v>151</v>
      </c>
      <c r="BW147" s="192">
        <v>197</v>
      </c>
      <c r="BX147" s="193">
        <v>26</v>
      </c>
      <c r="BY147" s="191">
        <v>10</v>
      </c>
      <c r="BZ147" s="191">
        <v>11</v>
      </c>
      <c r="CA147" s="192">
        <v>11</v>
      </c>
      <c r="CB147" s="193">
        <v>49</v>
      </c>
      <c r="CC147" s="191">
        <v>49</v>
      </c>
      <c r="CD147" s="191">
        <v>0</v>
      </c>
      <c r="CE147" s="192">
        <v>102</v>
      </c>
      <c r="CF147" s="193">
        <v>20</v>
      </c>
      <c r="CG147" s="191">
        <v>0</v>
      </c>
      <c r="CH147" s="191">
        <v>0</v>
      </c>
      <c r="CI147" s="192">
        <v>142</v>
      </c>
      <c r="CJ147" s="193">
        <v>37</v>
      </c>
      <c r="CK147" s="191">
        <v>37</v>
      </c>
      <c r="CL147" s="191">
        <v>37</v>
      </c>
      <c r="CM147" s="192">
        <v>37</v>
      </c>
      <c r="CN147" s="193">
        <v>0</v>
      </c>
      <c r="CO147" s="191">
        <v>0</v>
      </c>
      <c r="CP147" s="191">
        <v>0</v>
      </c>
      <c r="CQ147" s="192">
        <v>0</v>
      </c>
      <c r="CR147" s="193">
        <v>0</v>
      </c>
      <c r="CS147" s="188">
        <f t="shared" si="1144"/>
        <v>2</v>
      </c>
      <c r="CT147" s="188">
        <f t="shared" si="1145"/>
        <v>2</v>
      </c>
      <c r="CU147" s="189">
        <f t="shared" si="1146"/>
        <v>2</v>
      </c>
      <c r="CV147" s="193">
        <f t="shared" ref="CV147:CV154" si="1159">CV43</f>
        <v>0</v>
      </c>
      <c r="CW147" s="191">
        <f t="shared" si="1147"/>
        <v>0</v>
      </c>
      <c r="CX147" s="191">
        <f t="shared" si="1148"/>
        <v>0</v>
      </c>
      <c r="CY147" s="189">
        <f t="shared" si="1149"/>
        <v>0</v>
      </c>
      <c r="CZ147" s="193">
        <f t="shared" ref="CZ147:CZ154" si="1160">CZ43</f>
        <v>0</v>
      </c>
      <c r="DA147" s="191">
        <f t="shared" si="1150"/>
        <v>0</v>
      </c>
      <c r="DB147" s="191">
        <f t="shared" si="1151"/>
        <v>0</v>
      </c>
      <c r="DC147" s="189">
        <f t="shared" si="1152"/>
        <v>0</v>
      </c>
      <c r="DD147" s="153"/>
      <c r="DE147" s="188">
        <f t="shared" ref="DE147:DT147" si="1161">DE43</f>
        <v>0</v>
      </c>
      <c r="DF147" s="188">
        <f t="shared" si="1161"/>
        <v>0</v>
      </c>
      <c r="DG147" s="188">
        <f t="shared" si="1161"/>
        <v>0</v>
      </c>
      <c r="DH147" s="188">
        <f t="shared" si="1161"/>
        <v>0</v>
      </c>
      <c r="DI147" s="188">
        <f t="shared" si="1161"/>
        <v>0</v>
      </c>
      <c r="DJ147" s="188">
        <f t="shared" si="1161"/>
        <v>0</v>
      </c>
      <c r="DK147" s="188">
        <f t="shared" si="1161"/>
        <v>0</v>
      </c>
      <c r="DL147" s="188">
        <f t="shared" si="1161"/>
        <v>0</v>
      </c>
      <c r="DM147" s="188">
        <f t="shared" si="1161"/>
        <v>0</v>
      </c>
      <c r="DN147" s="188">
        <f t="shared" si="1161"/>
        <v>0</v>
      </c>
      <c r="DO147" s="188">
        <f t="shared" si="1161"/>
        <v>0</v>
      </c>
      <c r="DP147" s="188">
        <f t="shared" si="1161"/>
        <v>0</v>
      </c>
      <c r="DQ147" s="188">
        <f t="shared" si="1161"/>
        <v>0</v>
      </c>
      <c r="DR147" s="188">
        <f t="shared" si="1161"/>
        <v>0</v>
      </c>
      <c r="DS147" s="188">
        <f t="shared" si="1161"/>
        <v>0</v>
      </c>
      <c r="DT147" s="188">
        <f t="shared" si="1161"/>
        <v>38</v>
      </c>
      <c r="DU147" s="188">
        <f t="shared" ref="DU147:EB147" si="1162">DU43</f>
        <v>8</v>
      </c>
      <c r="DV147" s="188">
        <f t="shared" si="1162"/>
        <v>197</v>
      </c>
      <c r="DW147" s="188">
        <f t="shared" si="1162"/>
        <v>11</v>
      </c>
      <c r="DX147" s="188">
        <f t="shared" si="1162"/>
        <v>102</v>
      </c>
      <c r="DY147" s="188">
        <f t="shared" si="1162"/>
        <v>142</v>
      </c>
      <c r="DZ147" s="188">
        <f t="shared" si="1162"/>
        <v>37</v>
      </c>
      <c r="EA147" s="188">
        <f t="shared" si="1162"/>
        <v>0</v>
      </c>
      <c r="EB147" s="188">
        <f t="shared" si="1162"/>
        <v>2</v>
      </c>
      <c r="EC147" s="188">
        <f t="shared" ref="EC147:ED147" si="1163">EC43</f>
        <v>0</v>
      </c>
      <c r="ED147" s="188">
        <f t="shared" si="1163"/>
        <v>0</v>
      </c>
      <c r="EE147" s="18"/>
      <c r="EF147" s="337"/>
      <c r="EG147" s="338"/>
      <c r="EH147" s="338">
        <f t="shared" ref="EH147:EY147" si="1164">EH43</f>
        <v>0</v>
      </c>
      <c r="EI147" s="338">
        <f t="shared" si="1164"/>
        <v>0</v>
      </c>
      <c r="EJ147" s="338">
        <f t="shared" si="1164"/>
        <v>0</v>
      </c>
      <c r="EK147" s="338">
        <f t="shared" si="1164"/>
        <v>0</v>
      </c>
      <c r="EL147" s="338">
        <f t="shared" si="1164"/>
        <v>0</v>
      </c>
      <c r="EM147" s="338">
        <f t="shared" si="1164"/>
        <v>0</v>
      </c>
      <c r="EN147" s="338">
        <f t="shared" si="1164"/>
        <v>0</v>
      </c>
      <c r="EO147" s="338">
        <f t="shared" si="1164"/>
        <v>0</v>
      </c>
      <c r="EP147" s="338">
        <f t="shared" si="1164"/>
        <v>0</v>
      </c>
      <c r="EQ147" s="338">
        <f t="shared" si="1164"/>
        <v>0</v>
      </c>
      <c r="ER147" s="338">
        <f t="shared" si="1164"/>
        <v>0</v>
      </c>
      <c r="ES147" s="338">
        <f t="shared" si="1164"/>
        <v>0</v>
      </c>
      <c r="ET147" s="338">
        <f t="shared" si="1164"/>
        <v>0</v>
      </c>
      <c r="EU147" s="338">
        <f t="shared" si="1164"/>
        <v>38</v>
      </c>
      <c r="EV147" s="338">
        <f t="shared" si="1164"/>
        <v>118</v>
      </c>
      <c r="EW147" s="338">
        <f t="shared" si="1164"/>
        <v>113</v>
      </c>
      <c r="EX147" s="338">
        <f t="shared" si="1164"/>
        <v>34</v>
      </c>
      <c r="EY147" s="338">
        <f t="shared" si="1164"/>
        <v>73</v>
      </c>
      <c r="EZ147" s="338">
        <f t="shared" ref="EZ147:FC147" si="1165">EZ43</f>
        <v>159</v>
      </c>
      <c r="FA147" s="338">
        <f t="shared" si="1165"/>
        <v>0</v>
      </c>
      <c r="FB147" s="338">
        <f t="shared" si="1165"/>
        <v>0</v>
      </c>
      <c r="FC147" s="338">
        <f t="shared" si="1165"/>
        <v>2</v>
      </c>
      <c r="FD147" s="339">
        <f t="shared" ref="FD147" si="1166">FD43</f>
        <v>0</v>
      </c>
    </row>
    <row r="148" spans="1:170" ht="14.25" customHeight="1">
      <c r="A148" s="7"/>
      <c r="B148" s="24" t="s">
        <v>209</v>
      </c>
      <c r="C148" s="25"/>
      <c r="D148" s="193"/>
      <c r="E148" s="191"/>
      <c r="F148" s="191"/>
      <c r="G148" s="192"/>
      <c r="H148" s="193"/>
      <c r="I148" s="191"/>
      <c r="J148" s="191"/>
      <c r="K148" s="192"/>
      <c r="L148" s="193"/>
      <c r="M148" s="191"/>
      <c r="N148" s="191"/>
      <c r="O148" s="192"/>
      <c r="P148" s="193"/>
      <c r="Q148" s="191"/>
      <c r="R148" s="191"/>
      <c r="S148" s="192"/>
      <c r="T148" s="193"/>
      <c r="U148" s="191"/>
      <c r="V148" s="191"/>
      <c r="W148" s="192"/>
      <c r="X148" s="193"/>
      <c r="Y148" s="191"/>
      <c r="Z148" s="191"/>
      <c r="AA148" s="192"/>
      <c r="AB148" s="193"/>
      <c r="AC148" s="191"/>
      <c r="AD148" s="191"/>
      <c r="AE148" s="192"/>
      <c r="AF148" s="193"/>
      <c r="AG148" s="191"/>
      <c r="AH148" s="191"/>
      <c r="AI148" s="192"/>
      <c r="AJ148" s="193"/>
      <c r="AK148" s="191"/>
      <c r="AL148" s="191"/>
      <c r="AM148" s="192"/>
      <c r="AN148" s="193"/>
      <c r="AO148" s="191"/>
      <c r="AP148" s="191"/>
      <c r="AQ148" s="192"/>
      <c r="AR148" s="193"/>
      <c r="AS148" s="191"/>
      <c r="AT148" s="191"/>
      <c r="AU148" s="192"/>
      <c r="AV148" s="193"/>
      <c r="AW148" s="191"/>
      <c r="AX148" s="191"/>
      <c r="AY148" s="192"/>
      <c r="AZ148" s="193"/>
      <c r="BA148" s="191"/>
      <c r="BB148" s="191"/>
      <c r="BC148" s="192"/>
      <c r="BD148" s="193"/>
      <c r="BE148" s="191"/>
      <c r="BF148" s="191"/>
      <c r="BG148" s="192"/>
      <c r="BH148" s="193"/>
      <c r="BI148" s="191"/>
      <c r="BJ148" s="191"/>
      <c r="BK148" s="192"/>
      <c r="BL148" s="193"/>
      <c r="BM148" s="191">
        <v>0</v>
      </c>
      <c r="BN148" s="191">
        <v>0</v>
      </c>
      <c r="BO148" s="192">
        <v>-21</v>
      </c>
      <c r="BP148" s="193">
        <v>0</v>
      </c>
      <c r="BQ148" s="191">
        <v>0</v>
      </c>
      <c r="BR148" s="191">
        <v>0</v>
      </c>
      <c r="BS148" s="192">
        <v>-163</v>
      </c>
      <c r="BT148" s="193">
        <v>-83</v>
      </c>
      <c r="BU148" s="191">
        <v>-147</v>
      </c>
      <c r="BV148" s="191">
        <v>-466</v>
      </c>
      <c r="BW148" s="192">
        <v>-466</v>
      </c>
      <c r="BX148" s="193">
        <v>0</v>
      </c>
      <c r="BY148" s="191">
        <v>0</v>
      </c>
      <c r="BZ148" s="191">
        <v>0</v>
      </c>
      <c r="CA148" s="192">
        <v>0</v>
      </c>
      <c r="CB148" s="193">
        <v>0</v>
      </c>
      <c r="CC148" s="191">
        <v>0</v>
      </c>
      <c r="CD148" s="191">
        <v>0</v>
      </c>
      <c r="CE148" s="192">
        <v>-18</v>
      </c>
      <c r="CF148" s="193">
        <v>0</v>
      </c>
      <c r="CG148" s="191">
        <v>0</v>
      </c>
      <c r="CH148" s="191">
        <v>0</v>
      </c>
      <c r="CI148" s="192">
        <v>0</v>
      </c>
      <c r="CJ148" s="193">
        <v>0</v>
      </c>
      <c r="CK148" s="191">
        <v>0</v>
      </c>
      <c r="CL148" s="191">
        <v>-93</v>
      </c>
      <c r="CM148" s="192">
        <v>0</v>
      </c>
      <c r="CN148" s="193">
        <v>0</v>
      </c>
      <c r="CO148" s="191">
        <v>0</v>
      </c>
      <c r="CP148" s="191">
        <v>0</v>
      </c>
      <c r="CQ148" s="192">
        <v>0</v>
      </c>
      <c r="CR148" s="193">
        <v>0</v>
      </c>
      <c r="CS148" s="188">
        <f t="shared" si="1144"/>
        <v>0</v>
      </c>
      <c r="CT148" s="188">
        <f t="shared" si="1145"/>
        <v>0</v>
      </c>
      <c r="CU148" s="189">
        <f t="shared" si="1146"/>
        <v>0</v>
      </c>
      <c r="CV148" s="193">
        <f t="shared" si="1159"/>
        <v>0</v>
      </c>
      <c r="CW148" s="191">
        <f t="shared" si="1147"/>
        <v>0</v>
      </c>
      <c r="CX148" s="191">
        <f t="shared" si="1148"/>
        <v>0</v>
      </c>
      <c r="CY148" s="189">
        <f t="shared" si="1149"/>
        <v>0</v>
      </c>
      <c r="CZ148" s="193">
        <f t="shared" si="1160"/>
        <v>0</v>
      </c>
      <c r="DA148" s="191">
        <f t="shared" si="1150"/>
        <v>0</v>
      </c>
      <c r="DB148" s="191">
        <f t="shared" si="1151"/>
        <v>0</v>
      </c>
      <c r="DC148" s="189">
        <f t="shared" si="1152"/>
        <v>0</v>
      </c>
      <c r="DD148" s="153"/>
      <c r="DE148" s="188">
        <f t="shared" ref="DE148:DT148" si="1167">DE44</f>
        <v>0</v>
      </c>
      <c r="DF148" s="188">
        <f t="shared" si="1167"/>
        <v>0</v>
      </c>
      <c r="DG148" s="188">
        <f t="shared" si="1167"/>
        <v>0</v>
      </c>
      <c r="DH148" s="188">
        <f t="shared" si="1167"/>
        <v>0</v>
      </c>
      <c r="DI148" s="188">
        <f t="shared" si="1167"/>
        <v>0</v>
      </c>
      <c r="DJ148" s="188">
        <f t="shared" si="1167"/>
        <v>0</v>
      </c>
      <c r="DK148" s="188">
        <f t="shared" si="1167"/>
        <v>0</v>
      </c>
      <c r="DL148" s="188">
        <f t="shared" si="1167"/>
        <v>0</v>
      </c>
      <c r="DM148" s="188">
        <f t="shared" si="1167"/>
        <v>0</v>
      </c>
      <c r="DN148" s="188">
        <f t="shared" si="1167"/>
        <v>0</v>
      </c>
      <c r="DO148" s="188">
        <f t="shared" si="1167"/>
        <v>0</v>
      </c>
      <c r="DP148" s="188">
        <f t="shared" si="1167"/>
        <v>0</v>
      </c>
      <c r="DQ148" s="188">
        <f t="shared" si="1167"/>
        <v>0</v>
      </c>
      <c r="DR148" s="188">
        <f t="shared" si="1167"/>
        <v>0</v>
      </c>
      <c r="DS148" s="188">
        <f t="shared" si="1167"/>
        <v>0</v>
      </c>
      <c r="DT148" s="188">
        <f t="shared" si="1167"/>
        <v>-21</v>
      </c>
      <c r="DU148" s="188">
        <f t="shared" ref="DU148:EB148" si="1168">DU44</f>
        <v>-163</v>
      </c>
      <c r="DV148" s="188">
        <f t="shared" si="1168"/>
        <v>-466</v>
      </c>
      <c r="DW148" s="188">
        <f t="shared" si="1168"/>
        <v>0</v>
      </c>
      <c r="DX148" s="188">
        <f t="shared" si="1168"/>
        <v>-18</v>
      </c>
      <c r="DY148" s="188">
        <f t="shared" si="1168"/>
        <v>0</v>
      </c>
      <c r="DZ148" s="188">
        <f t="shared" si="1168"/>
        <v>0</v>
      </c>
      <c r="EA148" s="188">
        <f t="shared" si="1168"/>
        <v>0</v>
      </c>
      <c r="EB148" s="188">
        <f t="shared" si="1168"/>
        <v>0</v>
      </c>
      <c r="EC148" s="188">
        <f t="shared" ref="EC148:ED148" si="1169">EC44</f>
        <v>0</v>
      </c>
      <c r="ED148" s="188">
        <f t="shared" si="1169"/>
        <v>0</v>
      </c>
      <c r="EE148" s="18"/>
      <c r="EF148" s="337"/>
      <c r="EG148" s="338"/>
      <c r="EH148" s="338">
        <f t="shared" ref="EH148:EY148" si="1170">EH44</f>
        <v>0</v>
      </c>
      <c r="EI148" s="338">
        <f t="shared" si="1170"/>
        <v>0</v>
      </c>
      <c r="EJ148" s="338">
        <f t="shared" si="1170"/>
        <v>0</v>
      </c>
      <c r="EK148" s="338">
        <f t="shared" si="1170"/>
        <v>0</v>
      </c>
      <c r="EL148" s="338">
        <f t="shared" si="1170"/>
        <v>0</v>
      </c>
      <c r="EM148" s="338">
        <f t="shared" si="1170"/>
        <v>0</v>
      </c>
      <c r="EN148" s="338">
        <f t="shared" si="1170"/>
        <v>0</v>
      </c>
      <c r="EO148" s="338">
        <f t="shared" si="1170"/>
        <v>0</v>
      </c>
      <c r="EP148" s="338">
        <f t="shared" si="1170"/>
        <v>0</v>
      </c>
      <c r="EQ148" s="338">
        <f t="shared" si="1170"/>
        <v>0</v>
      </c>
      <c r="ER148" s="338">
        <f t="shared" si="1170"/>
        <v>0</v>
      </c>
      <c r="ES148" s="338">
        <f t="shared" si="1170"/>
        <v>0</v>
      </c>
      <c r="ET148" s="338">
        <f t="shared" si="1170"/>
        <v>0</v>
      </c>
      <c r="EU148" s="338">
        <f t="shared" si="1170"/>
        <v>-21</v>
      </c>
      <c r="EV148" s="338">
        <f t="shared" si="1170"/>
        <v>-246</v>
      </c>
      <c r="EW148" s="338">
        <f t="shared" si="1170"/>
        <v>-383</v>
      </c>
      <c r="EX148" s="338">
        <f t="shared" si="1170"/>
        <v>0</v>
      </c>
      <c r="EY148" s="338">
        <f t="shared" si="1170"/>
        <v>-18</v>
      </c>
      <c r="EZ148" s="338">
        <f t="shared" ref="EZ148:FC148" si="1171">EZ44</f>
        <v>0</v>
      </c>
      <c r="FA148" s="338">
        <f t="shared" si="1171"/>
        <v>0</v>
      </c>
      <c r="FB148" s="338">
        <f t="shared" si="1171"/>
        <v>0</v>
      </c>
      <c r="FC148" s="338">
        <f t="shared" si="1171"/>
        <v>0</v>
      </c>
      <c r="FD148" s="339">
        <f t="shared" ref="FD148" si="1172">FD44</f>
        <v>0</v>
      </c>
    </row>
    <row r="149" spans="1:170" ht="14.25" customHeight="1">
      <c r="A149" s="7"/>
      <c r="B149" s="24" t="s">
        <v>210</v>
      </c>
      <c r="C149" s="25"/>
      <c r="D149" s="193"/>
      <c r="E149" s="191"/>
      <c r="F149" s="191"/>
      <c r="G149" s="192"/>
      <c r="H149" s="193"/>
      <c r="I149" s="191"/>
      <c r="J149" s="191"/>
      <c r="K149" s="192"/>
      <c r="L149" s="193"/>
      <c r="M149" s="191"/>
      <c r="N149" s="191"/>
      <c r="O149" s="192"/>
      <c r="P149" s="193"/>
      <c r="Q149" s="191"/>
      <c r="R149" s="191"/>
      <c r="S149" s="192"/>
      <c r="T149" s="193"/>
      <c r="U149" s="191"/>
      <c r="V149" s="191"/>
      <c r="W149" s="192"/>
      <c r="X149" s="193"/>
      <c r="Y149" s="191"/>
      <c r="Z149" s="191"/>
      <c r="AA149" s="192"/>
      <c r="AB149" s="193"/>
      <c r="AC149" s="191"/>
      <c r="AD149" s="191"/>
      <c r="AE149" s="192"/>
      <c r="AF149" s="193"/>
      <c r="AG149" s="191"/>
      <c r="AH149" s="191"/>
      <c r="AI149" s="192"/>
      <c r="AJ149" s="193"/>
      <c r="AK149" s="191"/>
      <c r="AL149" s="191"/>
      <c r="AM149" s="192"/>
      <c r="AN149" s="193"/>
      <c r="AO149" s="191"/>
      <c r="AP149" s="191"/>
      <c r="AQ149" s="192"/>
      <c r="AR149" s="193"/>
      <c r="AS149" s="191"/>
      <c r="AT149" s="191"/>
      <c r="AU149" s="192"/>
      <c r="AV149" s="193"/>
      <c r="AW149" s="191"/>
      <c r="AX149" s="191"/>
      <c r="AY149" s="192"/>
      <c r="AZ149" s="193"/>
      <c r="BA149" s="191"/>
      <c r="BB149" s="191"/>
      <c r="BC149" s="192"/>
      <c r="BD149" s="193"/>
      <c r="BE149" s="191"/>
      <c r="BF149" s="191"/>
      <c r="BG149" s="192"/>
      <c r="BH149" s="193"/>
      <c r="BI149" s="191"/>
      <c r="BJ149" s="191"/>
      <c r="BK149" s="192"/>
      <c r="BL149" s="193">
        <v>-88</v>
      </c>
      <c r="BM149" s="191">
        <v>-172</v>
      </c>
      <c r="BN149" s="191">
        <v>-244</v>
      </c>
      <c r="BO149" s="192">
        <v>-267</v>
      </c>
      <c r="BP149" s="193">
        <v>-49</v>
      </c>
      <c r="BQ149" s="191">
        <v>-99</v>
      </c>
      <c r="BR149" s="191">
        <v>-159</v>
      </c>
      <c r="BS149" s="192">
        <v>-225</v>
      </c>
      <c r="BT149" s="193">
        <v>0</v>
      </c>
      <c r="BU149" s="191">
        <v>0</v>
      </c>
      <c r="BV149" s="191">
        <v>-387</v>
      </c>
      <c r="BW149" s="192">
        <v>-391</v>
      </c>
      <c r="BX149" s="193">
        <v>0</v>
      </c>
      <c r="BY149" s="191">
        <v>0</v>
      </c>
      <c r="BZ149" s="191">
        <v>-33</v>
      </c>
      <c r="CA149" s="192">
        <v>-37</v>
      </c>
      <c r="CB149" s="193">
        <v>0</v>
      </c>
      <c r="CC149" s="191">
        <v>0</v>
      </c>
      <c r="CD149" s="191">
        <v>0</v>
      </c>
      <c r="CE149" s="192">
        <v>-10</v>
      </c>
      <c r="CF149" s="193">
        <v>0</v>
      </c>
      <c r="CG149" s="191">
        <v>0</v>
      </c>
      <c r="CH149" s="191">
        <v>0</v>
      </c>
      <c r="CI149" s="192">
        <v>0</v>
      </c>
      <c r="CJ149" s="193">
        <v>0</v>
      </c>
      <c r="CK149" s="191">
        <v>0</v>
      </c>
      <c r="CL149" s="191">
        <v>0</v>
      </c>
      <c r="CM149" s="192">
        <v>0</v>
      </c>
      <c r="CN149" s="193">
        <v>0</v>
      </c>
      <c r="CO149" s="191">
        <v>0</v>
      </c>
      <c r="CP149" s="191">
        <v>0</v>
      </c>
      <c r="CQ149" s="192">
        <v>0</v>
      </c>
      <c r="CR149" s="193">
        <v>0</v>
      </c>
      <c r="CS149" s="188">
        <f t="shared" si="1144"/>
        <v>0</v>
      </c>
      <c r="CT149" s="188">
        <f t="shared" si="1145"/>
        <v>0</v>
      </c>
      <c r="CU149" s="189">
        <f t="shared" si="1146"/>
        <v>0</v>
      </c>
      <c r="CV149" s="193">
        <f t="shared" si="1159"/>
        <v>0</v>
      </c>
      <c r="CW149" s="191">
        <f t="shared" si="1147"/>
        <v>0</v>
      </c>
      <c r="CX149" s="191">
        <f t="shared" si="1148"/>
        <v>0</v>
      </c>
      <c r="CY149" s="189">
        <f t="shared" si="1149"/>
        <v>0</v>
      </c>
      <c r="CZ149" s="193">
        <f t="shared" si="1160"/>
        <v>0</v>
      </c>
      <c r="DA149" s="191">
        <f t="shared" si="1150"/>
        <v>0</v>
      </c>
      <c r="DB149" s="191">
        <f t="shared" si="1151"/>
        <v>0</v>
      </c>
      <c r="DC149" s="189">
        <f t="shared" si="1152"/>
        <v>0</v>
      </c>
      <c r="DD149" s="153"/>
      <c r="DE149" s="188">
        <f t="shared" ref="DE149:EB149" si="1173">DE45</f>
        <v>0</v>
      </c>
      <c r="DF149" s="188">
        <f t="shared" si="1173"/>
        <v>0</v>
      </c>
      <c r="DG149" s="188">
        <f t="shared" si="1173"/>
        <v>0</v>
      </c>
      <c r="DH149" s="188">
        <f t="shared" si="1173"/>
        <v>0</v>
      </c>
      <c r="DI149" s="188">
        <f t="shared" si="1173"/>
        <v>0</v>
      </c>
      <c r="DJ149" s="188">
        <f t="shared" si="1173"/>
        <v>0</v>
      </c>
      <c r="DK149" s="188">
        <f t="shared" si="1173"/>
        <v>0</v>
      </c>
      <c r="DL149" s="188">
        <f t="shared" si="1173"/>
        <v>0</v>
      </c>
      <c r="DM149" s="188">
        <f t="shared" si="1173"/>
        <v>0</v>
      </c>
      <c r="DN149" s="188">
        <f t="shared" si="1173"/>
        <v>0</v>
      </c>
      <c r="DO149" s="188">
        <f t="shared" si="1173"/>
        <v>0</v>
      </c>
      <c r="DP149" s="188">
        <f t="shared" si="1173"/>
        <v>0</v>
      </c>
      <c r="DQ149" s="188">
        <f t="shared" si="1173"/>
        <v>0</v>
      </c>
      <c r="DR149" s="188">
        <f t="shared" si="1173"/>
        <v>0</v>
      </c>
      <c r="DS149" s="188">
        <f t="shared" si="1173"/>
        <v>0</v>
      </c>
      <c r="DT149" s="188">
        <f t="shared" si="1173"/>
        <v>-267</v>
      </c>
      <c r="DU149" s="188">
        <f t="shared" si="1173"/>
        <v>-225</v>
      </c>
      <c r="DV149" s="188">
        <f t="shared" si="1173"/>
        <v>-391</v>
      </c>
      <c r="DW149" s="188">
        <f t="shared" si="1173"/>
        <v>-37</v>
      </c>
      <c r="DX149" s="188">
        <f t="shared" si="1173"/>
        <v>-10</v>
      </c>
      <c r="DY149" s="188">
        <f t="shared" si="1173"/>
        <v>0</v>
      </c>
      <c r="DZ149" s="188">
        <f t="shared" si="1173"/>
        <v>0</v>
      </c>
      <c r="EA149" s="188">
        <f t="shared" si="1173"/>
        <v>0</v>
      </c>
      <c r="EB149" s="188">
        <f t="shared" si="1173"/>
        <v>0</v>
      </c>
      <c r="EC149" s="188">
        <f t="shared" ref="EC149:ED149" si="1174">EC45</f>
        <v>0</v>
      </c>
      <c r="ED149" s="188">
        <f t="shared" si="1174"/>
        <v>0</v>
      </c>
      <c r="EE149" s="18"/>
      <c r="EF149" s="337"/>
      <c r="EG149" s="338"/>
      <c r="EH149" s="338">
        <f t="shared" ref="EH149:EY149" si="1175">EH45</f>
        <v>0</v>
      </c>
      <c r="EI149" s="338">
        <f t="shared" si="1175"/>
        <v>0</v>
      </c>
      <c r="EJ149" s="338">
        <f t="shared" si="1175"/>
        <v>0</v>
      </c>
      <c r="EK149" s="338">
        <f t="shared" si="1175"/>
        <v>0</v>
      </c>
      <c r="EL149" s="338">
        <f t="shared" si="1175"/>
        <v>0</v>
      </c>
      <c r="EM149" s="338">
        <f t="shared" si="1175"/>
        <v>0</v>
      </c>
      <c r="EN149" s="338">
        <f t="shared" si="1175"/>
        <v>0</v>
      </c>
      <c r="EO149" s="338">
        <f t="shared" si="1175"/>
        <v>0</v>
      </c>
      <c r="EP149" s="338">
        <f t="shared" si="1175"/>
        <v>0</v>
      </c>
      <c r="EQ149" s="338">
        <f t="shared" si="1175"/>
        <v>0</v>
      </c>
      <c r="ER149" s="338">
        <f t="shared" si="1175"/>
        <v>0</v>
      </c>
      <c r="ES149" s="338">
        <f t="shared" si="1175"/>
        <v>0</v>
      </c>
      <c r="ET149" s="338">
        <f t="shared" si="1175"/>
        <v>-88</v>
      </c>
      <c r="EU149" s="338">
        <f t="shared" si="1175"/>
        <v>-228</v>
      </c>
      <c r="EV149" s="338">
        <f t="shared" si="1175"/>
        <v>-176</v>
      </c>
      <c r="EW149" s="338">
        <f t="shared" si="1175"/>
        <v>-391</v>
      </c>
      <c r="EX149" s="338">
        <f t="shared" si="1175"/>
        <v>-37</v>
      </c>
      <c r="EY149" s="338">
        <f t="shared" si="1175"/>
        <v>-10</v>
      </c>
      <c r="EZ149" s="338">
        <f t="shared" ref="EZ149:FC149" si="1176">EZ45</f>
        <v>0</v>
      </c>
      <c r="FA149" s="338">
        <f t="shared" si="1176"/>
        <v>0</v>
      </c>
      <c r="FB149" s="338">
        <f t="shared" si="1176"/>
        <v>0</v>
      </c>
      <c r="FC149" s="338">
        <f t="shared" si="1176"/>
        <v>0</v>
      </c>
      <c r="FD149" s="339">
        <f t="shared" ref="FD149" si="1177">FD45</f>
        <v>0</v>
      </c>
    </row>
    <row r="150" spans="1:170" ht="14.25" customHeight="1">
      <c r="A150" s="7"/>
      <c r="B150" s="24" t="s">
        <v>402</v>
      </c>
      <c r="C150" s="25"/>
      <c r="D150" s="193">
        <v>0</v>
      </c>
      <c r="E150" s="191">
        <v>0</v>
      </c>
      <c r="F150" s="191">
        <v>0</v>
      </c>
      <c r="G150" s="192">
        <v>0</v>
      </c>
      <c r="H150" s="193">
        <v>0</v>
      </c>
      <c r="I150" s="191">
        <v>0</v>
      </c>
      <c r="J150" s="191">
        <v>0</v>
      </c>
      <c r="K150" s="192">
        <v>0</v>
      </c>
      <c r="L150" s="193">
        <v>-66.8</v>
      </c>
      <c r="M150" s="191">
        <v>-110</v>
      </c>
      <c r="N150" s="191">
        <v>-37.1</v>
      </c>
      <c r="O150" s="192">
        <v>-53.9</v>
      </c>
      <c r="P150" s="193">
        <v>-12.9</v>
      </c>
      <c r="Q150" s="191">
        <v>-20.100000000000001</v>
      </c>
      <c r="R150" s="191">
        <v>-32.5</v>
      </c>
      <c r="S150" s="192">
        <v>-63.5</v>
      </c>
      <c r="T150" s="193">
        <v>-73.900000000000006</v>
      </c>
      <c r="U150" s="191">
        <v>-153.5</v>
      </c>
      <c r="V150" s="191">
        <v>-218.6</v>
      </c>
      <c r="W150" s="192">
        <v>-302.89999999999998</v>
      </c>
      <c r="X150" s="193">
        <v>-86.5</v>
      </c>
      <c r="Y150" s="191">
        <v>-150.69999999999999</v>
      </c>
      <c r="Z150" s="191">
        <v>-191.6</v>
      </c>
      <c r="AA150" s="192">
        <v>-210.7</v>
      </c>
      <c r="AB150" s="193">
        <v>-25.3</v>
      </c>
      <c r="AC150" s="191">
        <v>-105.1</v>
      </c>
      <c r="AD150" s="191">
        <v>-142.5</v>
      </c>
      <c r="AE150" s="192">
        <v>-187.2</v>
      </c>
      <c r="AF150" s="193">
        <v>-16.7</v>
      </c>
      <c r="AG150" s="191">
        <v>-40</v>
      </c>
      <c r="AH150" s="191">
        <v>-74.400000000000006</v>
      </c>
      <c r="AI150" s="192">
        <v>-122.3</v>
      </c>
      <c r="AJ150" s="193">
        <v>-53.6</v>
      </c>
      <c r="AK150" s="191">
        <v>-90.1</v>
      </c>
      <c r="AL150" s="191">
        <v>-123.4</v>
      </c>
      <c r="AM150" s="192">
        <v>-143.19999999999999</v>
      </c>
      <c r="AN150" s="193">
        <v>-92.5</v>
      </c>
      <c r="AO150" s="191">
        <v>-200.8</v>
      </c>
      <c r="AP150" s="191">
        <v>-268.89999999999998</v>
      </c>
      <c r="AQ150" s="192">
        <v>-343.7</v>
      </c>
      <c r="AR150" s="193">
        <v>-93.8</v>
      </c>
      <c r="AS150" s="191">
        <v>-143.4</v>
      </c>
      <c r="AT150" s="191">
        <v>-170.8</v>
      </c>
      <c r="AU150" s="192">
        <v>-236</v>
      </c>
      <c r="AV150" s="193">
        <v>-30.7</v>
      </c>
      <c r="AW150" s="191">
        <v>-77.099999999999994</v>
      </c>
      <c r="AX150" s="191">
        <v>-150.9</v>
      </c>
      <c r="AY150" s="192">
        <v>-209</v>
      </c>
      <c r="AZ150" s="193">
        <v>-161</v>
      </c>
      <c r="BA150" s="191">
        <v>-287</v>
      </c>
      <c r="BB150" s="191">
        <v>-393</v>
      </c>
      <c r="BC150" s="192">
        <v>-487</v>
      </c>
      <c r="BD150" s="193">
        <v>-122</v>
      </c>
      <c r="BE150" s="191">
        <v>-274</v>
      </c>
      <c r="BF150" s="191">
        <v>-348</v>
      </c>
      <c r="BG150" s="192">
        <v>-387</v>
      </c>
      <c r="BH150" s="193">
        <v>-64</v>
      </c>
      <c r="BI150" s="191">
        <v>-98</v>
      </c>
      <c r="BJ150" s="191">
        <v>-127</v>
      </c>
      <c r="BK150" s="192">
        <v>-144</v>
      </c>
      <c r="BL150" s="193">
        <v>-49</v>
      </c>
      <c r="BM150" s="191">
        <v>-136</v>
      </c>
      <c r="BN150" s="191">
        <v>-199</v>
      </c>
      <c r="BO150" s="192">
        <v>-330</v>
      </c>
      <c r="BP150" s="193">
        <v>-105</v>
      </c>
      <c r="BQ150" s="191">
        <v>-221</v>
      </c>
      <c r="BR150" s="191">
        <v>-262</v>
      </c>
      <c r="BS150" s="192">
        <v>-322</v>
      </c>
      <c r="BT150" s="193">
        <v>-49</v>
      </c>
      <c r="BU150" s="191">
        <v>-86</v>
      </c>
      <c r="BV150" s="191">
        <v>-132</v>
      </c>
      <c r="BW150" s="192">
        <v>-172</v>
      </c>
      <c r="BX150" s="193">
        <v>-104</v>
      </c>
      <c r="BY150" s="191">
        <v>-130</v>
      </c>
      <c r="BZ150" s="191">
        <v>-162</v>
      </c>
      <c r="CA150" s="192">
        <v>-214</v>
      </c>
      <c r="CB150" s="193">
        <v>-143</v>
      </c>
      <c r="CC150" s="191">
        <v>-203</v>
      </c>
      <c r="CD150" s="191">
        <v>-292</v>
      </c>
      <c r="CE150" s="192">
        <v>-479</v>
      </c>
      <c r="CF150" s="193">
        <v>0</v>
      </c>
      <c r="CG150" s="191">
        <v>0</v>
      </c>
      <c r="CH150" s="191">
        <v>0</v>
      </c>
      <c r="CI150" s="192">
        <v>0</v>
      </c>
      <c r="CJ150" s="193">
        <v>0</v>
      </c>
      <c r="CK150" s="191">
        <v>0</v>
      </c>
      <c r="CL150" s="191">
        <v>0</v>
      </c>
      <c r="CM150" s="192">
        <v>0</v>
      </c>
      <c r="CN150" s="193">
        <v>-24</v>
      </c>
      <c r="CO150" s="191">
        <v>0</v>
      </c>
      <c r="CP150" s="191">
        <v>0</v>
      </c>
      <c r="CQ150" s="192">
        <v>0</v>
      </c>
      <c r="CR150" s="193">
        <v>-133</v>
      </c>
      <c r="CS150" s="188">
        <f t="shared" si="1144"/>
        <v>-133</v>
      </c>
      <c r="CT150" s="188">
        <f t="shared" si="1145"/>
        <v>-133</v>
      </c>
      <c r="CU150" s="189">
        <f t="shared" si="1146"/>
        <v>-133</v>
      </c>
      <c r="CV150" s="193">
        <f t="shared" si="1159"/>
        <v>0</v>
      </c>
      <c r="CW150" s="191">
        <f t="shared" si="1147"/>
        <v>0</v>
      </c>
      <c r="CX150" s="191">
        <f t="shared" si="1148"/>
        <v>0</v>
      </c>
      <c r="CY150" s="189">
        <f t="shared" si="1149"/>
        <v>0</v>
      </c>
      <c r="CZ150" s="193">
        <f t="shared" si="1160"/>
        <v>0</v>
      </c>
      <c r="DA150" s="191">
        <f t="shared" si="1150"/>
        <v>0</v>
      </c>
      <c r="DB150" s="191">
        <f t="shared" si="1151"/>
        <v>0</v>
      </c>
      <c r="DC150" s="189">
        <f t="shared" si="1152"/>
        <v>0</v>
      </c>
      <c r="DD150" s="153"/>
      <c r="DE150" s="188">
        <f t="shared" ref="DE150:DF154" si="1178">DE46</f>
        <v>0</v>
      </c>
      <c r="DF150" s="188">
        <f t="shared" si="1178"/>
        <v>0</v>
      </c>
      <c r="DG150" s="188">
        <f t="shared" ref="DG150:DN150" si="1179">DG46</f>
        <v>-53.900000000000006</v>
      </c>
      <c r="DH150" s="188">
        <f t="shared" si="1179"/>
        <v>-63.5</v>
      </c>
      <c r="DI150" s="188">
        <f t="shared" si="1179"/>
        <v>-302.89999999999998</v>
      </c>
      <c r="DJ150" s="188">
        <f t="shared" si="1179"/>
        <v>-210.7</v>
      </c>
      <c r="DK150" s="188">
        <f t="shared" si="1179"/>
        <v>-187.2</v>
      </c>
      <c r="DL150" s="188">
        <f t="shared" si="1179"/>
        <v>-122.3</v>
      </c>
      <c r="DM150" s="188">
        <f t="shared" si="1179"/>
        <v>-143.19999999999999</v>
      </c>
      <c r="DN150" s="188">
        <f t="shared" si="1179"/>
        <v>-343.7</v>
      </c>
      <c r="DO150" s="188">
        <f t="shared" ref="DO150:DQ154" si="1180">DO46</f>
        <v>-236</v>
      </c>
      <c r="DP150" s="188">
        <f t="shared" si="1180"/>
        <v>-209</v>
      </c>
      <c r="DQ150" s="188">
        <f t="shared" si="1180"/>
        <v>-487</v>
      </c>
      <c r="DR150" s="188">
        <f t="shared" ref="DR150:EB150" si="1181">DR46</f>
        <v>-387</v>
      </c>
      <c r="DS150" s="188">
        <f t="shared" si="1181"/>
        <v>-144</v>
      </c>
      <c r="DT150" s="188">
        <f t="shared" si="1181"/>
        <v>-330</v>
      </c>
      <c r="DU150" s="188">
        <f t="shared" si="1181"/>
        <v>-322</v>
      </c>
      <c r="DV150" s="188">
        <f t="shared" si="1181"/>
        <v>-172</v>
      </c>
      <c r="DW150" s="188">
        <f t="shared" si="1181"/>
        <v>-214</v>
      </c>
      <c r="DX150" s="188">
        <f t="shared" si="1181"/>
        <v>-479</v>
      </c>
      <c r="DY150" s="188">
        <f t="shared" si="1181"/>
        <v>0</v>
      </c>
      <c r="DZ150" s="188">
        <f t="shared" si="1181"/>
        <v>0</v>
      </c>
      <c r="EA150" s="188">
        <f t="shared" si="1181"/>
        <v>0</v>
      </c>
      <c r="EB150" s="188">
        <f t="shared" si="1181"/>
        <v>-133</v>
      </c>
      <c r="EC150" s="188">
        <f t="shared" ref="EC150:ED150" si="1182">EC46</f>
        <v>0</v>
      </c>
      <c r="ED150" s="188">
        <f t="shared" si="1182"/>
        <v>0</v>
      </c>
      <c r="EE150" s="18"/>
      <c r="EF150" s="337"/>
      <c r="EG150" s="338"/>
      <c r="EH150" s="338">
        <f t="shared" ref="EH150:EO150" si="1183">EH46</f>
        <v>0</v>
      </c>
      <c r="EI150" s="338">
        <f t="shared" si="1183"/>
        <v>-124.5</v>
      </c>
      <c r="EJ150" s="338">
        <f t="shared" si="1183"/>
        <v>-315.5</v>
      </c>
      <c r="EK150" s="338">
        <f t="shared" si="1183"/>
        <v>-149.5</v>
      </c>
      <c r="EL150" s="338">
        <f t="shared" si="1183"/>
        <v>-178.59999999999997</v>
      </c>
      <c r="EM150" s="338">
        <f t="shared" si="1183"/>
        <v>-159.19999999999999</v>
      </c>
      <c r="EN150" s="338">
        <f t="shared" si="1183"/>
        <v>-182.09999999999997</v>
      </c>
      <c r="EO150" s="338">
        <f t="shared" si="1183"/>
        <v>-345</v>
      </c>
      <c r="EP150" s="338">
        <f t="shared" ref="EP150:EX150" si="1184">EP46</f>
        <v>-172.9</v>
      </c>
      <c r="EQ150" s="338">
        <f t="shared" si="1184"/>
        <v>-339.3</v>
      </c>
      <c r="ER150" s="338">
        <f t="shared" si="1184"/>
        <v>-448</v>
      </c>
      <c r="ES150" s="338">
        <f t="shared" si="1184"/>
        <v>-329</v>
      </c>
      <c r="ET150" s="338">
        <f t="shared" si="1184"/>
        <v>-129</v>
      </c>
      <c r="EU150" s="338">
        <f t="shared" si="1184"/>
        <v>-386</v>
      </c>
      <c r="EV150" s="338">
        <f t="shared" si="1184"/>
        <v>-266</v>
      </c>
      <c r="EW150" s="338">
        <f t="shared" si="1184"/>
        <v>-227</v>
      </c>
      <c r="EX150" s="338">
        <f t="shared" si="1184"/>
        <v>-253</v>
      </c>
      <c r="EY150" s="338">
        <f t="shared" ref="EY150:EZ154" si="1185">EY46</f>
        <v>-336</v>
      </c>
      <c r="EZ150" s="338">
        <f t="shared" si="1185"/>
        <v>0</v>
      </c>
      <c r="FA150" s="338">
        <f t="shared" ref="FA150:FC150" si="1186">FA46</f>
        <v>-24</v>
      </c>
      <c r="FB150" s="338">
        <f t="shared" si="1186"/>
        <v>-109</v>
      </c>
      <c r="FC150" s="338">
        <f t="shared" si="1186"/>
        <v>0</v>
      </c>
      <c r="FD150" s="339">
        <f t="shared" ref="FD150" si="1187">FD46</f>
        <v>0</v>
      </c>
    </row>
    <row r="151" spans="1:170" ht="14.25" customHeight="1">
      <c r="A151" s="7"/>
      <c r="B151" s="24" t="s">
        <v>372</v>
      </c>
      <c r="C151" s="25"/>
      <c r="D151" s="193">
        <v>0</v>
      </c>
      <c r="E151" s="191">
        <v>0</v>
      </c>
      <c r="F151" s="191">
        <v>0</v>
      </c>
      <c r="G151" s="192">
        <v>0</v>
      </c>
      <c r="H151" s="193">
        <v>0</v>
      </c>
      <c r="I151" s="191">
        <v>0</v>
      </c>
      <c r="J151" s="191">
        <v>0</v>
      </c>
      <c r="K151" s="192">
        <v>0</v>
      </c>
      <c r="L151" s="193">
        <f>37.6-90-18.3</f>
        <v>-70.7</v>
      </c>
      <c r="M151" s="191">
        <f>-90+70.7-57.6</f>
        <v>-76.900000000000006</v>
      </c>
      <c r="N151" s="191">
        <f>-90+71.6-78.6</f>
        <v>-97</v>
      </c>
      <c r="O151" s="192">
        <f>587.8-101.1-90</f>
        <v>396.69999999999993</v>
      </c>
      <c r="P151" s="193">
        <f>11.4-49.7</f>
        <v>-38.300000000000004</v>
      </c>
      <c r="Q151" s="191">
        <f>31.4-72.5</f>
        <v>-41.1</v>
      </c>
      <c r="R151" s="191">
        <f>31.4-99.4</f>
        <v>-68</v>
      </c>
      <c r="S151" s="192">
        <f>102.9-125.7</f>
        <v>-22.799999999999997</v>
      </c>
      <c r="T151" s="193">
        <f>34-28.3</f>
        <v>5.6999999999999993</v>
      </c>
      <c r="U151" s="191">
        <f>34-66.3</f>
        <v>-32.299999999999997</v>
      </c>
      <c r="V151" s="191">
        <f>34-93.4</f>
        <v>-59.400000000000006</v>
      </c>
      <c r="W151" s="192">
        <f>34-106.7-11.1</f>
        <v>-83.8</v>
      </c>
      <c r="X151" s="193">
        <v>-34.299999999999997</v>
      </c>
      <c r="Y151" s="191">
        <v>-109.3</v>
      </c>
      <c r="Z151" s="191">
        <v>-165.4</v>
      </c>
      <c r="AA151" s="192">
        <v>-175.1</v>
      </c>
      <c r="AB151" s="193">
        <v>-12.2</v>
      </c>
      <c r="AC151" s="191">
        <v>-24.7</v>
      </c>
      <c r="AD151" s="191">
        <v>-48.5</v>
      </c>
      <c r="AE151" s="192">
        <f>22.6-73.8</f>
        <v>-51.199999999999996</v>
      </c>
      <c r="AF151" s="193">
        <v>-36.4</v>
      </c>
      <c r="AG151" s="191">
        <v>-45.7</v>
      </c>
      <c r="AH151" s="191">
        <v>-74.8</v>
      </c>
      <c r="AI151" s="192">
        <v>-84.6</v>
      </c>
      <c r="AJ151" s="193">
        <v>-37.200000000000003</v>
      </c>
      <c r="AK151" s="191">
        <f>667.5-50.1</f>
        <v>617.4</v>
      </c>
      <c r="AL151" s="191">
        <f>667.5-92.8</f>
        <v>574.70000000000005</v>
      </c>
      <c r="AM151" s="192">
        <f>667.5-106</f>
        <v>561.5</v>
      </c>
      <c r="AN151" s="193">
        <f>13.5-45.2</f>
        <v>-31.700000000000003</v>
      </c>
      <c r="AO151" s="191">
        <f>63.5-54.2</f>
        <v>9.2999999999999972</v>
      </c>
      <c r="AP151" s="191">
        <f>63.5-94.3</f>
        <v>-30.799999999999997</v>
      </c>
      <c r="AQ151" s="192">
        <f>63.5-106.9</f>
        <v>-43.400000000000006</v>
      </c>
      <c r="AR151" s="193">
        <v>-46.8</v>
      </c>
      <c r="AS151" s="191">
        <v>-63.6</v>
      </c>
      <c r="AT151" s="191">
        <f>221.4-183.1-3.2</f>
        <v>35.100000000000009</v>
      </c>
      <c r="AU151" s="192">
        <f>221.4-300-3.2</f>
        <v>-81.8</v>
      </c>
      <c r="AV151" s="193">
        <v>-49.5</v>
      </c>
      <c r="AW151" s="191">
        <v>-70.099999999999994</v>
      </c>
      <c r="AX151" s="191">
        <v>-384</v>
      </c>
      <c r="AY151" s="192">
        <v>-415</v>
      </c>
      <c r="AZ151" s="193">
        <v>-56</v>
      </c>
      <c r="BA151" s="191">
        <v>-104</v>
      </c>
      <c r="BB151" s="191">
        <f>1300-159</f>
        <v>1141</v>
      </c>
      <c r="BC151" s="192">
        <f>1300-193</f>
        <v>1107</v>
      </c>
      <c r="BD151" s="193">
        <v>-212</v>
      </c>
      <c r="BE151" s="191">
        <f>-327+240</f>
        <v>-87</v>
      </c>
      <c r="BF151" s="191">
        <f>507-653</f>
        <v>-146</v>
      </c>
      <c r="BG151" s="192">
        <f>837-698</f>
        <v>139</v>
      </c>
      <c r="BH151" s="193">
        <f>285-163</f>
        <v>122</v>
      </c>
      <c r="BI151" s="191">
        <f>-234+382</f>
        <v>148</v>
      </c>
      <c r="BJ151" s="191">
        <f>-373+716</f>
        <v>343</v>
      </c>
      <c r="BK151" s="192">
        <f>716-429</f>
        <v>287</v>
      </c>
      <c r="BL151" s="193">
        <f>-280+200</f>
        <v>-80</v>
      </c>
      <c r="BM151" s="191">
        <f>-370+200</f>
        <v>-170</v>
      </c>
      <c r="BN151" s="191">
        <f>-748+200</f>
        <v>-548</v>
      </c>
      <c r="BO151" s="192">
        <f>-840+200</f>
        <v>-640</v>
      </c>
      <c r="BP151" s="193">
        <v>-635</v>
      </c>
      <c r="BQ151" s="191">
        <v>-812</v>
      </c>
      <c r="BR151" s="191">
        <v>-1139</v>
      </c>
      <c r="BS151" s="192">
        <f>-1215+690</f>
        <v>-525</v>
      </c>
      <c r="BT151" s="193">
        <v>-48</v>
      </c>
      <c r="BU151" s="191">
        <v>-101</v>
      </c>
      <c r="BV151" s="191">
        <f>1065-152</f>
        <v>913</v>
      </c>
      <c r="BW151" s="192">
        <f>-203+1065</f>
        <v>862</v>
      </c>
      <c r="BX151" s="193">
        <v>-52</v>
      </c>
      <c r="BY151" s="191">
        <f>-587+812</f>
        <v>225</v>
      </c>
      <c r="BZ151" s="191">
        <f>812-664</f>
        <v>148</v>
      </c>
      <c r="CA151" s="192">
        <f>1121-743</f>
        <v>378</v>
      </c>
      <c r="CB151" s="193">
        <v>-737</v>
      </c>
      <c r="CC151" s="191">
        <f>-1987+1062</f>
        <v>-925</v>
      </c>
      <c r="CD151" s="191">
        <f>-3134+1062</f>
        <v>-2072</v>
      </c>
      <c r="CE151" s="192">
        <f>-3843+2212</f>
        <v>-1631</v>
      </c>
      <c r="CF151" s="193">
        <v>-786</v>
      </c>
      <c r="CG151" s="191">
        <f>-1149+1000</f>
        <v>-149</v>
      </c>
      <c r="CH151" s="191">
        <f>2172-2051</f>
        <v>121</v>
      </c>
      <c r="CI151" s="192">
        <f>-2329+2212</f>
        <v>-117</v>
      </c>
      <c r="CJ151" s="193">
        <f>-197+174</f>
        <v>-23</v>
      </c>
      <c r="CK151" s="191">
        <f>174-519</f>
        <v>-345</v>
      </c>
      <c r="CL151" s="191">
        <f>2166-689</f>
        <v>1477</v>
      </c>
      <c r="CM151" s="192">
        <f>-870+2199</f>
        <v>1329</v>
      </c>
      <c r="CN151" s="193">
        <f>-188+16</f>
        <v>-172</v>
      </c>
      <c r="CO151" s="191">
        <v>-556</v>
      </c>
      <c r="CP151" s="191">
        <v>-1774</v>
      </c>
      <c r="CQ151" s="192">
        <f>-2558+3311</f>
        <v>753</v>
      </c>
      <c r="CR151" s="193">
        <f>-2744+150</f>
        <v>-2594</v>
      </c>
      <c r="CS151" s="188">
        <f t="shared" si="1144"/>
        <v>-2436</v>
      </c>
      <c r="CT151" s="188">
        <f t="shared" si="1145"/>
        <v>-516.34453187132385</v>
      </c>
      <c r="CU151" s="189">
        <f t="shared" si="1146"/>
        <v>-502.01117475540923</v>
      </c>
      <c r="CV151" s="190">
        <f t="shared" si="1159"/>
        <v>14.565868737021447</v>
      </c>
      <c r="CW151" s="188">
        <f t="shared" si="1147"/>
        <v>29.368037806290886</v>
      </c>
      <c r="CX151" s="188">
        <f t="shared" si="1148"/>
        <v>44.410357930542887</v>
      </c>
      <c r="CY151" s="189">
        <f t="shared" si="1149"/>
        <v>59.696742863541658</v>
      </c>
      <c r="CZ151" s="190">
        <f t="shared" si="1160"/>
        <v>15.534427562797646</v>
      </c>
      <c r="DA151" s="188">
        <f t="shared" si="1150"/>
        <v>31.320940697118203</v>
      </c>
      <c r="DB151" s="188">
        <f t="shared" si="1151"/>
        <v>47.363648536105757</v>
      </c>
      <c r="DC151" s="189">
        <f t="shared" si="1152"/>
        <v>63.666727492791324</v>
      </c>
      <c r="DD151" s="153"/>
      <c r="DE151" s="188">
        <f t="shared" si="1178"/>
        <v>0</v>
      </c>
      <c r="DF151" s="188">
        <f t="shared" si="1178"/>
        <v>0</v>
      </c>
      <c r="DG151" s="188">
        <f t="shared" ref="DG151:DN151" si="1188">DG47</f>
        <v>396.69999999999993</v>
      </c>
      <c r="DH151" s="188">
        <f t="shared" si="1188"/>
        <v>-22.799999999999997</v>
      </c>
      <c r="DI151" s="188">
        <f t="shared" si="1188"/>
        <v>-83.8</v>
      </c>
      <c r="DJ151" s="188">
        <f t="shared" si="1188"/>
        <v>-175.1</v>
      </c>
      <c r="DK151" s="188">
        <f t="shared" si="1188"/>
        <v>-51.199999999999996</v>
      </c>
      <c r="DL151" s="188">
        <f t="shared" si="1188"/>
        <v>-84.6</v>
      </c>
      <c r="DM151" s="188">
        <f t="shared" si="1188"/>
        <v>561.5</v>
      </c>
      <c r="DN151" s="188">
        <f t="shared" si="1188"/>
        <v>-43.400000000000006</v>
      </c>
      <c r="DO151" s="188">
        <f t="shared" si="1180"/>
        <v>-81.799999999999983</v>
      </c>
      <c r="DP151" s="188">
        <f t="shared" si="1180"/>
        <v>-415</v>
      </c>
      <c r="DQ151" s="188">
        <f t="shared" si="1180"/>
        <v>1107</v>
      </c>
      <c r="DR151" s="188">
        <f t="shared" ref="DR151:EB151" si="1189">DR47</f>
        <v>139</v>
      </c>
      <c r="DS151" s="188">
        <f t="shared" si="1189"/>
        <v>287</v>
      </c>
      <c r="DT151" s="188">
        <f t="shared" si="1189"/>
        <v>-640</v>
      </c>
      <c r="DU151" s="188">
        <f t="shared" si="1189"/>
        <v>-525</v>
      </c>
      <c r="DV151" s="188">
        <f t="shared" si="1189"/>
        <v>862</v>
      </c>
      <c r="DW151" s="188">
        <f t="shared" si="1189"/>
        <v>378</v>
      </c>
      <c r="DX151" s="188">
        <f t="shared" si="1189"/>
        <v>-1631</v>
      </c>
      <c r="DY151" s="188">
        <f t="shared" si="1189"/>
        <v>-117</v>
      </c>
      <c r="DZ151" s="188">
        <f t="shared" si="1189"/>
        <v>1329</v>
      </c>
      <c r="EA151" s="188">
        <f t="shared" si="1189"/>
        <v>753</v>
      </c>
      <c r="EB151" s="188">
        <f t="shared" si="1189"/>
        <v>-502.01117475540923</v>
      </c>
      <c r="EC151" s="188">
        <f t="shared" ref="EC151:ED151" si="1190">EC47</f>
        <v>59.696742863541658</v>
      </c>
      <c r="ED151" s="188">
        <f t="shared" si="1190"/>
        <v>63.666727492791324</v>
      </c>
      <c r="EE151" s="18"/>
      <c r="EF151" s="337"/>
      <c r="EG151" s="338"/>
      <c r="EH151" s="338">
        <f t="shared" ref="EH151:EO151" si="1191">EH47</f>
        <v>429.09999999999991</v>
      </c>
      <c r="EI151" s="338">
        <f t="shared" si="1191"/>
        <v>21.200000000000006</v>
      </c>
      <c r="EJ151" s="338">
        <f t="shared" si="1191"/>
        <v>-123.8</v>
      </c>
      <c r="EK151" s="338">
        <f t="shared" si="1191"/>
        <v>-153</v>
      </c>
      <c r="EL151" s="338">
        <f t="shared" si="1191"/>
        <v>-75.399999999999991</v>
      </c>
      <c r="EM151" s="338">
        <f t="shared" si="1191"/>
        <v>-85.4</v>
      </c>
      <c r="EN151" s="338">
        <f t="shared" si="1191"/>
        <v>567</v>
      </c>
      <c r="EO151" s="338">
        <f t="shared" si="1191"/>
        <v>-58.5</v>
      </c>
      <c r="EP151" s="338">
        <f t="shared" ref="EP151:EX151" si="1192">EP47</f>
        <v>-84.499999999999986</v>
      </c>
      <c r="EQ151" s="338">
        <f t="shared" si="1192"/>
        <v>-421.5</v>
      </c>
      <c r="ER151" s="338">
        <f t="shared" si="1192"/>
        <v>951</v>
      </c>
      <c r="ES151" s="338">
        <f t="shared" si="1192"/>
        <v>473</v>
      </c>
      <c r="ET151" s="338">
        <f t="shared" si="1192"/>
        <v>85</v>
      </c>
      <c r="EU151" s="338">
        <f t="shared" si="1192"/>
        <v>-1195</v>
      </c>
      <c r="EV151" s="338">
        <f t="shared" si="1192"/>
        <v>62</v>
      </c>
      <c r="EW151" s="338">
        <f t="shared" si="1192"/>
        <v>858</v>
      </c>
      <c r="EX151" s="338">
        <f t="shared" si="1192"/>
        <v>-307</v>
      </c>
      <c r="EY151" s="338">
        <f t="shared" si="1185"/>
        <v>-1680</v>
      </c>
      <c r="EZ151" s="338">
        <f t="shared" si="1185"/>
        <v>646</v>
      </c>
      <c r="FA151" s="338">
        <f t="shared" ref="FA151:FC151" si="1193">FA47</f>
        <v>1180</v>
      </c>
      <c r="FB151" s="338">
        <f t="shared" si="1193"/>
        <v>-1669</v>
      </c>
      <c r="FC151" s="338">
        <f t="shared" si="1193"/>
        <v>2106.5546939816122</v>
      </c>
      <c r="FD151" s="339">
        <f t="shared" ref="FD151" si="1194">FD47</f>
        <v>60.665301689317857</v>
      </c>
    </row>
    <row r="152" spans="1:170" ht="14.25" customHeight="1">
      <c r="A152" s="7"/>
      <c r="B152" s="24" t="s">
        <v>375</v>
      </c>
      <c r="C152" s="25"/>
      <c r="D152" s="193">
        <v>0</v>
      </c>
      <c r="E152" s="191">
        <v>0</v>
      </c>
      <c r="F152" s="191">
        <v>0</v>
      </c>
      <c r="G152" s="192">
        <v>0</v>
      </c>
      <c r="H152" s="193">
        <v>0</v>
      </c>
      <c r="I152" s="191">
        <v>0</v>
      </c>
      <c r="J152" s="191">
        <v>0</v>
      </c>
      <c r="K152" s="192">
        <v>0</v>
      </c>
      <c r="L152" s="193">
        <v>0</v>
      </c>
      <c r="M152" s="191">
        <v>0</v>
      </c>
      <c r="N152" s="191">
        <v>0</v>
      </c>
      <c r="O152" s="192">
        <v>0</v>
      </c>
      <c r="P152" s="193">
        <v>0</v>
      </c>
      <c r="Q152" s="191">
        <v>0</v>
      </c>
      <c r="R152" s="191">
        <v>0</v>
      </c>
      <c r="S152" s="192">
        <v>0</v>
      </c>
      <c r="T152" s="193">
        <v>0</v>
      </c>
      <c r="U152" s="191">
        <v>0</v>
      </c>
      <c r="V152" s="191">
        <v>0</v>
      </c>
      <c r="W152" s="192">
        <v>0</v>
      </c>
      <c r="X152" s="193">
        <v>0</v>
      </c>
      <c r="Y152" s="191">
        <v>0</v>
      </c>
      <c r="Z152" s="191">
        <v>0</v>
      </c>
      <c r="AA152" s="192">
        <v>0</v>
      </c>
      <c r="AB152" s="193">
        <v>0</v>
      </c>
      <c r="AC152" s="191">
        <v>0</v>
      </c>
      <c r="AD152" s="191">
        <v>0</v>
      </c>
      <c r="AE152" s="192">
        <v>0</v>
      </c>
      <c r="AF152" s="193">
        <v>0</v>
      </c>
      <c r="AG152" s="191">
        <v>0</v>
      </c>
      <c r="AH152" s="191">
        <v>0</v>
      </c>
      <c r="AI152" s="192">
        <v>0</v>
      </c>
      <c r="AJ152" s="193">
        <v>0</v>
      </c>
      <c r="AK152" s="191">
        <v>0</v>
      </c>
      <c r="AL152" s="191">
        <v>0</v>
      </c>
      <c r="AM152" s="192">
        <v>0</v>
      </c>
      <c r="AN152" s="193">
        <v>0</v>
      </c>
      <c r="AO152" s="191">
        <v>0</v>
      </c>
      <c r="AP152" s="191">
        <v>0</v>
      </c>
      <c r="AQ152" s="192">
        <v>0</v>
      </c>
      <c r="AR152" s="193">
        <v>0</v>
      </c>
      <c r="AS152" s="191">
        <v>0</v>
      </c>
      <c r="AT152" s="191">
        <v>0</v>
      </c>
      <c r="AU152" s="192">
        <v>0</v>
      </c>
      <c r="AV152" s="193">
        <v>0</v>
      </c>
      <c r="AW152" s="191">
        <v>0</v>
      </c>
      <c r="AX152" s="191">
        <v>0</v>
      </c>
      <c r="AY152" s="192">
        <v>0</v>
      </c>
      <c r="AZ152" s="193">
        <v>0</v>
      </c>
      <c r="BA152" s="191">
        <v>0</v>
      </c>
      <c r="BB152" s="191">
        <v>0</v>
      </c>
      <c r="BC152" s="192">
        <v>0</v>
      </c>
      <c r="BD152" s="193">
        <v>0</v>
      </c>
      <c r="BE152" s="191">
        <v>0</v>
      </c>
      <c r="BF152" s="191">
        <v>0</v>
      </c>
      <c r="BG152" s="192">
        <v>0</v>
      </c>
      <c r="BH152" s="193">
        <v>0</v>
      </c>
      <c r="BI152" s="191">
        <v>0</v>
      </c>
      <c r="BJ152" s="191">
        <v>0</v>
      </c>
      <c r="BK152" s="192">
        <v>0</v>
      </c>
      <c r="BL152" s="193">
        <v>0</v>
      </c>
      <c r="BM152" s="191">
        <v>0</v>
      </c>
      <c r="BN152" s="191">
        <v>0</v>
      </c>
      <c r="BO152" s="192">
        <v>0</v>
      </c>
      <c r="BP152" s="193">
        <v>0</v>
      </c>
      <c r="BQ152" s="191">
        <v>0</v>
      </c>
      <c r="BR152" s="191">
        <v>0</v>
      </c>
      <c r="BS152" s="192">
        <v>0</v>
      </c>
      <c r="BT152" s="193">
        <v>0</v>
      </c>
      <c r="BU152" s="191">
        <v>0</v>
      </c>
      <c r="BV152" s="191">
        <v>0</v>
      </c>
      <c r="BW152" s="192">
        <v>0</v>
      </c>
      <c r="BX152" s="193">
        <v>0</v>
      </c>
      <c r="BY152" s="191">
        <v>0</v>
      </c>
      <c r="BZ152" s="191">
        <v>0</v>
      </c>
      <c r="CA152" s="192">
        <v>0</v>
      </c>
      <c r="CB152" s="193">
        <v>0</v>
      </c>
      <c r="CC152" s="191">
        <v>0</v>
      </c>
      <c r="CD152" s="191">
        <v>0</v>
      </c>
      <c r="CE152" s="192">
        <v>0</v>
      </c>
      <c r="CF152" s="193">
        <v>0</v>
      </c>
      <c r="CG152" s="191">
        <v>0</v>
      </c>
      <c r="CH152" s="191">
        <v>0</v>
      </c>
      <c r="CI152" s="192">
        <v>0</v>
      </c>
      <c r="CJ152" s="193">
        <v>0</v>
      </c>
      <c r="CK152" s="191">
        <v>0</v>
      </c>
      <c r="CL152" s="191">
        <v>0</v>
      </c>
      <c r="CM152" s="192">
        <v>0</v>
      </c>
      <c r="CN152" s="193">
        <v>0</v>
      </c>
      <c r="CO152" s="191">
        <v>0</v>
      </c>
      <c r="CP152" s="191">
        <v>0</v>
      </c>
      <c r="CQ152" s="192">
        <v>0</v>
      </c>
      <c r="CR152" s="193">
        <v>0</v>
      </c>
      <c r="CS152" s="188">
        <f t="shared" si="1144"/>
        <v>0</v>
      </c>
      <c r="CT152" s="188">
        <f t="shared" si="1145"/>
        <v>0</v>
      </c>
      <c r="CU152" s="189">
        <f t="shared" si="1146"/>
        <v>0</v>
      </c>
      <c r="CV152" s="193">
        <f t="shared" si="1159"/>
        <v>0</v>
      </c>
      <c r="CW152" s="191">
        <f t="shared" si="1147"/>
        <v>0</v>
      </c>
      <c r="CX152" s="191">
        <f t="shared" si="1148"/>
        <v>0</v>
      </c>
      <c r="CY152" s="189">
        <f t="shared" si="1149"/>
        <v>0</v>
      </c>
      <c r="CZ152" s="193">
        <f t="shared" si="1160"/>
        <v>0</v>
      </c>
      <c r="DA152" s="191">
        <f t="shared" si="1150"/>
        <v>0</v>
      </c>
      <c r="DB152" s="191">
        <f t="shared" si="1151"/>
        <v>0</v>
      </c>
      <c r="DC152" s="189">
        <f t="shared" si="1152"/>
        <v>0</v>
      </c>
      <c r="DD152" s="153"/>
      <c r="DE152" s="188">
        <f t="shared" si="1178"/>
        <v>0</v>
      </c>
      <c r="DF152" s="188">
        <f t="shared" si="1178"/>
        <v>0</v>
      </c>
      <c r="DG152" s="188">
        <f t="shared" ref="DG152:DN152" si="1195">DG48</f>
        <v>0</v>
      </c>
      <c r="DH152" s="188">
        <f t="shared" si="1195"/>
        <v>0</v>
      </c>
      <c r="DI152" s="188">
        <f t="shared" si="1195"/>
        <v>0</v>
      </c>
      <c r="DJ152" s="188">
        <f t="shared" si="1195"/>
        <v>0</v>
      </c>
      <c r="DK152" s="188">
        <f t="shared" si="1195"/>
        <v>0</v>
      </c>
      <c r="DL152" s="188">
        <f t="shared" si="1195"/>
        <v>0</v>
      </c>
      <c r="DM152" s="188">
        <f t="shared" si="1195"/>
        <v>0</v>
      </c>
      <c r="DN152" s="188">
        <f t="shared" si="1195"/>
        <v>0</v>
      </c>
      <c r="DO152" s="188">
        <f t="shared" si="1180"/>
        <v>0</v>
      </c>
      <c r="DP152" s="188">
        <f t="shared" si="1180"/>
        <v>0</v>
      </c>
      <c r="DQ152" s="188">
        <f t="shared" si="1180"/>
        <v>0</v>
      </c>
      <c r="DR152" s="188">
        <f t="shared" ref="DR152:EB152" si="1196">DR48</f>
        <v>0</v>
      </c>
      <c r="DS152" s="188">
        <f t="shared" si="1196"/>
        <v>0</v>
      </c>
      <c r="DT152" s="188">
        <f t="shared" si="1196"/>
        <v>0</v>
      </c>
      <c r="DU152" s="188">
        <f t="shared" si="1196"/>
        <v>0</v>
      </c>
      <c r="DV152" s="188">
        <f t="shared" si="1196"/>
        <v>0</v>
      </c>
      <c r="DW152" s="188">
        <f t="shared" si="1196"/>
        <v>0</v>
      </c>
      <c r="DX152" s="188">
        <f t="shared" si="1196"/>
        <v>0</v>
      </c>
      <c r="DY152" s="188">
        <f t="shared" si="1196"/>
        <v>0</v>
      </c>
      <c r="DZ152" s="188">
        <f t="shared" si="1196"/>
        <v>0</v>
      </c>
      <c r="EA152" s="188">
        <f t="shared" si="1196"/>
        <v>0</v>
      </c>
      <c r="EB152" s="188">
        <f t="shared" si="1196"/>
        <v>0</v>
      </c>
      <c r="EC152" s="188">
        <f t="shared" ref="EC152:ED152" si="1197">EC48</f>
        <v>0</v>
      </c>
      <c r="ED152" s="188">
        <f t="shared" si="1197"/>
        <v>0</v>
      </c>
      <c r="EE152" s="18"/>
      <c r="EF152" s="337"/>
      <c r="EG152" s="338"/>
      <c r="EH152" s="338">
        <f t="shared" ref="EH152:EO152" si="1198">EH48</f>
        <v>0</v>
      </c>
      <c r="EI152" s="338">
        <f t="shared" si="1198"/>
        <v>0</v>
      </c>
      <c r="EJ152" s="338">
        <f t="shared" si="1198"/>
        <v>0</v>
      </c>
      <c r="EK152" s="338">
        <f t="shared" si="1198"/>
        <v>0</v>
      </c>
      <c r="EL152" s="338">
        <f t="shared" si="1198"/>
        <v>0</v>
      </c>
      <c r="EM152" s="338">
        <f t="shared" si="1198"/>
        <v>0</v>
      </c>
      <c r="EN152" s="338">
        <f t="shared" si="1198"/>
        <v>0</v>
      </c>
      <c r="EO152" s="338">
        <f t="shared" si="1198"/>
        <v>0</v>
      </c>
      <c r="EP152" s="338">
        <f t="shared" ref="EP152:EX152" si="1199">EP48</f>
        <v>0</v>
      </c>
      <c r="EQ152" s="338">
        <f t="shared" si="1199"/>
        <v>0</v>
      </c>
      <c r="ER152" s="338">
        <f t="shared" si="1199"/>
        <v>0</v>
      </c>
      <c r="ES152" s="338">
        <f t="shared" si="1199"/>
        <v>0</v>
      </c>
      <c r="ET152" s="338">
        <f t="shared" si="1199"/>
        <v>0</v>
      </c>
      <c r="EU152" s="338">
        <f t="shared" si="1199"/>
        <v>0</v>
      </c>
      <c r="EV152" s="338">
        <f t="shared" si="1199"/>
        <v>0</v>
      </c>
      <c r="EW152" s="338">
        <f t="shared" si="1199"/>
        <v>0</v>
      </c>
      <c r="EX152" s="338">
        <f t="shared" si="1199"/>
        <v>0</v>
      </c>
      <c r="EY152" s="338">
        <f t="shared" si="1185"/>
        <v>0</v>
      </c>
      <c r="EZ152" s="338">
        <f t="shared" si="1185"/>
        <v>0</v>
      </c>
      <c r="FA152" s="338">
        <f t="shared" ref="FA152:FC152" si="1200">FA48</f>
        <v>0</v>
      </c>
      <c r="FB152" s="338">
        <f t="shared" si="1200"/>
        <v>0</v>
      </c>
      <c r="FC152" s="338">
        <f t="shared" si="1200"/>
        <v>0</v>
      </c>
      <c r="FD152" s="339">
        <f t="shared" ref="FD152" si="1201">FD48</f>
        <v>0</v>
      </c>
    </row>
    <row r="153" spans="1:170" ht="14.25" customHeight="1">
      <c r="A153" s="7"/>
      <c r="B153" s="24" t="s">
        <v>391</v>
      </c>
      <c r="C153" s="25"/>
      <c r="D153" s="193">
        <v>0</v>
      </c>
      <c r="E153" s="191">
        <v>0</v>
      </c>
      <c r="F153" s="191">
        <v>0</v>
      </c>
      <c r="G153" s="192">
        <v>0</v>
      </c>
      <c r="H153" s="193">
        <v>0</v>
      </c>
      <c r="I153" s="191">
        <v>0</v>
      </c>
      <c r="J153" s="191">
        <v>0</v>
      </c>
      <c r="K153" s="192">
        <v>0</v>
      </c>
      <c r="L153" s="193">
        <v>4.2</v>
      </c>
      <c r="M153" s="191">
        <f>16.2+49</f>
        <v>65.2</v>
      </c>
      <c r="N153" s="191">
        <f>19.4+53.6</f>
        <v>73</v>
      </c>
      <c r="O153" s="192">
        <f>34.8+55.4</f>
        <v>90.199999999999989</v>
      </c>
      <c r="P153" s="193">
        <v>0.1</v>
      </c>
      <c r="Q153" s="191">
        <v>9.9</v>
      </c>
      <c r="R153" s="191">
        <v>15.2</v>
      </c>
      <c r="S153" s="192">
        <f>20.6+3.4</f>
        <v>24</v>
      </c>
      <c r="T153" s="193">
        <f>19.1+500</f>
        <v>519.1</v>
      </c>
      <c r="U153" s="191">
        <v>576.70000000000005</v>
      </c>
      <c r="V153" s="191">
        <v>583.70000000000005</v>
      </c>
      <c r="W153" s="192">
        <f>617.2+4.7</f>
        <v>621.90000000000009</v>
      </c>
      <c r="X153" s="193">
        <v>51.9</v>
      </c>
      <c r="Y153" s="191">
        <v>138.4</v>
      </c>
      <c r="Z153" s="191">
        <v>202.8</v>
      </c>
      <c r="AA153" s="192">
        <v>244</v>
      </c>
      <c r="AB153" s="193">
        <v>19.5</v>
      </c>
      <c r="AC153" s="191">
        <v>60</v>
      </c>
      <c r="AD153" s="191">
        <v>91.5</v>
      </c>
      <c r="AE153" s="192">
        <v>118.2</v>
      </c>
      <c r="AF153" s="193">
        <v>23.3</v>
      </c>
      <c r="AG153" s="191">
        <v>43.4</v>
      </c>
      <c r="AH153" s="191">
        <v>59.6</v>
      </c>
      <c r="AI153" s="192">
        <v>71.8</v>
      </c>
      <c r="AJ153" s="193">
        <v>28.7</v>
      </c>
      <c r="AK153" s="191">
        <v>37.6</v>
      </c>
      <c r="AL153" s="191">
        <v>45</v>
      </c>
      <c r="AM153" s="192">
        <v>53.5</v>
      </c>
      <c r="AN153" s="193">
        <f>450+7.9-67.5</f>
        <v>390.4</v>
      </c>
      <c r="AO153" s="191">
        <f>12.4+450-67.5</f>
        <v>394.9</v>
      </c>
      <c r="AP153" s="191">
        <f>450+25.6-67.5</f>
        <v>408.1</v>
      </c>
      <c r="AQ153" s="192">
        <f>450+37-67.5</f>
        <v>419.5</v>
      </c>
      <c r="AR153" s="193">
        <v>9.3000000000000007</v>
      </c>
      <c r="AS153" s="191">
        <v>20.5</v>
      </c>
      <c r="AT153" s="191">
        <v>29.8</v>
      </c>
      <c r="AU153" s="192">
        <v>40.9</v>
      </c>
      <c r="AV153" s="193">
        <v>10.9</v>
      </c>
      <c r="AW153" s="191">
        <v>47</v>
      </c>
      <c r="AX153" s="191">
        <v>83.4</v>
      </c>
      <c r="AY153" s="192">
        <v>113</v>
      </c>
      <c r="AZ153" s="193">
        <v>41</v>
      </c>
      <c r="BA153" s="191">
        <v>50</v>
      </c>
      <c r="BB153" s="191">
        <v>55</v>
      </c>
      <c r="BC153" s="192">
        <v>69</v>
      </c>
      <c r="BD153" s="193">
        <v>2</v>
      </c>
      <c r="BE153" s="191">
        <v>3</v>
      </c>
      <c r="BF153" s="191">
        <v>4</v>
      </c>
      <c r="BG153" s="192">
        <v>4</v>
      </c>
      <c r="BH153" s="193">
        <v>0</v>
      </c>
      <c r="BI153" s="191">
        <v>0</v>
      </c>
      <c r="BJ153" s="191">
        <v>276</v>
      </c>
      <c r="BK153" s="192">
        <v>276</v>
      </c>
      <c r="BL153" s="193">
        <v>0</v>
      </c>
      <c r="BM153" s="191">
        <v>0</v>
      </c>
      <c r="BN153" s="191">
        <v>0</v>
      </c>
      <c r="BO153" s="192">
        <v>0</v>
      </c>
      <c r="BP153" s="193">
        <v>0</v>
      </c>
      <c r="BQ153" s="191">
        <v>0</v>
      </c>
      <c r="BR153" s="191">
        <v>0</v>
      </c>
      <c r="BS153" s="192">
        <v>0</v>
      </c>
      <c r="BT153" s="193">
        <v>0</v>
      </c>
      <c r="BU153" s="191">
        <v>0</v>
      </c>
      <c r="BV153" s="191">
        <v>0</v>
      </c>
      <c r="BW153" s="192">
        <v>0</v>
      </c>
      <c r="BX153" s="193">
        <v>0</v>
      </c>
      <c r="BY153" s="191">
        <v>0</v>
      </c>
      <c r="BZ153" s="191">
        <v>0</v>
      </c>
      <c r="CA153" s="192">
        <v>0</v>
      </c>
      <c r="CB153" s="193">
        <v>-42</v>
      </c>
      <c r="CC153" s="191">
        <v>-73</v>
      </c>
      <c r="CD153" s="191">
        <f>-75+247</f>
        <v>172</v>
      </c>
      <c r="CE153" s="192">
        <f>-76+265</f>
        <v>189</v>
      </c>
      <c r="CF153" s="193">
        <f>-26+18</f>
        <v>-8</v>
      </c>
      <c r="CG153" s="191">
        <v>-244</v>
      </c>
      <c r="CH153" s="191">
        <v>-245</v>
      </c>
      <c r="CI153" s="192">
        <v>-884</v>
      </c>
      <c r="CJ153" s="193">
        <v>-135</v>
      </c>
      <c r="CK153" s="191">
        <v>-147</v>
      </c>
      <c r="CL153" s="191">
        <v>-147</v>
      </c>
      <c r="CM153" s="192">
        <v>-148</v>
      </c>
      <c r="CN153" s="193">
        <v>-13</v>
      </c>
      <c r="CO153" s="191">
        <v>0</v>
      </c>
      <c r="CP153" s="191">
        <v>0</v>
      </c>
      <c r="CQ153" s="192">
        <v>-35</v>
      </c>
      <c r="CR153" s="193">
        <v>0</v>
      </c>
      <c r="CS153" s="188">
        <f t="shared" si="1144"/>
        <v>0</v>
      </c>
      <c r="CT153" s="188">
        <f t="shared" si="1145"/>
        <v>0</v>
      </c>
      <c r="CU153" s="189">
        <f t="shared" si="1146"/>
        <v>0</v>
      </c>
      <c r="CV153" s="193">
        <f t="shared" si="1159"/>
        <v>0</v>
      </c>
      <c r="CW153" s="191">
        <f t="shared" si="1147"/>
        <v>0</v>
      </c>
      <c r="CX153" s="191">
        <f t="shared" si="1148"/>
        <v>0</v>
      </c>
      <c r="CY153" s="189">
        <f t="shared" si="1149"/>
        <v>0</v>
      </c>
      <c r="CZ153" s="193">
        <f t="shared" si="1160"/>
        <v>0</v>
      </c>
      <c r="DA153" s="191">
        <f t="shared" si="1150"/>
        <v>0</v>
      </c>
      <c r="DB153" s="191">
        <f t="shared" si="1151"/>
        <v>0</v>
      </c>
      <c r="DC153" s="189">
        <f t="shared" si="1152"/>
        <v>0</v>
      </c>
      <c r="DD153" s="153"/>
      <c r="DE153" s="188">
        <f t="shared" si="1178"/>
        <v>0</v>
      </c>
      <c r="DF153" s="188">
        <f t="shared" si="1178"/>
        <v>0</v>
      </c>
      <c r="DG153" s="188">
        <f t="shared" ref="DG153:DN153" si="1202">DG49</f>
        <v>90.199999999999989</v>
      </c>
      <c r="DH153" s="188">
        <f t="shared" si="1202"/>
        <v>24</v>
      </c>
      <c r="DI153" s="188">
        <f t="shared" si="1202"/>
        <v>621.90000000000009</v>
      </c>
      <c r="DJ153" s="188">
        <f t="shared" si="1202"/>
        <v>244</v>
      </c>
      <c r="DK153" s="188">
        <f t="shared" si="1202"/>
        <v>118.2</v>
      </c>
      <c r="DL153" s="188">
        <f t="shared" si="1202"/>
        <v>71.8</v>
      </c>
      <c r="DM153" s="188">
        <f t="shared" si="1202"/>
        <v>53.5</v>
      </c>
      <c r="DN153" s="188">
        <f t="shared" si="1202"/>
        <v>419.5</v>
      </c>
      <c r="DO153" s="188">
        <f t="shared" si="1180"/>
        <v>40.9</v>
      </c>
      <c r="DP153" s="188">
        <f t="shared" si="1180"/>
        <v>113</v>
      </c>
      <c r="DQ153" s="188">
        <f t="shared" si="1180"/>
        <v>69</v>
      </c>
      <c r="DR153" s="188">
        <f t="shared" ref="DR153:EB153" si="1203">DR49</f>
        <v>4</v>
      </c>
      <c r="DS153" s="188">
        <f t="shared" si="1203"/>
        <v>276</v>
      </c>
      <c r="DT153" s="188">
        <f t="shared" si="1203"/>
        <v>0</v>
      </c>
      <c r="DU153" s="188">
        <f t="shared" si="1203"/>
        <v>0</v>
      </c>
      <c r="DV153" s="188">
        <f t="shared" si="1203"/>
        <v>0</v>
      </c>
      <c r="DW153" s="188">
        <f t="shared" si="1203"/>
        <v>0</v>
      </c>
      <c r="DX153" s="188">
        <f t="shared" si="1203"/>
        <v>189</v>
      </c>
      <c r="DY153" s="188">
        <f t="shared" si="1203"/>
        <v>-884</v>
      </c>
      <c r="DZ153" s="188">
        <f t="shared" si="1203"/>
        <v>-148</v>
      </c>
      <c r="EA153" s="188">
        <f t="shared" si="1203"/>
        <v>-35</v>
      </c>
      <c r="EB153" s="188">
        <f t="shared" si="1203"/>
        <v>0</v>
      </c>
      <c r="EC153" s="188">
        <f t="shared" ref="EC153:ED153" si="1204">EC49</f>
        <v>0</v>
      </c>
      <c r="ED153" s="188">
        <f t="shared" si="1204"/>
        <v>0</v>
      </c>
      <c r="EE153" s="18"/>
      <c r="EF153" s="337"/>
      <c r="EG153" s="338"/>
      <c r="EH153" s="338">
        <f t="shared" ref="EH153:EO153" si="1205">EH49</f>
        <v>86.09999999999998</v>
      </c>
      <c r="EI153" s="338">
        <f t="shared" si="1205"/>
        <v>543</v>
      </c>
      <c r="EJ153" s="338">
        <f t="shared" si="1205"/>
        <v>154.70000000000007</v>
      </c>
      <c r="EK153" s="338">
        <f t="shared" si="1205"/>
        <v>211.6</v>
      </c>
      <c r="EL153" s="338">
        <f t="shared" si="1205"/>
        <v>122</v>
      </c>
      <c r="EM153" s="338">
        <f t="shared" si="1205"/>
        <v>77.2</v>
      </c>
      <c r="EN153" s="338">
        <f t="shared" si="1205"/>
        <v>415.2</v>
      </c>
      <c r="EO153" s="338">
        <f t="shared" si="1205"/>
        <v>38.40000000000002</v>
      </c>
      <c r="EP153" s="338">
        <f t="shared" ref="EP153:EX153" si="1206">EP49</f>
        <v>42.5</v>
      </c>
      <c r="EQ153" s="338">
        <f t="shared" si="1206"/>
        <v>143.1</v>
      </c>
      <c r="ER153" s="338">
        <f t="shared" si="1206"/>
        <v>30</v>
      </c>
      <c r="ES153" s="338">
        <f t="shared" si="1206"/>
        <v>2</v>
      </c>
      <c r="ET153" s="338">
        <f t="shared" si="1206"/>
        <v>276</v>
      </c>
      <c r="EU153" s="338">
        <f t="shared" si="1206"/>
        <v>0</v>
      </c>
      <c r="EV153" s="338">
        <f t="shared" si="1206"/>
        <v>0</v>
      </c>
      <c r="EW153" s="338">
        <f t="shared" si="1206"/>
        <v>0</v>
      </c>
      <c r="EX153" s="338">
        <f t="shared" si="1206"/>
        <v>-42</v>
      </c>
      <c r="EY153" s="338">
        <f t="shared" si="1185"/>
        <v>223</v>
      </c>
      <c r="EZ153" s="338">
        <f t="shared" si="1185"/>
        <v>-1011</v>
      </c>
      <c r="FA153" s="338">
        <f t="shared" ref="FA153:FC153" si="1207">FA49</f>
        <v>-26</v>
      </c>
      <c r="FB153" s="338">
        <f t="shared" si="1207"/>
        <v>-22</v>
      </c>
      <c r="FC153" s="338">
        <f t="shared" si="1207"/>
        <v>0</v>
      </c>
      <c r="FD153" s="339">
        <f t="shared" ref="FD153" si="1208">FD49</f>
        <v>0</v>
      </c>
    </row>
    <row r="154" spans="1:170" ht="14.25" customHeight="1">
      <c r="A154" s="10"/>
      <c r="B154" s="24" t="s">
        <v>369</v>
      </c>
      <c r="C154" s="25"/>
      <c r="D154" s="193">
        <v>0</v>
      </c>
      <c r="E154" s="191">
        <v>0</v>
      </c>
      <c r="F154" s="191">
        <v>0</v>
      </c>
      <c r="G154" s="192">
        <v>0</v>
      </c>
      <c r="H154" s="193">
        <v>0</v>
      </c>
      <c r="I154" s="191">
        <v>0</v>
      </c>
      <c r="J154" s="191">
        <v>0</v>
      </c>
      <c r="K154" s="192">
        <v>0</v>
      </c>
      <c r="L154" s="193">
        <v>-0.8</v>
      </c>
      <c r="M154" s="191">
        <v>-0.6</v>
      </c>
      <c r="N154" s="191">
        <v>-1.6</v>
      </c>
      <c r="O154" s="192">
        <v>-14.3</v>
      </c>
      <c r="P154" s="193">
        <v>2.7</v>
      </c>
      <c r="Q154" s="191">
        <v>3.1</v>
      </c>
      <c r="R154" s="191">
        <v>1.1000000000000001</v>
      </c>
      <c r="S154" s="192">
        <v>0.3</v>
      </c>
      <c r="T154" s="193">
        <f>2.3+681.1</f>
        <v>683.4</v>
      </c>
      <c r="U154" s="191">
        <f>3.5+681.1</f>
        <v>684.6</v>
      </c>
      <c r="V154" s="191">
        <f>3.5+681.1</f>
        <v>684.6</v>
      </c>
      <c r="W154" s="192">
        <f>-0.4+681.1</f>
        <v>680.7</v>
      </c>
      <c r="X154" s="193">
        <v>0.3</v>
      </c>
      <c r="Y154" s="191">
        <v>0.5</v>
      </c>
      <c r="Z154" s="191">
        <v>3.4</v>
      </c>
      <c r="AA154" s="192">
        <v>3.8</v>
      </c>
      <c r="AB154" s="193">
        <v>0.2</v>
      </c>
      <c r="AC154" s="191">
        <v>0.9</v>
      </c>
      <c r="AD154" s="191">
        <v>1</v>
      </c>
      <c r="AE154" s="192">
        <f>480.2+0.9</f>
        <v>481.09999999999997</v>
      </c>
      <c r="AF154" s="193">
        <v>0</v>
      </c>
      <c r="AG154" s="191">
        <v>0</v>
      </c>
      <c r="AH154" s="191">
        <v>0</v>
      </c>
      <c r="AI154" s="192">
        <v>0</v>
      </c>
      <c r="AJ154" s="193">
        <f>25-0.4</f>
        <v>24.6</v>
      </c>
      <c r="AK154" s="191">
        <f>60.6-109.1-17.1+0.1</f>
        <v>-65.5</v>
      </c>
      <c r="AL154" s="191">
        <f>60.6-109.1-17.3</f>
        <v>-65.8</v>
      </c>
      <c r="AM154" s="192">
        <f>60.6-109.1-17.3</f>
        <v>-65.8</v>
      </c>
      <c r="AN154" s="193">
        <v>-0.1</v>
      </c>
      <c r="AO154" s="191">
        <f>10.6-0.1+0.1</f>
        <v>10.6</v>
      </c>
      <c r="AP154" s="191">
        <f>37.6-0.3</f>
        <v>37.300000000000004</v>
      </c>
      <c r="AQ154" s="192">
        <f>37.6-0.3</f>
        <v>37.300000000000004</v>
      </c>
      <c r="AR154" s="193">
        <f>24.9-0.2</f>
        <v>24.7</v>
      </c>
      <c r="AS154" s="191">
        <f>161.3-1</f>
        <v>160.30000000000001</v>
      </c>
      <c r="AT154" s="191">
        <v>161.30000000000001</v>
      </c>
      <c r="AU154" s="192">
        <f>161.3+0.1</f>
        <v>161.4</v>
      </c>
      <c r="AV154" s="193">
        <v>0</v>
      </c>
      <c r="AW154" s="191">
        <f>500.2+0.1</f>
        <v>500.3</v>
      </c>
      <c r="AX154" s="191">
        <f>500.2+171.1+48+0.1</f>
        <v>719.4</v>
      </c>
      <c r="AY154" s="192">
        <f>936+48+171</f>
        <v>1155</v>
      </c>
      <c r="AZ154" s="193">
        <f>388-1</f>
        <v>387</v>
      </c>
      <c r="BA154" s="191">
        <f>309+647-1</f>
        <v>955</v>
      </c>
      <c r="BB154" s="191">
        <f>358-151-27+966+7</f>
        <v>1153</v>
      </c>
      <c r="BC154" s="192">
        <f>454-151-26+1249</f>
        <v>1526</v>
      </c>
      <c r="BD154" s="193">
        <v>150</v>
      </c>
      <c r="BE154" s="191">
        <f>48+1+192</f>
        <v>241</v>
      </c>
      <c r="BF154" s="191">
        <f>92-9+295-92</f>
        <v>286</v>
      </c>
      <c r="BG154" s="192">
        <f>111+400-132-10</f>
        <v>369</v>
      </c>
      <c r="BH154" s="193">
        <f>-150+4</f>
        <v>-146</v>
      </c>
      <c r="BI154" s="191">
        <f>-468+24+3</f>
        <v>-441</v>
      </c>
      <c r="BJ154" s="191">
        <f>-25-592+24+4-8</f>
        <v>-597</v>
      </c>
      <c r="BK154" s="192">
        <f>4-25+24-705-7</f>
        <v>-709</v>
      </c>
      <c r="BL154" s="193">
        <v>-4</v>
      </c>
      <c r="BM154" s="191">
        <v>-4</v>
      </c>
      <c r="BN154" s="191">
        <v>-5</v>
      </c>
      <c r="BO154" s="192">
        <f>8-8</f>
        <v>0</v>
      </c>
      <c r="BP154" s="193">
        <v>-9</v>
      </c>
      <c r="BQ154" s="191">
        <v>1</v>
      </c>
      <c r="BR154" s="191">
        <v>8</v>
      </c>
      <c r="BS154" s="192">
        <f>-57+28-48</f>
        <v>-77</v>
      </c>
      <c r="BT154" s="193">
        <v>-3</v>
      </c>
      <c r="BU154" s="191">
        <v>-5</v>
      </c>
      <c r="BV154" s="191">
        <f>-102-33</f>
        <v>-135</v>
      </c>
      <c r="BW154" s="192">
        <f>-6-34-102</f>
        <v>-142</v>
      </c>
      <c r="BX154" s="193">
        <f>-21+24</f>
        <v>3</v>
      </c>
      <c r="BY154" s="191">
        <f>-23+24-48</f>
        <v>-47</v>
      </c>
      <c r="BZ154" s="191">
        <f>-48+11+24</f>
        <v>-13</v>
      </c>
      <c r="CA154" s="192">
        <f>150-48-5-39</f>
        <v>58</v>
      </c>
      <c r="CB154" s="193">
        <f>144-20</f>
        <v>124</v>
      </c>
      <c r="CC154" s="191">
        <f>224-92</f>
        <v>132</v>
      </c>
      <c r="CD154" s="191">
        <v>-56</v>
      </c>
      <c r="CE154" s="192">
        <v>-115</v>
      </c>
      <c r="CF154" s="193">
        <v>-32</v>
      </c>
      <c r="CG154" s="191">
        <f>254+50-55</f>
        <v>249</v>
      </c>
      <c r="CH154" s="191">
        <f>291+64-16</f>
        <v>339</v>
      </c>
      <c r="CI154" s="192">
        <f>-95+291+73-128</f>
        <v>141</v>
      </c>
      <c r="CJ154" s="193">
        <f>15-34</f>
        <v>-19</v>
      </c>
      <c r="CK154" s="191">
        <f>-61+424+24</f>
        <v>387</v>
      </c>
      <c r="CL154" s="191">
        <f>538+30-139</f>
        <v>429</v>
      </c>
      <c r="CM154" s="192">
        <f>765+49-93-46-148</f>
        <v>527</v>
      </c>
      <c r="CN154" s="193">
        <f>29-32</f>
        <v>-3</v>
      </c>
      <c r="CO154" s="191">
        <f>68-33-33-66</f>
        <v>-64</v>
      </c>
      <c r="CP154" s="191">
        <f>1207-SUM(CP146:CP153)</f>
        <v>-155</v>
      </c>
      <c r="CQ154" s="192">
        <f>-519+142+8</f>
        <v>-369</v>
      </c>
      <c r="CR154" s="193">
        <f>1472-27</f>
        <v>1445</v>
      </c>
      <c r="CS154" s="188">
        <f>-1420-SUM(CS146:CS153)</f>
        <v>1147</v>
      </c>
      <c r="CT154" s="188">
        <f t="shared" si="1145"/>
        <v>1147</v>
      </c>
      <c r="CU154" s="189">
        <f t="shared" si="1146"/>
        <v>1147</v>
      </c>
      <c r="CV154" s="193">
        <f t="shared" si="1159"/>
        <v>0</v>
      </c>
      <c r="CW154" s="191">
        <f t="shared" si="1147"/>
        <v>0</v>
      </c>
      <c r="CX154" s="191">
        <f t="shared" si="1148"/>
        <v>0</v>
      </c>
      <c r="CY154" s="189">
        <f t="shared" si="1149"/>
        <v>0</v>
      </c>
      <c r="CZ154" s="193">
        <f t="shared" si="1160"/>
        <v>0</v>
      </c>
      <c r="DA154" s="191">
        <f t="shared" si="1150"/>
        <v>0</v>
      </c>
      <c r="DB154" s="191">
        <f t="shared" si="1151"/>
        <v>0</v>
      </c>
      <c r="DC154" s="189">
        <f t="shared" si="1152"/>
        <v>0</v>
      </c>
      <c r="DD154" s="153"/>
      <c r="DE154" s="188">
        <f t="shared" si="1178"/>
        <v>0</v>
      </c>
      <c r="DF154" s="188">
        <f t="shared" si="1178"/>
        <v>0</v>
      </c>
      <c r="DG154" s="188">
        <f t="shared" ref="DG154:DN154" si="1209">DG50</f>
        <v>-14.299999999999999</v>
      </c>
      <c r="DH154" s="188">
        <f t="shared" si="1209"/>
        <v>0.29999999999999982</v>
      </c>
      <c r="DI154" s="188">
        <f t="shared" si="1209"/>
        <v>680.7</v>
      </c>
      <c r="DJ154" s="188">
        <f t="shared" si="1209"/>
        <v>3.8</v>
      </c>
      <c r="DK154" s="188">
        <f t="shared" si="1209"/>
        <v>481.09999999999997</v>
      </c>
      <c r="DL154" s="188">
        <f t="shared" si="1209"/>
        <v>0</v>
      </c>
      <c r="DM154" s="188">
        <f t="shared" si="1209"/>
        <v>-65.800000000000011</v>
      </c>
      <c r="DN154" s="188">
        <f t="shared" si="1209"/>
        <v>37.300000000000004</v>
      </c>
      <c r="DO154" s="188">
        <f t="shared" si="1180"/>
        <v>161.4</v>
      </c>
      <c r="DP154" s="188">
        <f t="shared" si="1180"/>
        <v>1155</v>
      </c>
      <c r="DQ154" s="188">
        <f t="shared" si="1180"/>
        <v>1526</v>
      </c>
      <c r="DR154" s="188">
        <f t="shared" ref="DR154:EB154" si="1210">DR50</f>
        <v>369</v>
      </c>
      <c r="DS154" s="188">
        <f t="shared" si="1210"/>
        <v>-709</v>
      </c>
      <c r="DT154" s="188">
        <f t="shared" si="1210"/>
        <v>0</v>
      </c>
      <c r="DU154" s="188">
        <f t="shared" si="1210"/>
        <v>-77</v>
      </c>
      <c r="DV154" s="188">
        <f t="shared" si="1210"/>
        <v>-142</v>
      </c>
      <c r="DW154" s="188">
        <f t="shared" si="1210"/>
        <v>58</v>
      </c>
      <c r="DX154" s="188">
        <f t="shared" si="1210"/>
        <v>-115</v>
      </c>
      <c r="DY154" s="188">
        <f t="shared" si="1210"/>
        <v>141</v>
      </c>
      <c r="DZ154" s="188">
        <f t="shared" si="1210"/>
        <v>527</v>
      </c>
      <c r="EA154" s="188">
        <f t="shared" si="1210"/>
        <v>-369</v>
      </c>
      <c r="EB154" s="188">
        <f t="shared" si="1210"/>
        <v>1147</v>
      </c>
      <c r="EC154" s="188">
        <f t="shared" ref="EC154:ED154" si="1211">EC50</f>
        <v>0</v>
      </c>
      <c r="ED154" s="188">
        <f t="shared" si="1211"/>
        <v>0</v>
      </c>
      <c r="EE154" s="153"/>
      <c r="EF154" s="337"/>
      <c r="EG154" s="338"/>
      <c r="EH154" s="338">
        <f t="shared" ref="EH154:EO154" si="1212">EH50</f>
        <v>-10.8</v>
      </c>
      <c r="EI154" s="338">
        <f t="shared" si="1212"/>
        <v>681</v>
      </c>
      <c r="EJ154" s="338">
        <f t="shared" si="1212"/>
        <v>-2.399999999999932</v>
      </c>
      <c r="EK154" s="338">
        <f t="shared" si="1212"/>
        <v>3.7</v>
      </c>
      <c r="EL154" s="338">
        <f t="shared" si="1212"/>
        <v>480.9</v>
      </c>
      <c r="EM154" s="338">
        <f t="shared" si="1212"/>
        <v>24.6</v>
      </c>
      <c r="EN154" s="338">
        <f t="shared" si="1212"/>
        <v>-90.5</v>
      </c>
      <c r="EO154" s="338">
        <f t="shared" si="1212"/>
        <v>62.100000000000009</v>
      </c>
      <c r="EP154" s="338">
        <f t="shared" ref="EP154:EX154" si="1213">EP50</f>
        <v>136.70000000000002</v>
      </c>
      <c r="EQ154" s="338">
        <f t="shared" si="1213"/>
        <v>1542</v>
      </c>
      <c r="ER154" s="338">
        <f t="shared" si="1213"/>
        <v>1289</v>
      </c>
      <c r="ES154" s="338">
        <f t="shared" si="1213"/>
        <v>73</v>
      </c>
      <c r="ET154" s="338">
        <f t="shared" si="1213"/>
        <v>-567</v>
      </c>
      <c r="EU154" s="338">
        <f t="shared" si="1213"/>
        <v>-5</v>
      </c>
      <c r="EV154" s="338">
        <f t="shared" si="1213"/>
        <v>-71</v>
      </c>
      <c r="EW154" s="338">
        <f t="shared" si="1213"/>
        <v>-136</v>
      </c>
      <c r="EX154" s="338">
        <f t="shared" si="1213"/>
        <v>179</v>
      </c>
      <c r="EY154" s="338">
        <f t="shared" si="1185"/>
        <v>-271</v>
      </c>
      <c r="EZ154" s="338">
        <f t="shared" si="1185"/>
        <v>154</v>
      </c>
      <c r="FA154" s="338">
        <f t="shared" ref="FA154:FC154" si="1214">FA50</f>
        <v>543</v>
      </c>
      <c r="FB154" s="338">
        <f t="shared" si="1214"/>
        <v>1079</v>
      </c>
      <c r="FC154" s="338">
        <f t="shared" si="1214"/>
        <v>-298</v>
      </c>
      <c r="FD154" s="339">
        <f t="shared" ref="FD154" si="1215">FD50</f>
        <v>0</v>
      </c>
    </row>
    <row r="155" spans="1:170" ht="14.25" customHeight="1" thickBot="1">
      <c r="A155" s="7"/>
      <c r="B155" s="194" t="s">
        <v>337</v>
      </c>
      <c r="C155" s="195"/>
      <c r="D155" s="197">
        <f t="shared" ref="D155:AI155" si="1216">SUM(D146:D154)</f>
        <v>0</v>
      </c>
      <c r="E155" s="196">
        <f t="shared" si="1216"/>
        <v>0</v>
      </c>
      <c r="F155" s="196">
        <f t="shared" si="1216"/>
        <v>0</v>
      </c>
      <c r="G155" s="198">
        <f t="shared" si="1216"/>
        <v>0</v>
      </c>
      <c r="H155" s="197">
        <f t="shared" si="1216"/>
        <v>0</v>
      </c>
      <c r="I155" s="196">
        <f t="shared" si="1216"/>
        <v>0</v>
      </c>
      <c r="J155" s="196">
        <f t="shared" si="1216"/>
        <v>0</v>
      </c>
      <c r="K155" s="198">
        <f t="shared" si="1216"/>
        <v>0</v>
      </c>
      <c r="L155" s="197">
        <f t="shared" si="1216"/>
        <v>-134.10000000000002</v>
      </c>
      <c r="M155" s="196">
        <f t="shared" si="1216"/>
        <v>-122.3</v>
      </c>
      <c r="N155" s="196">
        <f t="shared" si="1216"/>
        <v>-62.699999999999996</v>
      </c>
      <c r="O155" s="198">
        <f t="shared" si="1216"/>
        <v>418.69999999999993</v>
      </c>
      <c r="P155" s="197">
        <f t="shared" si="1216"/>
        <v>-48.4</v>
      </c>
      <c r="Q155" s="196">
        <f t="shared" si="1216"/>
        <v>-48.2</v>
      </c>
      <c r="R155" s="196">
        <f t="shared" si="1216"/>
        <v>-84.2</v>
      </c>
      <c r="S155" s="198">
        <f t="shared" si="1216"/>
        <v>-62</v>
      </c>
      <c r="T155" s="197">
        <f t="shared" si="1216"/>
        <v>1134.3</v>
      </c>
      <c r="U155" s="196">
        <f t="shared" si="1216"/>
        <v>1075.5</v>
      </c>
      <c r="V155" s="196">
        <f t="shared" si="1216"/>
        <v>990.30000000000007</v>
      </c>
      <c r="W155" s="198">
        <f t="shared" si="1216"/>
        <v>915.90000000000009</v>
      </c>
      <c r="X155" s="197">
        <f t="shared" si="1216"/>
        <v>-68.600000000000009</v>
      </c>
      <c r="Y155" s="196">
        <f t="shared" si="1216"/>
        <v>-121.1</v>
      </c>
      <c r="Z155" s="196">
        <f t="shared" si="1216"/>
        <v>-150.79999999999998</v>
      </c>
      <c r="AA155" s="198">
        <f t="shared" si="1216"/>
        <v>-137.99999999999994</v>
      </c>
      <c r="AB155" s="197">
        <f t="shared" si="1216"/>
        <v>-17.8</v>
      </c>
      <c r="AC155" s="196">
        <f t="shared" si="1216"/>
        <v>-68.899999999999977</v>
      </c>
      <c r="AD155" s="196">
        <f t="shared" si="1216"/>
        <v>-98.5</v>
      </c>
      <c r="AE155" s="198">
        <f t="shared" si="1216"/>
        <v>360.9</v>
      </c>
      <c r="AF155" s="197">
        <f t="shared" si="1216"/>
        <v>-29.799999999999994</v>
      </c>
      <c r="AG155" s="196">
        <f t="shared" si="1216"/>
        <v>-42.300000000000004</v>
      </c>
      <c r="AH155" s="196">
        <f t="shared" si="1216"/>
        <v>-89.6</v>
      </c>
      <c r="AI155" s="198">
        <f t="shared" si="1216"/>
        <v>-135.09999999999997</v>
      </c>
      <c r="AJ155" s="197">
        <f t="shared" ref="AJ155:BO155" si="1217">SUM(AJ146:AJ154)</f>
        <v>-37.500000000000007</v>
      </c>
      <c r="AK155" s="196">
        <f t="shared" si="1217"/>
        <v>499.4</v>
      </c>
      <c r="AL155" s="196">
        <f t="shared" si="1217"/>
        <v>430.50000000000006</v>
      </c>
      <c r="AM155" s="198">
        <f t="shared" si="1217"/>
        <v>406</v>
      </c>
      <c r="AN155" s="197">
        <f t="shared" si="1217"/>
        <v>266.09999999999997</v>
      </c>
      <c r="AO155" s="196">
        <f t="shared" si="1217"/>
        <v>213.99999999999997</v>
      </c>
      <c r="AP155" s="196">
        <f t="shared" si="1217"/>
        <v>145.70000000000005</v>
      </c>
      <c r="AQ155" s="198">
        <f t="shared" si="1217"/>
        <v>69.699999999999989</v>
      </c>
      <c r="AR155" s="197">
        <f t="shared" si="1217"/>
        <v>-106.59999999999998</v>
      </c>
      <c r="AS155" s="196">
        <f t="shared" si="1217"/>
        <v>-26.199999999999989</v>
      </c>
      <c r="AT155" s="196">
        <f t="shared" si="1217"/>
        <v>55.40000000000002</v>
      </c>
      <c r="AU155" s="198">
        <f t="shared" si="1217"/>
        <v>-115.50000000000003</v>
      </c>
      <c r="AV155" s="197">
        <f t="shared" si="1217"/>
        <v>-69.3</v>
      </c>
      <c r="AW155" s="196">
        <f t="shared" si="1217"/>
        <v>400.1</v>
      </c>
      <c r="AX155" s="196">
        <f t="shared" si="1217"/>
        <v>267.89999999999998</v>
      </c>
      <c r="AY155" s="198">
        <f t="shared" si="1217"/>
        <v>644</v>
      </c>
      <c r="AZ155" s="197">
        <f t="shared" si="1217"/>
        <v>211</v>
      </c>
      <c r="BA155" s="196">
        <f t="shared" si="1217"/>
        <v>614</v>
      </c>
      <c r="BB155" s="196">
        <f t="shared" si="1217"/>
        <v>1956</v>
      </c>
      <c r="BC155" s="198">
        <f t="shared" si="1217"/>
        <v>2215</v>
      </c>
      <c r="BD155" s="197">
        <f t="shared" si="1217"/>
        <v>-182</v>
      </c>
      <c r="BE155" s="196">
        <f t="shared" si="1217"/>
        <v>-117</v>
      </c>
      <c r="BF155" s="196">
        <f t="shared" si="1217"/>
        <v>-204</v>
      </c>
      <c r="BG155" s="198">
        <f t="shared" si="1217"/>
        <v>125</v>
      </c>
      <c r="BH155" s="197">
        <f t="shared" si="1217"/>
        <v>-88</v>
      </c>
      <c r="BI155" s="196">
        <f t="shared" si="1217"/>
        <v>-391</v>
      </c>
      <c r="BJ155" s="196">
        <f t="shared" si="1217"/>
        <v>-105</v>
      </c>
      <c r="BK155" s="198">
        <f t="shared" si="1217"/>
        <v>-290</v>
      </c>
      <c r="BL155" s="197">
        <f t="shared" si="1217"/>
        <v>-221</v>
      </c>
      <c r="BM155" s="196">
        <f t="shared" si="1217"/>
        <v>-482</v>
      </c>
      <c r="BN155" s="196">
        <f t="shared" si="1217"/>
        <v>-972</v>
      </c>
      <c r="BO155" s="198">
        <f t="shared" si="1217"/>
        <v>-1220</v>
      </c>
      <c r="BP155" s="197">
        <f t="shared" ref="BP155:CI155" si="1218">SUM(BP146:BP154)</f>
        <v>-798</v>
      </c>
      <c r="BQ155" s="196">
        <f t="shared" si="1218"/>
        <v>-1032</v>
      </c>
      <c r="BR155" s="196">
        <f t="shared" si="1218"/>
        <v>-1276</v>
      </c>
      <c r="BS155" s="198">
        <f t="shared" si="1218"/>
        <v>-1036</v>
      </c>
      <c r="BT155" s="197">
        <f t="shared" si="1218"/>
        <v>65</v>
      </c>
      <c r="BU155" s="196">
        <f t="shared" si="1218"/>
        <v>139</v>
      </c>
      <c r="BV155" s="196">
        <f t="shared" si="1218"/>
        <v>347</v>
      </c>
      <c r="BW155" s="198">
        <f t="shared" si="1218"/>
        <v>497</v>
      </c>
      <c r="BX155" s="197">
        <f t="shared" si="1218"/>
        <v>46</v>
      </c>
      <c r="BY155" s="196">
        <f t="shared" si="1218"/>
        <v>131</v>
      </c>
      <c r="BZ155" s="196">
        <f t="shared" si="1218"/>
        <v>57</v>
      </c>
      <c r="CA155" s="198">
        <f t="shared" si="1218"/>
        <v>322</v>
      </c>
      <c r="CB155" s="197">
        <f t="shared" si="1218"/>
        <v>-735</v>
      </c>
      <c r="CC155" s="196">
        <f>SUM(CC146:CC154)</f>
        <v>-1006</v>
      </c>
      <c r="CD155" s="196">
        <f>SUM(CD146:CD154)</f>
        <v>-2234</v>
      </c>
      <c r="CE155" s="198">
        <f t="shared" si="1218"/>
        <v>-1948</v>
      </c>
      <c r="CF155" s="197">
        <f t="shared" si="1218"/>
        <v>-806</v>
      </c>
      <c r="CG155" s="196">
        <f t="shared" si="1218"/>
        <v>-144</v>
      </c>
      <c r="CH155" s="196">
        <f t="shared" si="1218"/>
        <v>215</v>
      </c>
      <c r="CI155" s="198">
        <f t="shared" si="1218"/>
        <v>-718</v>
      </c>
      <c r="CJ155" s="197">
        <f t="shared" ref="CJ155:CM155" si="1219">SUM(CJ146:CJ154)</f>
        <v>-140</v>
      </c>
      <c r="CK155" s="196">
        <f t="shared" si="1219"/>
        <v>-68</v>
      </c>
      <c r="CL155" s="196">
        <f t="shared" si="1219"/>
        <v>1703</v>
      </c>
      <c r="CM155" s="198">
        <f t="shared" si="1219"/>
        <v>1745</v>
      </c>
      <c r="CN155" s="197">
        <f t="shared" ref="CN155" si="1220">SUM(CN146:CN154)</f>
        <v>-212</v>
      </c>
      <c r="CO155" s="196">
        <f t="shared" ref="CO155:CR155" si="1221">SUM(CO146:CO154)</f>
        <v>2341</v>
      </c>
      <c r="CP155" s="196">
        <f t="shared" si="1221"/>
        <v>1207</v>
      </c>
      <c r="CQ155" s="198">
        <f t="shared" si="1221"/>
        <v>349</v>
      </c>
      <c r="CR155" s="197">
        <f t="shared" si="1221"/>
        <v>-1282</v>
      </c>
      <c r="CS155" s="196">
        <f t="shared" ref="CS155:CU155" si="1222">SUM(CS146:CS154)</f>
        <v>-1420</v>
      </c>
      <c r="CT155" s="196">
        <f t="shared" si="1222"/>
        <v>499.65546812867615</v>
      </c>
      <c r="CU155" s="198">
        <f t="shared" si="1222"/>
        <v>513.98882524459077</v>
      </c>
      <c r="CV155" s="197">
        <f t="shared" ref="CV155:CY155" si="1223">SUM(CV146:CV154)</f>
        <v>14.565868737021447</v>
      </c>
      <c r="CW155" s="196">
        <f t="shared" si="1223"/>
        <v>29.368037806290886</v>
      </c>
      <c r="CX155" s="196">
        <f t="shared" si="1223"/>
        <v>44.410357930542887</v>
      </c>
      <c r="CY155" s="198">
        <f t="shared" si="1223"/>
        <v>59.696742863541658</v>
      </c>
      <c r="CZ155" s="197">
        <f t="shared" ref="CZ155:DC155" si="1224">SUM(CZ146:CZ154)</f>
        <v>15.534427562797646</v>
      </c>
      <c r="DA155" s="196">
        <f t="shared" si="1224"/>
        <v>31.320940697118203</v>
      </c>
      <c r="DB155" s="196">
        <f t="shared" si="1224"/>
        <v>47.363648536105757</v>
      </c>
      <c r="DC155" s="198">
        <f t="shared" si="1224"/>
        <v>63.666727492791324</v>
      </c>
      <c r="DD155" s="153"/>
      <c r="DE155" s="196">
        <f t="shared" ref="DE155:EB155" si="1225">SUM(DE146:DE154)</f>
        <v>0</v>
      </c>
      <c r="DF155" s="196">
        <f t="shared" si="1225"/>
        <v>0</v>
      </c>
      <c r="DG155" s="196">
        <f t="shared" si="1225"/>
        <v>418.69999999999993</v>
      </c>
      <c r="DH155" s="196">
        <f t="shared" si="1225"/>
        <v>-62</v>
      </c>
      <c r="DI155" s="196">
        <f t="shared" si="1225"/>
        <v>915.90000000000009</v>
      </c>
      <c r="DJ155" s="196">
        <f t="shared" si="1225"/>
        <v>-137.99999999999994</v>
      </c>
      <c r="DK155" s="196">
        <f t="shared" si="1225"/>
        <v>360.9</v>
      </c>
      <c r="DL155" s="196">
        <f t="shared" si="1225"/>
        <v>-135.09999999999997</v>
      </c>
      <c r="DM155" s="196">
        <f t="shared" si="1225"/>
        <v>406</v>
      </c>
      <c r="DN155" s="196">
        <f t="shared" si="1225"/>
        <v>69.699999999999989</v>
      </c>
      <c r="DO155" s="196">
        <f t="shared" si="1225"/>
        <v>-115.49999999999997</v>
      </c>
      <c r="DP155" s="196">
        <f t="shared" si="1225"/>
        <v>644</v>
      </c>
      <c r="DQ155" s="196">
        <f t="shared" si="1225"/>
        <v>2215</v>
      </c>
      <c r="DR155" s="196">
        <f t="shared" si="1225"/>
        <v>125</v>
      </c>
      <c r="DS155" s="196">
        <f t="shared" si="1225"/>
        <v>-290</v>
      </c>
      <c r="DT155" s="196">
        <f t="shared" si="1225"/>
        <v>-1220</v>
      </c>
      <c r="DU155" s="196">
        <f t="shared" si="1225"/>
        <v>-1036</v>
      </c>
      <c r="DV155" s="196">
        <f t="shared" si="1225"/>
        <v>497</v>
      </c>
      <c r="DW155" s="196">
        <f t="shared" si="1225"/>
        <v>322</v>
      </c>
      <c r="DX155" s="196">
        <f t="shared" si="1225"/>
        <v>-1948</v>
      </c>
      <c r="DY155" s="196">
        <f t="shared" si="1225"/>
        <v>-718</v>
      </c>
      <c r="DZ155" s="196">
        <f t="shared" si="1225"/>
        <v>1745</v>
      </c>
      <c r="EA155" s="196">
        <f t="shared" si="1225"/>
        <v>349</v>
      </c>
      <c r="EB155" s="196">
        <f t="shared" si="1225"/>
        <v>513.98882524459077</v>
      </c>
      <c r="EC155" s="196">
        <f t="shared" ref="EC155:ED155" si="1226">SUM(EC146:EC154)</f>
        <v>59.696742863541658</v>
      </c>
      <c r="ED155" s="196">
        <f t="shared" si="1226"/>
        <v>63.666727492791324</v>
      </c>
      <c r="EE155" s="18"/>
      <c r="EF155" s="346"/>
      <c r="EG155" s="347"/>
      <c r="EH155" s="347">
        <f t="shared" ref="EH155:EY155" si="1227">SUM(EH146:EH154)</f>
        <v>504.39999999999992</v>
      </c>
      <c r="EI155" s="347">
        <f t="shared" si="1227"/>
        <v>1120.7</v>
      </c>
      <c r="EJ155" s="347">
        <f t="shared" si="1227"/>
        <v>-286.99999999999983</v>
      </c>
      <c r="EK155" s="347">
        <f t="shared" si="1227"/>
        <v>-87.2</v>
      </c>
      <c r="EL155" s="347">
        <f t="shared" si="1227"/>
        <v>348.90000000000003</v>
      </c>
      <c r="EM155" s="347">
        <f t="shared" si="1227"/>
        <v>-142.79999999999998</v>
      </c>
      <c r="EN155" s="347">
        <f t="shared" si="1227"/>
        <v>709.6</v>
      </c>
      <c r="EO155" s="347">
        <f t="shared" si="1227"/>
        <v>-302.99999999999994</v>
      </c>
      <c r="EP155" s="347">
        <f t="shared" si="1227"/>
        <v>-78.19999999999996</v>
      </c>
      <c r="EQ155" s="347">
        <f t="shared" si="1227"/>
        <v>924.30000000000007</v>
      </c>
      <c r="ER155" s="347">
        <f t="shared" si="1227"/>
        <v>1822</v>
      </c>
      <c r="ES155" s="347">
        <f t="shared" si="1227"/>
        <v>219</v>
      </c>
      <c r="ET155" s="347">
        <f t="shared" si="1227"/>
        <v>-423</v>
      </c>
      <c r="EU155" s="347">
        <f t="shared" si="1227"/>
        <v>-1797</v>
      </c>
      <c r="EV155" s="347">
        <f t="shared" si="1227"/>
        <v>-173</v>
      </c>
      <c r="EW155" s="347">
        <f t="shared" si="1227"/>
        <v>478</v>
      </c>
      <c r="EX155" s="347">
        <f t="shared" si="1227"/>
        <v>-459</v>
      </c>
      <c r="EY155" s="347">
        <f t="shared" si="1227"/>
        <v>-2019</v>
      </c>
      <c r="EZ155" s="347">
        <f t="shared" ref="EZ155:FC155" si="1228">SUM(EZ146:EZ154)</f>
        <v>-52</v>
      </c>
      <c r="FA155" s="347">
        <f t="shared" si="1228"/>
        <v>1673</v>
      </c>
      <c r="FB155" s="347">
        <f t="shared" si="1228"/>
        <v>-721</v>
      </c>
      <c r="FC155" s="347">
        <f t="shared" si="1228"/>
        <v>1810.5546939816122</v>
      </c>
      <c r="FD155" s="348">
        <f t="shared" ref="FD155" si="1229">SUM(FD146:FD154)</f>
        <v>60.665301689317857</v>
      </c>
    </row>
    <row r="156" spans="1:170" ht="14.25" customHeight="1" thickTop="1">
      <c r="A156" s="7"/>
      <c r="B156" s="43"/>
      <c r="C156" s="44"/>
      <c r="D156" s="203"/>
      <c r="E156" s="202"/>
      <c r="F156" s="202"/>
      <c r="G156" s="278"/>
      <c r="H156" s="203"/>
      <c r="I156" s="202"/>
      <c r="J156" s="202"/>
      <c r="K156" s="278"/>
      <c r="L156" s="203"/>
      <c r="M156" s="202"/>
      <c r="N156" s="202"/>
      <c r="O156" s="278"/>
      <c r="P156" s="203"/>
      <c r="Q156" s="202"/>
      <c r="R156" s="202"/>
      <c r="S156" s="278"/>
      <c r="T156" s="203"/>
      <c r="U156" s="202"/>
      <c r="V156" s="202"/>
      <c r="W156" s="278"/>
      <c r="X156" s="203"/>
      <c r="Y156" s="202"/>
      <c r="Z156" s="202"/>
      <c r="AA156" s="278"/>
      <c r="AB156" s="203"/>
      <c r="AC156" s="202"/>
      <c r="AD156" s="202"/>
      <c r="AE156" s="278"/>
      <c r="AF156" s="203"/>
      <c r="AG156" s="202"/>
      <c r="AH156" s="202"/>
      <c r="AI156" s="278"/>
      <c r="AJ156" s="203"/>
      <c r="AK156" s="202"/>
      <c r="AL156" s="202"/>
      <c r="AM156" s="278"/>
      <c r="AN156" s="203"/>
      <c r="AO156" s="202"/>
      <c r="AP156" s="202"/>
      <c r="AQ156" s="278"/>
      <c r="AR156" s="203"/>
      <c r="AS156" s="202"/>
      <c r="AT156" s="202"/>
      <c r="AU156" s="278"/>
      <c r="AV156" s="203"/>
      <c r="AW156" s="202"/>
      <c r="AX156" s="202"/>
      <c r="AY156" s="278"/>
      <c r="AZ156" s="203"/>
      <c r="BA156" s="202"/>
      <c r="BB156" s="202"/>
      <c r="BC156" s="278"/>
      <c r="BD156" s="203"/>
      <c r="BE156" s="202"/>
      <c r="BF156" s="202"/>
      <c r="BG156" s="278"/>
      <c r="BH156" s="203"/>
      <c r="BI156" s="202"/>
      <c r="BJ156" s="202"/>
      <c r="BK156" s="278"/>
      <c r="BL156" s="203"/>
      <c r="BM156" s="202"/>
      <c r="BN156" s="202"/>
      <c r="BO156" s="278"/>
      <c r="BP156" s="203"/>
      <c r="BQ156" s="202"/>
      <c r="BR156" s="202"/>
      <c r="BS156" s="278"/>
      <c r="BT156" s="203"/>
      <c r="BU156" s="202"/>
      <c r="BV156" s="202"/>
      <c r="BW156" s="278"/>
      <c r="BX156" s="203"/>
      <c r="BY156" s="202"/>
      <c r="BZ156" s="202"/>
      <c r="CA156" s="278"/>
      <c r="CB156" s="203"/>
      <c r="CC156" s="202"/>
      <c r="CD156" s="202"/>
      <c r="CE156" s="278"/>
      <c r="CF156" s="203"/>
      <c r="CG156" s="202"/>
      <c r="CH156" s="202"/>
      <c r="CI156" s="278"/>
      <c r="CJ156" s="203"/>
      <c r="CK156" s="202"/>
      <c r="CL156" s="202"/>
      <c r="CM156" s="278"/>
      <c r="CN156" s="203"/>
      <c r="CO156" s="202"/>
      <c r="CP156" s="202"/>
      <c r="CQ156" s="278"/>
      <c r="CR156" s="203"/>
      <c r="CS156" s="202"/>
      <c r="CT156" s="202"/>
      <c r="CU156" s="204"/>
      <c r="CV156" s="203"/>
      <c r="CW156" s="202"/>
      <c r="CX156" s="202"/>
      <c r="CY156" s="204"/>
      <c r="CZ156" s="203"/>
      <c r="DA156" s="202"/>
      <c r="DB156" s="202"/>
      <c r="DC156" s="204"/>
      <c r="DD156" s="153"/>
      <c r="DE156" s="202"/>
      <c r="DF156" s="202"/>
      <c r="DG156" s="202"/>
      <c r="DH156" s="202"/>
      <c r="DI156" s="202"/>
      <c r="DJ156" s="202"/>
      <c r="DK156" s="202"/>
      <c r="DL156" s="202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18"/>
      <c r="EF156" s="343"/>
      <c r="EG156" s="344"/>
      <c r="EH156" s="344"/>
      <c r="EI156" s="344"/>
      <c r="EJ156" s="344"/>
      <c r="EK156" s="344"/>
      <c r="EL156" s="344"/>
      <c r="EM156" s="344"/>
      <c r="EN156" s="344"/>
      <c r="EO156" s="344"/>
      <c r="EP156" s="344"/>
      <c r="EQ156" s="344"/>
      <c r="ER156" s="344"/>
      <c r="ES156" s="344"/>
      <c r="ET156" s="344"/>
      <c r="EU156" s="344"/>
      <c r="EV156" s="344"/>
      <c r="EW156" s="344"/>
      <c r="EX156" s="344"/>
      <c r="EY156" s="344"/>
      <c r="EZ156" s="344"/>
      <c r="FA156" s="344"/>
      <c r="FB156" s="344"/>
      <c r="FC156" s="344"/>
      <c r="FD156" s="345"/>
    </row>
    <row r="157" spans="1:170" ht="14.25" customHeight="1">
      <c r="A157" s="7"/>
      <c r="B157" s="43" t="s">
        <v>338</v>
      </c>
      <c r="C157" s="44"/>
      <c r="D157" s="193">
        <v>-159.30000000000001</v>
      </c>
      <c r="E157" s="191">
        <v>-342.8</v>
      </c>
      <c r="F157" s="191">
        <v>-534</v>
      </c>
      <c r="G157" s="192">
        <v>-815.1</v>
      </c>
      <c r="H157" s="193">
        <v>-332.2</v>
      </c>
      <c r="I157" s="191">
        <v>-548.29999999999995</v>
      </c>
      <c r="J157" s="191">
        <v>-608.5</v>
      </c>
      <c r="K157" s="192">
        <v>-631.5</v>
      </c>
      <c r="L157" s="193">
        <v>0</v>
      </c>
      <c r="M157" s="191">
        <v>0</v>
      </c>
      <c r="N157" s="191">
        <v>9.9999999999909051E-2</v>
      </c>
      <c r="O157" s="192">
        <v>0</v>
      </c>
      <c r="P157" s="193">
        <v>0</v>
      </c>
      <c r="Q157" s="191">
        <v>0</v>
      </c>
      <c r="R157" s="191">
        <v>0</v>
      </c>
      <c r="S157" s="192">
        <v>1.7999999999999545</v>
      </c>
      <c r="T157" s="193">
        <v>-1.7999999999999545</v>
      </c>
      <c r="U157" s="191">
        <v>1.8000000000010346</v>
      </c>
      <c r="V157" s="191">
        <v>0.30000000000029559</v>
      </c>
      <c r="W157" s="192">
        <v>0.20000000000004547</v>
      </c>
      <c r="X157" s="193">
        <v>-7.4999999999992042</v>
      </c>
      <c r="Y157" s="191">
        <v>-3.3000000000000682</v>
      </c>
      <c r="Z157" s="191"/>
      <c r="AA157" s="192"/>
      <c r="AB157" s="193">
        <v>0</v>
      </c>
      <c r="AC157" s="191">
        <v>0</v>
      </c>
      <c r="AD157" s="191">
        <v>0</v>
      </c>
      <c r="AE157" s="192">
        <v>0</v>
      </c>
      <c r="AF157" s="193">
        <v>0</v>
      </c>
      <c r="AG157" s="191">
        <v>0</v>
      </c>
      <c r="AH157" s="191">
        <v>0.59999999999951115</v>
      </c>
      <c r="AI157" s="192">
        <v>2.0999999999994543</v>
      </c>
      <c r="AJ157" s="193">
        <v>1.5</v>
      </c>
      <c r="AK157" s="191">
        <v>1.1000000000000227</v>
      </c>
      <c r="AL157" s="191">
        <v>2.6999999999998181</v>
      </c>
      <c r="AM157" s="192">
        <v>4.2999999999998408</v>
      </c>
      <c r="AN157" s="193">
        <v>0.50000000000022737</v>
      </c>
      <c r="AO157" s="191">
        <v>0.50000000000005684</v>
      </c>
      <c r="AP157" s="191">
        <v>-2.9000000000000341</v>
      </c>
      <c r="AQ157" s="192">
        <v>-6.3</v>
      </c>
      <c r="AR157" s="193">
        <v>-3.4000000000000341</v>
      </c>
      <c r="AS157" s="191">
        <v>-6.8</v>
      </c>
      <c r="AT157" s="191">
        <v>-6.8</v>
      </c>
      <c r="AU157" s="192">
        <v>-6.8</v>
      </c>
      <c r="AV157" s="193">
        <v>2.0000000000001137</v>
      </c>
      <c r="AW157" s="191">
        <v>2</v>
      </c>
      <c r="AX157" s="191">
        <v>1.9999999999997726</v>
      </c>
      <c r="AY157" s="192">
        <v>2.0000000000002274</v>
      </c>
      <c r="AZ157" s="193">
        <v>-0.3</v>
      </c>
      <c r="BA157" s="191">
        <v>-0.3</v>
      </c>
      <c r="BB157" s="191">
        <v>-0.3</v>
      </c>
      <c r="BC157" s="192">
        <v>-0.3</v>
      </c>
      <c r="BD157" s="193">
        <v>0</v>
      </c>
      <c r="BE157" s="191">
        <v>0</v>
      </c>
      <c r="BF157" s="191">
        <v>0</v>
      </c>
      <c r="BG157" s="192">
        <v>0</v>
      </c>
      <c r="BH157" s="193">
        <v>0</v>
      </c>
      <c r="BI157" s="191">
        <v>0</v>
      </c>
      <c r="BJ157" s="191">
        <v>0</v>
      </c>
      <c r="BK157" s="192">
        <v>0</v>
      </c>
      <c r="BL157" s="193">
        <v>0</v>
      </c>
      <c r="BM157" s="191">
        <v>0</v>
      </c>
      <c r="BN157" s="191">
        <v>0</v>
      </c>
      <c r="BO157" s="192">
        <v>0</v>
      </c>
      <c r="BP157" s="193">
        <v>0</v>
      </c>
      <c r="BQ157" s="191">
        <v>0</v>
      </c>
      <c r="BR157" s="191">
        <v>0</v>
      </c>
      <c r="BS157" s="192">
        <v>0</v>
      </c>
      <c r="BT157" s="193">
        <v>0</v>
      </c>
      <c r="BU157" s="191">
        <v>0</v>
      </c>
      <c r="BV157" s="191">
        <v>0</v>
      </c>
      <c r="BW157" s="192">
        <v>0</v>
      </c>
      <c r="BX157" s="193">
        <v>0</v>
      </c>
      <c r="BY157" s="191">
        <v>0</v>
      </c>
      <c r="BZ157" s="191">
        <v>0</v>
      </c>
      <c r="CA157" s="192">
        <v>0</v>
      </c>
      <c r="CB157" s="193">
        <v>-19</v>
      </c>
      <c r="CC157" s="191">
        <v>-15</v>
      </c>
      <c r="CD157" s="191">
        <v>-13</v>
      </c>
      <c r="CE157" s="192">
        <v>-28</v>
      </c>
      <c r="CF157" s="193">
        <v>-96</v>
      </c>
      <c r="CG157" s="191">
        <v>-100</v>
      </c>
      <c r="CH157" s="191">
        <v>-127</v>
      </c>
      <c r="CI157" s="192">
        <v>-121</v>
      </c>
      <c r="CJ157" s="193">
        <v>-2</v>
      </c>
      <c r="CK157" s="191">
        <v>2</v>
      </c>
      <c r="CL157" s="191">
        <v>7</v>
      </c>
      <c r="CM157" s="192">
        <v>8</v>
      </c>
      <c r="CN157" s="193">
        <v>-37</v>
      </c>
      <c r="CO157" s="191">
        <v>-25</v>
      </c>
      <c r="CP157" s="191">
        <v>7</v>
      </c>
      <c r="CQ157" s="192">
        <v>-12</v>
      </c>
      <c r="CR157" s="193">
        <v>-6</v>
      </c>
      <c r="CS157" s="188">
        <f t="shared" ref="CS157" si="1230">CR157+CS53</f>
        <v>-6</v>
      </c>
      <c r="CT157" s="188">
        <f t="shared" ref="CT157" si="1231">CS157+CT53</f>
        <v>-6</v>
      </c>
      <c r="CU157" s="189">
        <f t="shared" ref="CU157" si="1232">CT157+CU53</f>
        <v>-6</v>
      </c>
      <c r="CV157" s="193">
        <f>CV53</f>
        <v>0</v>
      </c>
      <c r="CW157" s="191">
        <f t="shared" ref="CW157" si="1233">CV157+CW53</f>
        <v>0</v>
      </c>
      <c r="CX157" s="191">
        <f t="shared" ref="CX157" si="1234">CW157+CX53</f>
        <v>0</v>
      </c>
      <c r="CY157" s="1370">
        <f t="shared" ref="CY157" si="1235">CX157+CY53</f>
        <v>0</v>
      </c>
      <c r="CZ157" s="193">
        <f>CZ53</f>
        <v>0</v>
      </c>
      <c r="DA157" s="191">
        <f t="shared" ref="DA157" si="1236">CZ157+DA53</f>
        <v>0</v>
      </c>
      <c r="DB157" s="191">
        <f t="shared" ref="DB157" si="1237">DA157+DB53</f>
        <v>0</v>
      </c>
      <c r="DC157" s="1370">
        <f t="shared" ref="DC157" si="1238">DB157+DC53</f>
        <v>0</v>
      </c>
      <c r="DD157" s="153"/>
      <c r="DE157" s="188">
        <f t="shared" ref="DE157:DG160" si="1239">DE53</f>
        <v>-815.10000000000014</v>
      </c>
      <c r="DF157" s="188">
        <f t="shared" si="1239"/>
        <v>-631.5</v>
      </c>
      <c r="DG157" s="188">
        <f t="shared" si="1239"/>
        <v>0</v>
      </c>
      <c r="DH157" s="188">
        <f t="shared" ref="DH157:DN157" si="1240">DH53</f>
        <v>1.7999999999999545</v>
      </c>
      <c r="DI157" s="188">
        <f t="shared" si="1240"/>
        <v>0.20000000000004547</v>
      </c>
      <c r="DJ157" s="188">
        <f t="shared" si="1240"/>
        <v>0</v>
      </c>
      <c r="DK157" s="188">
        <f t="shared" si="1240"/>
        <v>0</v>
      </c>
      <c r="DL157" s="188">
        <f t="shared" si="1240"/>
        <v>2.0999999999994543</v>
      </c>
      <c r="DM157" s="188">
        <f t="shared" si="1240"/>
        <v>4.2999999999998408</v>
      </c>
      <c r="DN157" s="188">
        <f t="shared" si="1240"/>
        <v>-6.3</v>
      </c>
      <c r="DO157" s="188">
        <f t="shared" ref="DO157:EB157" si="1241">DO53</f>
        <v>-6.8</v>
      </c>
      <c r="DP157" s="188">
        <f t="shared" si="1241"/>
        <v>2.0000000000002274</v>
      </c>
      <c r="DQ157" s="188">
        <f t="shared" si="1241"/>
        <v>-0.3</v>
      </c>
      <c r="DR157" s="188">
        <f t="shared" si="1241"/>
        <v>0</v>
      </c>
      <c r="DS157" s="188">
        <f t="shared" si="1241"/>
        <v>0</v>
      </c>
      <c r="DT157" s="188">
        <f t="shared" si="1241"/>
        <v>0</v>
      </c>
      <c r="DU157" s="188">
        <f t="shared" si="1241"/>
        <v>0</v>
      </c>
      <c r="DV157" s="188">
        <f t="shared" si="1241"/>
        <v>0</v>
      </c>
      <c r="DW157" s="188">
        <f t="shared" si="1241"/>
        <v>0</v>
      </c>
      <c r="DX157" s="188">
        <f t="shared" si="1241"/>
        <v>-28</v>
      </c>
      <c r="DY157" s="188">
        <f t="shared" si="1241"/>
        <v>-121</v>
      </c>
      <c r="DZ157" s="188">
        <f t="shared" si="1241"/>
        <v>8</v>
      </c>
      <c r="EA157" s="188">
        <f t="shared" si="1241"/>
        <v>-12</v>
      </c>
      <c r="EB157" s="188">
        <f t="shared" si="1241"/>
        <v>-6</v>
      </c>
      <c r="EC157" s="188">
        <f t="shared" ref="EC157:ED157" si="1242">EC53</f>
        <v>0</v>
      </c>
      <c r="ED157" s="188">
        <f t="shared" si="1242"/>
        <v>0</v>
      </c>
      <c r="EE157" s="18"/>
      <c r="EF157" s="337"/>
      <c r="EG157" s="338"/>
      <c r="EH157" s="338">
        <f t="shared" ref="EH157:EO157" si="1243">EH53</f>
        <v>0</v>
      </c>
      <c r="EI157" s="338">
        <f t="shared" si="1243"/>
        <v>0</v>
      </c>
      <c r="EJ157" s="338">
        <f t="shared" si="1243"/>
        <v>-5.4999999999992042</v>
      </c>
      <c r="EK157" s="338">
        <f t="shared" si="1243"/>
        <v>7.4999999999992042</v>
      </c>
      <c r="EL157" s="338">
        <f t="shared" si="1243"/>
        <v>0</v>
      </c>
      <c r="EM157" s="338">
        <f t="shared" si="1243"/>
        <v>3.5999999999994543</v>
      </c>
      <c r="EN157" s="338">
        <f t="shared" si="1243"/>
        <v>3.3000000000000682</v>
      </c>
      <c r="EO157" s="338">
        <f t="shared" si="1243"/>
        <v>-10.200000000000262</v>
      </c>
      <c r="EP157" s="338">
        <f t="shared" ref="EP157:EX157" si="1244">EP53</f>
        <v>-1.399999999999852</v>
      </c>
      <c r="EQ157" s="338">
        <f t="shared" si="1244"/>
        <v>-0.2999999999998863</v>
      </c>
      <c r="ER157" s="338">
        <f t="shared" si="1244"/>
        <v>0</v>
      </c>
      <c r="ES157" s="338">
        <f t="shared" si="1244"/>
        <v>0</v>
      </c>
      <c r="ET157" s="338">
        <f t="shared" si="1244"/>
        <v>0</v>
      </c>
      <c r="EU157" s="338">
        <f t="shared" si="1244"/>
        <v>0</v>
      </c>
      <c r="EV157" s="338">
        <f t="shared" si="1244"/>
        <v>0</v>
      </c>
      <c r="EW157" s="338">
        <f t="shared" si="1244"/>
        <v>0</v>
      </c>
      <c r="EX157" s="338">
        <f t="shared" si="1244"/>
        <v>-19</v>
      </c>
      <c r="EY157" s="338">
        <f>EY53</f>
        <v>-105</v>
      </c>
      <c r="EZ157" s="338">
        <f>EZ53</f>
        <v>-27</v>
      </c>
      <c r="FA157" s="338">
        <f t="shared" ref="FA157:FC157" si="1245">FA53</f>
        <v>-27</v>
      </c>
      <c r="FB157" s="338">
        <f t="shared" si="1245"/>
        <v>19</v>
      </c>
      <c r="FC157" s="338">
        <f t="shared" si="1245"/>
        <v>0</v>
      </c>
      <c r="FD157" s="339">
        <f t="shared" ref="FD157" si="1246">FD53</f>
        <v>0</v>
      </c>
    </row>
    <row r="158" spans="1:170" ht="14.25" customHeight="1">
      <c r="A158" s="7"/>
      <c r="B158" s="43"/>
      <c r="C158" s="44"/>
      <c r="D158" s="207"/>
      <c r="E158" s="205"/>
      <c r="F158" s="205"/>
      <c r="G158" s="206"/>
      <c r="H158" s="207"/>
      <c r="I158" s="205"/>
      <c r="J158" s="205"/>
      <c r="K158" s="206"/>
      <c r="L158" s="207"/>
      <c r="M158" s="205"/>
      <c r="N158" s="205"/>
      <c r="O158" s="206"/>
      <c r="P158" s="207"/>
      <c r="Q158" s="205"/>
      <c r="R158" s="205"/>
      <c r="S158" s="206"/>
      <c r="T158" s="207"/>
      <c r="U158" s="205"/>
      <c r="V158" s="205"/>
      <c r="W158" s="206"/>
      <c r="X158" s="207"/>
      <c r="Y158" s="205"/>
      <c r="Z158" s="205"/>
      <c r="AA158" s="206"/>
      <c r="AB158" s="207"/>
      <c r="AC158" s="205"/>
      <c r="AD158" s="205"/>
      <c r="AE158" s="206"/>
      <c r="AF158" s="207"/>
      <c r="AG158" s="205"/>
      <c r="AH158" s="205"/>
      <c r="AI158" s="206"/>
      <c r="AJ158" s="207"/>
      <c r="AK158" s="205"/>
      <c r="AL158" s="205"/>
      <c r="AM158" s="206"/>
      <c r="AN158" s="207"/>
      <c r="AO158" s="205"/>
      <c r="AP158" s="205"/>
      <c r="AQ158" s="206"/>
      <c r="AR158" s="207"/>
      <c r="AS158" s="205"/>
      <c r="AT158" s="205"/>
      <c r="AU158" s="206"/>
      <c r="AV158" s="207"/>
      <c r="AW158" s="205"/>
      <c r="AX158" s="205"/>
      <c r="AY158" s="206"/>
      <c r="AZ158" s="207"/>
      <c r="BA158" s="205"/>
      <c r="BB158" s="205"/>
      <c r="BC158" s="206"/>
      <c r="BD158" s="207"/>
      <c r="BE158" s="205"/>
      <c r="BF158" s="205"/>
      <c r="BG158" s="206"/>
      <c r="BH158" s="207"/>
      <c r="BI158" s="205"/>
      <c r="BJ158" s="205"/>
      <c r="BK158" s="206"/>
      <c r="BL158" s="207"/>
      <c r="BM158" s="205"/>
      <c r="BN158" s="205"/>
      <c r="BO158" s="206"/>
      <c r="BP158" s="207"/>
      <c r="BQ158" s="205"/>
      <c r="BR158" s="205"/>
      <c r="BS158" s="206"/>
      <c r="BT158" s="207"/>
      <c r="BU158" s="205"/>
      <c r="BV158" s="205"/>
      <c r="BW158" s="206"/>
      <c r="BX158" s="207"/>
      <c r="BY158" s="205"/>
      <c r="BZ158" s="205"/>
      <c r="CA158" s="206"/>
      <c r="CB158" s="207"/>
      <c r="CC158" s="205"/>
      <c r="CD158" s="205"/>
      <c r="CE158" s="206"/>
      <c r="CF158" s="207"/>
      <c r="CG158" s="205"/>
      <c r="CH158" s="205"/>
      <c r="CI158" s="206"/>
      <c r="CJ158" s="207"/>
      <c r="CK158" s="205"/>
      <c r="CL158" s="205"/>
      <c r="CM158" s="206"/>
      <c r="CN158" s="207"/>
      <c r="CO158" s="205"/>
      <c r="CP158" s="205"/>
      <c r="CQ158" s="206"/>
      <c r="CR158" s="207"/>
      <c r="CS158" s="205"/>
      <c r="CT158" s="205"/>
      <c r="CU158" s="206"/>
      <c r="CV158" s="207"/>
      <c r="CW158" s="205"/>
      <c r="CX158" s="205"/>
      <c r="CY158" s="206"/>
      <c r="CZ158" s="207"/>
      <c r="DA158" s="205"/>
      <c r="DB158" s="205"/>
      <c r="DC158" s="206"/>
      <c r="DD158" s="153"/>
      <c r="DE158" s="202">
        <f t="shared" si="1239"/>
        <v>0</v>
      </c>
      <c r="DF158" s="202">
        <f t="shared" si="1239"/>
        <v>0</v>
      </c>
      <c r="DG158" s="202">
        <f t="shared" si="1239"/>
        <v>0</v>
      </c>
      <c r="DH158" s="202">
        <f t="shared" ref="DH158:DN158" si="1247">DH54</f>
        <v>0</v>
      </c>
      <c r="DI158" s="202">
        <f t="shared" si="1247"/>
        <v>0</v>
      </c>
      <c r="DJ158" s="202">
        <f t="shared" si="1247"/>
        <v>0</v>
      </c>
      <c r="DK158" s="202">
        <f t="shared" si="1247"/>
        <v>0</v>
      </c>
      <c r="DL158" s="202">
        <f t="shared" si="1247"/>
        <v>0</v>
      </c>
      <c r="DM158" s="202">
        <f t="shared" si="1247"/>
        <v>0</v>
      </c>
      <c r="DN158" s="202">
        <f t="shared" si="1247"/>
        <v>0</v>
      </c>
      <c r="DO158" s="202">
        <f t="shared" ref="DO158:DY158" si="1248">DO54</f>
        <v>0</v>
      </c>
      <c r="DP158" s="202">
        <f t="shared" si="1248"/>
        <v>0</v>
      </c>
      <c r="DQ158" s="202">
        <f t="shared" si="1248"/>
        <v>0</v>
      </c>
      <c r="DR158" s="202">
        <f t="shared" si="1248"/>
        <v>0</v>
      </c>
      <c r="DS158" s="202">
        <f t="shared" si="1248"/>
        <v>0</v>
      </c>
      <c r="DT158" s="202">
        <f t="shared" si="1248"/>
        <v>0</v>
      </c>
      <c r="DU158" s="202">
        <f t="shared" si="1248"/>
        <v>0</v>
      </c>
      <c r="DV158" s="202">
        <f t="shared" si="1248"/>
        <v>0</v>
      </c>
      <c r="DW158" s="202">
        <f t="shared" si="1248"/>
        <v>0</v>
      </c>
      <c r="DX158" s="202">
        <f t="shared" si="1248"/>
        <v>0</v>
      </c>
      <c r="DY158" s="202">
        <f t="shared" si="1248"/>
        <v>0</v>
      </c>
      <c r="DZ158" s="202"/>
      <c r="EA158" s="202"/>
      <c r="EB158" s="202"/>
      <c r="EC158" s="202"/>
      <c r="ED158" s="202"/>
      <c r="EE158" s="18"/>
      <c r="EF158" s="343"/>
      <c r="EG158" s="344"/>
      <c r="EH158" s="344">
        <f t="shared" ref="EH158:EO158" si="1249">EH54</f>
        <v>0</v>
      </c>
      <c r="EI158" s="344">
        <f t="shared" si="1249"/>
        <v>0</v>
      </c>
      <c r="EJ158" s="344">
        <f t="shared" si="1249"/>
        <v>0</v>
      </c>
      <c r="EK158" s="344">
        <f t="shared" si="1249"/>
        <v>0</v>
      </c>
      <c r="EL158" s="344">
        <f t="shared" si="1249"/>
        <v>0</v>
      </c>
      <c r="EM158" s="344">
        <f t="shared" si="1249"/>
        <v>0</v>
      </c>
      <c r="EN158" s="344">
        <f t="shared" si="1249"/>
        <v>0</v>
      </c>
      <c r="EO158" s="344">
        <f t="shared" si="1249"/>
        <v>0</v>
      </c>
      <c r="EP158" s="344">
        <f t="shared" ref="EP158:EX158" si="1250">EP54</f>
        <v>0</v>
      </c>
      <c r="EQ158" s="344">
        <f t="shared" si="1250"/>
        <v>0</v>
      </c>
      <c r="ER158" s="344">
        <f t="shared" si="1250"/>
        <v>0</v>
      </c>
      <c r="ES158" s="344">
        <f t="shared" si="1250"/>
        <v>0</v>
      </c>
      <c r="ET158" s="344">
        <f t="shared" si="1250"/>
        <v>0</v>
      </c>
      <c r="EU158" s="344">
        <f t="shared" si="1250"/>
        <v>0</v>
      </c>
      <c r="EV158" s="344">
        <f t="shared" si="1250"/>
        <v>0</v>
      </c>
      <c r="EW158" s="344">
        <f t="shared" si="1250"/>
        <v>0</v>
      </c>
      <c r="EX158" s="344">
        <f t="shared" si="1250"/>
        <v>0</v>
      </c>
      <c r="EY158" s="344">
        <f>EY54</f>
        <v>0</v>
      </c>
      <c r="EZ158" s="344">
        <f>EZ54</f>
        <v>0</v>
      </c>
      <c r="FA158" s="344">
        <f t="shared" ref="FA158:FC158" si="1251">FA54</f>
        <v>0</v>
      </c>
      <c r="FB158" s="344">
        <f t="shared" si="1251"/>
        <v>0</v>
      </c>
      <c r="FC158" s="344">
        <f t="shared" si="1251"/>
        <v>0</v>
      </c>
      <c r="FD158" s="345">
        <f t="shared" ref="FD158" si="1252">FD54</f>
        <v>0</v>
      </c>
    </row>
    <row r="159" spans="1:170" ht="14.25" customHeight="1">
      <c r="A159" s="7"/>
      <c r="B159" s="43" t="s">
        <v>339</v>
      </c>
      <c r="C159" s="44"/>
      <c r="D159" s="203">
        <v>0</v>
      </c>
      <c r="E159" s="202">
        <f>D159</f>
        <v>0</v>
      </c>
      <c r="F159" s="202">
        <f>D159</f>
        <v>0</v>
      </c>
      <c r="G159" s="204">
        <f>D159</f>
        <v>0</v>
      </c>
      <c r="H159" s="203">
        <f>G162</f>
        <v>29.000000000000114</v>
      </c>
      <c r="I159" s="202">
        <f>H159</f>
        <v>29.000000000000114</v>
      </c>
      <c r="J159" s="202">
        <f>H159</f>
        <v>29.000000000000114</v>
      </c>
      <c r="K159" s="204">
        <f>H159</f>
        <v>29.000000000000114</v>
      </c>
      <c r="L159" s="207">
        <v>276.10000000000002</v>
      </c>
      <c r="M159" s="202">
        <f>L159</f>
        <v>276.10000000000002</v>
      </c>
      <c r="N159" s="202">
        <f>L159</f>
        <v>276.10000000000002</v>
      </c>
      <c r="O159" s="204">
        <f>L159</f>
        <v>276.10000000000002</v>
      </c>
      <c r="P159" s="203">
        <f>O162</f>
        <v>619.5</v>
      </c>
      <c r="Q159" s="202">
        <f>P159</f>
        <v>619.5</v>
      </c>
      <c r="R159" s="202">
        <f>P159</f>
        <v>619.5</v>
      </c>
      <c r="S159" s="204">
        <f>P159</f>
        <v>619.5</v>
      </c>
      <c r="T159" s="203">
        <f>S162</f>
        <v>558.6</v>
      </c>
      <c r="U159" s="202">
        <f>T159</f>
        <v>558.6</v>
      </c>
      <c r="V159" s="202">
        <f>T159</f>
        <v>558.6</v>
      </c>
      <c r="W159" s="204">
        <f>T159</f>
        <v>558.6</v>
      </c>
      <c r="X159" s="203">
        <f>W162</f>
        <v>294.60000000000002</v>
      </c>
      <c r="Y159" s="202">
        <f>X159</f>
        <v>294.60000000000002</v>
      </c>
      <c r="Z159" s="202">
        <f>X159</f>
        <v>294.60000000000002</v>
      </c>
      <c r="AA159" s="204">
        <f>X159</f>
        <v>294.60000000000002</v>
      </c>
      <c r="AB159" s="203">
        <f>AA162</f>
        <v>701.70000000000084</v>
      </c>
      <c r="AC159" s="202">
        <f>AB159</f>
        <v>701.70000000000084</v>
      </c>
      <c r="AD159" s="202">
        <f>AB159</f>
        <v>701.70000000000084</v>
      </c>
      <c r="AE159" s="204">
        <f>AB159</f>
        <v>701.70000000000084</v>
      </c>
      <c r="AF159" s="203">
        <f>AE162</f>
        <v>469.10000000000127</v>
      </c>
      <c r="AG159" s="202">
        <f>AF159</f>
        <v>469.10000000000127</v>
      </c>
      <c r="AH159" s="202">
        <f>AF159</f>
        <v>469.10000000000127</v>
      </c>
      <c r="AI159" s="204">
        <f>AF159</f>
        <v>469.10000000000127</v>
      </c>
      <c r="AJ159" s="203">
        <f>AI162</f>
        <v>398.20000000000084</v>
      </c>
      <c r="AK159" s="202">
        <f>AJ159</f>
        <v>398.20000000000084</v>
      </c>
      <c r="AL159" s="202">
        <f>AJ159</f>
        <v>398.20000000000084</v>
      </c>
      <c r="AM159" s="204">
        <f>AJ159</f>
        <v>398.20000000000084</v>
      </c>
      <c r="AN159" s="203">
        <f>AM162</f>
        <v>568.30000000000132</v>
      </c>
      <c r="AO159" s="202">
        <f>AN159</f>
        <v>568.30000000000132</v>
      </c>
      <c r="AP159" s="202">
        <f>AN159</f>
        <v>568.30000000000132</v>
      </c>
      <c r="AQ159" s="204">
        <f>AN159</f>
        <v>568.30000000000132</v>
      </c>
      <c r="AR159" s="203">
        <f>AQ162</f>
        <v>484.10000000000122</v>
      </c>
      <c r="AS159" s="202">
        <f>AR159</f>
        <v>484.10000000000122</v>
      </c>
      <c r="AT159" s="202">
        <f>AR159</f>
        <v>484.10000000000122</v>
      </c>
      <c r="AU159" s="204">
        <f>AR159</f>
        <v>484.10000000000122</v>
      </c>
      <c r="AV159" s="203">
        <f>AU162</f>
        <v>522.50000000000148</v>
      </c>
      <c r="AW159" s="202">
        <f>AV159</f>
        <v>522.50000000000148</v>
      </c>
      <c r="AX159" s="202">
        <f>AV159</f>
        <v>522.50000000000148</v>
      </c>
      <c r="AY159" s="204">
        <f>AV159</f>
        <v>522.50000000000148</v>
      </c>
      <c r="AZ159" s="203">
        <f>AY162</f>
        <v>1431.3000000000015</v>
      </c>
      <c r="BA159" s="202">
        <f>AZ159</f>
        <v>1431.3000000000015</v>
      </c>
      <c r="BB159" s="202">
        <f>AZ159</f>
        <v>1431.3000000000015</v>
      </c>
      <c r="BC159" s="204">
        <f>AZ159</f>
        <v>1431.3000000000015</v>
      </c>
      <c r="BD159" s="203">
        <f>BC164</f>
        <v>2192</v>
      </c>
      <c r="BE159" s="202">
        <f>BD159</f>
        <v>2192</v>
      </c>
      <c r="BF159" s="202">
        <f>BD159</f>
        <v>2192</v>
      </c>
      <c r="BG159" s="204">
        <f>BD159</f>
        <v>2192</v>
      </c>
      <c r="BH159" s="203">
        <f>BG162</f>
        <v>1243</v>
      </c>
      <c r="BI159" s="202">
        <f>BH159</f>
        <v>1243</v>
      </c>
      <c r="BJ159" s="202">
        <f>BH159</f>
        <v>1243</v>
      </c>
      <c r="BK159" s="204">
        <f>BH159</f>
        <v>1243</v>
      </c>
      <c r="BL159" s="203">
        <f>BK162</f>
        <v>1485</v>
      </c>
      <c r="BM159" s="202">
        <f>BL159</f>
        <v>1485</v>
      </c>
      <c r="BN159" s="202">
        <f>BL159</f>
        <v>1485</v>
      </c>
      <c r="BO159" s="204">
        <f>BL159</f>
        <v>1485</v>
      </c>
      <c r="BP159" s="203">
        <f>BO162</f>
        <v>2913</v>
      </c>
      <c r="BQ159" s="202">
        <f>BP159</f>
        <v>2913</v>
      </c>
      <c r="BR159" s="202">
        <f>BP159</f>
        <v>2913</v>
      </c>
      <c r="BS159" s="204">
        <f>BP159</f>
        <v>2913</v>
      </c>
      <c r="BT159" s="203">
        <f>BS162</f>
        <v>2160</v>
      </c>
      <c r="BU159" s="202">
        <f>BT159</f>
        <v>2160</v>
      </c>
      <c r="BV159" s="202">
        <f>BT159</f>
        <v>2160</v>
      </c>
      <c r="BW159" s="204">
        <f>BT159</f>
        <v>2160</v>
      </c>
      <c r="BX159" s="203">
        <f>BW162</f>
        <v>2459</v>
      </c>
      <c r="BY159" s="202">
        <f>BX159</f>
        <v>2459</v>
      </c>
      <c r="BZ159" s="202">
        <f>BX159</f>
        <v>2459</v>
      </c>
      <c r="CA159" s="204">
        <f>BX159</f>
        <v>2459</v>
      </c>
      <c r="CB159" s="203">
        <f>CA162</f>
        <v>2880</v>
      </c>
      <c r="CC159" s="202">
        <f>CB159</f>
        <v>2880</v>
      </c>
      <c r="CD159" s="202">
        <f>CB159</f>
        <v>2880</v>
      </c>
      <c r="CE159" s="204">
        <f>CB159</f>
        <v>2880</v>
      </c>
      <c r="CF159" s="203">
        <f>CE162</f>
        <v>4150</v>
      </c>
      <c r="CG159" s="202">
        <f>CF159</f>
        <v>4150</v>
      </c>
      <c r="CH159" s="202">
        <f>CF159</f>
        <v>4150</v>
      </c>
      <c r="CI159" s="204">
        <f>CF159</f>
        <v>4150</v>
      </c>
      <c r="CJ159" s="203">
        <f>CI162</f>
        <v>2287</v>
      </c>
      <c r="CK159" s="202">
        <f>CJ159</f>
        <v>2287</v>
      </c>
      <c r="CL159" s="202">
        <f>CJ159</f>
        <v>2287</v>
      </c>
      <c r="CM159" s="204">
        <f>CJ159</f>
        <v>2287</v>
      </c>
      <c r="CN159" s="203">
        <f>CM162</f>
        <v>4140</v>
      </c>
      <c r="CO159" s="202">
        <f>CN159</f>
        <v>4140</v>
      </c>
      <c r="CP159" s="202">
        <f>CN159</f>
        <v>4140</v>
      </c>
      <c r="CQ159" s="204">
        <f>CN159</f>
        <v>4140</v>
      </c>
      <c r="CR159" s="203">
        <f>CQ162</f>
        <v>5109</v>
      </c>
      <c r="CS159" s="202">
        <f>CR159</f>
        <v>5109</v>
      </c>
      <c r="CT159" s="202">
        <f>CR159</f>
        <v>5109</v>
      </c>
      <c r="CU159" s="204">
        <f>CR159</f>
        <v>5109</v>
      </c>
      <c r="CV159" s="203">
        <f>CU162</f>
        <v>14846.052040939894</v>
      </c>
      <c r="CW159" s="202">
        <f>CV159</f>
        <v>14846.052040939894</v>
      </c>
      <c r="CX159" s="202">
        <f>CV159</f>
        <v>14846.052040939894</v>
      </c>
      <c r="CY159" s="204">
        <f>CV159</f>
        <v>14846.052040939894</v>
      </c>
      <c r="CZ159" s="203">
        <f>CY162</f>
        <v>19959.946412183031</v>
      </c>
      <c r="DA159" s="202">
        <f>CZ159</f>
        <v>19959.946412183031</v>
      </c>
      <c r="DB159" s="202">
        <f>CZ159</f>
        <v>19959.946412183031</v>
      </c>
      <c r="DC159" s="204">
        <f>CZ159</f>
        <v>19959.946412183031</v>
      </c>
      <c r="DD159" s="153"/>
      <c r="DE159" s="202">
        <f t="shared" si="1239"/>
        <v>29.000000000000057</v>
      </c>
      <c r="DF159" s="202">
        <f t="shared" si="1239"/>
        <v>58.000000000000114</v>
      </c>
      <c r="DG159" s="202">
        <f t="shared" si="1239"/>
        <v>276.10000000000002</v>
      </c>
      <c r="DH159" s="202">
        <f t="shared" ref="DH159:DN159" si="1253">DH55</f>
        <v>619.50000000000023</v>
      </c>
      <c r="DI159" s="202">
        <f t="shared" si="1253"/>
        <v>558.60000000000036</v>
      </c>
      <c r="DJ159" s="202">
        <f t="shared" si="1253"/>
        <v>294.60000000000019</v>
      </c>
      <c r="DK159" s="202">
        <f t="shared" si="1253"/>
        <v>701.70000000000027</v>
      </c>
      <c r="DL159" s="202">
        <f t="shared" si="1253"/>
        <v>469.10000000000065</v>
      </c>
      <c r="DM159" s="202">
        <f t="shared" si="1253"/>
        <v>398.2</v>
      </c>
      <c r="DN159" s="202">
        <f t="shared" si="1253"/>
        <v>568.29999999999995</v>
      </c>
      <c r="DO159" s="202">
        <f t="shared" ref="DO159:DR160" si="1254">DO55</f>
        <v>484.09999999999991</v>
      </c>
      <c r="DP159" s="202">
        <f t="shared" si="1254"/>
        <v>522.50000000000011</v>
      </c>
      <c r="DQ159" s="202">
        <f t="shared" si="1254"/>
        <v>1431.3000000000004</v>
      </c>
      <c r="DR159" s="202">
        <f t="shared" si="1254"/>
        <v>2192.0000000000005</v>
      </c>
      <c r="DS159" s="202">
        <f>DR162</f>
        <v>1243.0000000000005</v>
      </c>
      <c r="DT159" s="202">
        <f t="shared" ref="DT159:DY159" si="1255">DS162</f>
        <v>1485.0000000000005</v>
      </c>
      <c r="DU159" s="202">
        <f t="shared" si="1255"/>
        <v>2913.0000000000005</v>
      </c>
      <c r="DV159" s="202">
        <f>DU162</f>
        <v>2160.0000000000005</v>
      </c>
      <c r="DW159" s="202">
        <f>DV162</f>
        <v>2459.0000000000005</v>
      </c>
      <c r="DX159" s="202">
        <f t="shared" si="1255"/>
        <v>2880.0000000000005</v>
      </c>
      <c r="DY159" s="202">
        <f t="shared" si="1255"/>
        <v>4150</v>
      </c>
      <c r="DZ159" s="202">
        <f>DY162</f>
        <v>2287</v>
      </c>
      <c r="EA159" s="202">
        <f>DZ162</f>
        <v>4140</v>
      </c>
      <c r="EB159" s="202">
        <f>EA162</f>
        <v>5109</v>
      </c>
      <c r="EC159" s="202">
        <f>EB162</f>
        <v>14846.052040939892</v>
      </c>
      <c r="ED159" s="202">
        <f>EC162</f>
        <v>19959.946412183031</v>
      </c>
      <c r="EE159" s="18"/>
      <c r="EF159" s="340"/>
      <c r="EG159" s="341"/>
      <c r="EH159" s="341">
        <f t="shared" ref="EH159:EO159" si="1256">EH55</f>
        <v>222.30000000000004</v>
      </c>
      <c r="EI159" s="341">
        <f t="shared" si="1256"/>
        <v>342.4000000000002</v>
      </c>
      <c r="EJ159" s="341">
        <f t="shared" si="1256"/>
        <v>765.70000000000027</v>
      </c>
      <c r="EK159" s="341">
        <f t="shared" si="1256"/>
        <v>441.60000000000099</v>
      </c>
      <c r="EL159" s="341">
        <f t="shared" si="1256"/>
        <v>568.70000000000027</v>
      </c>
      <c r="EM159" s="341">
        <f t="shared" si="1256"/>
        <v>357.90000000000049</v>
      </c>
      <c r="EN159" s="341">
        <f t="shared" si="1256"/>
        <v>401.3</v>
      </c>
      <c r="EO159" s="341">
        <f t="shared" si="1256"/>
        <v>486.30000000000007</v>
      </c>
      <c r="EP159" s="341">
        <f>EP55</f>
        <v>318.79999999999995</v>
      </c>
      <c r="EQ159" s="341">
        <f>EQ55</f>
        <v>661.10000000000014</v>
      </c>
      <c r="ER159" s="341">
        <f>ER55</f>
        <v>1303.0000000000002</v>
      </c>
      <c r="ES159" s="341">
        <f t="shared" ref="ES159:EZ159" si="1257">ER162</f>
        <v>1880.0000000000002</v>
      </c>
      <c r="ET159" s="341">
        <f t="shared" si="1257"/>
        <v>1025.0000000000002</v>
      </c>
      <c r="EU159" s="341">
        <f t="shared" si="1257"/>
        <v>1565.0000000000002</v>
      </c>
      <c r="EV159" s="341">
        <f t="shared" si="1257"/>
        <v>2411</v>
      </c>
      <c r="EW159" s="341">
        <f t="shared" si="1257"/>
        <v>1915</v>
      </c>
      <c r="EX159" s="341">
        <f t="shared" si="1257"/>
        <v>2102</v>
      </c>
      <c r="EY159" s="341">
        <f t="shared" si="1257"/>
        <v>3654</v>
      </c>
      <c r="EZ159" s="341">
        <f t="shared" si="1257"/>
        <v>3764</v>
      </c>
      <c r="FA159" s="341">
        <f t="shared" ref="FA159" si="1258">EZ162</f>
        <v>2605</v>
      </c>
      <c r="FB159" s="341">
        <f t="shared" ref="FB159" si="1259">FA162</f>
        <v>4139</v>
      </c>
      <c r="FC159" s="341">
        <f t="shared" ref="FC159:FD159" si="1260">FB162</f>
        <v>6008</v>
      </c>
      <c r="FD159" s="342">
        <f t="shared" si="1260"/>
        <v>16698.994975012749</v>
      </c>
    </row>
    <row r="160" spans="1:170" s="328" customFormat="1" ht="14.25" customHeight="1">
      <c r="A160" s="270"/>
      <c r="B160" s="326" t="s">
        <v>340</v>
      </c>
      <c r="C160" s="327"/>
      <c r="D160" s="336"/>
      <c r="E160" s="334"/>
      <c r="F160" s="334"/>
      <c r="G160" s="335"/>
      <c r="H160" s="336"/>
      <c r="I160" s="334"/>
      <c r="J160" s="334"/>
      <c r="K160" s="335"/>
      <c r="L160" s="336"/>
      <c r="M160" s="334"/>
      <c r="N160" s="334"/>
      <c r="O160" s="335"/>
      <c r="P160" s="336"/>
      <c r="Q160" s="334"/>
      <c r="R160" s="334"/>
      <c r="S160" s="335"/>
      <c r="T160" s="336"/>
      <c r="U160" s="334"/>
      <c r="V160" s="334"/>
      <c r="W160" s="335"/>
      <c r="X160" s="336"/>
      <c r="Y160" s="334"/>
      <c r="Z160" s="334"/>
      <c r="AA160" s="335"/>
      <c r="AB160" s="336"/>
      <c r="AC160" s="334"/>
      <c r="AD160" s="334"/>
      <c r="AE160" s="335"/>
      <c r="AF160" s="336"/>
      <c r="AG160" s="334"/>
      <c r="AH160" s="334"/>
      <c r="AI160" s="335"/>
      <c r="AJ160" s="336"/>
      <c r="AK160" s="334"/>
      <c r="AL160" s="334"/>
      <c r="AM160" s="335"/>
      <c r="AN160" s="336"/>
      <c r="AO160" s="334"/>
      <c r="AP160" s="334"/>
      <c r="AQ160" s="335"/>
      <c r="AR160" s="336"/>
      <c r="AS160" s="334"/>
      <c r="AT160" s="334"/>
      <c r="AU160" s="335"/>
      <c r="AV160" s="336"/>
      <c r="AW160" s="334"/>
      <c r="AX160" s="334"/>
      <c r="AY160" s="335"/>
      <c r="AZ160" s="336"/>
      <c r="BA160" s="334"/>
      <c r="BB160" s="334"/>
      <c r="BC160" s="335"/>
      <c r="BD160" s="336"/>
      <c r="BE160" s="334"/>
      <c r="BF160" s="334"/>
      <c r="BG160" s="335"/>
      <c r="BH160" s="336"/>
      <c r="BI160" s="334"/>
      <c r="BJ160" s="334"/>
      <c r="BK160" s="335"/>
      <c r="BL160" s="336"/>
      <c r="BM160" s="334"/>
      <c r="BN160" s="334"/>
      <c r="BO160" s="335"/>
      <c r="BP160" s="336"/>
      <c r="BQ160" s="334"/>
      <c r="BR160" s="334"/>
      <c r="BS160" s="335"/>
      <c r="BT160" s="336"/>
      <c r="BU160" s="334"/>
      <c r="BV160" s="334"/>
      <c r="BW160" s="306">
        <f>BV160+BW56</f>
        <v>0</v>
      </c>
      <c r="BX160" s="336"/>
      <c r="BY160" s="334"/>
      <c r="BZ160" s="334"/>
      <c r="CA160" s="306"/>
      <c r="CB160" s="336"/>
      <c r="CC160" s="305"/>
      <c r="CD160" s="334"/>
      <c r="CE160" s="306"/>
      <c r="CF160" s="336">
        <v>0</v>
      </c>
      <c r="CG160" s="305">
        <v>0</v>
      </c>
      <c r="CH160" s="334">
        <v>0</v>
      </c>
      <c r="CI160" s="305">
        <v>0</v>
      </c>
      <c r="CJ160" s="336"/>
      <c r="CK160" s="305">
        <v>0</v>
      </c>
      <c r="CL160" s="334">
        <v>0</v>
      </c>
      <c r="CM160" s="192">
        <v>0</v>
      </c>
      <c r="CN160" s="336"/>
      <c r="CO160" s="305">
        <v>0</v>
      </c>
      <c r="CP160" s="334">
        <v>0</v>
      </c>
      <c r="CQ160" s="192">
        <v>16</v>
      </c>
      <c r="CR160" s="336">
        <v>-15</v>
      </c>
      <c r="CS160" s="1445">
        <v>52</v>
      </c>
      <c r="CT160" s="338">
        <f t="shared" ref="CT160" si="1261">CS160+CT56</f>
        <v>52</v>
      </c>
      <c r="CU160" s="189">
        <f t="shared" ref="CU160" si="1262">CT160+CU56</f>
        <v>52</v>
      </c>
      <c r="CV160" s="336"/>
      <c r="CW160" s="305">
        <f t="shared" ref="CW160" si="1263">CV160+CW56</f>
        <v>0</v>
      </c>
      <c r="CX160" s="334">
        <f t="shared" ref="CX160" si="1264">CW160+CX56</f>
        <v>0</v>
      </c>
      <c r="CY160" s="306">
        <f t="shared" ref="CY160" si="1265">CX160+CY56</f>
        <v>0</v>
      </c>
      <c r="CZ160" s="336"/>
      <c r="DA160" s="305">
        <f t="shared" ref="DA160" si="1266">CZ160+DA56</f>
        <v>0</v>
      </c>
      <c r="DB160" s="334">
        <f t="shared" ref="DB160" si="1267">DA160+DB56</f>
        <v>0</v>
      </c>
      <c r="DC160" s="306">
        <f t="shared" ref="DC160" si="1268">DB160+DC56</f>
        <v>0</v>
      </c>
      <c r="DD160" s="329"/>
      <c r="DE160" s="305">
        <f t="shared" si="1239"/>
        <v>0</v>
      </c>
      <c r="DF160" s="305">
        <f t="shared" si="1239"/>
        <v>0</v>
      </c>
      <c r="DG160" s="305">
        <f t="shared" si="1239"/>
        <v>0</v>
      </c>
      <c r="DH160" s="305">
        <f t="shared" ref="DH160:DN160" si="1269">DH56</f>
        <v>0</v>
      </c>
      <c r="DI160" s="305">
        <f t="shared" si="1269"/>
        <v>0</v>
      </c>
      <c r="DJ160" s="305">
        <f t="shared" si="1269"/>
        <v>0</v>
      </c>
      <c r="DK160" s="305">
        <f t="shared" si="1269"/>
        <v>0</v>
      </c>
      <c r="DL160" s="305">
        <f t="shared" si="1269"/>
        <v>0</v>
      </c>
      <c r="DM160" s="305">
        <f t="shared" si="1269"/>
        <v>0</v>
      </c>
      <c r="DN160" s="305">
        <f t="shared" si="1269"/>
        <v>0</v>
      </c>
      <c r="DO160" s="305">
        <f t="shared" si="1254"/>
        <v>0</v>
      </c>
      <c r="DP160" s="305">
        <f t="shared" si="1254"/>
        <v>0</v>
      </c>
      <c r="DQ160" s="305">
        <f t="shared" si="1254"/>
        <v>0</v>
      </c>
      <c r="DR160" s="305">
        <f t="shared" si="1254"/>
        <v>0</v>
      </c>
      <c r="DS160" s="305">
        <f t="shared" ref="DS160:EB160" si="1270">DS56</f>
        <v>0</v>
      </c>
      <c r="DT160" s="305">
        <f t="shared" si="1270"/>
        <v>0</v>
      </c>
      <c r="DU160" s="305">
        <f t="shared" si="1270"/>
        <v>0</v>
      </c>
      <c r="DV160" s="305">
        <f t="shared" si="1270"/>
        <v>0</v>
      </c>
      <c r="DW160" s="305">
        <f t="shared" si="1270"/>
        <v>0</v>
      </c>
      <c r="DX160" s="305">
        <f t="shared" si="1270"/>
        <v>0</v>
      </c>
      <c r="DY160" s="305">
        <f t="shared" si="1270"/>
        <v>0</v>
      </c>
      <c r="DZ160" s="305">
        <f>CM160</f>
        <v>0</v>
      </c>
      <c r="EA160" s="305">
        <f t="shared" si="1270"/>
        <v>16</v>
      </c>
      <c r="EB160" s="305">
        <f t="shared" si="1270"/>
        <v>51.999999999999091</v>
      </c>
      <c r="EC160" s="305">
        <f t="shared" ref="EC160:ED160" si="1271">EC56</f>
        <v>0</v>
      </c>
      <c r="ED160" s="305">
        <f t="shared" si="1271"/>
        <v>0</v>
      </c>
      <c r="EE160" s="315"/>
      <c r="EF160" s="340"/>
      <c r="EG160" s="341"/>
      <c r="EH160" s="341">
        <f t="shared" ref="EH160:EO160" si="1272">EH56</f>
        <v>0</v>
      </c>
      <c r="EI160" s="341">
        <f t="shared" si="1272"/>
        <v>0</v>
      </c>
      <c r="EJ160" s="341">
        <f t="shared" si="1272"/>
        <v>0</v>
      </c>
      <c r="EK160" s="341">
        <f t="shared" si="1272"/>
        <v>0</v>
      </c>
      <c r="EL160" s="341">
        <f t="shared" si="1272"/>
        <v>0</v>
      </c>
      <c r="EM160" s="341">
        <f t="shared" si="1272"/>
        <v>0</v>
      </c>
      <c r="EN160" s="341">
        <f t="shared" si="1272"/>
        <v>0</v>
      </c>
      <c r="EO160" s="341">
        <f t="shared" si="1272"/>
        <v>0</v>
      </c>
      <c r="EP160" s="341">
        <f t="shared" ref="EP160:EX160" si="1273">EP56</f>
        <v>0</v>
      </c>
      <c r="EQ160" s="341">
        <f t="shared" si="1273"/>
        <v>0</v>
      </c>
      <c r="ER160" s="341">
        <f t="shared" si="1273"/>
        <v>0</v>
      </c>
      <c r="ES160" s="341">
        <f t="shared" si="1273"/>
        <v>0</v>
      </c>
      <c r="ET160" s="341">
        <f t="shared" si="1273"/>
        <v>0</v>
      </c>
      <c r="EU160" s="341">
        <f t="shared" si="1273"/>
        <v>0</v>
      </c>
      <c r="EV160" s="341">
        <f t="shared" si="1273"/>
        <v>0</v>
      </c>
      <c r="EW160" s="341">
        <f t="shared" si="1273"/>
        <v>0</v>
      </c>
      <c r="EX160" s="341">
        <f t="shared" si="1273"/>
        <v>0</v>
      </c>
      <c r="EY160" s="341">
        <f>EY56</f>
        <v>0</v>
      </c>
      <c r="EZ160" s="341">
        <f>EZ56</f>
        <v>0</v>
      </c>
      <c r="FA160" s="341">
        <f t="shared" ref="FA160:FC160" si="1274">FA56</f>
        <v>0</v>
      </c>
      <c r="FB160" s="341">
        <f t="shared" si="1274"/>
        <v>1</v>
      </c>
      <c r="FC160" s="341">
        <f t="shared" si="1274"/>
        <v>66.999999999999091</v>
      </c>
      <c r="FD160" s="342">
        <f t="shared" ref="FD160" si="1275">FD56</f>
        <v>0</v>
      </c>
      <c r="FE160"/>
      <c r="FF160"/>
      <c r="FG160"/>
      <c r="FH160"/>
      <c r="FI160"/>
      <c r="FJ160"/>
      <c r="FK160"/>
      <c r="FL160"/>
      <c r="FM160"/>
      <c r="FN160"/>
    </row>
    <row r="161" spans="1:160" ht="14.25" customHeight="1">
      <c r="A161" s="7"/>
      <c r="B161" s="199" t="s">
        <v>342</v>
      </c>
      <c r="C161" s="200"/>
      <c r="D161" s="203">
        <f t="shared" ref="D161:AI161" si="1276">D155+D143+D132+D157</f>
        <v>0</v>
      </c>
      <c r="E161" s="202">
        <f t="shared" si="1276"/>
        <v>0</v>
      </c>
      <c r="F161" s="202">
        <f t="shared" si="1276"/>
        <v>29.000000000000114</v>
      </c>
      <c r="G161" s="204">
        <f t="shared" si="1276"/>
        <v>29.000000000000114</v>
      </c>
      <c r="H161" s="203">
        <f t="shared" si="1276"/>
        <v>-3.7000000000001023</v>
      </c>
      <c r="I161" s="202">
        <f t="shared" si="1276"/>
        <v>-31.600000000000136</v>
      </c>
      <c r="J161" s="202">
        <f t="shared" si="1276"/>
        <v>-33.60000000000025</v>
      </c>
      <c r="K161" s="204">
        <f t="shared" si="1276"/>
        <v>-38.000000000000341</v>
      </c>
      <c r="L161" s="203">
        <f t="shared" si="1276"/>
        <v>-53.799999999999983</v>
      </c>
      <c r="M161" s="202">
        <f t="shared" si="1276"/>
        <v>306.80000000000013</v>
      </c>
      <c r="N161" s="202">
        <f t="shared" si="1276"/>
        <v>157.39999999999998</v>
      </c>
      <c r="O161" s="204">
        <f t="shared" si="1276"/>
        <v>343.4</v>
      </c>
      <c r="P161" s="203">
        <f t="shared" si="1276"/>
        <v>-277.09999999999997</v>
      </c>
      <c r="Q161" s="202">
        <f t="shared" si="1276"/>
        <v>-58.999999999999929</v>
      </c>
      <c r="R161" s="202">
        <f t="shared" si="1276"/>
        <v>-112.70000000000003</v>
      </c>
      <c r="S161" s="204">
        <f t="shared" si="1276"/>
        <v>-60.899999999999977</v>
      </c>
      <c r="T161" s="203">
        <f t="shared" si="1276"/>
        <v>207.09999999999997</v>
      </c>
      <c r="U161" s="202">
        <f t="shared" si="1276"/>
        <v>-129.69999999999902</v>
      </c>
      <c r="V161" s="202">
        <f t="shared" si="1276"/>
        <v>-208</v>
      </c>
      <c r="W161" s="204">
        <f t="shared" si="1276"/>
        <v>-264</v>
      </c>
      <c r="X161" s="203">
        <f t="shared" si="1276"/>
        <v>147.00000000000085</v>
      </c>
      <c r="Y161" s="202">
        <f t="shared" si="1276"/>
        <v>135.29999999999995</v>
      </c>
      <c r="Z161" s="202">
        <f t="shared" si="1276"/>
        <v>88.599999999999909</v>
      </c>
      <c r="AA161" s="204">
        <f t="shared" si="1276"/>
        <v>407.10000000000082</v>
      </c>
      <c r="AB161" s="203">
        <f t="shared" si="1276"/>
        <v>-133</v>
      </c>
      <c r="AC161" s="202">
        <f t="shared" si="1276"/>
        <v>-101.80000000000018</v>
      </c>
      <c r="AD161" s="202">
        <f t="shared" si="1276"/>
        <v>-79</v>
      </c>
      <c r="AE161" s="204">
        <f t="shared" si="1276"/>
        <v>-232.59999999999957</v>
      </c>
      <c r="AF161" s="203">
        <f t="shared" si="1276"/>
        <v>-111.20000000000016</v>
      </c>
      <c r="AG161" s="202">
        <f t="shared" si="1276"/>
        <v>208.8</v>
      </c>
      <c r="AH161" s="202">
        <f t="shared" si="1276"/>
        <v>-135.40000000000066</v>
      </c>
      <c r="AI161" s="204">
        <f t="shared" si="1276"/>
        <v>-70.900000000000432</v>
      </c>
      <c r="AJ161" s="203">
        <f t="shared" ref="AJ161:BO161" si="1277">AJ155+AJ143+AJ132+AJ157</f>
        <v>3.1000000000000227</v>
      </c>
      <c r="AK161" s="202">
        <f t="shared" si="1277"/>
        <v>514.9</v>
      </c>
      <c r="AL161" s="202">
        <f t="shared" si="1277"/>
        <v>279.60000000000025</v>
      </c>
      <c r="AM161" s="204">
        <f t="shared" si="1277"/>
        <v>170.10000000000048</v>
      </c>
      <c r="AN161" s="203">
        <f t="shared" si="1277"/>
        <v>-81.999999999999943</v>
      </c>
      <c r="AO161" s="202">
        <f t="shared" si="1277"/>
        <v>-61.099999999999795</v>
      </c>
      <c r="AP161" s="202">
        <f t="shared" si="1277"/>
        <v>-241.19999999999987</v>
      </c>
      <c r="AQ161" s="204">
        <f t="shared" si="1277"/>
        <v>-84.200000000000088</v>
      </c>
      <c r="AR161" s="203">
        <f t="shared" si="1277"/>
        <v>-165.3</v>
      </c>
      <c r="AS161" s="202">
        <f t="shared" si="1277"/>
        <v>-126.59999999999995</v>
      </c>
      <c r="AT161" s="202">
        <f t="shared" si="1277"/>
        <v>-15.8</v>
      </c>
      <c r="AU161" s="204">
        <f t="shared" si="1277"/>
        <v>38.400000000000276</v>
      </c>
      <c r="AV161" s="203">
        <f t="shared" si="1277"/>
        <v>138.59999999999997</v>
      </c>
      <c r="AW161" s="202">
        <f t="shared" si="1277"/>
        <v>1013.1</v>
      </c>
      <c r="AX161" s="202">
        <f t="shared" si="1277"/>
        <v>945.19999999999993</v>
      </c>
      <c r="AY161" s="204">
        <f t="shared" si="1277"/>
        <v>908.8</v>
      </c>
      <c r="AZ161" s="203">
        <f t="shared" si="1277"/>
        <v>-128.30000000000001</v>
      </c>
      <c r="BA161" s="202">
        <f t="shared" si="1277"/>
        <v>134.69999999999999</v>
      </c>
      <c r="BB161" s="202">
        <f t="shared" si="1277"/>
        <v>1235.7</v>
      </c>
      <c r="BC161" s="204">
        <f t="shared" si="1277"/>
        <v>760.7</v>
      </c>
      <c r="BD161" s="203">
        <f t="shared" si="1277"/>
        <v>-312</v>
      </c>
      <c r="BE161" s="202">
        <f t="shared" si="1277"/>
        <v>-484</v>
      </c>
      <c r="BF161" s="202">
        <f t="shared" si="1277"/>
        <v>-718</v>
      </c>
      <c r="BG161" s="204">
        <f t="shared" si="1277"/>
        <v>-949</v>
      </c>
      <c r="BH161" s="203">
        <f t="shared" si="1277"/>
        <v>-218</v>
      </c>
      <c r="BI161" s="202">
        <f t="shared" si="1277"/>
        <v>-311</v>
      </c>
      <c r="BJ161" s="202">
        <f t="shared" si="1277"/>
        <v>63</v>
      </c>
      <c r="BK161" s="204">
        <f t="shared" si="1277"/>
        <v>242</v>
      </c>
      <c r="BL161" s="203">
        <f t="shared" si="1277"/>
        <v>80</v>
      </c>
      <c r="BM161" s="202">
        <f t="shared" si="1277"/>
        <v>385</v>
      </c>
      <c r="BN161" s="202">
        <f t="shared" si="1277"/>
        <v>828</v>
      </c>
      <c r="BO161" s="204">
        <f t="shared" si="1277"/>
        <v>1428</v>
      </c>
      <c r="BP161" s="203">
        <f t="shared" ref="BP161:CI161" si="1278">BP155+BP143+BP132+BP157</f>
        <v>-502</v>
      </c>
      <c r="BQ161" s="202">
        <f t="shared" si="1278"/>
        <v>-729</v>
      </c>
      <c r="BR161" s="202">
        <f t="shared" si="1278"/>
        <v>-518</v>
      </c>
      <c r="BS161" s="204">
        <f t="shared" si="1278"/>
        <v>-753</v>
      </c>
      <c r="BT161" s="203">
        <f t="shared" si="1278"/>
        <v>-245</v>
      </c>
      <c r="BU161" s="202">
        <f t="shared" si="1278"/>
        <v>-66</v>
      </c>
      <c r="BV161" s="202">
        <f t="shared" si="1278"/>
        <v>31</v>
      </c>
      <c r="BW161" s="204">
        <f t="shared" si="1278"/>
        <v>299</v>
      </c>
      <c r="BX161" s="203">
        <f t="shared" ref="BX161:CC161" si="1279">BX155+BX143+BX132+BX157</f>
        <v>-357</v>
      </c>
      <c r="BY161" s="202">
        <f t="shared" si="1279"/>
        <v>-398</v>
      </c>
      <c r="BZ161" s="202">
        <f t="shared" si="1279"/>
        <v>-19</v>
      </c>
      <c r="CA161" s="204">
        <f t="shared" si="1279"/>
        <v>421</v>
      </c>
      <c r="CB161" s="203">
        <f t="shared" si="1279"/>
        <v>774</v>
      </c>
      <c r="CC161" s="202">
        <f t="shared" si="1279"/>
        <v>1425</v>
      </c>
      <c r="CD161" s="202">
        <f>CD155+CD143+CD132+CD157</f>
        <v>1182</v>
      </c>
      <c r="CE161" s="204">
        <f t="shared" si="1278"/>
        <v>1270</v>
      </c>
      <c r="CF161" s="203">
        <f t="shared" si="1278"/>
        <v>-386</v>
      </c>
      <c r="CG161" s="202">
        <f t="shared" si="1278"/>
        <v>-603</v>
      </c>
      <c r="CH161" s="202">
        <f t="shared" si="1278"/>
        <v>-456</v>
      </c>
      <c r="CI161" s="204">
        <f t="shared" si="1278"/>
        <v>-1863</v>
      </c>
      <c r="CJ161" s="203">
        <f t="shared" ref="CJ161:CM161" si="1280">CJ155+CJ143+CJ132+CJ157</f>
        <v>318</v>
      </c>
      <c r="CK161" s="202">
        <f t="shared" si="1280"/>
        <v>791</v>
      </c>
      <c r="CL161" s="202">
        <f t="shared" si="1280"/>
        <v>2340</v>
      </c>
      <c r="CM161" s="204">
        <f t="shared" si="1280"/>
        <v>1853</v>
      </c>
      <c r="CN161" s="203">
        <f t="shared" ref="CN161:CQ161" si="1281">CN155+CN143+CN132+CN157</f>
        <v>-1</v>
      </c>
      <c r="CO161" s="202">
        <f t="shared" si="1281"/>
        <v>-507</v>
      </c>
      <c r="CP161" s="202">
        <f t="shared" si="1281"/>
        <v>-75</v>
      </c>
      <c r="CQ161" s="204">
        <f t="shared" si="1281"/>
        <v>953</v>
      </c>
      <c r="CR161" s="203">
        <f t="shared" ref="CR161" si="1282">CR155+CR143+CR132+CR157</f>
        <v>914</v>
      </c>
      <c r="CS161" s="202">
        <f t="shared" ref="CS161:CU161" si="1283">CS155+CS143+CS132+CS157</f>
        <v>2715</v>
      </c>
      <c r="CT161" s="202">
        <f t="shared" si="1283"/>
        <v>6714.9751690874036</v>
      </c>
      <c r="CU161" s="204">
        <f t="shared" si="1283"/>
        <v>9685.0520409398941</v>
      </c>
      <c r="CV161" s="203">
        <f t="shared" ref="CV161:CY161" si="1284">CV155+CV143+CV132+CV157</f>
        <v>1852.9429340728511</v>
      </c>
      <c r="CW161" s="202">
        <f t="shared" si="1284"/>
        <v>3391.1067785452615</v>
      </c>
      <c r="CX161" s="202">
        <f t="shared" si="1284"/>
        <v>4427.9633218276085</v>
      </c>
      <c r="CY161" s="204">
        <f t="shared" si="1284"/>
        <v>5113.8943712431374</v>
      </c>
      <c r="CZ161" s="203">
        <f t="shared" ref="CZ161:DC161" si="1285">CZ155+CZ143+CZ132+CZ157</f>
        <v>773.64823990020841</v>
      </c>
      <c r="DA161" s="202">
        <f t="shared" si="1285"/>
        <v>1061.9144765225356</v>
      </c>
      <c r="DB161" s="202">
        <f t="shared" si="1285"/>
        <v>1399.3590679503723</v>
      </c>
      <c r="DC161" s="204">
        <f t="shared" si="1285"/>
        <v>1666.2015158266004</v>
      </c>
      <c r="DD161" s="153"/>
      <c r="DE161" s="202">
        <f t="shared" ref="DE161:EB161" si="1286">DE155+DE143+DE132+DE157</f>
        <v>29</v>
      </c>
      <c r="DF161" s="202">
        <f t="shared" si="1286"/>
        <v>-38.000000000000341</v>
      </c>
      <c r="DG161" s="202">
        <f t="shared" si="1286"/>
        <v>343.4</v>
      </c>
      <c r="DH161" s="202">
        <f t="shared" si="1286"/>
        <v>-60.899999999999977</v>
      </c>
      <c r="DI161" s="202">
        <f t="shared" si="1286"/>
        <v>-264.00000000000034</v>
      </c>
      <c r="DJ161" s="202">
        <f t="shared" si="1286"/>
        <v>407.10000000000082</v>
      </c>
      <c r="DK161" s="202">
        <f t="shared" si="1286"/>
        <v>-232.59999999999934</v>
      </c>
      <c r="DL161" s="202">
        <f t="shared" si="1286"/>
        <v>-70.900000000000432</v>
      </c>
      <c r="DM161" s="202">
        <f t="shared" si="1286"/>
        <v>170.10000000000048</v>
      </c>
      <c r="DN161" s="202">
        <f t="shared" si="1286"/>
        <v>-84.200000000000088</v>
      </c>
      <c r="DO161" s="202">
        <f t="shared" si="1286"/>
        <v>38.400000000000276</v>
      </c>
      <c r="DP161" s="202">
        <f t="shared" si="1286"/>
        <v>908.8</v>
      </c>
      <c r="DQ161" s="202">
        <f t="shared" si="1286"/>
        <v>760.7</v>
      </c>
      <c r="DR161" s="202">
        <f t="shared" si="1286"/>
        <v>-949</v>
      </c>
      <c r="DS161" s="202">
        <f t="shared" si="1286"/>
        <v>242</v>
      </c>
      <c r="DT161" s="202">
        <f t="shared" si="1286"/>
        <v>1428</v>
      </c>
      <c r="DU161" s="202">
        <f t="shared" si="1286"/>
        <v>-753</v>
      </c>
      <c r="DV161" s="202">
        <f t="shared" si="1286"/>
        <v>299</v>
      </c>
      <c r="DW161" s="202">
        <f t="shared" si="1286"/>
        <v>421</v>
      </c>
      <c r="DX161" s="202">
        <f t="shared" si="1286"/>
        <v>1270</v>
      </c>
      <c r="DY161" s="202">
        <f t="shared" si="1286"/>
        <v>-1863</v>
      </c>
      <c r="DZ161" s="202">
        <f t="shared" si="1286"/>
        <v>1853</v>
      </c>
      <c r="EA161" s="202">
        <f t="shared" si="1286"/>
        <v>953</v>
      </c>
      <c r="EB161" s="202">
        <f t="shared" si="1286"/>
        <v>9685.0520409398941</v>
      </c>
      <c r="EC161" s="202">
        <f t="shared" ref="EC161:ED161" si="1287">EC155+EC143+EC132+EC157</f>
        <v>5113.8943712431374</v>
      </c>
      <c r="ED161" s="202">
        <f t="shared" si="1287"/>
        <v>1666.2015158266004</v>
      </c>
      <c r="EE161" s="18"/>
      <c r="EF161" s="203"/>
      <c r="EG161" s="202"/>
      <c r="EH161" s="202">
        <f t="shared" ref="EH161:EY161" si="1288">EH155+EH143+EH132+EH157</f>
        <v>120.10000000000014</v>
      </c>
      <c r="EI161" s="202">
        <f t="shared" si="1288"/>
        <v>423.29999999999995</v>
      </c>
      <c r="EJ161" s="202">
        <f t="shared" si="1288"/>
        <v>-324.09999999999889</v>
      </c>
      <c r="EK161" s="202">
        <f t="shared" si="1288"/>
        <v>127.09999999999843</v>
      </c>
      <c r="EL161" s="202">
        <f t="shared" si="1288"/>
        <v>-210.79999999999984</v>
      </c>
      <c r="EM161" s="202">
        <f t="shared" si="1288"/>
        <v>43.399999999999778</v>
      </c>
      <c r="EN161" s="202">
        <f t="shared" si="1288"/>
        <v>85.000000000000341</v>
      </c>
      <c r="EO161" s="202">
        <f t="shared" si="1288"/>
        <v>-167.50000000000023</v>
      </c>
      <c r="EP161" s="202">
        <f t="shared" si="1288"/>
        <v>342.29999999999995</v>
      </c>
      <c r="EQ161" s="202">
        <f t="shared" si="1288"/>
        <v>641.90000000000043</v>
      </c>
      <c r="ER161" s="202">
        <f t="shared" si="1288"/>
        <v>577</v>
      </c>
      <c r="ES161" s="202">
        <f t="shared" si="1288"/>
        <v>-855</v>
      </c>
      <c r="ET161" s="202">
        <f t="shared" si="1288"/>
        <v>540</v>
      </c>
      <c r="EU161" s="202">
        <f t="shared" si="1288"/>
        <v>846</v>
      </c>
      <c r="EV161" s="202">
        <f t="shared" si="1288"/>
        <v>-496</v>
      </c>
      <c r="EW161" s="202">
        <f t="shared" si="1288"/>
        <v>187</v>
      </c>
      <c r="EX161" s="202">
        <f t="shared" si="1288"/>
        <v>1552</v>
      </c>
      <c r="EY161" s="202">
        <f t="shared" si="1288"/>
        <v>110</v>
      </c>
      <c r="EZ161" s="202">
        <f t="shared" ref="EZ161:FC161" si="1289">EZ155+EZ143+EZ132+EZ157</f>
        <v>-1159</v>
      </c>
      <c r="FA161" s="202">
        <f t="shared" si="1289"/>
        <v>1534</v>
      </c>
      <c r="FB161" s="202">
        <f t="shared" si="1289"/>
        <v>1868</v>
      </c>
      <c r="FC161" s="202">
        <f t="shared" si="1289"/>
        <v>10623.994975012749</v>
      </c>
      <c r="FD161" s="204">
        <f t="shared" ref="FD161" si="1290">FD155+FD143+FD132+FD157</f>
        <v>4034.5996770704951</v>
      </c>
    </row>
    <row r="162" spans="1:160" ht="14.25" customHeight="1">
      <c r="A162" s="7"/>
      <c r="B162" s="208" t="s">
        <v>343</v>
      </c>
      <c r="C162" s="209"/>
      <c r="D162" s="211">
        <f t="shared" ref="D162:AY162" si="1291">D161+D159+D160</f>
        <v>0</v>
      </c>
      <c r="E162" s="210">
        <f t="shared" si="1291"/>
        <v>0</v>
      </c>
      <c r="F162" s="210">
        <f t="shared" si="1291"/>
        <v>29.000000000000114</v>
      </c>
      <c r="G162" s="212">
        <f t="shared" si="1291"/>
        <v>29.000000000000114</v>
      </c>
      <c r="H162" s="211">
        <f t="shared" si="1291"/>
        <v>25.300000000000011</v>
      </c>
      <c r="I162" s="210">
        <f t="shared" si="1291"/>
        <v>-2.6000000000000227</v>
      </c>
      <c r="J162" s="210">
        <f t="shared" si="1291"/>
        <v>-4.6000000000001364</v>
      </c>
      <c r="K162" s="212">
        <f t="shared" si="1291"/>
        <v>-9.0000000000002274</v>
      </c>
      <c r="L162" s="211">
        <f t="shared" si="1291"/>
        <v>222.30000000000004</v>
      </c>
      <c r="M162" s="210">
        <f t="shared" si="1291"/>
        <v>582.90000000000009</v>
      </c>
      <c r="N162" s="210">
        <f t="shared" si="1291"/>
        <v>433.5</v>
      </c>
      <c r="O162" s="212">
        <f t="shared" si="1291"/>
        <v>619.5</v>
      </c>
      <c r="P162" s="211">
        <f t="shared" si="1291"/>
        <v>342.40000000000003</v>
      </c>
      <c r="Q162" s="210">
        <f t="shared" si="1291"/>
        <v>560.50000000000011</v>
      </c>
      <c r="R162" s="210">
        <f t="shared" si="1291"/>
        <v>506.79999999999995</v>
      </c>
      <c r="S162" s="212">
        <f t="shared" si="1291"/>
        <v>558.6</v>
      </c>
      <c r="T162" s="211">
        <f t="shared" si="1291"/>
        <v>765.7</v>
      </c>
      <c r="U162" s="210">
        <f t="shared" si="1291"/>
        <v>428.900000000001</v>
      </c>
      <c r="V162" s="210">
        <f t="shared" si="1291"/>
        <v>350.6</v>
      </c>
      <c r="W162" s="212">
        <f t="shared" si="1291"/>
        <v>294.60000000000002</v>
      </c>
      <c r="X162" s="211">
        <f t="shared" si="1291"/>
        <v>441.60000000000088</v>
      </c>
      <c r="Y162" s="210">
        <f t="shared" si="1291"/>
        <v>429.9</v>
      </c>
      <c r="Z162" s="210">
        <f t="shared" si="1291"/>
        <v>383.19999999999993</v>
      </c>
      <c r="AA162" s="212">
        <f t="shared" si="1291"/>
        <v>701.70000000000084</v>
      </c>
      <c r="AB162" s="211">
        <f t="shared" si="1291"/>
        <v>568.70000000000084</v>
      </c>
      <c r="AC162" s="210">
        <f t="shared" si="1291"/>
        <v>599.90000000000066</v>
      </c>
      <c r="AD162" s="210">
        <f t="shared" si="1291"/>
        <v>622.70000000000084</v>
      </c>
      <c r="AE162" s="212">
        <f t="shared" si="1291"/>
        <v>469.10000000000127</v>
      </c>
      <c r="AF162" s="211">
        <f t="shared" si="1291"/>
        <v>357.90000000000111</v>
      </c>
      <c r="AG162" s="210">
        <f t="shared" si="1291"/>
        <v>677.90000000000123</v>
      </c>
      <c r="AH162" s="210">
        <f t="shared" si="1291"/>
        <v>333.70000000000061</v>
      </c>
      <c r="AI162" s="212">
        <f t="shared" si="1291"/>
        <v>398.20000000000084</v>
      </c>
      <c r="AJ162" s="211">
        <f t="shared" si="1291"/>
        <v>401.30000000000086</v>
      </c>
      <c r="AK162" s="210">
        <f t="shared" si="1291"/>
        <v>913.10000000000082</v>
      </c>
      <c r="AL162" s="210">
        <f t="shared" si="1291"/>
        <v>677.80000000000109</v>
      </c>
      <c r="AM162" s="212">
        <f t="shared" si="1291"/>
        <v>568.30000000000132</v>
      </c>
      <c r="AN162" s="211">
        <f t="shared" si="1291"/>
        <v>486.30000000000138</v>
      </c>
      <c r="AO162" s="210">
        <f t="shared" si="1291"/>
        <v>507.20000000000152</v>
      </c>
      <c r="AP162" s="210">
        <f t="shared" si="1291"/>
        <v>327.10000000000144</v>
      </c>
      <c r="AQ162" s="212">
        <f t="shared" si="1291"/>
        <v>484.10000000000122</v>
      </c>
      <c r="AR162" s="211">
        <f t="shared" si="1291"/>
        <v>318.80000000000121</v>
      </c>
      <c r="AS162" s="210">
        <f t="shared" si="1291"/>
        <v>357.50000000000125</v>
      </c>
      <c r="AT162" s="210">
        <f t="shared" si="1291"/>
        <v>468.30000000000121</v>
      </c>
      <c r="AU162" s="212">
        <f t="shared" si="1291"/>
        <v>522.50000000000148</v>
      </c>
      <c r="AV162" s="211">
        <f t="shared" si="1291"/>
        <v>661.1000000000015</v>
      </c>
      <c r="AW162" s="210">
        <f t="shared" si="1291"/>
        <v>1535.6000000000015</v>
      </c>
      <c r="AX162" s="210">
        <f t="shared" si="1291"/>
        <v>1467.7000000000014</v>
      </c>
      <c r="AY162" s="212">
        <f t="shared" si="1291"/>
        <v>1431.3000000000015</v>
      </c>
      <c r="AZ162" s="211">
        <f>AZ161+AZ159+AZ160</f>
        <v>1303.0000000000016</v>
      </c>
      <c r="BA162" s="210">
        <f>BA161+BA159+BA160</f>
        <v>1566.0000000000016</v>
      </c>
      <c r="BB162" s="210">
        <f>BB161+BB159+BB160</f>
        <v>2667.0000000000018</v>
      </c>
      <c r="BC162" s="212">
        <f>BC161+BC159+BC160</f>
        <v>2192.0000000000018</v>
      </c>
      <c r="BD162" s="211">
        <f t="shared" ref="BD162:CC162" si="1292">BD161+BD159+BD160</f>
        <v>1880</v>
      </c>
      <c r="BE162" s="210">
        <f t="shared" si="1292"/>
        <v>1708</v>
      </c>
      <c r="BF162" s="210">
        <f t="shared" si="1292"/>
        <v>1474</v>
      </c>
      <c r="BG162" s="212">
        <f t="shared" si="1292"/>
        <v>1243</v>
      </c>
      <c r="BH162" s="211">
        <f t="shared" si="1292"/>
        <v>1025</v>
      </c>
      <c r="BI162" s="210">
        <f t="shared" si="1292"/>
        <v>932</v>
      </c>
      <c r="BJ162" s="210">
        <f t="shared" si="1292"/>
        <v>1306</v>
      </c>
      <c r="BK162" s="212">
        <f t="shared" si="1292"/>
        <v>1485</v>
      </c>
      <c r="BL162" s="211">
        <f t="shared" si="1292"/>
        <v>1565</v>
      </c>
      <c r="BM162" s="210">
        <f t="shared" si="1292"/>
        <v>1870</v>
      </c>
      <c r="BN162" s="210">
        <f t="shared" si="1292"/>
        <v>2313</v>
      </c>
      <c r="BO162" s="212">
        <f t="shared" si="1292"/>
        <v>2913</v>
      </c>
      <c r="BP162" s="211">
        <f t="shared" si="1292"/>
        <v>2411</v>
      </c>
      <c r="BQ162" s="210">
        <f t="shared" si="1292"/>
        <v>2184</v>
      </c>
      <c r="BR162" s="210">
        <f t="shared" si="1292"/>
        <v>2395</v>
      </c>
      <c r="BS162" s="212">
        <f>BS161+BS159+BS160</f>
        <v>2160</v>
      </c>
      <c r="BT162" s="211">
        <f t="shared" si="1292"/>
        <v>1915</v>
      </c>
      <c r="BU162" s="210">
        <f t="shared" ref="BU162:CI162" si="1293">BU161+BU159+BU160</f>
        <v>2094</v>
      </c>
      <c r="BV162" s="210">
        <f t="shared" si="1292"/>
        <v>2191</v>
      </c>
      <c r="BW162" s="212">
        <f t="shared" si="1293"/>
        <v>2459</v>
      </c>
      <c r="BX162" s="211">
        <f t="shared" si="1292"/>
        <v>2102</v>
      </c>
      <c r="BY162" s="210">
        <f t="shared" si="1293"/>
        <v>2061</v>
      </c>
      <c r="BZ162" s="210">
        <f t="shared" si="1292"/>
        <v>2440</v>
      </c>
      <c r="CA162" s="212">
        <f t="shared" si="1293"/>
        <v>2880</v>
      </c>
      <c r="CB162" s="211">
        <f t="shared" si="1292"/>
        <v>3654</v>
      </c>
      <c r="CC162" s="210">
        <f t="shared" si="1292"/>
        <v>4305</v>
      </c>
      <c r="CD162" s="210">
        <f>CD161+CD159+CD160</f>
        <v>4062</v>
      </c>
      <c r="CE162" s="212">
        <f t="shared" si="1293"/>
        <v>4150</v>
      </c>
      <c r="CF162" s="211">
        <f t="shared" si="1293"/>
        <v>3764</v>
      </c>
      <c r="CG162" s="210">
        <f t="shared" si="1293"/>
        <v>3547</v>
      </c>
      <c r="CH162" s="210">
        <f t="shared" si="1293"/>
        <v>3694</v>
      </c>
      <c r="CI162" s="212">
        <f t="shared" si="1293"/>
        <v>2287</v>
      </c>
      <c r="CJ162" s="211">
        <f t="shared" ref="CJ162:CM162" si="1294">CJ161+CJ159+CJ160</f>
        <v>2605</v>
      </c>
      <c r="CK162" s="210">
        <f t="shared" si="1294"/>
        <v>3078</v>
      </c>
      <c r="CL162" s="210">
        <f>CL161+CL159+CL160</f>
        <v>4627</v>
      </c>
      <c r="CM162" s="212">
        <f t="shared" si="1294"/>
        <v>4140</v>
      </c>
      <c r="CN162" s="211">
        <f t="shared" ref="CN162:CO162" si="1295">CN161+CN159+CN160</f>
        <v>4139</v>
      </c>
      <c r="CO162" s="210">
        <f t="shared" si="1295"/>
        <v>3633</v>
      </c>
      <c r="CP162" s="210">
        <f>CP161+CP159+CP160</f>
        <v>4065</v>
      </c>
      <c r="CQ162" s="212">
        <f t="shared" ref="CQ162:CR162" si="1296">CQ161+CQ159+CQ160</f>
        <v>5109</v>
      </c>
      <c r="CR162" s="211">
        <f t="shared" si="1296"/>
        <v>6008</v>
      </c>
      <c r="CS162" s="210">
        <f t="shared" ref="CS162:CU162" si="1297">CS161+CS159+CS160</f>
        <v>7876</v>
      </c>
      <c r="CT162" s="210">
        <f t="shared" si="1297"/>
        <v>11875.975169087404</v>
      </c>
      <c r="CU162" s="212">
        <f t="shared" si="1297"/>
        <v>14846.052040939894</v>
      </c>
      <c r="CV162" s="211">
        <f t="shared" ref="CV162:CY162" si="1298">CV161+CV159+CV160</f>
        <v>16698.994975012745</v>
      </c>
      <c r="CW162" s="210">
        <f t="shared" si="1298"/>
        <v>18237.158819485157</v>
      </c>
      <c r="CX162" s="210">
        <f t="shared" si="1298"/>
        <v>19274.015362767503</v>
      </c>
      <c r="CY162" s="212">
        <f t="shared" si="1298"/>
        <v>19959.946412183031</v>
      </c>
      <c r="CZ162" s="211">
        <f t="shared" ref="CZ162:DC162" si="1299">CZ161+CZ159+CZ160</f>
        <v>20733.59465208324</v>
      </c>
      <c r="DA162" s="210">
        <f t="shared" si="1299"/>
        <v>21021.860888705567</v>
      </c>
      <c r="DB162" s="210">
        <f t="shared" si="1299"/>
        <v>21359.305480133404</v>
      </c>
      <c r="DC162" s="212">
        <f t="shared" si="1299"/>
        <v>21626.147928009632</v>
      </c>
      <c r="DD162" s="153"/>
      <c r="DE162" s="210">
        <f t="shared" ref="DE162:DN162" si="1300">DE161+DE159+DE160</f>
        <v>58.000000000000057</v>
      </c>
      <c r="DF162" s="210">
        <f t="shared" si="1300"/>
        <v>19.999999999999773</v>
      </c>
      <c r="DG162" s="210">
        <f t="shared" si="1300"/>
        <v>619.5</v>
      </c>
      <c r="DH162" s="210">
        <f t="shared" si="1300"/>
        <v>558.60000000000025</v>
      </c>
      <c r="DI162" s="210">
        <f t="shared" si="1300"/>
        <v>294.60000000000002</v>
      </c>
      <c r="DJ162" s="210">
        <f t="shared" si="1300"/>
        <v>701.70000000000095</v>
      </c>
      <c r="DK162" s="210">
        <f t="shared" si="1300"/>
        <v>469.10000000000093</v>
      </c>
      <c r="DL162" s="210">
        <f t="shared" si="1300"/>
        <v>398.20000000000022</v>
      </c>
      <c r="DM162" s="210">
        <f t="shared" si="1300"/>
        <v>568.30000000000041</v>
      </c>
      <c r="DN162" s="210">
        <f t="shared" si="1300"/>
        <v>484.09999999999985</v>
      </c>
      <c r="DO162" s="210">
        <f t="shared" ref="DO162:DT162" si="1301">DO161+DO159+DO160</f>
        <v>522.50000000000023</v>
      </c>
      <c r="DP162" s="210">
        <f t="shared" si="1301"/>
        <v>1431.3000000000002</v>
      </c>
      <c r="DQ162" s="210">
        <f t="shared" si="1301"/>
        <v>2192.0000000000005</v>
      </c>
      <c r="DR162" s="210">
        <f t="shared" si="1301"/>
        <v>1243.0000000000005</v>
      </c>
      <c r="DS162" s="210">
        <f t="shared" si="1301"/>
        <v>1485.0000000000005</v>
      </c>
      <c r="DT162" s="210">
        <f t="shared" si="1301"/>
        <v>2913.0000000000005</v>
      </c>
      <c r="DU162" s="210">
        <f t="shared" ref="DU162:EB162" si="1302">DU161+DU159+DU160</f>
        <v>2160.0000000000005</v>
      </c>
      <c r="DV162" s="210">
        <f t="shared" si="1302"/>
        <v>2459.0000000000005</v>
      </c>
      <c r="DW162" s="210">
        <f t="shared" si="1302"/>
        <v>2880.0000000000005</v>
      </c>
      <c r="DX162" s="210">
        <f t="shared" si="1302"/>
        <v>4150</v>
      </c>
      <c r="DY162" s="210">
        <f t="shared" si="1302"/>
        <v>2287</v>
      </c>
      <c r="DZ162" s="210">
        <f t="shared" si="1302"/>
        <v>4140</v>
      </c>
      <c r="EA162" s="210">
        <f t="shared" si="1302"/>
        <v>5109</v>
      </c>
      <c r="EB162" s="210">
        <f t="shared" si="1302"/>
        <v>14846.052040939892</v>
      </c>
      <c r="EC162" s="210">
        <f t="shared" ref="EC162:ED162" si="1303">EC161+EC159+EC160</f>
        <v>19959.946412183031</v>
      </c>
      <c r="ED162" s="210">
        <f t="shared" si="1303"/>
        <v>21626.147928009632</v>
      </c>
      <c r="EE162" s="18"/>
      <c r="EF162" s="211"/>
      <c r="EG162" s="210"/>
      <c r="EH162" s="210">
        <f t="shared" ref="EH162:EO162" si="1304">EH161+EH159+EH160</f>
        <v>342.4000000000002</v>
      </c>
      <c r="EI162" s="210">
        <f t="shared" si="1304"/>
        <v>765.70000000000016</v>
      </c>
      <c r="EJ162" s="210">
        <f t="shared" si="1304"/>
        <v>441.60000000000139</v>
      </c>
      <c r="EK162" s="210">
        <f t="shared" si="1304"/>
        <v>568.69999999999936</v>
      </c>
      <c r="EL162" s="210">
        <f t="shared" si="1304"/>
        <v>357.90000000000043</v>
      </c>
      <c r="EM162" s="210">
        <f t="shared" si="1304"/>
        <v>401.3000000000003</v>
      </c>
      <c r="EN162" s="210">
        <f t="shared" si="1304"/>
        <v>486.30000000000035</v>
      </c>
      <c r="EO162" s="210">
        <f t="shared" si="1304"/>
        <v>318.79999999999984</v>
      </c>
      <c r="EP162" s="210">
        <f t="shared" ref="EP162:EY162" si="1305">EP161+EP159+EP160</f>
        <v>661.09999999999991</v>
      </c>
      <c r="EQ162" s="210">
        <f t="shared" si="1305"/>
        <v>1303.0000000000005</v>
      </c>
      <c r="ER162" s="210">
        <f t="shared" si="1305"/>
        <v>1880.0000000000002</v>
      </c>
      <c r="ES162" s="210">
        <f t="shared" si="1305"/>
        <v>1025.0000000000002</v>
      </c>
      <c r="ET162" s="210">
        <f t="shared" si="1305"/>
        <v>1565.0000000000002</v>
      </c>
      <c r="EU162" s="210">
        <f t="shared" si="1305"/>
        <v>2411</v>
      </c>
      <c r="EV162" s="210">
        <f t="shared" si="1305"/>
        <v>1915</v>
      </c>
      <c r="EW162" s="210">
        <f t="shared" si="1305"/>
        <v>2102</v>
      </c>
      <c r="EX162" s="210">
        <f t="shared" si="1305"/>
        <v>3654</v>
      </c>
      <c r="EY162" s="210">
        <f t="shared" si="1305"/>
        <v>3764</v>
      </c>
      <c r="EZ162" s="210">
        <f t="shared" ref="EZ162:FC162" si="1306">EZ161+EZ159+EZ160</f>
        <v>2605</v>
      </c>
      <c r="FA162" s="210">
        <f t="shared" si="1306"/>
        <v>4139</v>
      </c>
      <c r="FB162" s="210">
        <f t="shared" si="1306"/>
        <v>6008</v>
      </c>
      <c r="FC162" s="210">
        <f t="shared" si="1306"/>
        <v>16698.994975012749</v>
      </c>
      <c r="FD162" s="212">
        <f t="shared" ref="FD162" si="1307">FD161+FD159+FD160</f>
        <v>20733.594652083244</v>
      </c>
    </row>
    <row r="163" spans="1:160" ht="14.25" customHeight="1">
      <c r="A163" s="7"/>
      <c r="B163" s="267"/>
      <c r="C163" s="268"/>
      <c r="D163" s="202"/>
      <c r="E163" s="202"/>
      <c r="F163" s="202"/>
      <c r="G163" s="202"/>
      <c r="H163" s="202"/>
      <c r="I163" s="202"/>
      <c r="J163" s="202"/>
      <c r="K163" s="202"/>
      <c r="L163" s="202"/>
      <c r="M163" s="202"/>
      <c r="N163" s="202"/>
      <c r="O163" s="202"/>
      <c r="P163" s="202"/>
      <c r="Q163" s="202"/>
      <c r="R163" s="202"/>
      <c r="S163" s="202"/>
      <c r="T163" s="202"/>
      <c r="U163" s="202"/>
      <c r="V163" s="202"/>
      <c r="W163" s="202"/>
      <c r="X163" s="202"/>
      <c r="Y163" s="202"/>
      <c r="Z163" s="202"/>
      <c r="AA163" s="202"/>
      <c r="AB163" s="202"/>
      <c r="AC163" s="202"/>
      <c r="AD163" s="202"/>
      <c r="AE163" s="202"/>
      <c r="AF163" s="202"/>
      <c r="AG163" s="202"/>
      <c r="AH163" s="202"/>
      <c r="AI163" s="202"/>
      <c r="AJ163" s="202"/>
      <c r="AK163" s="202"/>
      <c r="AL163" s="202"/>
      <c r="AM163" s="202"/>
      <c r="AN163" s="202"/>
      <c r="AO163" s="202"/>
      <c r="AP163" s="202"/>
      <c r="AQ163" s="202"/>
      <c r="AR163" s="202"/>
      <c r="AS163" s="202"/>
      <c r="AT163" s="202"/>
      <c r="AU163" s="202"/>
      <c r="AV163" s="202"/>
      <c r="AW163" s="202"/>
      <c r="AX163" s="202"/>
      <c r="AY163" s="202"/>
      <c r="AZ163" s="202"/>
      <c r="BA163" s="202"/>
      <c r="BB163" s="202"/>
      <c r="BC163" s="202"/>
      <c r="BD163" s="202"/>
      <c r="BE163" s="202"/>
      <c r="BF163" s="202"/>
      <c r="BG163" s="202"/>
      <c r="BH163" s="202"/>
      <c r="BI163" s="202"/>
      <c r="BJ163" s="202"/>
      <c r="BK163" s="202"/>
      <c r="BL163" s="202"/>
      <c r="BM163" s="202"/>
      <c r="BN163" s="202"/>
      <c r="BO163" s="202"/>
      <c r="BP163" s="202"/>
      <c r="BQ163" s="202"/>
      <c r="BR163" s="202"/>
      <c r="BS163" s="202"/>
      <c r="BT163" s="202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202"/>
      <c r="CE163" s="202"/>
      <c r="CF163" s="202"/>
      <c r="CG163" s="202"/>
      <c r="CH163" s="202"/>
      <c r="CI163" s="202"/>
      <c r="CJ163" s="202"/>
      <c r="CK163" s="202"/>
      <c r="CL163" s="202"/>
      <c r="CM163" s="202"/>
      <c r="CN163" s="202"/>
      <c r="CO163" s="202"/>
      <c r="CP163" s="202"/>
      <c r="CQ163" s="202"/>
      <c r="CR163" s="202"/>
      <c r="CS163" s="202"/>
      <c r="CT163" s="202"/>
      <c r="CU163" s="202"/>
      <c r="CV163" s="202"/>
      <c r="CW163" s="202"/>
      <c r="CX163" s="202"/>
      <c r="CY163" s="202"/>
      <c r="CZ163" s="202"/>
      <c r="DA163" s="202"/>
      <c r="DB163" s="202"/>
      <c r="DC163" s="202"/>
      <c r="DD163" s="59"/>
      <c r="DE163" s="202"/>
      <c r="DF163" s="202"/>
      <c r="DG163" s="202"/>
      <c r="DH163" s="202"/>
      <c r="DI163" s="202"/>
      <c r="DJ163" s="202"/>
      <c r="DK163" s="202"/>
      <c r="DL163" s="202"/>
      <c r="DM163" s="202"/>
      <c r="DN163" s="202"/>
      <c r="DO163" s="202"/>
      <c r="DP163" s="202"/>
      <c r="DQ163" s="202"/>
      <c r="DR163" s="202"/>
      <c r="DS163" s="202"/>
      <c r="DT163" s="202"/>
      <c r="DU163" s="202"/>
      <c r="DV163" s="202"/>
      <c r="DW163" s="202"/>
      <c r="DX163" s="202"/>
      <c r="DY163" s="202"/>
      <c r="DZ163" s="202"/>
      <c r="EA163" s="202"/>
      <c r="EB163" s="202"/>
      <c r="EC163" s="202"/>
      <c r="ED163" s="202"/>
      <c r="EE163" s="7"/>
      <c r="EF163" s="202"/>
      <c r="EG163" s="202"/>
      <c r="EH163" s="202"/>
      <c r="EI163" s="202"/>
      <c r="EJ163" s="202"/>
      <c r="EK163" s="202"/>
      <c r="EL163" s="202"/>
      <c r="EM163" s="202"/>
      <c r="EN163" s="202"/>
      <c r="EO163" s="202"/>
      <c r="EP163" s="202"/>
      <c r="EQ163" s="202"/>
      <c r="ER163" s="202"/>
      <c r="ES163" s="202"/>
      <c r="ET163" s="202"/>
      <c r="EU163" s="202"/>
      <c r="EV163" s="202"/>
      <c r="EW163" s="202"/>
      <c r="EX163" s="202"/>
      <c r="EY163" s="202"/>
      <c r="EZ163" s="202"/>
      <c r="FA163" s="202"/>
      <c r="FB163" s="202"/>
      <c r="FC163" s="202"/>
      <c r="FD163" s="202"/>
    </row>
    <row r="164" spans="1:160" ht="14.25" customHeight="1">
      <c r="A164" s="7"/>
      <c r="B164" s="63" t="s">
        <v>316</v>
      </c>
      <c r="C164" s="64"/>
      <c r="D164" s="149">
        <f>BS!D8</f>
        <v>0</v>
      </c>
      <c r="E164" s="149">
        <f>BS!E8</f>
        <v>0</v>
      </c>
      <c r="F164" s="149">
        <f>BS!F8</f>
        <v>0</v>
      </c>
      <c r="G164" s="150">
        <f>BS!G8</f>
        <v>0</v>
      </c>
      <c r="H164" s="149">
        <f>BS!H8</f>
        <v>0</v>
      </c>
      <c r="I164" s="149">
        <f>BS!I8</f>
        <v>0</v>
      </c>
      <c r="J164" s="149">
        <f>BS!J8</f>
        <v>0</v>
      </c>
      <c r="K164" s="150">
        <f>BS!K8</f>
        <v>0</v>
      </c>
      <c r="L164" s="149">
        <f>BS!L8</f>
        <v>222.3</v>
      </c>
      <c r="M164" s="149">
        <f>BS!M8</f>
        <v>582.9</v>
      </c>
      <c r="N164" s="149">
        <f>BS!N8</f>
        <v>433.5</v>
      </c>
      <c r="O164" s="150">
        <f>BS!O8</f>
        <v>619.5</v>
      </c>
      <c r="P164" s="149">
        <f>BS!P8</f>
        <v>342.4</v>
      </c>
      <c r="Q164" s="149">
        <f>BS!Q8</f>
        <v>560.5</v>
      </c>
      <c r="R164" s="149">
        <f>BS!R8</f>
        <v>506.8</v>
      </c>
      <c r="S164" s="150">
        <f>BS!S8</f>
        <v>558.6</v>
      </c>
      <c r="T164" s="149">
        <f>BS!T8</f>
        <v>765.7</v>
      </c>
      <c r="U164" s="149">
        <f>BS!U8</f>
        <v>428.900000000001</v>
      </c>
      <c r="V164" s="149">
        <f>BS!V8</f>
        <v>350.6</v>
      </c>
      <c r="W164" s="150">
        <f>BS!W8</f>
        <v>294.60000000000002</v>
      </c>
      <c r="X164" s="149">
        <f>BS!X8</f>
        <v>441.60000000000099</v>
      </c>
      <c r="Y164" s="149">
        <f>BS!Y8</f>
        <v>429.9</v>
      </c>
      <c r="Z164" s="149">
        <f>BS!Z8</f>
        <v>383.2</v>
      </c>
      <c r="AA164" s="150">
        <f>BS!AA8</f>
        <v>701.7</v>
      </c>
      <c r="AB164" s="149">
        <f>BS!AB8</f>
        <v>568.70000000000005</v>
      </c>
      <c r="AC164" s="149">
        <f>BS!AC8</f>
        <v>599.9</v>
      </c>
      <c r="AD164" s="149">
        <f>BS!AD8</f>
        <v>622.70000000000005</v>
      </c>
      <c r="AE164" s="150">
        <f>BS!AE8</f>
        <v>469.1</v>
      </c>
      <c r="AF164" s="149">
        <f>BS!AF8</f>
        <v>357.9</v>
      </c>
      <c r="AG164" s="149">
        <f>BS!AG8</f>
        <v>677.9</v>
      </c>
      <c r="AH164" s="149">
        <f>BS!AH8</f>
        <v>333.7</v>
      </c>
      <c r="AI164" s="150">
        <f>BS!AI8</f>
        <v>398.2</v>
      </c>
      <c r="AJ164" s="149">
        <f>BS!AJ8</f>
        <v>401.3</v>
      </c>
      <c r="AK164" s="149">
        <f>BS!AK8</f>
        <v>913.1</v>
      </c>
      <c r="AL164" s="149">
        <f>BS!AL8</f>
        <v>677.8</v>
      </c>
      <c r="AM164" s="150">
        <f>BS!AM8</f>
        <v>568.29999999999995</v>
      </c>
      <c r="AN164" s="149">
        <f>BS!AN8</f>
        <v>486.3</v>
      </c>
      <c r="AO164" s="149">
        <f>BS!AO8</f>
        <v>507.2</v>
      </c>
      <c r="AP164" s="149">
        <f>BS!AP8</f>
        <v>327.10000000000002</v>
      </c>
      <c r="AQ164" s="150">
        <f>BS!AQ8</f>
        <v>484.1</v>
      </c>
      <c r="AR164" s="149">
        <f>BS!AR8</f>
        <v>318.8</v>
      </c>
      <c r="AS164" s="149">
        <f>BS!AS8</f>
        <v>357.5</v>
      </c>
      <c r="AT164" s="149">
        <f>BS!AT8</f>
        <v>468.3</v>
      </c>
      <c r="AU164" s="150">
        <f>BS!AU8</f>
        <v>522.5</v>
      </c>
      <c r="AV164" s="149">
        <f>BS!AV8</f>
        <v>661.1</v>
      </c>
      <c r="AW164" s="149">
        <f>BS!AW8</f>
        <v>1535.6</v>
      </c>
      <c r="AX164" s="149">
        <f>BS!AX8</f>
        <v>1467.7</v>
      </c>
      <c r="AY164" s="150">
        <f>BS!AY8</f>
        <v>1431.3</v>
      </c>
      <c r="AZ164" s="149">
        <f>BS!AZ8</f>
        <v>1303</v>
      </c>
      <c r="BA164" s="149">
        <f>BS!BA8</f>
        <v>1566</v>
      </c>
      <c r="BB164" s="149">
        <f>BS!BB8</f>
        <v>2667</v>
      </c>
      <c r="BC164" s="150">
        <f>BS!BC8</f>
        <v>2192</v>
      </c>
      <c r="BD164" s="149">
        <f>BS!BD8</f>
        <v>1880</v>
      </c>
      <c r="BE164" s="149">
        <f>BS!BE8</f>
        <v>1708</v>
      </c>
      <c r="BF164" s="149">
        <f>BS!BF8</f>
        <v>1474</v>
      </c>
      <c r="BG164" s="150">
        <f>BS!BG8</f>
        <v>1243</v>
      </c>
      <c r="BH164" s="149">
        <f>BS!BH8</f>
        <v>1025</v>
      </c>
      <c r="BI164" s="149">
        <f>BS!BI8</f>
        <v>932</v>
      </c>
      <c r="BJ164" s="149">
        <f>BS!BJ8</f>
        <v>1306</v>
      </c>
      <c r="BK164" s="150">
        <f>BS!BK8</f>
        <v>1485</v>
      </c>
      <c r="BL164" s="149">
        <f>BS!BL8</f>
        <v>1565</v>
      </c>
      <c r="BM164" s="149">
        <f>BS!BM8</f>
        <v>1870</v>
      </c>
      <c r="BN164" s="149">
        <f>BS!BN8</f>
        <v>2313</v>
      </c>
      <c r="BO164" s="150">
        <f>BS!BO8</f>
        <v>2913</v>
      </c>
      <c r="BP164" s="149">
        <f>BS!BP8</f>
        <v>2411</v>
      </c>
      <c r="BQ164" s="149">
        <f>BS!BQ8</f>
        <v>2184</v>
      </c>
      <c r="BR164" s="149">
        <f>BS!BR8</f>
        <v>2395</v>
      </c>
      <c r="BS164" s="150">
        <f>BS!BS8</f>
        <v>2160</v>
      </c>
      <c r="BT164" s="149">
        <f>BS!BT8</f>
        <v>1915</v>
      </c>
      <c r="BU164" s="149">
        <f>BS!BU8</f>
        <v>2094</v>
      </c>
      <c r="BV164" s="149">
        <f>BS!BV8</f>
        <v>2191</v>
      </c>
      <c r="BW164" s="150">
        <f>BS!BW8</f>
        <v>2459</v>
      </c>
      <c r="BX164" s="149">
        <f>BS!BX8</f>
        <v>2102</v>
      </c>
      <c r="BY164" s="149">
        <f>BS!BY8</f>
        <v>2061</v>
      </c>
      <c r="BZ164" s="149">
        <f>BS!BZ8</f>
        <v>2440</v>
      </c>
      <c r="CA164" s="150">
        <f>BS!CA8</f>
        <v>2880</v>
      </c>
      <c r="CB164" s="149">
        <f>BS!CB8</f>
        <v>3654</v>
      </c>
      <c r="CC164" s="149">
        <f>BS!CC8</f>
        <v>4305</v>
      </c>
      <c r="CD164" s="149">
        <f>BS!CD8</f>
        <v>4062</v>
      </c>
      <c r="CE164" s="150">
        <f>BS!CE8</f>
        <v>4150</v>
      </c>
      <c r="CF164" s="149">
        <f>BS!CF8</f>
        <v>3764</v>
      </c>
      <c r="CG164" s="149">
        <f>BS!CG8</f>
        <v>3547</v>
      </c>
      <c r="CH164" s="149">
        <f>BS!CH8</f>
        <v>3694</v>
      </c>
      <c r="CI164" s="150">
        <f>BS!CI8</f>
        <v>2287</v>
      </c>
      <c r="CJ164" s="149">
        <f>BS!CJ8</f>
        <v>2605</v>
      </c>
      <c r="CK164" s="149">
        <f>BS!CK8</f>
        <v>3078</v>
      </c>
      <c r="CL164" s="149">
        <f>BS!CL8</f>
        <v>4627</v>
      </c>
      <c r="CM164" s="150">
        <f>BS!CM8</f>
        <v>4140</v>
      </c>
      <c r="CN164" s="1246">
        <f>BS!CN8</f>
        <v>4139</v>
      </c>
      <c r="CO164" s="1246">
        <f>BS!CO8</f>
        <v>3633</v>
      </c>
      <c r="CP164" s="1246">
        <f>BS!CP8</f>
        <v>4065</v>
      </c>
      <c r="CQ164" s="150">
        <f>BS!CQ8</f>
        <v>5109</v>
      </c>
      <c r="CR164" s="1246">
        <f>BS!CR8</f>
        <v>6008</v>
      </c>
      <c r="CS164" s="1246">
        <f>BS!CS8</f>
        <v>7876</v>
      </c>
      <c r="CT164" s="1246">
        <f>BS!CT8</f>
        <v>11875.975169087404</v>
      </c>
      <c r="CU164" s="150">
        <f>BS!CU8</f>
        <v>14846.052040939898</v>
      </c>
      <c r="CV164" s="1246">
        <f>BS!CV8</f>
        <v>16698.994975012749</v>
      </c>
      <c r="CW164" s="1246">
        <f>BS!CW8</f>
        <v>18237.158819485157</v>
      </c>
      <c r="CX164" s="1246">
        <f>BS!CX8</f>
        <v>19274.015362767506</v>
      </c>
      <c r="CY164" s="150">
        <f>BS!CY8</f>
        <v>19959.946412183035</v>
      </c>
      <c r="CZ164" s="1246">
        <f>BS!CZ8</f>
        <v>20733.594652083244</v>
      </c>
      <c r="DA164" s="1246">
        <f>BS!DA8</f>
        <v>21021.860888705571</v>
      </c>
      <c r="DB164" s="1246">
        <f>BS!DB8</f>
        <v>21359.305480133407</v>
      </c>
      <c r="DC164" s="150">
        <f>BS!DC8</f>
        <v>21626.147928009636</v>
      </c>
      <c r="DD164" s="153"/>
      <c r="DE164" s="149">
        <f>BS!DE8</f>
        <v>0</v>
      </c>
      <c r="DF164" s="149">
        <f>BS!DF8</f>
        <v>0</v>
      </c>
      <c r="DG164" s="149">
        <f>BS!DG8</f>
        <v>619.5</v>
      </c>
      <c r="DH164" s="149">
        <f>BS!DH8</f>
        <v>558.6</v>
      </c>
      <c r="DI164" s="149">
        <f>BS!DI8</f>
        <v>294.60000000000002</v>
      </c>
      <c r="DJ164" s="149">
        <f>BS!DJ8</f>
        <v>701.7</v>
      </c>
      <c r="DK164" s="149">
        <f>BS!DK8</f>
        <v>469.1</v>
      </c>
      <c r="DL164" s="149">
        <f>BS!DL8</f>
        <v>398.2</v>
      </c>
      <c r="DM164" s="149">
        <f>BS!DM8</f>
        <v>568.29999999999995</v>
      </c>
      <c r="DN164" s="149">
        <f>BS!DN8</f>
        <v>484.1</v>
      </c>
      <c r="DO164" s="149">
        <f>BS!DO8</f>
        <v>522.5</v>
      </c>
      <c r="DP164" s="149">
        <f>BS!DP8</f>
        <v>1431.3</v>
      </c>
      <c r="DQ164" s="149">
        <f>BS!DQ8</f>
        <v>2192</v>
      </c>
      <c r="DR164" s="149">
        <f>BS!DR8</f>
        <v>1243</v>
      </c>
      <c r="DS164" s="149">
        <f>BS!DS8</f>
        <v>1485</v>
      </c>
      <c r="DT164" s="149">
        <f>BS!DT8</f>
        <v>2913</v>
      </c>
      <c r="DU164" s="1246">
        <f>BS!DU8</f>
        <v>2160</v>
      </c>
      <c r="DV164" s="1246">
        <f>BS!DV8</f>
        <v>2459</v>
      </c>
      <c r="DW164" s="1246">
        <f>BS!DW8</f>
        <v>2880</v>
      </c>
      <c r="DX164" s="1246">
        <f>BS!DX8</f>
        <v>4150</v>
      </c>
      <c r="DY164" s="1246">
        <f>BS!DY8</f>
        <v>2287</v>
      </c>
      <c r="DZ164" s="1246">
        <f>BS!DZ8</f>
        <v>4140</v>
      </c>
      <c r="EA164" s="149">
        <f>BS!EA8</f>
        <v>5109</v>
      </c>
      <c r="EB164" s="1246">
        <f>BS!EB8</f>
        <v>14846.052040939898</v>
      </c>
      <c r="EC164" s="1246">
        <f>BS!EC8</f>
        <v>19959.946412183035</v>
      </c>
      <c r="ED164" s="1246">
        <f>BS!ED8</f>
        <v>21626.147928009636</v>
      </c>
      <c r="EE164" s="18"/>
      <c r="EF164" s="149"/>
      <c r="EG164" s="149"/>
      <c r="EH164" s="149">
        <f>BS!EH8</f>
        <v>342.4</v>
      </c>
      <c r="EI164" s="149">
        <f>BS!EI8</f>
        <v>765.7</v>
      </c>
      <c r="EJ164" s="149">
        <f>BS!EJ8</f>
        <v>441.60000000000099</v>
      </c>
      <c r="EK164" s="149">
        <f>BS!EK8</f>
        <v>568.70000000000005</v>
      </c>
      <c r="EL164" s="149">
        <f>BS!EL8</f>
        <v>357.9</v>
      </c>
      <c r="EM164" s="149">
        <f>BS!EM8</f>
        <v>401.3</v>
      </c>
      <c r="EN164" s="149">
        <f>BS!EN8</f>
        <v>486.3</v>
      </c>
      <c r="EO164" s="149">
        <f>BS!EO8</f>
        <v>318.8</v>
      </c>
      <c r="EP164" s="149">
        <f>BS!EP8</f>
        <v>661.1</v>
      </c>
      <c r="EQ164" s="149">
        <f>BS!EQ8</f>
        <v>1303</v>
      </c>
      <c r="ER164" s="149">
        <f>BS!ER8</f>
        <v>1880</v>
      </c>
      <c r="ES164" s="149">
        <f>BS!ES8</f>
        <v>1025</v>
      </c>
      <c r="ET164" s="1246">
        <f>BS!ET8</f>
        <v>1565</v>
      </c>
      <c r="EU164" s="1246">
        <f>BS!EU8</f>
        <v>2411</v>
      </c>
      <c r="EV164" s="149">
        <f>BS!EV8</f>
        <v>1915</v>
      </c>
      <c r="EW164" s="149">
        <f>BS!EW8</f>
        <v>2102</v>
      </c>
      <c r="EX164" s="1246">
        <f>BS!EX8</f>
        <v>3654</v>
      </c>
      <c r="EY164" s="1246">
        <f>BS!EY8</f>
        <v>3764</v>
      </c>
      <c r="EZ164" s="1246">
        <f>BS!EZ8</f>
        <v>2605</v>
      </c>
      <c r="FA164" s="1246">
        <f>BS!FA8</f>
        <v>4139</v>
      </c>
      <c r="FB164" s="1246">
        <f>BS!FB8</f>
        <v>6008</v>
      </c>
      <c r="FC164" s="1246">
        <f>BS!FC8</f>
        <v>16698.994975012749</v>
      </c>
      <c r="FD164" s="152">
        <f>BS!FD8</f>
        <v>20733.594652083244</v>
      </c>
    </row>
    <row r="165" spans="1:160" ht="14.25" customHeight="1">
      <c r="A165" s="7"/>
      <c r="B165" s="120" t="s">
        <v>297</v>
      </c>
      <c r="C165" s="121"/>
      <c r="D165" s="124">
        <f t="shared" ref="D165:AY165" si="1308">IF(ROUND(D164,4)=ROUND(D162,4),0,(D164-D162))</f>
        <v>0</v>
      </c>
      <c r="E165" s="122">
        <f t="shared" si="1308"/>
        <v>0</v>
      </c>
      <c r="F165" s="122">
        <f t="shared" si="1308"/>
        <v>-29.000000000000114</v>
      </c>
      <c r="G165" s="123">
        <f t="shared" si="1308"/>
        <v>-29.000000000000114</v>
      </c>
      <c r="H165" s="124">
        <f t="shared" si="1308"/>
        <v>-25.300000000000011</v>
      </c>
      <c r="I165" s="122">
        <f t="shared" si="1308"/>
        <v>2.6000000000000227</v>
      </c>
      <c r="J165" s="122">
        <f t="shared" si="1308"/>
        <v>4.6000000000001364</v>
      </c>
      <c r="K165" s="123">
        <f t="shared" si="1308"/>
        <v>9.0000000000002274</v>
      </c>
      <c r="L165" s="124">
        <f t="shared" si="1308"/>
        <v>0</v>
      </c>
      <c r="M165" s="122">
        <f t="shared" si="1308"/>
        <v>0</v>
      </c>
      <c r="N165" s="122">
        <f t="shared" si="1308"/>
        <v>0</v>
      </c>
      <c r="O165" s="123">
        <f t="shared" si="1308"/>
        <v>0</v>
      </c>
      <c r="P165" s="124">
        <f t="shared" si="1308"/>
        <v>0</v>
      </c>
      <c r="Q165" s="122">
        <f t="shared" si="1308"/>
        <v>0</v>
      </c>
      <c r="R165" s="122">
        <f t="shared" si="1308"/>
        <v>0</v>
      </c>
      <c r="S165" s="123">
        <f t="shared" si="1308"/>
        <v>0</v>
      </c>
      <c r="T165" s="124">
        <f t="shared" si="1308"/>
        <v>0</v>
      </c>
      <c r="U165" s="122">
        <f t="shared" si="1308"/>
        <v>0</v>
      </c>
      <c r="V165" s="122">
        <f t="shared" si="1308"/>
        <v>0</v>
      </c>
      <c r="W165" s="123">
        <f t="shared" si="1308"/>
        <v>0</v>
      </c>
      <c r="X165" s="124">
        <f t="shared" si="1308"/>
        <v>0</v>
      </c>
      <c r="Y165" s="122">
        <f t="shared" si="1308"/>
        <v>0</v>
      </c>
      <c r="Z165" s="122">
        <f t="shared" si="1308"/>
        <v>0</v>
      </c>
      <c r="AA165" s="123">
        <f t="shared" si="1308"/>
        <v>0</v>
      </c>
      <c r="AB165" s="124">
        <f t="shared" si="1308"/>
        <v>0</v>
      </c>
      <c r="AC165" s="122">
        <f t="shared" si="1308"/>
        <v>0</v>
      </c>
      <c r="AD165" s="122">
        <f t="shared" si="1308"/>
        <v>0</v>
      </c>
      <c r="AE165" s="123">
        <f t="shared" si="1308"/>
        <v>0</v>
      </c>
      <c r="AF165" s="124">
        <f t="shared" si="1308"/>
        <v>0</v>
      </c>
      <c r="AG165" s="122">
        <f t="shared" si="1308"/>
        <v>0</v>
      </c>
      <c r="AH165" s="122">
        <f t="shared" si="1308"/>
        <v>0</v>
      </c>
      <c r="AI165" s="123">
        <f t="shared" si="1308"/>
        <v>0</v>
      </c>
      <c r="AJ165" s="124">
        <f t="shared" si="1308"/>
        <v>0</v>
      </c>
      <c r="AK165" s="122">
        <f t="shared" si="1308"/>
        <v>0</v>
      </c>
      <c r="AL165" s="122">
        <f t="shared" si="1308"/>
        <v>0</v>
      </c>
      <c r="AM165" s="123">
        <f t="shared" si="1308"/>
        <v>0</v>
      </c>
      <c r="AN165" s="124">
        <f t="shared" si="1308"/>
        <v>0</v>
      </c>
      <c r="AO165" s="122">
        <f t="shared" si="1308"/>
        <v>0</v>
      </c>
      <c r="AP165" s="122">
        <f t="shared" si="1308"/>
        <v>0</v>
      </c>
      <c r="AQ165" s="123">
        <f t="shared" si="1308"/>
        <v>0</v>
      </c>
      <c r="AR165" s="124">
        <f t="shared" si="1308"/>
        <v>0</v>
      </c>
      <c r="AS165" s="122">
        <f t="shared" si="1308"/>
        <v>0</v>
      </c>
      <c r="AT165" s="122">
        <f t="shared" si="1308"/>
        <v>0</v>
      </c>
      <c r="AU165" s="123">
        <f t="shared" si="1308"/>
        <v>0</v>
      </c>
      <c r="AV165" s="124">
        <f t="shared" si="1308"/>
        <v>0</v>
      </c>
      <c r="AW165" s="122">
        <f t="shared" si="1308"/>
        <v>0</v>
      </c>
      <c r="AX165" s="122">
        <f t="shared" si="1308"/>
        <v>0</v>
      </c>
      <c r="AY165" s="123">
        <f t="shared" si="1308"/>
        <v>0</v>
      </c>
      <c r="AZ165" s="124">
        <f>IF(ROUND(AZ164,4)=ROUND(AZ162,4),0,(AZ164-AZ162))</f>
        <v>0</v>
      </c>
      <c r="BA165" s="122">
        <f>IF(ROUND(BA164,4)=ROUND(BA162,4),0,(BA164-BA162))</f>
        <v>0</v>
      </c>
      <c r="BB165" s="122">
        <f>IF(ROUND(BB164,4)=ROUND(BB162,4),0,(BB164-BB162))</f>
        <v>0</v>
      </c>
      <c r="BC165" s="123">
        <f>IF(ROUND(BC164,4)=ROUND(BC162,4),0,(BC164-BC162))</f>
        <v>0</v>
      </c>
      <c r="BD165" s="124">
        <f t="shared" ref="BD165:BO165" si="1309">IF(ROUND(BD164,4)=ROUND(BD162,4),0,(BD164-BD162))</f>
        <v>0</v>
      </c>
      <c r="BE165" s="122">
        <f t="shared" si="1309"/>
        <v>0</v>
      </c>
      <c r="BF165" s="122">
        <f t="shared" si="1309"/>
        <v>0</v>
      </c>
      <c r="BG165" s="123">
        <f t="shared" si="1309"/>
        <v>0</v>
      </c>
      <c r="BH165" s="124">
        <f t="shared" si="1309"/>
        <v>0</v>
      </c>
      <c r="BI165" s="122">
        <f t="shared" si="1309"/>
        <v>0</v>
      </c>
      <c r="BJ165" s="122">
        <f t="shared" si="1309"/>
        <v>0</v>
      </c>
      <c r="BK165" s="123">
        <f t="shared" si="1309"/>
        <v>0</v>
      </c>
      <c r="BL165" s="124">
        <f t="shared" si="1309"/>
        <v>0</v>
      </c>
      <c r="BM165" s="122">
        <f t="shared" si="1309"/>
        <v>0</v>
      </c>
      <c r="BN165" s="122">
        <f t="shared" si="1309"/>
        <v>0</v>
      </c>
      <c r="BO165" s="123">
        <f t="shared" si="1309"/>
        <v>0</v>
      </c>
      <c r="BP165" s="124">
        <f t="shared" ref="BP165:CC165" si="1310">IF(ROUND(BP164,4)=ROUND(BP162,4),0,(BP164-BP162))</f>
        <v>0</v>
      </c>
      <c r="BQ165" s="122">
        <f t="shared" si="1310"/>
        <v>0</v>
      </c>
      <c r="BR165" s="122">
        <f t="shared" si="1310"/>
        <v>0</v>
      </c>
      <c r="BS165" s="123">
        <f t="shared" si="1310"/>
        <v>0</v>
      </c>
      <c r="BT165" s="124">
        <f t="shared" si="1310"/>
        <v>0</v>
      </c>
      <c r="BU165" s="122">
        <f t="shared" si="1310"/>
        <v>0</v>
      </c>
      <c r="BV165" s="122">
        <f t="shared" si="1310"/>
        <v>0</v>
      </c>
      <c r="BW165" s="123">
        <f t="shared" si="1310"/>
        <v>0</v>
      </c>
      <c r="BX165" s="124">
        <f t="shared" si="1310"/>
        <v>0</v>
      </c>
      <c r="BY165" s="122">
        <f t="shared" si="1310"/>
        <v>0</v>
      </c>
      <c r="BZ165" s="122">
        <f t="shared" si="1310"/>
        <v>0</v>
      </c>
      <c r="CA165" s="123">
        <f t="shared" si="1310"/>
        <v>0</v>
      </c>
      <c r="CB165" s="124">
        <f t="shared" si="1310"/>
        <v>0</v>
      </c>
      <c r="CC165" s="122">
        <f t="shared" si="1310"/>
        <v>0</v>
      </c>
      <c r="CD165" s="122">
        <f t="shared" ref="CD165:CI165" si="1311">IF(ROUND(CD164,4)=ROUND(CD162,4),0,(CD164-CD162))</f>
        <v>0</v>
      </c>
      <c r="CE165" s="123">
        <f t="shared" si="1311"/>
        <v>0</v>
      </c>
      <c r="CF165" s="124">
        <f t="shared" si="1311"/>
        <v>0</v>
      </c>
      <c r="CG165" s="122">
        <f t="shared" si="1311"/>
        <v>0</v>
      </c>
      <c r="CH165" s="122">
        <f t="shared" si="1311"/>
        <v>0</v>
      </c>
      <c r="CI165" s="123">
        <f t="shared" si="1311"/>
        <v>0</v>
      </c>
      <c r="CJ165" s="124">
        <f t="shared" ref="CJ165:CM165" si="1312">IF(ROUND(CJ164,4)=ROUND(CJ162,4),0,(CJ164-CJ162))</f>
        <v>0</v>
      </c>
      <c r="CK165" s="122">
        <f t="shared" si="1312"/>
        <v>0</v>
      </c>
      <c r="CL165" s="122">
        <f t="shared" si="1312"/>
        <v>0</v>
      </c>
      <c r="CM165" s="123">
        <f t="shared" si="1312"/>
        <v>0</v>
      </c>
      <c r="CN165" s="1240">
        <f t="shared" ref="CN165:CQ165" si="1313">IF(ROUND(CN164,4)=ROUND(CN162,4),0,(CN164-CN162))</f>
        <v>0</v>
      </c>
      <c r="CO165" s="1239">
        <f t="shared" si="1313"/>
        <v>0</v>
      </c>
      <c r="CP165" s="1239">
        <f t="shared" si="1313"/>
        <v>0</v>
      </c>
      <c r="CQ165" s="123">
        <f t="shared" si="1313"/>
        <v>0</v>
      </c>
      <c r="CR165" s="1240">
        <f t="shared" ref="CR165" si="1314">IF(ROUND(CR164,4)=ROUND(CR162,4),0,(CR164-CR162))</f>
        <v>0</v>
      </c>
      <c r="CS165" s="1239">
        <f t="shared" ref="CS165:CU165" si="1315">IF(ROUND(CS164,4)=ROUND(CS162,4),0,(CS164-CS162))</f>
        <v>0</v>
      </c>
      <c r="CT165" s="1239">
        <f t="shared" si="1315"/>
        <v>0</v>
      </c>
      <c r="CU165" s="123">
        <f t="shared" si="1315"/>
        <v>0</v>
      </c>
      <c r="CV165" s="1240">
        <f t="shared" ref="CV165:CY165" si="1316">IF(ROUND(CV164,4)=ROUND(CV162,4),0,(CV164-CV162))</f>
        <v>0</v>
      </c>
      <c r="CW165" s="1239">
        <f t="shared" si="1316"/>
        <v>0</v>
      </c>
      <c r="CX165" s="1239">
        <f t="shared" si="1316"/>
        <v>0</v>
      </c>
      <c r="CY165" s="123">
        <f t="shared" si="1316"/>
        <v>0</v>
      </c>
      <c r="CZ165" s="1240">
        <f t="shared" ref="CZ165:DC165" si="1317">IF(ROUND(CZ164,4)=ROUND(CZ162,4),0,(CZ164-CZ162))</f>
        <v>0</v>
      </c>
      <c r="DA165" s="1239">
        <f t="shared" si="1317"/>
        <v>0</v>
      </c>
      <c r="DB165" s="1239">
        <f t="shared" si="1317"/>
        <v>0</v>
      </c>
      <c r="DC165" s="123">
        <f t="shared" si="1317"/>
        <v>0</v>
      </c>
      <c r="DD165" s="153"/>
      <c r="DE165" s="122">
        <f t="shared" ref="DE165:DN165" si="1318">IF(ROUND(DE164,4)=ROUND(DE162,4),0,(DE164-DE162))</f>
        <v>-58.000000000000057</v>
      </c>
      <c r="DF165" s="122">
        <f t="shared" si="1318"/>
        <v>-19.999999999999773</v>
      </c>
      <c r="DG165" s="122">
        <f t="shared" si="1318"/>
        <v>0</v>
      </c>
      <c r="DH165" s="122">
        <f t="shared" si="1318"/>
        <v>0</v>
      </c>
      <c r="DI165" s="122">
        <f t="shared" si="1318"/>
        <v>0</v>
      </c>
      <c r="DJ165" s="122">
        <f t="shared" si="1318"/>
        <v>0</v>
      </c>
      <c r="DK165" s="122">
        <f t="shared" si="1318"/>
        <v>0</v>
      </c>
      <c r="DL165" s="122">
        <f t="shared" si="1318"/>
        <v>0</v>
      </c>
      <c r="DM165" s="122">
        <f t="shared" si="1318"/>
        <v>0</v>
      </c>
      <c r="DN165" s="122">
        <f t="shared" si="1318"/>
        <v>0</v>
      </c>
      <c r="DO165" s="122">
        <f t="shared" ref="DO165:DU165" si="1319">IF(ROUND(DO164,4)=ROUND(DO162,4),0,(DO164-DO162))</f>
        <v>0</v>
      </c>
      <c r="DP165" s="122">
        <f t="shared" si="1319"/>
        <v>0</v>
      </c>
      <c r="DQ165" s="122">
        <f t="shared" si="1319"/>
        <v>0</v>
      </c>
      <c r="DR165" s="122">
        <f t="shared" si="1319"/>
        <v>0</v>
      </c>
      <c r="DS165" s="122">
        <f t="shared" si="1319"/>
        <v>0</v>
      </c>
      <c r="DT165" s="122">
        <f t="shared" si="1319"/>
        <v>0</v>
      </c>
      <c r="DU165" s="1239">
        <f t="shared" si="1319"/>
        <v>0</v>
      </c>
      <c r="DV165" s="1239">
        <f t="shared" ref="DV165:EB165" si="1320">IF(ROUND(DV164,4)=ROUND(DV162,4),0,(DV164-DV162))</f>
        <v>0</v>
      </c>
      <c r="DW165" s="1239">
        <f t="shared" si="1320"/>
        <v>0</v>
      </c>
      <c r="DX165" s="1239">
        <f t="shared" si="1320"/>
        <v>0</v>
      </c>
      <c r="DY165" s="1239">
        <f t="shared" si="1320"/>
        <v>0</v>
      </c>
      <c r="DZ165" s="1239">
        <f>IF(ROUND(DZ164,4)=ROUND(DZ162,4),0,(DZ164-DZ162))</f>
        <v>0</v>
      </c>
      <c r="EA165" s="122">
        <f t="shared" si="1320"/>
        <v>0</v>
      </c>
      <c r="EB165" s="1239">
        <f t="shared" si="1320"/>
        <v>0</v>
      </c>
      <c r="EC165" s="1239">
        <f t="shared" ref="EC165:ED165" si="1321">IF(ROUND(EC164,4)=ROUND(EC162,4),0,(EC164-EC162))</f>
        <v>0</v>
      </c>
      <c r="ED165" s="1239">
        <f t="shared" si="1321"/>
        <v>0</v>
      </c>
      <c r="EE165" s="18"/>
      <c r="EF165" s="122"/>
      <c r="EG165" s="122"/>
      <c r="EH165" s="122">
        <f t="shared" ref="EH165:EO165" si="1322">IF(ROUND(EH164,4)=ROUND(EH162,4),0,(EH164-EH162))</f>
        <v>0</v>
      </c>
      <c r="EI165" s="122">
        <f t="shared" si="1322"/>
        <v>0</v>
      </c>
      <c r="EJ165" s="122">
        <f t="shared" si="1322"/>
        <v>0</v>
      </c>
      <c r="EK165" s="122">
        <f t="shared" si="1322"/>
        <v>0</v>
      </c>
      <c r="EL165" s="122">
        <f t="shared" si="1322"/>
        <v>0</v>
      </c>
      <c r="EM165" s="122">
        <f t="shared" si="1322"/>
        <v>0</v>
      </c>
      <c r="EN165" s="122">
        <f t="shared" si="1322"/>
        <v>0</v>
      </c>
      <c r="EO165" s="122">
        <f t="shared" si="1322"/>
        <v>0</v>
      </c>
      <c r="EP165" s="122">
        <f t="shared" ref="EP165:EY165" si="1323">IF(ROUND(EP164,4)=ROUND(EP162,4),0,(EP164-EP162))</f>
        <v>0</v>
      </c>
      <c r="EQ165" s="122">
        <f t="shared" si="1323"/>
        <v>0</v>
      </c>
      <c r="ER165" s="122">
        <f t="shared" si="1323"/>
        <v>0</v>
      </c>
      <c r="ES165" s="122">
        <f t="shared" si="1323"/>
        <v>0</v>
      </c>
      <c r="ET165" s="1239">
        <f t="shared" si="1323"/>
        <v>0</v>
      </c>
      <c r="EU165" s="1239">
        <f t="shared" si="1323"/>
        <v>0</v>
      </c>
      <c r="EV165" s="122">
        <f t="shared" si="1323"/>
        <v>0</v>
      </c>
      <c r="EW165" s="122">
        <f t="shared" si="1323"/>
        <v>0</v>
      </c>
      <c r="EX165" s="1239">
        <f t="shared" si="1323"/>
        <v>0</v>
      </c>
      <c r="EY165" s="1239">
        <f t="shared" si="1323"/>
        <v>0</v>
      </c>
      <c r="EZ165" s="1239">
        <f t="shared" ref="EZ165:FC165" si="1324">IF(ROUND(EZ164,4)=ROUND(EZ162,4),0,(EZ164-EZ162))</f>
        <v>0</v>
      </c>
      <c r="FA165" s="1239">
        <f t="shared" si="1324"/>
        <v>0</v>
      </c>
      <c r="FB165" s="1239">
        <f t="shared" si="1324"/>
        <v>0</v>
      </c>
      <c r="FC165" s="1239">
        <f t="shared" si="1324"/>
        <v>0</v>
      </c>
      <c r="FD165" s="123">
        <f t="shared" ref="FD165" si="1325">IF(ROUND(FD164,4)=ROUND(FD162,4),0,(FD164-FD162))</f>
        <v>0</v>
      </c>
    </row>
    <row r="166" spans="1:160" ht="14.25" customHeight="1">
      <c r="A166" s="7"/>
      <c r="B166" s="219"/>
      <c r="C166" s="219"/>
      <c r="D166" s="220"/>
      <c r="E166" s="220"/>
      <c r="F166" s="220"/>
      <c r="G166" s="220"/>
      <c r="H166" s="220"/>
      <c r="I166" s="220"/>
      <c r="J166" s="220"/>
      <c r="K166" s="220"/>
      <c r="L166" s="220"/>
      <c r="M166" s="220"/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597"/>
      <c r="Y166" s="597"/>
      <c r="Z166" s="597"/>
      <c r="AA166" s="597"/>
      <c r="AB166" s="597"/>
      <c r="AC166" s="597"/>
      <c r="AD166" s="597"/>
      <c r="AE166" s="597"/>
      <c r="AF166" s="597"/>
      <c r="AG166" s="597"/>
      <c r="AH166" s="597"/>
      <c r="AI166" s="597"/>
      <c r="AJ166" s="597"/>
      <c r="AK166" s="597"/>
      <c r="AL166" s="597"/>
      <c r="AM166" s="597"/>
      <c r="AN166" s="597"/>
      <c r="AO166" s="597"/>
      <c r="AP166" s="597"/>
      <c r="AQ166" s="597"/>
      <c r="AR166" s="597"/>
      <c r="AS166" s="597"/>
      <c r="AT166" s="597"/>
      <c r="AU166" s="597"/>
      <c r="AV166" s="597"/>
      <c r="AW166" s="597"/>
      <c r="AX166" s="597"/>
      <c r="AY166" s="597"/>
      <c r="AZ166" s="597"/>
      <c r="BA166" s="597"/>
      <c r="BB166" s="597"/>
      <c r="BC166" s="597"/>
      <c r="BD166" s="597"/>
      <c r="BE166" s="597"/>
      <c r="BF166" s="597"/>
      <c r="BG166" s="597"/>
      <c r="BH166" s="597"/>
      <c r="BI166" s="597"/>
      <c r="BJ166" s="597"/>
      <c r="BK166" s="597"/>
      <c r="BL166" s="220"/>
      <c r="BM166" s="220"/>
      <c r="BN166" s="220"/>
      <c r="BO166" s="220"/>
      <c r="BP166" s="220"/>
      <c r="BQ166" s="220"/>
      <c r="BR166" s="220"/>
      <c r="BS166" s="220"/>
      <c r="BT166" s="220"/>
      <c r="BU166" s="220"/>
      <c r="BV166" s="220"/>
      <c r="BW166" s="220"/>
      <c r="BX166" s="220"/>
      <c r="BY166" s="220"/>
      <c r="BZ166" s="220"/>
      <c r="CA166" s="220"/>
      <c r="CB166" s="220"/>
      <c r="CC166" s="220"/>
      <c r="CD166" s="220"/>
      <c r="CE166" s="220"/>
      <c r="CF166" s="220"/>
      <c r="CG166" s="220"/>
      <c r="CH166" s="220"/>
      <c r="CI166" s="220"/>
      <c r="CJ166" s="220"/>
      <c r="CK166" s="220"/>
      <c r="CL166" s="220"/>
      <c r="CM166" s="220"/>
      <c r="CN166" s="220"/>
      <c r="CO166" s="220"/>
      <c r="CP166" s="220"/>
      <c r="CQ166" s="220"/>
      <c r="CR166" s="220"/>
      <c r="CS166" s="220"/>
      <c r="CT166" s="220"/>
      <c r="CU166" s="220"/>
      <c r="CV166" s="220"/>
      <c r="CW166" s="220"/>
      <c r="CX166" s="220"/>
      <c r="CY166" s="220"/>
      <c r="CZ166" s="220"/>
      <c r="DA166" s="220"/>
      <c r="DB166" s="220"/>
      <c r="DC166" s="220"/>
      <c r="DD166" s="59"/>
      <c r="DE166" s="220"/>
      <c r="DF166" s="220"/>
      <c r="DG166" s="220"/>
      <c r="DH166" s="220"/>
      <c r="DI166" s="220"/>
      <c r="DJ166" s="220"/>
      <c r="DK166" s="220"/>
      <c r="DL166" s="220"/>
      <c r="DM166" s="220"/>
      <c r="DN166" s="220"/>
      <c r="DO166" s="220"/>
      <c r="DP166" s="220"/>
      <c r="DQ166" s="220"/>
      <c r="DR166" s="220"/>
      <c r="DS166" s="220"/>
      <c r="DT166" s="220"/>
      <c r="DU166" s="220"/>
      <c r="DV166" s="220"/>
      <c r="DW166" s="220"/>
      <c r="DX166" s="220"/>
      <c r="DY166" s="220"/>
      <c r="DZ166" s="220"/>
      <c r="EA166" s="220"/>
      <c r="EB166" s="220"/>
      <c r="EC166" s="220"/>
      <c r="ED166" s="220"/>
      <c r="EE166" s="7"/>
      <c r="EF166" s="220"/>
      <c r="EG166" s="220"/>
      <c r="EH166" s="220"/>
      <c r="EI166" s="220"/>
      <c r="EJ166" s="220"/>
      <c r="EK166" s="220"/>
      <c r="EL166" s="220"/>
      <c r="EM166" s="220"/>
      <c r="EN166" s="220"/>
      <c r="EO166" s="220"/>
      <c r="EP166" s="220"/>
      <c r="EQ166" s="220"/>
      <c r="ER166" s="220"/>
      <c r="ES166" s="220"/>
      <c r="ET166" s="220"/>
      <c r="EU166" s="220"/>
      <c r="EV166" s="220"/>
      <c r="EW166" s="220"/>
      <c r="EX166" s="220"/>
      <c r="EY166" s="220"/>
      <c r="EZ166" s="220"/>
      <c r="FA166" s="220"/>
      <c r="FB166" s="220"/>
      <c r="FC166" s="220"/>
      <c r="FD166" s="220"/>
    </row>
    <row r="167" spans="1:160" ht="14.25" customHeight="1">
      <c r="A167" s="7"/>
      <c r="B167" s="13"/>
      <c r="C167" s="13"/>
      <c r="D167" s="221"/>
      <c r="E167" s="221"/>
      <c r="F167" s="221"/>
      <c r="G167" s="221"/>
      <c r="H167" s="221"/>
      <c r="I167" s="221"/>
      <c r="J167" s="221"/>
      <c r="K167" s="221"/>
      <c r="L167" s="221"/>
      <c r="M167" s="221"/>
      <c r="N167" s="221"/>
      <c r="O167" s="221"/>
      <c r="P167" s="221"/>
      <c r="Q167" s="221"/>
      <c r="R167" s="221"/>
      <c r="S167" s="221"/>
      <c r="T167" s="221"/>
      <c r="U167" s="221"/>
      <c r="V167" s="221"/>
      <c r="W167" s="221"/>
      <c r="X167" s="221"/>
      <c r="Y167" s="221"/>
      <c r="Z167" s="221"/>
      <c r="AA167" s="221"/>
      <c r="AB167" s="221"/>
      <c r="AC167" s="221"/>
      <c r="AD167" s="221"/>
      <c r="AE167" s="221"/>
      <c r="AF167" s="221"/>
      <c r="AG167" s="221"/>
      <c r="AH167" s="221"/>
      <c r="AI167" s="221"/>
      <c r="AJ167" s="221"/>
      <c r="AK167" s="221"/>
      <c r="AL167" s="221"/>
      <c r="AM167" s="221"/>
      <c r="AN167" s="221"/>
      <c r="AO167" s="221"/>
      <c r="AP167" s="221"/>
      <c r="AQ167" s="221"/>
      <c r="AR167" s="221"/>
      <c r="AS167" s="221"/>
      <c r="AT167" s="221"/>
      <c r="AU167" s="221"/>
      <c r="AV167" s="221"/>
      <c r="AW167" s="221"/>
      <c r="AX167" s="221"/>
      <c r="AY167" s="221"/>
      <c r="AZ167" s="221"/>
      <c r="BA167" s="221"/>
      <c r="BB167" s="221"/>
      <c r="BC167" s="221"/>
      <c r="BD167" s="221"/>
      <c r="BE167" s="221"/>
      <c r="BF167" s="221"/>
      <c r="BG167" s="221"/>
      <c r="BH167" s="221"/>
      <c r="BI167" s="221"/>
      <c r="BJ167" s="221"/>
      <c r="BK167" s="221"/>
      <c r="BL167" s="221"/>
      <c r="BM167" s="221"/>
      <c r="BN167" s="221"/>
      <c r="BO167" s="221"/>
      <c r="BP167" s="221"/>
      <c r="BQ167" s="221"/>
      <c r="BR167" s="221"/>
      <c r="BS167" s="221"/>
      <c r="BT167" s="221"/>
      <c r="BU167" s="221"/>
      <c r="BV167" s="221"/>
      <c r="BW167" s="221"/>
      <c r="BX167" s="221"/>
      <c r="BY167" s="221"/>
      <c r="BZ167" s="221"/>
      <c r="CA167" s="221"/>
      <c r="CB167" s="221"/>
      <c r="CC167" s="221"/>
      <c r="CD167" s="221"/>
      <c r="CE167" s="221"/>
      <c r="CF167" s="221"/>
      <c r="CG167" s="221"/>
      <c r="CH167" s="221"/>
      <c r="CI167" s="221"/>
      <c r="CJ167" s="221"/>
      <c r="CK167" s="221"/>
      <c r="CL167" s="221"/>
      <c r="CM167" s="221"/>
      <c r="CN167" s="221"/>
      <c r="CO167" s="221"/>
      <c r="CP167" s="221"/>
      <c r="CQ167" s="221"/>
      <c r="CR167" s="221"/>
      <c r="CS167" s="221"/>
      <c r="CT167" s="221"/>
      <c r="CU167" s="221"/>
      <c r="CV167" s="221"/>
      <c r="CW167" s="221"/>
      <c r="CX167" s="221"/>
      <c r="CY167" s="221"/>
      <c r="CZ167" s="221"/>
      <c r="DA167" s="221"/>
      <c r="DB167" s="221"/>
      <c r="DC167" s="221"/>
      <c r="DD167" s="7"/>
      <c r="DE167" s="325"/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221"/>
      <c r="DP167" s="221"/>
      <c r="DQ167" s="221"/>
      <c r="DR167" s="221"/>
      <c r="DS167" s="221"/>
      <c r="DT167" s="221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221"/>
      <c r="EE167" s="7"/>
      <c r="EF167" s="221"/>
      <c r="EG167" s="221"/>
      <c r="EH167" s="221"/>
      <c r="EI167" s="221"/>
      <c r="EJ167" s="221"/>
      <c r="EK167" s="221"/>
      <c r="EL167" s="221"/>
      <c r="EM167" s="221"/>
      <c r="EN167" s="221"/>
      <c r="EO167" s="221"/>
      <c r="EP167" s="221"/>
      <c r="EQ167" s="221"/>
      <c r="ER167" s="221"/>
      <c r="ES167" s="221"/>
      <c r="ET167" s="221"/>
      <c r="EU167" s="221"/>
      <c r="EV167" s="221"/>
      <c r="EW167" s="221"/>
      <c r="EX167" s="221"/>
      <c r="EY167" s="221"/>
      <c r="EZ167" s="221"/>
      <c r="FA167" s="221"/>
      <c r="FB167" s="221"/>
      <c r="FC167" s="221"/>
      <c r="FD167" s="221"/>
    </row>
    <row r="168" spans="1:160" ht="14.25" customHeight="1">
      <c r="A168" s="7"/>
      <c r="B168" s="13"/>
      <c r="C168" s="13"/>
      <c r="D168" s="221"/>
      <c r="E168" s="221"/>
      <c r="F168" s="221"/>
      <c r="G168" s="221"/>
      <c r="H168" s="221"/>
      <c r="I168" s="221"/>
      <c r="J168" s="221"/>
      <c r="K168" s="221"/>
      <c r="L168" s="221"/>
      <c r="M168" s="221"/>
      <c r="N168" s="221"/>
      <c r="O168" s="221"/>
      <c r="P168" s="221"/>
      <c r="Q168" s="221"/>
      <c r="R168" s="221"/>
      <c r="S168" s="221"/>
      <c r="T168" s="221"/>
      <c r="U168" s="221"/>
      <c r="V168" s="221"/>
      <c r="W168" s="221"/>
      <c r="X168" s="221"/>
      <c r="Y168" s="221"/>
      <c r="Z168" s="221"/>
      <c r="AA168" s="221"/>
      <c r="AB168" s="221"/>
      <c r="AC168" s="221"/>
      <c r="AD168" s="221"/>
      <c r="AE168" s="221"/>
      <c r="AF168" s="221"/>
      <c r="AG168" s="221"/>
      <c r="AH168" s="221"/>
      <c r="AI168" s="221"/>
      <c r="AJ168" s="221"/>
      <c r="AK168" s="221"/>
      <c r="AL168" s="221"/>
      <c r="AM168" s="221"/>
      <c r="AN168" s="221"/>
      <c r="AO168" s="221"/>
      <c r="AP168" s="221"/>
      <c r="AQ168" s="221"/>
      <c r="AR168" s="221"/>
      <c r="AS168" s="221"/>
      <c r="AT168" s="221"/>
      <c r="AU168" s="221"/>
      <c r="AV168" s="221"/>
      <c r="AW168" s="221"/>
      <c r="AX168" s="221"/>
      <c r="AY168" s="221"/>
      <c r="AZ168" s="221"/>
      <c r="BA168" s="221"/>
      <c r="BB168" s="221"/>
      <c r="BC168" s="221"/>
      <c r="BD168" s="221"/>
      <c r="BE168" s="221"/>
      <c r="BF168" s="221"/>
      <c r="BG168" s="221"/>
      <c r="BH168" s="221"/>
      <c r="BI168" s="221"/>
      <c r="BJ168" s="221"/>
      <c r="BK168" s="221"/>
      <c r="BL168" s="221"/>
      <c r="BM168" s="221"/>
      <c r="BN168" s="221"/>
      <c r="BO168" s="221"/>
      <c r="BP168" s="221"/>
      <c r="BQ168" s="221"/>
      <c r="BR168" s="221"/>
      <c r="BS168" s="281"/>
      <c r="BT168" s="221"/>
      <c r="BU168" s="221"/>
      <c r="BV168" s="221"/>
      <c r="BW168" s="221"/>
      <c r="BX168" s="221"/>
      <c r="BY168" s="221"/>
      <c r="BZ168" s="221"/>
      <c r="CA168" s="221"/>
      <c r="CB168" s="221"/>
      <c r="CC168" s="221"/>
      <c r="CD168" s="221"/>
      <c r="CE168" s="221"/>
      <c r="CF168" s="221"/>
      <c r="CG168" s="221"/>
      <c r="CH168" s="221"/>
      <c r="CI168" s="221"/>
      <c r="CJ168" s="221"/>
      <c r="CK168" s="221"/>
      <c r="CL168" s="221"/>
      <c r="CM168" s="221"/>
      <c r="CN168" s="221"/>
      <c r="CO168" s="221"/>
      <c r="CP168" s="221"/>
      <c r="CQ168" s="221"/>
      <c r="CR168" s="221"/>
      <c r="CS168" s="221"/>
      <c r="CT168" s="221"/>
      <c r="CU168" s="221"/>
      <c r="CV168" s="221"/>
      <c r="CW168" s="221"/>
      <c r="CX168" s="221"/>
      <c r="CY168" s="221"/>
      <c r="CZ168" s="221"/>
      <c r="DA168" s="221"/>
      <c r="DB168" s="221"/>
      <c r="DC168" s="221"/>
      <c r="DD168" s="7"/>
      <c r="DE168" s="325"/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221"/>
      <c r="DP168" s="221"/>
      <c r="DQ168" s="221"/>
      <c r="DR168" s="221"/>
      <c r="DS168" s="221"/>
      <c r="DT168" s="221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221"/>
      <c r="EE168" s="7"/>
      <c r="EF168" s="221"/>
      <c r="EG168" s="221"/>
      <c r="EH168" s="221"/>
      <c r="EI168" s="221"/>
      <c r="EJ168" s="221"/>
      <c r="EK168" s="221"/>
      <c r="EL168" s="221"/>
      <c r="EM168" s="221"/>
      <c r="EN168" s="221"/>
      <c r="EO168" s="221"/>
      <c r="EP168" s="221"/>
      <c r="EQ168" s="221"/>
      <c r="ER168" s="221"/>
      <c r="ES168" s="221"/>
      <c r="ET168" s="221"/>
      <c r="EU168" s="221"/>
      <c r="EV168" s="221"/>
      <c r="EW168" s="221"/>
      <c r="EX168" s="221"/>
      <c r="EY168" s="221"/>
      <c r="EZ168" s="221"/>
      <c r="FA168" s="221"/>
      <c r="FB168" s="221"/>
      <c r="FC168" s="221"/>
      <c r="FD168" s="221"/>
    </row>
    <row r="169" spans="1:160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266"/>
      <c r="DF169" s="266"/>
      <c r="DG169" s="266"/>
      <c r="DH169" s="266"/>
      <c r="DI169" s="266"/>
      <c r="DJ169" s="266"/>
      <c r="DK169" s="266"/>
      <c r="DL169" s="266"/>
      <c r="DM169" s="266"/>
      <c r="DN169" s="266"/>
      <c r="DO169" s="266"/>
      <c r="DP169" s="266"/>
      <c r="DQ169" s="266"/>
      <c r="DR169" s="266"/>
      <c r="DS169" s="266"/>
      <c r="DT169" s="266"/>
      <c r="DU169" s="266"/>
      <c r="DV169" s="266"/>
      <c r="DW169" s="266"/>
      <c r="DX169" s="266"/>
      <c r="DY169" s="266"/>
      <c r="DZ169" s="266"/>
      <c r="EA169" s="266"/>
      <c r="EB169" s="266"/>
      <c r="EC169" s="266"/>
      <c r="ED169" s="266"/>
      <c r="EE169" s="4"/>
      <c r="EF169" s="266"/>
      <c r="EG169" s="266"/>
      <c r="EH169" s="266"/>
      <c r="EI169" s="266"/>
      <c r="EJ169" s="266"/>
      <c r="EK169" s="266"/>
      <c r="EL169" s="266"/>
      <c r="EM169" s="266"/>
      <c r="EN169" s="266"/>
      <c r="EO169" s="266"/>
      <c r="EP169" s="266"/>
      <c r="EQ169" s="266"/>
      <c r="ER169" s="266"/>
      <c r="ES169" s="266"/>
      <c r="ET169" s="266"/>
      <c r="EU169" s="266"/>
      <c r="EV169" s="266"/>
      <c r="EW169" s="266"/>
      <c r="EX169" s="266"/>
      <c r="EY169" s="266"/>
      <c r="EZ169" s="266"/>
      <c r="FA169" s="266"/>
      <c r="FB169" s="266"/>
      <c r="FC169" s="266"/>
      <c r="FD169" s="266"/>
    </row>
    <row r="170" spans="1:16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</row>
    <row r="171" spans="1:160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</row>
    <row r="172" spans="1:160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</row>
    <row r="173" spans="1:160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</row>
    <row r="174" spans="1:160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</row>
    <row r="175" spans="1:160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</row>
    <row r="176" spans="1:160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</row>
    <row r="177" spans="1:160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</row>
    <row r="178" spans="1:160" ht="14.25" customHeight="1">
      <c r="CH178"/>
      <c r="CI178"/>
      <c r="CJ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U178"/>
      <c r="DV178"/>
      <c r="DW178"/>
      <c r="DX178"/>
      <c r="DY178"/>
      <c r="DZ178"/>
      <c r="EA178"/>
      <c r="EB178"/>
      <c r="EC178"/>
      <c r="ET178"/>
      <c r="EU178"/>
      <c r="EX178"/>
      <c r="EY178"/>
      <c r="EZ178"/>
      <c r="FA178"/>
      <c r="FB178"/>
      <c r="FC178"/>
      <c r="FD178"/>
    </row>
    <row r="179" spans="1:160" ht="14.25" customHeight="1">
      <c r="A179" s="1"/>
      <c r="B179" s="175" t="s">
        <v>277</v>
      </c>
      <c r="C179" s="175"/>
      <c r="D179" s="269" t="str">
        <f>IS!D172</f>
        <v>A</v>
      </c>
      <c r="E179" s="269" t="str">
        <f>IS!E172</f>
        <v>A</v>
      </c>
      <c r="F179" s="269" t="str">
        <f>IS!F172</f>
        <v>A</v>
      </c>
      <c r="G179" s="269" t="str">
        <f>IS!G172</f>
        <v>A</v>
      </c>
      <c r="H179" s="269" t="str">
        <f>IS!H172</f>
        <v>A</v>
      </c>
      <c r="I179" s="269" t="str">
        <f>IS!I172</f>
        <v>A</v>
      </c>
      <c r="J179" s="269" t="str">
        <f>IS!J172</f>
        <v>A</v>
      </c>
      <c r="K179" s="269" t="str">
        <f>IS!K172</f>
        <v>A</v>
      </c>
      <c r="L179" s="269" t="e">
        <f>IS!L172</f>
        <v>#NAME?</v>
      </c>
      <c r="M179" s="269" t="e">
        <f>IS!M172</f>
        <v>#NAME?</v>
      </c>
      <c r="N179" s="269" t="e">
        <f>IS!N172</f>
        <v>#NAME?</v>
      </c>
      <c r="O179" s="269" t="e">
        <f>IS!O172</f>
        <v>#NAME?</v>
      </c>
      <c r="P179" s="269" t="e">
        <f>IS!P172</f>
        <v>#NAME?</v>
      </c>
      <c r="Q179" s="269" t="e">
        <f>IS!Q172</f>
        <v>#NAME?</v>
      </c>
      <c r="R179" s="269" t="e">
        <f>IS!R172</f>
        <v>#NAME?</v>
      </c>
      <c r="S179" s="269" t="e">
        <f>IS!S172</f>
        <v>#NAME?</v>
      </c>
      <c r="T179" s="269" t="e">
        <f>IS!T172</f>
        <v>#NAME?</v>
      </c>
      <c r="U179" s="269" t="e">
        <f>IS!U172</f>
        <v>#NAME?</v>
      </c>
      <c r="V179" s="269" t="e">
        <f>IS!V172</f>
        <v>#NAME?</v>
      </c>
      <c r="W179" s="269" t="e">
        <f>IS!W172</f>
        <v>#NAME?</v>
      </c>
      <c r="X179" s="269" t="e">
        <f>IS!X172</f>
        <v>#NAME?</v>
      </c>
      <c r="Y179" s="269" t="e">
        <f>IS!Y172</f>
        <v>#NAME?</v>
      </c>
      <c r="Z179" s="269" t="e">
        <f>IS!Z172</f>
        <v>#NAME?</v>
      </c>
      <c r="AA179" s="269" t="e">
        <f>IS!AA172</f>
        <v>#NAME?</v>
      </c>
      <c r="AB179" s="269" t="e">
        <f>IS!AB172</f>
        <v>#NAME?</v>
      </c>
      <c r="AC179" s="269" t="e">
        <f>IS!AC172</f>
        <v>#NAME?</v>
      </c>
      <c r="AD179" s="269" t="e">
        <f>IS!AD172</f>
        <v>#NAME?</v>
      </c>
      <c r="AE179" s="269" t="e">
        <f>IS!AE172</f>
        <v>#NAME?</v>
      </c>
      <c r="AF179" s="269" t="e">
        <f>IS!AF172</f>
        <v>#NAME?</v>
      </c>
      <c r="AG179" s="269" t="e">
        <f>IS!AG172</f>
        <v>#NAME?</v>
      </c>
      <c r="AH179" s="269" t="e">
        <f>IS!AH172</f>
        <v>#NAME?</v>
      </c>
      <c r="AI179" s="269" t="e">
        <f>IS!AI172</f>
        <v>#NAME?</v>
      </c>
      <c r="AJ179" s="269" t="e">
        <f>IS!AJ172</f>
        <v>#NAME?</v>
      </c>
      <c r="AK179" s="269" t="e">
        <f>IS!AK172</f>
        <v>#NAME?</v>
      </c>
      <c r="AL179" s="269" t="e">
        <f>IS!AL172</f>
        <v>#NAME?</v>
      </c>
      <c r="AM179" s="269" t="e">
        <f>IS!AM172</f>
        <v>#NAME?</v>
      </c>
      <c r="AN179" s="269" t="e">
        <f>IS!AN172</f>
        <v>#NAME?</v>
      </c>
      <c r="AO179" s="269" t="e">
        <f>IS!AO172</f>
        <v>#NAME?</v>
      </c>
      <c r="AP179" s="269" t="e">
        <f>IS!AP172</f>
        <v>#NAME?</v>
      </c>
      <c r="AQ179" s="269" t="e">
        <f>IS!AQ172</f>
        <v>#NAME?</v>
      </c>
      <c r="AR179" s="269" t="e">
        <f>IS!AR172</f>
        <v>#NAME?</v>
      </c>
      <c r="AS179" s="269" t="e">
        <f>IS!AS172</f>
        <v>#NAME?</v>
      </c>
      <c r="AT179" s="269" t="e">
        <f>IS!AT172</f>
        <v>#NAME?</v>
      </c>
      <c r="AU179" s="269" t="e">
        <f>IS!AU172</f>
        <v>#NAME?</v>
      </c>
      <c r="AV179" s="269" t="e">
        <f>IS!AV172</f>
        <v>#NAME?</v>
      </c>
      <c r="AW179" s="269" t="e">
        <f>IS!AW172</f>
        <v>#NAME?</v>
      </c>
      <c r="AX179" s="269" t="e">
        <f>IS!AX172</f>
        <v>#NAME?</v>
      </c>
      <c r="AY179" s="269" t="e">
        <f>IS!AY172</f>
        <v>#NAME?</v>
      </c>
      <c r="AZ179" s="269" t="e">
        <f>IS!AZ172</f>
        <v>#NAME?</v>
      </c>
      <c r="BA179" s="269" t="e">
        <f>IS!BA172</f>
        <v>#NAME?</v>
      </c>
      <c r="BB179" s="269" t="e">
        <f>IS!BB172</f>
        <v>#NAME?</v>
      </c>
      <c r="BC179" s="269" t="e">
        <f>IS!BC172</f>
        <v>#NAME?</v>
      </c>
      <c r="BD179" s="269" t="e">
        <f>IS!BD172</f>
        <v>#NAME?</v>
      </c>
      <c r="BE179" s="269" t="e">
        <f>IS!BE172</f>
        <v>#NAME?</v>
      </c>
      <c r="BF179" s="269" t="e">
        <f>IS!BF172</f>
        <v>#NAME?</v>
      </c>
      <c r="BG179" s="269" t="e">
        <f>IS!BG172</f>
        <v>#NAME?</v>
      </c>
      <c r="BH179" s="269" t="e">
        <f>IS!BH172</f>
        <v>#NAME?</v>
      </c>
      <c r="BI179" s="269" t="e">
        <f>IS!BI172</f>
        <v>#NAME?</v>
      </c>
      <c r="BJ179" s="269" t="e">
        <f>IS!BJ172</f>
        <v>#NAME?</v>
      </c>
      <c r="BK179" s="269" t="e">
        <f>IS!BK172</f>
        <v>#NAME?</v>
      </c>
      <c r="BL179" s="269" t="e">
        <f>IS!BL172</f>
        <v>#NAME?</v>
      </c>
      <c r="BM179" s="269" t="e">
        <f>IS!BM172</f>
        <v>#NAME?</v>
      </c>
      <c r="BN179" s="269" t="e">
        <f>IS!BN172</f>
        <v>#NAME?</v>
      </c>
      <c r="BO179" s="269" t="e">
        <f>IS!BO172</f>
        <v>#NAME?</v>
      </c>
      <c r="BP179" s="269" t="e">
        <f>IS!BP172</f>
        <v>#NAME?</v>
      </c>
      <c r="BQ179" s="269" t="e">
        <f>IS!BQ172</f>
        <v>#NAME?</v>
      </c>
      <c r="BR179" s="269" t="e">
        <f>IS!BR172</f>
        <v>#NAME?</v>
      </c>
      <c r="BS179" s="269" t="e">
        <f>IS!BS172</f>
        <v>#NAME?</v>
      </c>
      <c r="BT179" s="269" t="e">
        <f>IS!BT172</f>
        <v>#NAME?</v>
      </c>
      <c r="BU179" s="269" t="e">
        <f>IS!BU172</f>
        <v>#NAME?</v>
      </c>
      <c r="BV179" s="269" t="e">
        <f>IS!BV172</f>
        <v>#NAME?</v>
      </c>
      <c r="BW179" s="269" t="e">
        <f>IS!BW172</f>
        <v>#NAME?</v>
      </c>
      <c r="BX179" s="269" t="e">
        <f>IS!BX172</f>
        <v>#NAME?</v>
      </c>
      <c r="BY179" s="269" t="e">
        <f>IS!BY172</f>
        <v>#NAME?</v>
      </c>
      <c r="BZ179" s="269" t="e">
        <f>IS!BZ172</f>
        <v>#NAME?</v>
      </c>
      <c r="CA179" s="269" t="e">
        <f>IS!CA172</f>
        <v>#NAME?</v>
      </c>
      <c r="CB179" s="269" t="str">
        <f>IS!CB172</f>
        <v>A</v>
      </c>
      <c r="CC179" s="269" t="e">
        <f>IS!CC172</f>
        <v>#NAME?</v>
      </c>
      <c r="CD179" s="269" t="e">
        <f>IS!CD172</f>
        <v>#NAME?</v>
      </c>
      <c r="CE179" s="269" t="e">
        <f>IS!CE172</f>
        <v>#NAME?</v>
      </c>
      <c r="CF179" s="269" t="e">
        <f>IS!CF172</f>
        <v>#NAME?</v>
      </c>
      <c r="CG179" s="269" t="e">
        <f>IS!CG172</f>
        <v>#NAME?</v>
      </c>
      <c r="CH179" s="269" t="e">
        <f>IS!CH172</f>
        <v>#NAME?</v>
      </c>
      <c r="CI179" s="269" t="e">
        <f>IS!CI172</f>
        <v>#NAME?</v>
      </c>
      <c r="CJ179" s="269" t="e">
        <f>IS!CJ172</f>
        <v>#NAME?</v>
      </c>
      <c r="CK179" s="269" t="e">
        <f>IS!CK172</f>
        <v>#NAME?</v>
      </c>
      <c r="CL179" s="269" t="e">
        <f>IS!CL172</f>
        <v>#NAME?</v>
      </c>
      <c r="CM179" s="269" t="e">
        <f>IS!CM172</f>
        <v>#NAME?</v>
      </c>
      <c r="CN179" s="269" t="e">
        <f>IS!CN172</f>
        <v>#NAME?</v>
      </c>
      <c r="CO179" s="269" t="e">
        <f>IS!CO172</f>
        <v>#NAME?</v>
      </c>
      <c r="CP179" s="269" t="e">
        <f>IS!CP172</f>
        <v>#NAME?</v>
      </c>
      <c r="CQ179" s="269" t="e">
        <f>IS!CQ172</f>
        <v>#NAME?</v>
      </c>
      <c r="CR179" s="269" t="e">
        <f>IS!CR172</f>
        <v>#NAME?</v>
      </c>
      <c r="CS179" s="269" t="e">
        <f>IS!CS172</f>
        <v>#NAME?</v>
      </c>
      <c r="CT179" s="269" t="e">
        <f>IS!CT172</f>
        <v>#NAME?</v>
      </c>
      <c r="CU179" s="269" t="e">
        <f>IS!CU172</f>
        <v>#NAME?</v>
      </c>
      <c r="CV179" s="269" t="e">
        <f>IS!CV172</f>
        <v>#NAME?</v>
      </c>
      <c r="CW179" s="269" t="e">
        <f>IS!CW172</f>
        <v>#NAME?</v>
      </c>
      <c r="CX179" s="269" t="e">
        <f>IS!CX172</f>
        <v>#NAME?</v>
      </c>
      <c r="CY179" s="269" t="e">
        <f>IS!CY172</f>
        <v>#NAME?</v>
      </c>
      <c r="CZ179" s="269" t="e">
        <f>IS!CZ172</f>
        <v>#NAME?</v>
      </c>
      <c r="DA179" s="269" t="e">
        <f>IS!DA172</f>
        <v>#NAME?</v>
      </c>
      <c r="DB179" s="269" t="e">
        <f>IS!DB172</f>
        <v>#NAME?</v>
      </c>
      <c r="DC179" s="269" t="e">
        <f>IS!DC172</f>
        <v>#NAME?</v>
      </c>
      <c r="DD179" s="1"/>
      <c r="DE179" s="1" t="str">
        <f>IS!DE172</f>
        <v>A</v>
      </c>
      <c r="DF179" s="1" t="str">
        <f>IS!DF172</f>
        <v>A</v>
      </c>
      <c r="DG179" s="1" t="e">
        <f>IS!DG172</f>
        <v>#NAME?</v>
      </c>
      <c r="DH179" s="1" t="e">
        <f>IS!DH172</f>
        <v>#NAME?</v>
      </c>
      <c r="DI179" s="1" t="e">
        <f>IS!DI172</f>
        <v>#NAME?</v>
      </c>
      <c r="DJ179" s="1" t="e">
        <f>IS!DJ172</f>
        <v>#NAME?</v>
      </c>
      <c r="DK179" s="1" t="e">
        <f>IS!DK172</f>
        <v>#NAME?</v>
      </c>
      <c r="DL179" s="1" t="e">
        <f>IS!DL172</f>
        <v>#NAME?</v>
      </c>
      <c r="DM179" s="1" t="e">
        <f>IS!DM172</f>
        <v>#NAME?</v>
      </c>
      <c r="DN179" s="1" t="e">
        <f>IS!DN172</f>
        <v>#NAME?</v>
      </c>
      <c r="DO179" s="1" t="e">
        <f>IS!DO172</f>
        <v>#NAME?</v>
      </c>
      <c r="DP179" s="1" t="e">
        <f>IS!DP172</f>
        <v>#NAME?</v>
      </c>
      <c r="DQ179" s="1" t="e">
        <f>IS!DQ172</f>
        <v>#NAME?</v>
      </c>
      <c r="DR179" s="1" t="e">
        <f>IS!DR172</f>
        <v>#NAME?</v>
      </c>
      <c r="DS179" s="1" t="e">
        <f>IS!DS172</f>
        <v>#NAME?</v>
      </c>
      <c r="DT179" s="1" t="e">
        <f>IS!DT172</f>
        <v>#NAME?</v>
      </c>
      <c r="DU179" s="1" t="e">
        <f>IS!DU172</f>
        <v>#NAME?</v>
      </c>
      <c r="DV179" s="1" t="e">
        <f>IS!DV172</f>
        <v>#NAME?</v>
      </c>
      <c r="DW179" s="1" t="e">
        <f>IS!DW172</f>
        <v>#NAME?</v>
      </c>
      <c r="DX179" s="1" t="e">
        <f>IS!DX172</f>
        <v>#NAME?</v>
      </c>
      <c r="DY179" s="1" t="e">
        <f>IS!DY172</f>
        <v>#NAME?</v>
      </c>
      <c r="DZ179" s="1" t="e">
        <f>IS!DZ172</f>
        <v>#NAME?</v>
      </c>
      <c r="EA179" s="1" t="e">
        <f>IS!EA172</f>
        <v>#NAME?</v>
      </c>
      <c r="EB179" s="1" t="e">
        <f>IS!EB172</f>
        <v>#NAME?</v>
      </c>
      <c r="EC179" s="1" t="e">
        <f>IS!EC172</f>
        <v>#NAME?</v>
      </c>
      <c r="ED179" s="1" t="e">
        <f>IS!ED172</f>
        <v>#NAME?</v>
      </c>
      <c r="EE179" s="1"/>
      <c r="EF179" s="1" t="str">
        <f>IS!EF172</f>
        <v>A</v>
      </c>
      <c r="EG179" s="1" t="e">
        <f>IS!EG172</f>
        <v>#NAME?</v>
      </c>
      <c r="EH179" s="1" t="e">
        <f>IS!EH172</f>
        <v>#NAME?</v>
      </c>
      <c r="EI179" s="1" t="e">
        <f>IS!EI172</f>
        <v>#NAME?</v>
      </c>
      <c r="EJ179" s="1" t="e">
        <f>IS!EJ172</f>
        <v>#NAME?</v>
      </c>
      <c r="EK179" s="1" t="e">
        <f>IS!EK172</f>
        <v>#NAME?</v>
      </c>
      <c r="EL179" s="1" t="e">
        <f>IS!EL172</f>
        <v>#NAME?</v>
      </c>
      <c r="EM179" s="1" t="e">
        <f>IS!EM172</f>
        <v>#NAME?</v>
      </c>
      <c r="EN179" s="1" t="e">
        <f>IS!EN172</f>
        <v>#NAME?</v>
      </c>
      <c r="EO179" s="1" t="e">
        <f>IS!EO172</f>
        <v>#NAME?</v>
      </c>
      <c r="EP179" s="1" t="e">
        <f>IS!EP172</f>
        <v>#NAME?</v>
      </c>
      <c r="EQ179" s="1" t="e">
        <f>IS!EQ172</f>
        <v>#NAME?</v>
      </c>
      <c r="ER179" s="1" t="e">
        <f>IS!ER172</f>
        <v>#NAME?</v>
      </c>
      <c r="ES179" s="1" t="e">
        <f>IS!ES172</f>
        <v>#NAME?</v>
      </c>
      <c r="ET179" s="1" t="e">
        <f>IS!ET172</f>
        <v>#NAME?</v>
      </c>
      <c r="EU179" s="1" t="e">
        <f>IS!EU172</f>
        <v>#NAME?</v>
      </c>
      <c r="EV179" s="1" t="str">
        <f>IS!EV172</f>
        <v>A</v>
      </c>
      <c r="EW179" s="1" t="e">
        <f>IS!EW172</f>
        <v>#NAME?</v>
      </c>
      <c r="EX179" s="1" t="e">
        <f>IS!EX172</f>
        <v>#NAME?</v>
      </c>
      <c r="EY179" s="1" t="e">
        <f>IS!EY172</f>
        <v>#NAME?</v>
      </c>
      <c r="EZ179" s="1" t="str">
        <f>IS!EZ172</f>
        <v>A</v>
      </c>
      <c r="FA179" s="1" t="e">
        <f>IS!FA172</f>
        <v>#NAME?</v>
      </c>
      <c r="FB179" s="1" t="e">
        <f>IS!FB172</f>
        <v>#NAME?</v>
      </c>
      <c r="FC179" s="1" t="e">
        <f>IS!FC172</f>
        <v>#NAME?</v>
      </c>
      <c r="FD179" s="1" t="e">
        <f>IS!FD172</f>
        <v>#NAME?</v>
      </c>
    </row>
    <row r="180" spans="1:160" ht="14.25" customHeight="1">
      <c r="A180" s="1"/>
      <c r="B180" s="175"/>
      <c r="C180" s="175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</row>
  </sheetData>
  <phoneticPr fontId="23" type="noConversion"/>
  <pageMargins left="0" right="0" top="0" bottom="0" header="0" footer="0"/>
  <pageSetup paperSize="5" scale="76" orientation="landscape" r:id="rId1"/>
  <headerFooter alignWithMargins="0"/>
  <ignoredErrors>
    <ignoredError sqref="BD180:BG180 CB180 BL180:BS180 DP28:DU30 CD77 BS132:BS134 BR35:BS41 EP28:EQ30 AZ9:BQ9 DP18:DU18 DZ126:EB134 EP54:EQ54 EP116:EQ118 DP116:DU118 DP58:DP64 BQ158:BS159 BP158 DP9:DV9 EP150:EQ159 EP18:EQ18 DP91:DP94 DP54 EA28:EB30 DU40:DU41 DZ58:EB65 DQ54:DU55 DQ104:DU113 DZ150:EB159 DZ116:EB118 EP51:EQ52 DP73:DP78 AZ46:BQ50 EH71:EQ71 DP126:DU135 DZ40:DZ41 DP51:DU52 DP150:DU159 DP66:DP67 DQ58:DU67 AZ104:BS108 CF80 BH158 EP120:EQ124 DP120:DU124 EP139:EQ139 DP139:DU139 EP58:EQ69 DP114:DU114 CF73:CF74 DZ106:EB114 DP68:DU69 DP89:DU89 AZ71:BS71 DZ139:EB139 AZ19:BQ20 BS122 AZ12:BS17 BS155:BS156 BR9:BS11 DZ120:EB124 BS143:BS145 BU73:BU77 CF63:CF65 EA9:EB9 BL158 BU180:BY180 DP104:DP109 DP111:DP113 BU104:BU113 BU61 BM158:BO159 CB104:CB111 BU71 EA18:EB18 BU80 BT112 BW80 BU65 DP84:DU84 AZ22:BO31 BW53:BW54 BU132:BU134 CE143:CF145 AZ158 BU67 BI158:BK159 AZ63:BS69 BP51:BP54 BD158 BE158:BG159 BA158:BC159 EP73:EQ76 EA39:EB41 EP9:EV9 H112 L112 P112 T112 X112 AB112 AF112 AJ112 AN112 AR112 AV112 DG71:DU71 L55 BZ80:CB80 BZ65:CA65 BW132:BW134 BW71 DQ73:DU78 AZ73:BS80 BW104:BW113 AZ38:BQ41 BQ51:BQ61 AZ51:BO61 BP56:BP61 CA104:CA111 AZ35:BQ35 BP22:BQ27 BR46:BS61 BR19:BR27 BW73:BW77 BW65 EP126:EQ135 AZ89:BS89 EP89:EQ89 EP84:EQ84 CB77 DQ91:DU95 CB93:CB95 DZ143:EB145 EP142:EQ145 BZ93:BZ95 DZ29:DZ30 CA77 BS19:BS31 BP29:BR31 BZ77 CE69 DZ77:EB78 DP142:DU145 DP39:DT41 EP40:EQ41 AZ84:BL84 EP104:EQ114 EP91:EQ95 BW92:BW95 BU91:BU95 DZ92:EB95 AZ91:BS91 BW67 EA51:EB52 DZ52 DZ18 BZ104:BZ111 CE155:CF156 CB65 CD104:CF108 CA91:CA95 CD93:CF95 CD65:CE65 CD180:CF180 CD80:CE80 CE113:CF113 CE73:CE74 CE91:CF91 CF59:CF61 CE132:CF134 CE158:CF159 CE71:CF71 CE92 DQ80:DU80 CF54 CE76 CF76 DZ54:DZ55 DZ91 EB91 EA54:EB55 AZ110:BS113 AZ109:BQ109 BS109 AZ93:BS95 AZ92:BP92 BR92:BS92 CD110:CF111 CE109:CF109 AZ10:BO10 BQ10 DZ80:EB80 EB79 EA104:EB104 EA105:EB105 CE112 DZ135 EB135 EA142:EB142 DZ76:EA76 EP79:EQ80" formula="1"/>
    <ignoredError sqref="BU176:BU177 BP167:BR169 BH167:BK177 BS168 BL167:BO170 BD167:BG172 BZ167:CA177 DP161:EB164 AV167:BC177 ER179:EY244 DV181:DY302 DV56:DY57 DV119:DY119 EX65 EX80 EX110 ER115:EX115 EY150:EY158 ER125:EX125 ER119:EX119 EX95 ER140:EX141 DV140:DY141 DN166:DN177 CG161:CI163 DV125:DY125 DV115:DY115 DV53:DY53 DW11:DW16 DV19:DY27 DV180:EB180 EP160:EY177 EO166:EO177 EY40:EY41 EY58:EY63 EY54 DV46:DY46 EY51:EY52 EY28:EY30 EY18 EW8:EX8 EW53:EY53 EW46:EY50 EW10:EX11 EW19:EY27 DV31:DX31 EY8:EY11 EW12:EY17 EY79:EY80 DV11:DV17 DX11:DY17 EY93:EY95 EY104:EY135 EY139:EY145 EW31:EY31 EW35:EY38 DV35:DY38 DV48:DY50 DV47:DW47 DY47 CG165:CI177 CI164 EY65 DP160:DY160 EA160:EB160 DP166:EB177 DP165:DY165 EA165:EB165 EY67:EY68 ED166:ED177" formulaRange="1"/>
    <ignoredError sqref="EX66:EX69 ER104:EW114 DW9:DY9 EY159 EX104:EX109 EX58:EX63 EX111:EX114 ER116:EX118 ER84:EX84 ER120:EX124 ER139:EX139 DV84:DW84 ER150:EX159 EX73:EX76 DV106:DY106 ER73:EW76 ER54:EX54 ER58:EW63 ER71:EX71 DV150:DY159 DV116:DY118 DV54:DY55 DV126:DY135 DV120:DY124 DV139:DY139 ER126:EX135 DV143:DY145 DV51:DY52 DV28:DY30 DV18:DY18 DV58:DY65 DV71:DY71 EW9:EX9 ER51:EX52 ER18:EX18 ER28:EX30 DV73:DY80 DV89:DY89 ER89:EX89 ER91:EW95 DV40:DW41 DX39:DY41 ER40:EX41 EX91:EX94 DV91:DY95 ER142:EX145 DV104:DW104 DY104 DV108:DY114 DV107:DX107 ER65:EW69 ER64:ET64 DV105:DW105 DY105 DV67:DY69 DV66:DX66 DV142:DW142 EX79 ER79:EW80" formula="1" formulaRange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rgb="FFFF0000"/>
  </sheetPr>
  <dimension ref="B1:AS80"/>
  <sheetViews>
    <sheetView tabSelected="1" zoomScale="85" zoomScaleNormal="85" workbookViewId="0">
      <pane xSplit="4" ySplit="2" topLeftCell="Q3" activePane="bottomRight" state="frozen"/>
      <selection pane="topRight" activeCell="E1" sqref="E1"/>
      <selection pane="bottomLeft" activeCell="A3" sqref="A3"/>
      <selection pane="bottomRight" activeCell="Q3" sqref="Q3"/>
    </sheetView>
  </sheetViews>
  <sheetFormatPr defaultRowHeight="12.75" outlineLevelCol="1"/>
  <cols>
    <col min="1" max="1" width="1.42578125" style="772" customWidth="1"/>
    <col min="2" max="2" width="2.42578125" style="772" customWidth="1"/>
    <col min="3" max="3" width="2.7109375" style="772" customWidth="1"/>
    <col min="4" max="4" width="30.85546875" style="772" customWidth="1"/>
    <col min="5" max="16" width="9.140625" style="772" hidden="1" customWidth="1" outlineLevel="1"/>
    <col min="17" max="17" width="9.5703125" style="772" customWidth="1" collapsed="1"/>
    <col min="18" max="28" width="9.5703125" style="772" customWidth="1"/>
    <col min="29" max="32" width="9.5703125" style="772" hidden="1" customWidth="1" outlineLevel="1"/>
    <col min="33" max="33" width="9.140625" style="772" collapsed="1"/>
    <col min="34" max="34" width="9.140625" style="772"/>
    <col min="35" max="37" width="0" style="772" hidden="1" customWidth="1" outlineLevel="1"/>
    <col min="38" max="38" width="9.140625" style="772" collapsed="1"/>
    <col min="39" max="40" width="9.140625" style="772"/>
    <col min="41" max="41" width="0" style="772" hidden="1" customWidth="1" outlineLevel="1"/>
    <col min="42" max="42" width="9.140625" style="772" collapsed="1"/>
    <col min="43" max="16384" width="9.140625" style="772"/>
  </cols>
  <sheetData>
    <row r="1" spans="2:41">
      <c r="B1" s="611"/>
      <c r="C1" s="611"/>
      <c r="D1" s="611"/>
      <c r="E1" s="955">
        <v>41608</v>
      </c>
      <c r="F1" s="955">
        <v>41698</v>
      </c>
      <c r="G1" s="955">
        <v>41790</v>
      </c>
      <c r="H1" s="955">
        <v>41882</v>
      </c>
      <c r="I1" s="955">
        <v>41973</v>
      </c>
      <c r="J1" s="955">
        <v>42063</v>
      </c>
      <c r="K1" s="955">
        <v>42155</v>
      </c>
      <c r="L1" s="955">
        <v>42247</v>
      </c>
      <c r="M1" s="955">
        <v>42338</v>
      </c>
      <c r="N1" s="955">
        <v>42429</v>
      </c>
      <c r="O1" s="955">
        <v>42521</v>
      </c>
      <c r="P1" s="955">
        <v>42613</v>
      </c>
      <c r="Q1" s="955">
        <v>42704</v>
      </c>
      <c r="R1" s="955">
        <v>42794</v>
      </c>
      <c r="S1" s="955">
        <v>42886</v>
      </c>
      <c r="T1" s="955">
        <v>42978</v>
      </c>
      <c r="U1" s="955">
        <v>43069</v>
      </c>
      <c r="V1" s="955">
        <v>43159</v>
      </c>
      <c r="W1" s="955">
        <v>43251</v>
      </c>
      <c r="X1" s="955">
        <v>43343</v>
      </c>
      <c r="Y1" s="955">
        <v>43434</v>
      </c>
      <c r="Z1" s="955">
        <v>43524</v>
      </c>
      <c r="AA1" s="955">
        <v>43616</v>
      </c>
      <c r="AB1" s="955">
        <v>43708</v>
      </c>
      <c r="AC1" s="955">
        <v>43799</v>
      </c>
      <c r="AD1" s="955">
        <v>43889</v>
      </c>
      <c r="AE1" s="955">
        <v>43982</v>
      </c>
      <c r="AF1" s="955">
        <v>44074</v>
      </c>
    </row>
    <row r="2" spans="2:41">
      <c r="B2" s="611"/>
      <c r="C2" s="611"/>
      <c r="D2" s="611"/>
      <c r="E2" s="610" t="s">
        <v>341</v>
      </c>
      <c r="F2" s="610" t="s">
        <v>214</v>
      </c>
      <c r="G2" s="610" t="s">
        <v>435</v>
      </c>
      <c r="H2" s="610" t="s">
        <v>538</v>
      </c>
      <c r="I2" s="610" t="s">
        <v>536</v>
      </c>
      <c r="J2" s="610" t="s">
        <v>537</v>
      </c>
      <c r="K2" s="610" t="s">
        <v>541</v>
      </c>
      <c r="L2" s="610" t="s">
        <v>546</v>
      </c>
      <c r="M2" s="610" t="s">
        <v>559</v>
      </c>
      <c r="N2" s="610" t="s">
        <v>563</v>
      </c>
      <c r="O2" s="610" t="s">
        <v>566</v>
      </c>
      <c r="P2" s="610" t="s">
        <v>582</v>
      </c>
      <c r="Q2" s="610" t="s">
        <v>587</v>
      </c>
      <c r="R2" s="610" t="s">
        <v>588</v>
      </c>
      <c r="S2" s="610" t="s">
        <v>590</v>
      </c>
      <c r="T2" s="610" t="s">
        <v>592</v>
      </c>
      <c r="U2" s="610" t="s">
        <v>615</v>
      </c>
      <c r="V2" s="610" t="s">
        <v>620</v>
      </c>
      <c r="W2" s="610" t="s">
        <v>572</v>
      </c>
      <c r="X2" s="610" t="s">
        <v>573</v>
      </c>
      <c r="Y2" s="610" t="s">
        <v>599</v>
      </c>
      <c r="Z2" s="610" t="s">
        <v>600</v>
      </c>
      <c r="AA2" s="610" t="s">
        <v>601</v>
      </c>
      <c r="AB2" s="610" t="s">
        <v>594</v>
      </c>
      <c r="AC2" s="610" t="s">
        <v>604</v>
      </c>
      <c r="AD2" s="610" t="s">
        <v>605</v>
      </c>
      <c r="AE2" s="610" t="s">
        <v>606</v>
      </c>
      <c r="AF2" s="610" t="s">
        <v>607</v>
      </c>
      <c r="AI2" s="897" t="s">
        <v>256</v>
      </c>
      <c r="AJ2" s="897" t="s">
        <v>258</v>
      </c>
      <c r="AK2" s="897" t="s">
        <v>551</v>
      </c>
      <c r="AL2" s="897" t="s">
        <v>552</v>
      </c>
      <c r="AM2" s="897" t="s">
        <v>576</v>
      </c>
      <c r="AN2" s="897" t="s">
        <v>613</v>
      </c>
      <c r="AO2" s="897" t="s">
        <v>614</v>
      </c>
    </row>
    <row r="3" spans="2:41">
      <c r="B3" s="978" t="s">
        <v>415</v>
      </c>
      <c r="C3" s="774"/>
      <c r="D3" s="774"/>
      <c r="E3" s="774"/>
      <c r="F3" s="774"/>
      <c r="G3" s="1014"/>
      <c r="H3" s="1014"/>
      <c r="I3" s="1014"/>
      <c r="J3" s="1014"/>
      <c r="M3" s="1123"/>
      <c r="Q3" s="939"/>
      <c r="R3" s="939"/>
      <c r="T3" s="1363" t="s">
        <v>252</v>
      </c>
    </row>
    <row r="4" spans="2:41">
      <c r="B4" s="976" t="s">
        <v>517</v>
      </c>
      <c r="C4" s="965"/>
      <c r="D4" s="964"/>
      <c r="E4" s="976"/>
      <c r="F4" s="964"/>
      <c r="G4" s="964"/>
      <c r="H4" s="977"/>
      <c r="I4" s="976"/>
      <c r="J4" s="964"/>
      <c r="K4" s="964"/>
      <c r="L4" s="966"/>
      <c r="M4" s="976"/>
      <c r="N4" s="964"/>
      <c r="O4" s="1154"/>
      <c r="P4" s="965"/>
      <c r="Q4" s="942"/>
      <c r="R4" s="1299"/>
      <c r="S4" s="1299"/>
      <c r="T4" s="911"/>
      <c r="U4" s="942"/>
      <c r="V4" s="1299"/>
      <c r="W4" s="1299"/>
      <c r="X4" s="912"/>
      <c r="Y4" s="942"/>
      <c r="Z4" s="1299"/>
      <c r="AA4" s="1299"/>
      <c r="AB4" s="912"/>
      <c r="AC4" s="942"/>
      <c r="AD4" s="1299"/>
      <c r="AE4" s="1299"/>
      <c r="AF4" s="912"/>
    </row>
    <row r="5" spans="2:41">
      <c r="B5" s="914"/>
      <c r="C5" s="916" t="s">
        <v>518</v>
      </c>
      <c r="D5" s="916"/>
      <c r="E5" s="1057">
        <v>1267</v>
      </c>
      <c r="F5" s="1058">
        <v>1250</v>
      </c>
      <c r="G5" s="1058">
        <v>1271</v>
      </c>
      <c r="H5" s="1059">
        <v>1361</v>
      </c>
      <c r="I5" s="1060">
        <v>1450</v>
      </c>
      <c r="J5" s="1138">
        <v>1237</v>
      </c>
      <c r="K5" s="1061">
        <v>1164</v>
      </c>
      <c r="L5" s="1062">
        <v>1063</v>
      </c>
      <c r="M5" s="1061">
        <v>1052</v>
      </c>
      <c r="N5" s="1138">
        <v>990</v>
      </c>
      <c r="O5" s="1138">
        <v>1050</v>
      </c>
      <c r="P5" s="1061">
        <v>1420</v>
      </c>
      <c r="Q5" s="1060">
        <v>1640</v>
      </c>
      <c r="R5" s="1055">
        <f>Q5*1.02</f>
        <v>1672.8</v>
      </c>
      <c r="S5" s="1085"/>
      <c r="T5" s="1085"/>
      <c r="U5" s="1084"/>
      <c r="V5" s="1085"/>
      <c r="W5" s="1085"/>
      <c r="X5" s="1086"/>
      <c r="Y5" s="1084"/>
      <c r="Z5" s="1085"/>
      <c r="AA5" s="1085"/>
      <c r="AB5" s="1086"/>
      <c r="AC5" s="1084"/>
      <c r="AD5" s="1085"/>
      <c r="AE5" s="1085"/>
      <c r="AF5" s="1086"/>
    </row>
    <row r="6" spans="2:41" s="923" customFormat="1">
      <c r="B6" s="918"/>
      <c r="C6" s="919"/>
      <c r="D6" s="919" t="s">
        <v>519</v>
      </c>
      <c r="E6" s="920">
        <f>E5/E13</f>
        <v>0.42219260246584472</v>
      </c>
      <c r="F6" s="921">
        <f t="shared" ref="F6:K6" si="0">F5/F13</f>
        <v>0.40704373528380339</v>
      </c>
      <c r="G6" s="921">
        <f t="shared" si="0"/>
        <v>0.41495266079007509</v>
      </c>
      <c r="H6" s="922">
        <f>H5/H13</f>
        <v>0.42920214443393251</v>
      </c>
      <c r="I6" s="920">
        <f t="shared" si="0"/>
        <v>0.42335766423357662</v>
      </c>
      <c r="J6" s="921">
        <f t="shared" si="0"/>
        <v>0.39685595123516204</v>
      </c>
      <c r="K6" s="921">
        <f t="shared" si="0"/>
        <v>0.38113948919449903</v>
      </c>
      <c r="L6" s="922">
        <f>L5/L13</f>
        <v>0.35163744624545151</v>
      </c>
      <c r="M6" s="921">
        <f t="shared" ref="M6:N6" si="1">M5/M13</f>
        <v>0.34133679428942243</v>
      </c>
      <c r="N6" s="921">
        <f t="shared" si="1"/>
        <v>0.35294117647058826</v>
      </c>
      <c r="O6" s="921">
        <f t="shared" ref="O6" si="2">O5/O13</f>
        <v>0.30692779888921368</v>
      </c>
      <c r="P6" s="921">
        <f>P5/P13</f>
        <v>0.3446601941747573</v>
      </c>
      <c r="Q6" s="920">
        <f t="shared" ref="Q6:R6" si="3">Q5/Q13</f>
        <v>0.33606557377049179</v>
      </c>
      <c r="R6" s="1023">
        <f t="shared" si="3"/>
        <v>0.33851384167071391</v>
      </c>
      <c r="S6" s="1089"/>
      <c r="T6" s="1089"/>
      <c r="U6" s="1372"/>
      <c r="V6" s="1089"/>
      <c r="W6" s="1089"/>
      <c r="X6" s="1090"/>
      <c r="Y6" s="1372"/>
      <c r="Z6" s="1089"/>
      <c r="AA6" s="1089"/>
      <c r="AB6" s="1090"/>
      <c r="AC6" s="1372"/>
      <c r="AD6" s="1089"/>
      <c r="AE6" s="1089"/>
      <c r="AF6" s="1090"/>
      <c r="AG6" s="772"/>
      <c r="AH6" s="772"/>
    </row>
    <row r="7" spans="2:41">
      <c r="B7" s="914"/>
      <c r="C7" s="916" t="s">
        <v>253</v>
      </c>
      <c r="D7" s="916"/>
      <c r="E7" s="1057">
        <v>1010</v>
      </c>
      <c r="F7" s="1058">
        <v>1070</v>
      </c>
      <c r="G7" s="1058">
        <v>922</v>
      </c>
      <c r="H7" s="1059">
        <v>860</v>
      </c>
      <c r="I7" s="1060">
        <v>925</v>
      </c>
      <c r="J7" s="1061">
        <v>830</v>
      </c>
      <c r="K7" s="1061">
        <v>850</v>
      </c>
      <c r="L7" s="1062">
        <v>900</v>
      </c>
      <c r="M7" s="1061">
        <v>995</v>
      </c>
      <c r="N7" s="1061">
        <v>650</v>
      </c>
      <c r="O7" s="1061">
        <v>856</v>
      </c>
      <c r="P7" s="1061">
        <v>1050</v>
      </c>
      <c r="Q7" s="1060">
        <v>1440</v>
      </c>
      <c r="R7" s="1055">
        <f>Q7*1.02</f>
        <v>1468.8</v>
      </c>
      <c r="S7" s="1085"/>
      <c r="T7" s="1085"/>
      <c r="U7" s="1084"/>
      <c r="V7" s="1085"/>
      <c r="W7" s="1085"/>
      <c r="X7" s="1086"/>
      <c r="Y7" s="1084"/>
      <c r="Z7" s="1085"/>
      <c r="AA7" s="1085"/>
      <c r="AB7" s="1086"/>
      <c r="AC7" s="1084"/>
      <c r="AD7" s="1085"/>
      <c r="AE7" s="1085"/>
      <c r="AF7" s="1086"/>
    </row>
    <row r="8" spans="2:41" s="923" customFormat="1">
      <c r="B8" s="918"/>
      <c r="C8" s="919"/>
      <c r="D8" s="919" t="s">
        <v>519</v>
      </c>
      <c r="E8" s="920">
        <f>E7/E13</f>
        <v>0.33655448183938685</v>
      </c>
      <c r="F8" s="921">
        <f t="shared" ref="F8:L8" si="4">F7/F13</f>
        <v>0.34842943740293569</v>
      </c>
      <c r="G8" s="921">
        <f t="shared" si="4"/>
        <v>0.30101207966046362</v>
      </c>
      <c r="H8" s="922">
        <f>H7/H13</f>
        <v>0.27120782087669504</v>
      </c>
      <c r="I8" s="920">
        <f t="shared" si="4"/>
        <v>0.27007299270072993</v>
      </c>
      <c r="J8" s="921">
        <f t="shared" si="4"/>
        <v>0.26628168110362527</v>
      </c>
      <c r="K8" s="921">
        <f t="shared" si="4"/>
        <v>0.27832351015062212</v>
      </c>
      <c r="L8" s="922">
        <f t="shared" si="4"/>
        <v>0.29771749917300694</v>
      </c>
      <c r="M8" s="921">
        <f t="shared" ref="M8:N8" si="5">M7/M13</f>
        <v>0.32284231018818949</v>
      </c>
      <c r="N8" s="921">
        <f t="shared" si="5"/>
        <v>0.23172905525846701</v>
      </c>
      <c r="O8" s="921">
        <f t="shared" ref="O8" si="6">O7/O13</f>
        <v>0.25021923414206371</v>
      </c>
      <c r="P8" s="921">
        <f>P7/P13</f>
        <v>0.25485436893203883</v>
      </c>
      <c r="Q8" s="920">
        <f t="shared" ref="Q8:R8" si="7">Q7/Q13</f>
        <v>0.29508196721311475</v>
      </c>
      <c r="R8" s="1023">
        <f t="shared" si="7"/>
        <v>0.29723166585721222</v>
      </c>
      <c r="S8" s="1089"/>
      <c r="T8" s="1089"/>
      <c r="U8" s="1372"/>
      <c r="V8" s="1089"/>
      <c r="W8" s="1089"/>
      <c r="X8" s="1090"/>
      <c r="Y8" s="1372"/>
      <c r="Z8" s="1089"/>
      <c r="AA8" s="1089"/>
      <c r="AB8" s="1090"/>
      <c r="AC8" s="1372"/>
      <c r="AD8" s="1089"/>
      <c r="AE8" s="1089"/>
      <c r="AF8" s="1090"/>
      <c r="AG8" s="772"/>
      <c r="AH8" s="772"/>
    </row>
    <row r="9" spans="2:41">
      <c r="B9" s="914"/>
      <c r="C9" s="916" t="s">
        <v>520</v>
      </c>
      <c r="D9" s="916"/>
      <c r="E9" s="1063">
        <v>350</v>
      </c>
      <c r="F9" s="1064">
        <f>G9/1.3</f>
        <v>376.92307692307691</v>
      </c>
      <c r="G9" s="1064">
        <v>490</v>
      </c>
      <c r="H9" s="1065">
        <v>550</v>
      </c>
      <c r="I9" s="1066">
        <v>600</v>
      </c>
      <c r="J9" s="1139">
        <v>660</v>
      </c>
      <c r="K9" s="1064">
        <v>650</v>
      </c>
      <c r="L9" s="1065">
        <v>660</v>
      </c>
      <c r="M9" s="1064">
        <v>605</v>
      </c>
      <c r="N9" s="1139">
        <v>650</v>
      </c>
      <c r="O9" s="1139">
        <v>800</v>
      </c>
      <c r="P9" s="1064">
        <v>770</v>
      </c>
      <c r="Q9" s="1060">
        <v>900</v>
      </c>
      <c r="R9" s="1055">
        <v>900</v>
      </c>
      <c r="S9" s="1085"/>
      <c r="T9" s="1085"/>
      <c r="U9" s="1084"/>
      <c r="V9" s="1085"/>
      <c r="W9" s="1085"/>
      <c r="X9" s="1086"/>
      <c r="Y9" s="1084"/>
      <c r="Z9" s="1085"/>
      <c r="AA9" s="1085"/>
      <c r="AB9" s="1086"/>
      <c r="AC9" s="1084"/>
      <c r="AD9" s="1085"/>
      <c r="AE9" s="1085"/>
      <c r="AF9" s="1086"/>
    </row>
    <row r="10" spans="2:41" s="923" customFormat="1">
      <c r="B10" s="918"/>
      <c r="C10" s="919"/>
      <c r="D10" s="919" t="s">
        <v>519</v>
      </c>
      <c r="E10" s="1022">
        <f>E9/E13</f>
        <v>0.1166277907364212</v>
      </c>
      <c r="F10" s="1023">
        <f t="shared" ref="F10:L10" si="8">F9/F13</f>
        <v>0.12273934171634686</v>
      </c>
      <c r="G10" s="1023">
        <f t="shared" si="8"/>
        <v>0.15997388181521385</v>
      </c>
      <c r="H10" s="1024">
        <f>H9/H13</f>
        <v>0.17344686218858404</v>
      </c>
      <c r="I10" s="1022">
        <f t="shared" si="8"/>
        <v>0.17518248175182483</v>
      </c>
      <c r="J10" s="1023">
        <f t="shared" si="8"/>
        <v>0.21174205967276227</v>
      </c>
      <c r="K10" s="1023">
        <f t="shared" si="8"/>
        <v>0.21283562540929929</v>
      </c>
      <c r="L10" s="1024">
        <f t="shared" si="8"/>
        <v>0.21832616606020511</v>
      </c>
      <c r="M10" s="1023">
        <f t="shared" ref="M10:N10" si="9">M9/M13</f>
        <v>0.19630110317975341</v>
      </c>
      <c r="N10" s="1023">
        <f t="shared" si="9"/>
        <v>0.23172905525846701</v>
      </c>
      <c r="O10" s="1023">
        <f t="shared" ref="O10" si="10">O9/O13</f>
        <v>0.23384975153463899</v>
      </c>
      <c r="P10" s="1023">
        <f>P9/P13</f>
        <v>0.18689320388349515</v>
      </c>
      <c r="Q10" s="1022">
        <f t="shared" ref="Q10:R10" si="11">Q9/Q13</f>
        <v>0.18442622950819673</v>
      </c>
      <c r="R10" s="1023">
        <f t="shared" si="11"/>
        <v>0.1821272462360369</v>
      </c>
      <c r="S10" s="1087"/>
      <c r="T10" s="1087"/>
      <c r="U10" s="1373"/>
      <c r="V10" s="1087"/>
      <c r="W10" s="1087"/>
      <c r="X10" s="1088"/>
      <c r="Y10" s="1373"/>
      <c r="Z10" s="1087"/>
      <c r="AA10" s="1087"/>
      <c r="AB10" s="1088"/>
      <c r="AC10" s="1373"/>
      <c r="AD10" s="1087"/>
      <c r="AE10" s="1087"/>
      <c r="AF10" s="1088"/>
      <c r="AG10" s="772"/>
      <c r="AH10" s="772"/>
    </row>
    <row r="11" spans="2:41">
      <c r="B11" s="914"/>
      <c r="C11" s="916" t="s">
        <v>530</v>
      </c>
      <c r="D11" s="916"/>
      <c r="E11" s="1063">
        <v>374</v>
      </c>
      <c r="F11" s="1064">
        <v>374</v>
      </c>
      <c r="G11" s="1064">
        <v>380</v>
      </c>
      <c r="H11" s="1065">
        <v>400</v>
      </c>
      <c r="I11" s="1063">
        <v>450</v>
      </c>
      <c r="J11" s="1064">
        <v>390</v>
      </c>
      <c r="K11" s="1064">
        <v>390</v>
      </c>
      <c r="L11" s="1065">
        <v>400</v>
      </c>
      <c r="M11" s="1064">
        <v>430</v>
      </c>
      <c r="N11" s="1064">
        <v>515</v>
      </c>
      <c r="O11" s="1064">
        <v>715</v>
      </c>
      <c r="P11" s="1064">
        <v>880</v>
      </c>
      <c r="Q11" s="1060">
        <v>900</v>
      </c>
      <c r="R11" s="1064">
        <v>900</v>
      </c>
      <c r="S11" s="1085"/>
      <c r="T11" s="1085"/>
      <c r="U11" s="1084"/>
      <c r="V11" s="1085"/>
      <c r="W11" s="1085"/>
      <c r="X11" s="1086"/>
      <c r="Y11" s="1084"/>
      <c r="Z11" s="1085"/>
      <c r="AA11" s="1085"/>
      <c r="AB11" s="1086"/>
      <c r="AC11" s="1084"/>
      <c r="AD11" s="1085"/>
      <c r="AE11" s="1085"/>
      <c r="AF11" s="1086"/>
    </row>
    <row r="12" spans="2:41" s="923" customFormat="1">
      <c r="B12" s="918"/>
      <c r="C12" s="919"/>
      <c r="D12" s="919" t="s">
        <v>519</v>
      </c>
      <c r="E12" s="1022">
        <f>E11/E13</f>
        <v>0.12462512495834721</v>
      </c>
      <c r="F12" s="1023">
        <f t="shared" ref="F12:N12" si="12">F11/F13</f>
        <v>0.12178748559691398</v>
      </c>
      <c r="G12" s="1023">
        <f t="shared" si="12"/>
        <v>0.12406137773424747</v>
      </c>
      <c r="H12" s="1024">
        <f>H11/H13</f>
        <v>0.12614317250078841</v>
      </c>
      <c r="I12" s="1022">
        <f t="shared" si="12"/>
        <v>0.13138686131386862</v>
      </c>
      <c r="J12" s="1023">
        <f t="shared" si="12"/>
        <v>0.12512030798845045</v>
      </c>
      <c r="K12" s="1023">
        <f t="shared" si="12"/>
        <v>0.12770137524557956</v>
      </c>
      <c r="L12" s="1024">
        <f t="shared" si="12"/>
        <v>0.13231888852133641</v>
      </c>
      <c r="M12" s="1023">
        <f t="shared" si="12"/>
        <v>0.13951979234263465</v>
      </c>
      <c r="N12" s="1023">
        <f t="shared" si="12"/>
        <v>0.18360071301247771</v>
      </c>
      <c r="O12" s="1023">
        <f t="shared" ref="O12" si="13">O11/O13</f>
        <v>0.20900321543408359</v>
      </c>
      <c r="P12" s="1023">
        <f>P11/P13</f>
        <v>0.21359223300970873</v>
      </c>
      <c r="Q12" s="1022">
        <f t="shared" ref="Q12:R12" si="14">Q11/Q13</f>
        <v>0.18442622950819673</v>
      </c>
      <c r="R12" s="1023">
        <f t="shared" si="14"/>
        <v>0.1821272462360369</v>
      </c>
      <c r="S12" s="1087"/>
      <c r="T12" s="1087"/>
      <c r="U12" s="1373"/>
      <c r="V12" s="1087"/>
      <c r="W12" s="1087"/>
      <c r="X12" s="1088"/>
      <c r="Y12" s="1373"/>
      <c r="Z12" s="1087"/>
      <c r="AA12" s="1087"/>
      <c r="AB12" s="1088"/>
      <c r="AC12" s="1373"/>
      <c r="AD12" s="1087"/>
      <c r="AE12" s="1087"/>
      <c r="AF12" s="1088"/>
      <c r="AG12" s="772"/>
      <c r="AH12" s="772"/>
    </row>
    <row r="13" spans="2:41">
      <c r="B13" s="914"/>
      <c r="C13" s="916" t="s">
        <v>254</v>
      </c>
      <c r="D13" s="916"/>
      <c r="E13" s="1025">
        <f>E5+E7+E9+E11</f>
        <v>3001</v>
      </c>
      <c r="F13" s="1026">
        <f t="shared" ref="F13:O13" si="15">F5+F7+F9+F11</f>
        <v>3070.9230769230771</v>
      </c>
      <c r="G13" s="1026">
        <f t="shared" si="15"/>
        <v>3063</v>
      </c>
      <c r="H13" s="1027">
        <f>H5+H7+H9+H11</f>
        <v>3171</v>
      </c>
      <c r="I13" s="1025">
        <f t="shared" si="15"/>
        <v>3425</v>
      </c>
      <c r="J13" s="1026">
        <f t="shared" si="15"/>
        <v>3117</v>
      </c>
      <c r="K13" s="1026">
        <f t="shared" si="15"/>
        <v>3054</v>
      </c>
      <c r="L13" s="1027">
        <f t="shared" si="15"/>
        <v>3023</v>
      </c>
      <c r="M13" s="1025">
        <f t="shared" si="15"/>
        <v>3082</v>
      </c>
      <c r="N13" s="1026">
        <f t="shared" si="15"/>
        <v>2805</v>
      </c>
      <c r="O13" s="1026">
        <f t="shared" si="15"/>
        <v>3421</v>
      </c>
      <c r="P13" s="1026">
        <f>P5+P7+P9+P11</f>
        <v>4120</v>
      </c>
      <c r="Q13" s="1025">
        <f t="shared" ref="Q13:R13" si="16">Q5+Q7+Q9+Q11</f>
        <v>4880</v>
      </c>
      <c r="R13" s="1026">
        <f t="shared" si="16"/>
        <v>4941.6000000000004</v>
      </c>
      <c r="S13" s="1026">
        <f t="shared" ref="S13:T13" si="17">R13*(1+S14)</f>
        <v>5192.63328</v>
      </c>
      <c r="T13" s="1026">
        <f t="shared" si="17"/>
        <v>5460.0538939200005</v>
      </c>
      <c r="U13" s="1025">
        <f t="shared" ref="U13" si="18">T13*(1+U14)</f>
        <v>5842.2576664944008</v>
      </c>
      <c r="V13" s="1026">
        <f t="shared" ref="V13" si="19">U13*(1+V14)</f>
        <v>6075.9479731541769</v>
      </c>
      <c r="W13" s="1026">
        <f t="shared" ref="W13" si="20">V13*(1+W14)</f>
        <v>6258.2264123488021</v>
      </c>
      <c r="X13" s="1027">
        <f t="shared" ref="X13" si="21">W13*(1+X14)</f>
        <v>6445.9732047192665</v>
      </c>
      <c r="Y13" s="1025">
        <f t="shared" ref="Y13" si="22">X13*(1+Y14)</f>
        <v>6703.8121329080377</v>
      </c>
      <c r="Z13" s="1026">
        <f t="shared" ref="Z13" si="23">Y13*(1+Z14)</f>
        <v>6904.9264968952793</v>
      </c>
      <c r="AA13" s="1026">
        <f t="shared" ref="AA13" si="24">Z13*(1+AA14)</f>
        <v>7112.0742918021379</v>
      </c>
      <c r="AB13" s="1027">
        <f t="shared" ref="AB13" si="25">AA13*(1+AB14)</f>
        <v>7325.4365205562026</v>
      </c>
      <c r="AC13" s="1025">
        <f t="shared" ref="AC13" si="26">AB13*(1+AC14)</f>
        <v>7581.826798775669</v>
      </c>
      <c r="AD13" s="1026">
        <f t="shared" ref="AD13" si="27">AC13*(1+AD14)</f>
        <v>7885.0998707266963</v>
      </c>
      <c r="AE13" s="1026">
        <f t="shared" ref="AE13" si="28">AD13*(1+AE14)</f>
        <v>8200.5038655557637</v>
      </c>
      <c r="AF13" s="1027">
        <f t="shared" ref="AF13" si="29">AE13*(1+AF14)</f>
        <v>8528.5240201779943</v>
      </c>
      <c r="AI13" s="1118">
        <f>SUM(E13:H13)</f>
        <v>12305.923076923078</v>
      </c>
      <c r="AJ13" s="1118">
        <f>SUM(I13:L13)</f>
        <v>12619</v>
      </c>
      <c r="AK13" s="1118">
        <f>SUM(M13:P13)</f>
        <v>13428</v>
      </c>
      <c r="AL13" s="1118">
        <f>SUM(Q13:T13)</f>
        <v>20474.287173920002</v>
      </c>
      <c r="AM13" s="1118">
        <f>SUM(U13:X13)</f>
        <v>24622.405256716647</v>
      </c>
      <c r="AN13" s="1118">
        <f>SUM(Y13:AB13)</f>
        <v>28046.249442161657</v>
      </c>
      <c r="AO13" s="1118">
        <f>SUM(AC13:AF13)</f>
        <v>32195.954555236123</v>
      </c>
    </row>
    <row r="14" spans="2:41" s="924" customFormat="1">
      <c r="B14" s="920"/>
      <c r="C14" s="921"/>
      <c r="D14" s="921" t="s">
        <v>521</v>
      </c>
      <c r="E14" s="1028"/>
      <c r="F14" s="1029">
        <f>F13/E13-1</f>
        <v>2.3299925665803745E-2</v>
      </c>
      <c r="G14" s="1029">
        <f t="shared" ref="G14:O14" si="30">G13/F13-1</f>
        <v>-2.5800310605681442E-3</v>
      </c>
      <c r="H14" s="1030">
        <f>H13/G13-1</f>
        <v>3.5259549461312378E-2</v>
      </c>
      <c r="I14" s="1028">
        <f t="shared" si="30"/>
        <v>8.0100914538000723E-2</v>
      </c>
      <c r="J14" s="1029">
        <f t="shared" si="30"/>
        <v>-8.9927007299270056E-2</v>
      </c>
      <c r="K14" s="1029">
        <f>K13/J13-1</f>
        <v>-2.0211742059672799E-2</v>
      </c>
      <c r="L14" s="1030">
        <f t="shared" si="30"/>
        <v>-1.015062213490503E-2</v>
      </c>
      <c r="M14" s="1028">
        <f>M13/L13-1</f>
        <v>1.951703605689703E-2</v>
      </c>
      <c r="N14" s="1029">
        <f t="shared" si="30"/>
        <v>-8.9876703439325079E-2</v>
      </c>
      <c r="O14" s="1029">
        <f t="shared" si="30"/>
        <v>0.21960784313725501</v>
      </c>
      <c r="P14" s="1029">
        <f>P13/O13-1</f>
        <v>0.20432622040339088</v>
      </c>
      <c r="Q14" s="1028">
        <f>Q13/P13-1</f>
        <v>0.18446601941747565</v>
      </c>
      <c r="R14" s="1029">
        <f t="shared" ref="R14" si="31">R13/Q13-1</f>
        <v>1.2622950819672241E-2</v>
      </c>
      <c r="S14" s="1082">
        <v>5.0799999999999998E-2</v>
      </c>
      <c r="T14" s="1082">
        <v>5.1499999999999997E-2</v>
      </c>
      <c r="U14" s="1374">
        <v>7.0000000000000007E-2</v>
      </c>
      <c r="V14" s="1082">
        <v>0.04</v>
      </c>
      <c r="W14" s="1082">
        <v>0.03</v>
      </c>
      <c r="X14" s="1083">
        <v>0.03</v>
      </c>
      <c r="Y14" s="1374">
        <v>0.04</v>
      </c>
      <c r="Z14" s="1082">
        <v>0.03</v>
      </c>
      <c r="AA14" s="1082">
        <v>0.03</v>
      </c>
      <c r="AB14" s="1083">
        <v>0.03</v>
      </c>
      <c r="AC14" s="1374">
        <v>3.5000000000000003E-2</v>
      </c>
      <c r="AD14" s="1082">
        <v>0.04</v>
      </c>
      <c r="AE14" s="1082">
        <v>0.04</v>
      </c>
      <c r="AF14" s="1083">
        <v>0.04</v>
      </c>
      <c r="AG14" s="772"/>
      <c r="AH14" s="772"/>
    </row>
    <row r="15" spans="2:41" s="924" customFormat="1">
      <c r="B15" s="920"/>
      <c r="C15" s="921"/>
      <c r="D15" s="921" t="s">
        <v>522</v>
      </c>
      <c r="E15" s="1031" t="s">
        <v>252</v>
      </c>
      <c r="F15" s="1032" t="s">
        <v>252</v>
      </c>
      <c r="G15" s="1032" t="s">
        <v>252</v>
      </c>
      <c r="H15" s="1033" t="s">
        <v>252</v>
      </c>
      <c r="I15" s="1031">
        <f t="shared" ref="I15:R15" si="32">I13/E13-1</f>
        <v>0.14128623792069317</v>
      </c>
      <c r="J15" s="1032">
        <f t="shared" si="32"/>
        <v>1.5004258303692231E-2</v>
      </c>
      <c r="K15" s="1032">
        <f t="shared" si="32"/>
        <v>-2.9382957884427352E-3</v>
      </c>
      <c r="L15" s="1033">
        <f t="shared" si="32"/>
        <v>-4.6672973825291675E-2</v>
      </c>
      <c r="M15" s="1031">
        <f t="shared" si="32"/>
        <v>-0.1001459854014598</v>
      </c>
      <c r="N15" s="1032">
        <f t="shared" si="32"/>
        <v>-0.10009624639076031</v>
      </c>
      <c r="O15" s="1032">
        <f t="shared" si="32"/>
        <v>0.12017026850032742</v>
      </c>
      <c r="P15" s="1032">
        <f t="shared" si="32"/>
        <v>0.3628845517697652</v>
      </c>
      <c r="Q15" s="1031">
        <f t="shared" si="32"/>
        <v>0.58338741077222589</v>
      </c>
      <c r="R15" s="1032">
        <f t="shared" si="32"/>
        <v>0.76171122994652429</v>
      </c>
      <c r="S15" s="1032">
        <f t="shared" ref="S15" si="33">S13/O13-1</f>
        <v>0.5178700029231218</v>
      </c>
      <c r="T15" s="1032">
        <f t="shared" ref="T15" si="34">T13/P13-1</f>
        <v>0.32525579949514571</v>
      </c>
      <c r="U15" s="1031">
        <f t="shared" ref="U15" si="35">U13/Q13-1</f>
        <v>0.19718394805213135</v>
      </c>
      <c r="V15" s="1032">
        <f t="shared" ref="V15" si="36">V13/R13-1</f>
        <v>0.22955074736000003</v>
      </c>
      <c r="W15" s="1032">
        <f t="shared" ref="W15" si="37">W13/S13-1</f>
        <v>0.20521247600000025</v>
      </c>
      <c r="X15" s="1033">
        <f t="shared" ref="X15" si="38">X13/T13-1</f>
        <v>0.18056952000000015</v>
      </c>
      <c r="Y15" s="1031">
        <f t="shared" ref="Y15" si="39">Y13/U13-1</f>
        <v>0.14746944000000006</v>
      </c>
      <c r="Z15" s="1032">
        <f t="shared" ref="Z15" si="40">Z13/V13-1</f>
        <v>0.13643608000000018</v>
      </c>
      <c r="AA15" s="1032">
        <f t="shared" ref="AA15" si="41">AA13/W13-1</f>
        <v>0.13643608000000018</v>
      </c>
      <c r="AB15" s="1033">
        <f t="shared" ref="AB15" si="42">AB13/X13-1</f>
        <v>0.13643608000000018</v>
      </c>
      <c r="AC15" s="1031">
        <f t="shared" ref="AC15" si="43">AC13/Y13-1</f>
        <v>0.13097244500000005</v>
      </c>
      <c r="AD15" s="1032">
        <f t="shared" ref="AD15" si="44">AD13/Z13-1</f>
        <v>0.14195276000000012</v>
      </c>
      <c r="AE15" s="1032">
        <f t="shared" ref="AE15" si="45">AE13/AA13-1</f>
        <v>0.15303968000000001</v>
      </c>
      <c r="AF15" s="1033">
        <f t="shared" ref="AF15" si="46">AF13/AB13-1</f>
        <v>0.16423423999999986</v>
      </c>
      <c r="AG15" s="772"/>
      <c r="AH15" s="772"/>
      <c r="AJ15" s="1071">
        <f>AJ13/AI13-1</f>
        <v>2.5441157166342654E-2</v>
      </c>
      <c r="AK15" s="1071">
        <f>AK13/AJ13-1</f>
        <v>6.4109675885569484E-2</v>
      </c>
      <c r="AL15" s="1071">
        <f t="shared" ref="AL15:AO15" si="47">AL13/AK13-1</f>
        <v>0.52474584256181123</v>
      </c>
      <c r="AM15" s="1387">
        <f t="shared" si="47"/>
        <v>0.20260134321455103</v>
      </c>
      <c r="AN15" s="1387">
        <f t="shared" si="47"/>
        <v>0.13905400994531325</v>
      </c>
      <c r="AO15" s="1387">
        <f t="shared" si="47"/>
        <v>0.14795935982927744</v>
      </c>
    </row>
    <row r="16" spans="2:41" s="924" customFormat="1">
      <c r="B16" s="920"/>
      <c r="C16" s="921"/>
      <c r="D16" s="921"/>
      <c r="E16" s="1031"/>
      <c r="F16" s="1032"/>
      <c r="G16" s="1032"/>
      <c r="H16" s="1033"/>
      <c r="I16" s="1031"/>
      <c r="J16" s="1032"/>
      <c r="K16" s="1032"/>
      <c r="L16" s="1041"/>
      <c r="M16" s="1031" t="s">
        <v>252</v>
      </c>
      <c r="N16" s="1032"/>
      <c r="O16" s="1032"/>
      <c r="P16" s="1199"/>
      <c r="Q16" s="1184"/>
      <c r="R16" s="1032"/>
      <c r="S16" s="1032"/>
      <c r="T16" s="1199"/>
      <c r="U16" s="1031"/>
      <c r="V16" s="1032"/>
      <c r="W16" s="1032"/>
      <c r="X16" s="1041"/>
      <c r="Y16" s="1031"/>
      <c r="Z16" s="1032"/>
      <c r="AA16" s="1032"/>
      <c r="AB16" s="1041"/>
      <c r="AC16" s="1031"/>
      <c r="AD16" s="1032"/>
      <c r="AE16" s="1032"/>
      <c r="AF16" s="1041"/>
      <c r="AG16" s="772"/>
      <c r="AH16" s="772"/>
    </row>
    <row r="17" spans="2:41">
      <c r="B17" s="913" t="s">
        <v>533</v>
      </c>
      <c r="C17" s="774"/>
      <c r="D17" s="916"/>
      <c r="E17" s="1021"/>
      <c r="F17" s="1021"/>
      <c r="G17" s="1021"/>
      <c r="H17" s="1041"/>
      <c r="I17" s="1034"/>
      <c r="J17" s="1021"/>
      <c r="K17" s="1021"/>
      <c r="L17" s="1041"/>
      <c r="M17" s="1199"/>
      <c r="N17" s="1021"/>
      <c r="O17" s="1021"/>
      <c r="P17" s="1041"/>
      <c r="Q17" s="1199"/>
      <c r="R17" s="1021"/>
      <c r="S17" s="1021"/>
      <c r="T17" s="1199"/>
      <c r="U17" s="1375"/>
      <c r="V17" s="1199"/>
      <c r="W17" s="1199"/>
      <c r="X17" s="1041"/>
      <c r="Y17" s="1375"/>
      <c r="Z17" s="1199"/>
      <c r="AA17" s="1199"/>
      <c r="AB17" s="1041"/>
      <c r="AC17" s="1375"/>
      <c r="AD17" s="1199"/>
      <c r="AE17" s="1199"/>
      <c r="AF17" s="1041"/>
    </row>
    <row r="18" spans="2:41">
      <c r="B18" s="914"/>
      <c r="C18" s="916" t="s">
        <v>518</v>
      </c>
      <c r="D18" s="916"/>
      <c r="E18" s="1042">
        <v>0.81</v>
      </c>
      <c r="F18" s="1042">
        <v>0.81</v>
      </c>
      <c r="G18" s="1042">
        <v>0.78</v>
      </c>
      <c r="H18" s="1044">
        <v>0.77</v>
      </c>
      <c r="I18" s="1042">
        <v>0.78</v>
      </c>
      <c r="J18" s="1042">
        <v>0.68</v>
      </c>
      <c r="K18" s="1042">
        <v>0.6</v>
      </c>
      <c r="L18" s="1044">
        <v>0.56000000000000005</v>
      </c>
      <c r="M18" s="1042">
        <v>0.48199999999999998</v>
      </c>
      <c r="N18" s="1042">
        <v>0.42</v>
      </c>
      <c r="O18" s="1042">
        <v>0.37</v>
      </c>
      <c r="P18" s="1298">
        <v>0.35349999999999998</v>
      </c>
      <c r="Q18" s="1300">
        <v>0.4</v>
      </c>
      <c r="R18" s="1298">
        <v>0.56000000000000005</v>
      </c>
      <c r="S18" s="1301"/>
      <c r="T18" s="1301"/>
      <c r="U18" s="1376"/>
      <c r="V18" s="1301"/>
      <c r="W18" s="1301"/>
      <c r="X18" s="1092"/>
      <c r="Y18" s="1376"/>
      <c r="Z18" s="1301"/>
      <c r="AA18" s="1301"/>
      <c r="AB18" s="1092"/>
      <c r="AC18" s="1376"/>
      <c r="AD18" s="1301"/>
      <c r="AE18" s="1301"/>
      <c r="AF18" s="1092"/>
      <c r="AG18" s="1042"/>
      <c r="AI18" s="1122"/>
      <c r="AJ18" s="1122"/>
      <c r="AK18" s="1122"/>
      <c r="AL18" s="1122"/>
      <c r="AM18" s="1122"/>
      <c r="AN18" s="1122"/>
      <c r="AO18" s="1122"/>
    </row>
    <row r="19" spans="2:41">
      <c r="B19" s="914"/>
      <c r="C19" s="916"/>
      <c r="D19" s="916" t="s">
        <v>521</v>
      </c>
      <c r="E19" s="1043"/>
      <c r="F19" s="1043">
        <f>F18/E18-1</f>
        <v>0</v>
      </c>
      <c r="G19" s="1043">
        <f t="shared" ref="G19:R21" si="48">G18/F18-1</f>
        <v>-3.703703703703709E-2</v>
      </c>
      <c r="H19" s="1045">
        <f t="shared" si="48"/>
        <v>-1.2820512820512886E-2</v>
      </c>
      <c r="I19" s="1043">
        <f t="shared" si="48"/>
        <v>1.2987012987013102E-2</v>
      </c>
      <c r="J19" s="1043">
        <f t="shared" si="48"/>
        <v>-0.12820512820512819</v>
      </c>
      <c r="K19" s="1043">
        <f t="shared" si="48"/>
        <v>-0.11764705882352955</v>
      </c>
      <c r="L19" s="1045">
        <f t="shared" si="48"/>
        <v>-6.6666666666666541E-2</v>
      </c>
      <c r="M19" s="1043">
        <f t="shared" si="48"/>
        <v>-0.13928571428571435</v>
      </c>
      <c r="N19" s="1043">
        <f t="shared" si="48"/>
        <v>-0.12863070539419086</v>
      </c>
      <c r="O19" s="1043">
        <f t="shared" si="48"/>
        <v>-0.11904761904761907</v>
      </c>
      <c r="P19" s="1056">
        <f t="shared" si="48"/>
        <v>-4.4594594594594583E-2</v>
      </c>
      <c r="Q19" s="1302">
        <f t="shared" si="48"/>
        <v>0.13154172560113175</v>
      </c>
      <c r="R19" s="1056">
        <f t="shared" si="48"/>
        <v>0.40000000000000013</v>
      </c>
      <c r="S19" s="1074"/>
      <c r="T19" s="1074"/>
      <c r="U19" s="1377"/>
      <c r="V19" s="1074"/>
      <c r="W19" s="1074"/>
      <c r="X19" s="1091"/>
      <c r="Y19" s="1377"/>
      <c r="Z19" s="1074"/>
      <c r="AA19" s="1074"/>
      <c r="AB19" s="1091"/>
      <c r="AC19" s="1377"/>
      <c r="AD19" s="1074"/>
      <c r="AE19" s="1074"/>
      <c r="AF19" s="1091"/>
      <c r="AG19" s="1043"/>
      <c r="AJ19" s="1071"/>
      <c r="AK19" s="1071"/>
      <c r="AL19" s="1071"/>
      <c r="AM19" s="1071"/>
      <c r="AN19" s="1071"/>
      <c r="AO19" s="1071"/>
    </row>
    <row r="20" spans="2:41">
      <c r="B20" s="914"/>
      <c r="C20" s="916" t="s">
        <v>253</v>
      </c>
      <c r="D20" s="916"/>
      <c r="E20" s="1042">
        <f t="shared" ref="E20:J20" si="49">E18*(1+E22)</f>
        <v>0.85050000000000014</v>
      </c>
      <c r="F20" s="1042">
        <f t="shared" si="49"/>
        <v>0.83430000000000004</v>
      </c>
      <c r="G20" s="1042">
        <f t="shared" si="49"/>
        <v>0.84240000000000004</v>
      </c>
      <c r="H20" s="1044">
        <f>H18*(1+H22)</f>
        <v>0.86240000000000006</v>
      </c>
      <c r="I20" s="1042">
        <f t="shared" si="49"/>
        <v>0.87360000000000015</v>
      </c>
      <c r="J20" s="1042">
        <f t="shared" si="49"/>
        <v>0.83640000000000003</v>
      </c>
      <c r="K20" s="1042">
        <v>0.77</v>
      </c>
      <c r="L20" s="1044">
        <v>0.72</v>
      </c>
      <c r="M20" s="1042">
        <v>0.62</v>
      </c>
      <c r="N20" s="1042">
        <v>0.56000000000000005</v>
      </c>
      <c r="O20" s="1042">
        <v>0.49</v>
      </c>
      <c r="P20" s="1298">
        <v>0.46</v>
      </c>
      <c r="Q20" s="1300">
        <v>0.46</v>
      </c>
      <c r="R20" s="1298">
        <v>0.48</v>
      </c>
      <c r="S20" s="1301"/>
      <c r="T20" s="1301"/>
      <c r="U20" s="1376"/>
      <c r="V20" s="1301"/>
      <c r="W20" s="1301"/>
      <c r="X20" s="1092"/>
      <c r="Y20" s="1376"/>
      <c r="Z20" s="1301"/>
      <c r="AA20" s="1301"/>
      <c r="AB20" s="1092"/>
      <c r="AC20" s="1376"/>
      <c r="AD20" s="1301"/>
      <c r="AE20" s="1301"/>
      <c r="AF20" s="1092"/>
      <c r="AG20" s="1042"/>
      <c r="AI20" s="1122"/>
      <c r="AJ20" s="1122"/>
      <c r="AK20" s="1122"/>
      <c r="AL20" s="1122"/>
      <c r="AM20" s="1122"/>
      <c r="AN20" s="1122"/>
      <c r="AO20" s="1122"/>
    </row>
    <row r="21" spans="2:41">
      <c r="B21" s="914"/>
      <c r="C21" s="916"/>
      <c r="D21" s="916" t="s">
        <v>521</v>
      </c>
      <c r="E21" s="1043"/>
      <c r="F21" s="1043">
        <f t="shared" ref="F21:O21" si="50">F20/E20-1</f>
        <v>-1.9047619047619202E-2</v>
      </c>
      <c r="G21" s="1043">
        <f t="shared" si="50"/>
        <v>9.7087378640776656E-3</v>
      </c>
      <c r="H21" s="1045">
        <f t="shared" si="50"/>
        <v>2.3741690408357163E-2</v>
      </c>
      <c r="I21" s="1043">
        <f t="shared" si="50"/>
        <v>1.2987012987013102E-2</v>
      </c>
      <c r="J21" s="1043">
        <f t="shared" si="50"/>
        <v>-4.2582417582417764E-2</v>
      </c>
      <c r="K21" s="1043">
        <f t="shared" si="50"/>
        <v>-7.9387852702056394E-2</v>
      </c>
      <c r="L21" s="1045">
        <f t="shared" si="50"/>
        <v>-6.4935064935064957E-2</v>
      </c>
      <c r="M21" s="1043">
        <f t="shared" si="48"/>
        <v>-0.13888888888888884</v>
      </c>
      <c r="N21" s="1043">
        <f t="shared" si="50"/>
        <v>-9.6774193548387011E-2</v>
      </c>
      <c r="O21" s="1043">
        <f t="shared" si="50"/>
        <v>-0.12500000000000011</v>
      </c>
      <c r="P21" s="1056">
        <f t="shared" si="48"/>
        <v>-6.1224489795918324E-2</v>
      </c>
      <c r="Q21" s="1302">
        <f>Q20/P20-1</f>
        <v>0</v>
      </c>
      <c r="R21" s="1056">
        <f t="shared" ref="R21" si="51">R20/Q20-1</f>
        <v>4.3478260869565188E-2</v>
      </c>
      <c r="S21" s="1074"/>
      <c r="T21" s="1074"/>
      <c r="U21" s="1377"/>
      <c r="V21" s="1074"/>
      <c r="W21" s="1074"/>
      <c r="X21" s="1091"/>
      <c r="Y21" s="1377"/>
      <c r="Z21" s="1074"/>
      <c r="AA21" s="1074"/>
      <c r="AB21" s="1091"/>
      <c r="AC21" s="1377"/>
      <c r="AD21" s="1074"/>
      <c r="AE21" s="1074"/>
      <c r="AF21" s="1091"/>
      <c r="AG21" s="1043"/>
      <c r="AJ21" s="1071"/>
      <c r="AK21" s="1071"/>
      <c r="AL21" s="1071"/>
      <c r="AM21" s="1071"/>
      <c r="AN21" s="1071"/>
      <c r="AO21" s="1071"/>
    </row>
    <row r="22" spans="2:41">
      <c r="B22" s="914"/>
      <c r="C22" s="774"/>
      <c r="D22" s="916" t="s">
        <v>523</v>
      </c>
      <c r="E22" s="1043">
        <v>0.05</v>
      </c>
      <c r="F22" s="1043">
        <v>0.03</v>
      </c>
      <c r="G22" s="1043">
        <v>0.08</v>
      </c>
      <c r="H22" s="1045">
        <v>0.12</v>
      </c>
      <c r="I22" s="1043">
        <v>0.12</v>
      </c>
      <c r="J22" s="1043">
        <v>0.23</v>
      </c>
      <c r="K22" s="1043">
        <f>K20/K18-1</f>
        <v>0.28333333333333344</v>
      </c>
      <c r="L22" s="1045">
        <f>L20/L18-1</f>
        <v>0.28571428571428559</v>
      </c>
      <c r="M22" s="1043">
        <f t="shared" ref="M22:P22" si="52">M20/M18-1</f>
        <v>0.28630705394190881</v>
      </c>
      <c r="N22" s="1043">
        <f>N20/N18-1</f>
        <v>0.33333333333333348</v>
      </c>
      <c r="O22" s="1043">
        <f>O20/O18-1</f>
        <v>0.32432432432432434</v>
      </c>
      <c r="P22" s="1056">
        <f t="shared" si="52"/>
        <v>0.30127298444130135</v>
      </c>
      <c r="Q22" s="1302">
        <f>Q20/Q18-1</f>
        <v>0.14999999999999991</v>
      </c>
      <c r="R22" s="1056">
        <f>R20/R18-1</f>
        <v>-0.14285714285714302</v>
      </c>
      <c r="S22" s="1056"/>
      <c r="T22" s="1056"/>
      <c r="U22" s="1302"/>
      <c r="V22" s="1056"/>
      <c r="W22" s="1056"/>
      <c r="X22" s="1045"/>
      <c r="Y22" s="1302"/>
      <c r="Z22" s="1056"/>
      <c r="AA22" s="1056"/>
      <c r="AB22" s="1045"/>
      <c r="AC22" s="1302"/>
      <c r="AD22" s="1056"/>
      <c r="AE22" s="1056"/>
      <c r="AF22" s="1045"/>
      <c r="AG22" s="1043"/>
    </row>
    <row r="23" spans="2:41">
      <c r="B23" s="914"/>
      <c r="C23" s="916" t="s">
        <v>520</v>
      </c>
      <c r="D23" s="916"/>
      <c r="E23" s="1042">
        <f t="shared" ref="E23:J23" si="53">E18*(1+E25)</f>
        <v>0.85050000000000014</v>
      </c>
      <c r="F23" s="1042">
        <f t="shared" si="53"/>
        <v>0.83430000000000004</v>
      </c>
      <c r="G23" s="1042">
        <f t="shared" si="53"/>
        <v>0.84240000000000004</v>
      </c>
      <c r="H23" s="1044">
        <f>H18*(1+H25)</f>
        <v>0.86240000000000006</v>
      </c>
      <c r="I23" s="1042">
        <f t="shared" si="53"/>
        <v>0.87360000000000015</v>
      </c>
      <c r="J23" s="1042">
        <f t="shared" si="53"/>
        <v>0.85680000000000012</v>
      </c>
      <c r="K23" s="1042">
        <v>0.77</v>
      </c>
      <c r="L23" s="1044">
        <v>0.70799999999999996</v>
      </c>
      <c r="M23" s="1042">
        <v>0.62</v>
      </c>
      <c r="N23" s="1042">
        <v>0.55000000000000004</v>
      </c>
      <c r="O23" s="1042">
        <v>0.48</v>
      </c>
      <c r="P23" s="1298">
        <v>0.45</v>
      </c>
      <c r="Q23" s="1300">
        <v>0.48</v>
      </c>
      <c r="R23" s="1298">
        <v>0.6</v>
      </c>
      <c r="S23" s="1301"/>
      <c r="T23" s="1301"/>
      <c r="U23" s="1376"/>
      <c r="V23" s="1301"/>
      <c r="W23" s="1301"/>
      <c r="X23" s="1092"/>
      <c r="Y23" s="1376"/>
      <c r="Z23" s="1301"/>
      <c r="AA23" s="1301"/>
      <c r="AB23" s="1092"/>
      <c r="AC23" s="1376"/>
      <c r="AD23" s="1301"/>
      <c r="AE23" s="1301"/>
      <c r="AF23" s="1092"/>
      <c r="AG23" s="1042"/>
      <c r="AI23" s="1122"/>
      <c r="AJ23" s="1122"/>
      <c r="AK23" s="1122"/>
      <c r="AL23" s="1122"/>
      <c r="AM23" s="1122"/>
      <c r="AN23" s="1122"/>
      <c r="AO23" s="1122"/>
    </row>
    <row r="24" spans="2:41">
      <c r="B24" s="914"/>
      <c r="C24" s="916"/>
      <c r="D24" s="916" t="s">
        <v>521</v>
      </c>
      <c r="E24" s="1043"/>
      <c r="F24" s="1043">
        <f t="shared" ref="F24:R24" si="54">F23/E23-1</f>
        <v>-1.9047619047619202E-2</v>
      </c>
      <c r="G24" s="1043">
        <f t="shared" si="54"/>
        <v>9.7087378640776656E-3</v>
      </c>
      <c r="H24" s="1045">
        <f t="shared" si="54"/>
        <v>2.3741690408357163E-2</v>
      </c>
      <c r="I24" s="1043">
        <f t="shared" si="54"/>
        <v>1.2987012987013102E-2</v>
      </c>
      <c r="J24" s="1043">
        <f t="shared" si="54"/>
        <v>-1.9230769230769273E-2</v>
      </c>
      <c r="K24" s="1043">
        <f t="shared" si="54"/>
        <v>-0.10130718954248374</v>
      </c>
      <c r="L24" s="1045">
        <f t="shared" si="54"/>
        <v>-8.0519480519480546E-2</v>
      </c>
      <c r="M24" s="1043">
        <f t="shared" si="54"/>
        <v>-0.12429378531073443</v>
      </c>
      <c r="N24" s="1043">
        <f t="shared" si="54"/>
        <v>-0.11290322580645151</v>
      </c>
      <c r="O24" s="1043">
        <f t="shared" si="54"/>
        <v>-0.12727272727272743</v>
      </c>
      <c r="P24" s="1056">
        <f t="shared" si="54"/>
        <v>-6.2499999999999889E-2</v>
      </c>
      <c r="Q24" s="1302">
        <f>Q23/P23-1</f>
        <v>6.6666666666666652E-2</v>
      </c>
      <c r="R24" s="1056">
        <f t="shared" si="54"/>
        <v>0.25</v>
      </c>
      <c r="S24" s="1074"/>
      <c r="T24" s="1074"/>
      <c r="U24" s="1377"/>
      <c r="V24" s="1074"/>
      <c r="W24" s="1074"/>
      <c r="X24" s="1091"/>
      <c r="Y24" s="1377"/>
      <c r="Z24" s="1074"/>
      <c r="AA24" s="1074"/>
      <c r="AB24" s="1091"/>
      <c r="AC24" s="1377"/>
      <c r="AD24" s="1074"/>
      <c r="AE24" s="1074"/>
      <c r="AF24" s="1091"/>
      <c r="AG24" s="1043"/>
      <c r="AJ24" s="1071"/>
      <c r="AK24" s="1071"/>
      <c r="AL24" s="1071"/>
      <c r="AM24" s="1071"/>
      <c r="AN24" s="1071"/>
      <c r="AO24" s="1071"/>
    </row>
    <row r="25" spans="2:41">
      <c r="B25" s="914"/>
      <c r="C25" s="774"/>
      <c r="D25" s="916" t="s">
        <v>523</v>
      </c>
      <c r="E25" s="1043">
        <v>0.05</v>
      </c>
      <c r="F25" s="1043">
        <v>0.03</v>
      </c>
      <c r="G25" s="1043">
        <v>0.08</v>
      </c>
      <c r="H25" s="1045">
        <v>0.12</v>
      </c>
      <c r="I25" s="1043">
        <v>0.12</v>
      </c>
      <c r="J25" s="1043">
        <v>0.26</v>
      </c>
      <c r="K25" s="1043">
        <f>K23/K18-1</f>
        <v>0.28333333333333344</v>
      </c>
      <c r="L25" s="1045">
        <f>L23/L18-1</f>
        <v>0.26428571428571401</v>
      </c>
      <c r="M25" s="1043">
        <f t="shared" ref="M25:P25" si="55">M23/M18-1</f>
        <v>0.28630705394190881</v>
      </c>
      <c r="N25" s="1043">
        <f>N23/N18-1</f>
        <v>0.30952380952380976</v>
      </c>
      <c r="O25" s="1043">
        <f>O23/O18-1</f>
        <v>0.29729729729729737</v>
      </c>
      <c r="P25" s="1056">
        <f t="shared" si="55"/>
        <v>0.2729844413012732</v>
      </c>
      <c r="Q25" s="1302">
        <f>Q23/Q18-1</f>
        <v>0.19999999999999996</v>
      </c>
      <c r="R25" s="1056">
        <f>R23/R18-1</f>
        <v>7.1428571428571397E-2</v>
      </c>
      <c r="S25" s="1056"/>
      <c r="T25" s="1056"/>
      <c r="U25" s="1302"/>
      <c r="V25" s="1056"/>
      <c r="W25" s="1056"/>
      <c r="X25" s="1045"/>
      <c r="Y25" s="1302"/>
      <c r="Z25" s="1056"/>
      <c r="AA25" s="1056"/>
      <c r="AB25" s="1045"/>
      <c r="AC25" s="1302"/>
      <c r="AD25" s="1056"/>
      <c r="AE25" s="1056"/>
      <c r="AF25" s="1045"/>
      <c r="AG25" s="1043"/>
    </row>
    <row r="26" spans="2:41">
      <c r="B26" s="914"/>
      <c r="C26" s="916" t="s">
        <v>530</v>
      </c>
      <c r="D26" s="916"/>
      <c r="E26" s="1042">
        <f t="shared" ref="E26:J26" si="56">E18*(1+E27)</f>
        <v>1.5389999999999999</v>
      </c>
      <c r="F26" s="1042">
        <f t="shared" si="56"/>
        <v>1.5389999999999999</v>
      </c>
      <c r="G26" s="1042">
        <f t="shared" si="56"/>
        <v>1.482</v>
      </c>
      <c r="H26" s="1044">
        <f>H18*(1+H27)</f>
        <v>1.4629999999999999</v>
      </c>
      <c r="I26" s="1042">
        <f>I18*(1+I27)</f>
        <v>1.482</v>
      </c>
      <c r="J26" s="1042">
        <f t="shared" si="56"/>
        <v>1.4280000000000002</v>
      </c>
      <c r="K26" s="1042">
        <v>1.26</v>
      </c>
      <c r="L26" s="1044">
        <v>1.1200000000000001</v>
      </c>
      <c r="M26" s="1042">
        <v>0.96399999999999997</v>
      </c>
      <c r="N26" s="1042">
        <v>0.83499999999999996</v>
      </c>
      <c r="O26" s="1042">
        <v>0.71250000000000002</v>
      </c>
      <c r="P26" s="1298">
        <v>0.68</v>
      </c>
      <c r="Q26" s="1300">
        <v>0.745</v>
      </c>
      <c r="R26" s="1298">
        <v>0.88</v>
      </c>
      <c r="S26" s="1301"/>
      <c r="T26" s="1301"/>
      <c r="U26" s="1376"/>
      <c r="V26" s="1301"/>
      <c r="W26" s="1301"/>
      <c r="X26" s="1092"/>
      <c r="Y26" s="1376"/>
      <c r="Z26" s="1301"/>
      <c r="AA26" s="1301"/>
      <c r="AB26" s="1092"/>
      <c r="AC26" s="1376"/>
      <c r="AD26" s="1301"/>
      <c r="AE26" s="1301"/>
      <c r="AF26" s="1092"/>
      <c r="AG26" s="1042"/>
    </row>
    <row r="27" spans="2:41">
      <c r="B27" s="914"/>
      <c r="C27" s="774"/>
      <c r="D27" s="919" t="s">
        <v>523</v>
      </c>
      <c r="E27" s="1142">
        <v>0.9</v>
      </c>
      <c r="F27" s="1142">
        <v>0.9</v>
      </c>
      <c r="G27" s="1142">
        <v>0.9</v>
      </c>
      <c r="H27" s="1143">
        <v>0.9</v>
      </c>
      <c r="I27" s="1142">
        <v>0.9</v>
      </c>
      <c r="J27" s="1142">
        <v>1.1000000000000001</v>
      </c>
      <c r="K27" s="1142">
        <f t="shared" ref="K27:P27" si="57">K26/K18-1</f>
        <v>1.1000000000000001</v>
      </c>
      <c r="L27" s="1143">
        <f t="shared" si="57"/>
        <v>1</v>
      </c>
      <c r="M27" s="1142">
        <f t="shared" si="57"/>
        <v>1</v>
      </c>
      <c r="N27" s="1142">
        <f t="shared" si="57"/>
        <v>0.98809523809523814</v>
      </c>
      <c r="O27" s="1142">
        <f t="shared" si="57"/>
        <v>0.92567567567567566</v>
      </c>
      <c r="P27" s="1070">
        <f t="shared" si="57"/>
        <v>0.92362093352192387</v>
      </c>
      <c r="Q27" s="1303">
        <f t="shared" ref="Q27:R27" si="58">Q26/Q18-1</f>
        <v>0.86249999999999982</v>
      </c>
      <c r="R27" s="1070">
        <f t="shared" si="58"/>
        <v>0.5714285714285714</v>
      </c>
      <c r="S27" s="1298"/>
      <c r="T27" s="1298"/>
      <c r="U27" s="1378"/>
      <c r="V27" s="1298"/>
      <c r="W27" s="1298"/>
      <c r="X27" s="1044"/>
      <c r="Y27" s="1378"/>
      <c r="Z27" s="1298"/>
      <c r="AA27" s="1298"/>
      <c r="AB27" s="1044"/>
      <c r="AC27" s="1378"/>
      <c r="AD27" s="1298"/>
      <c r="AE27" s="1298"/>
      <c r="AF27" s="1044"/>
      <c r="AG27" s="1142"/>
    </row>
    <row r="28" spans="2:41">
      <c r="B28" s="914"/>
      <c r="C28" s="916" t="s">
        <v>524</v>
      </c>
      <c r="D28" s="916"/>
      <c r="E28" s="1035">
        <f t="shared" ref="E28:K28" si="59">E41/E13</f>
        <v>0.91920559813395541</v>
      </c>
      <c r="F28" s="1036">
        <f t="shared" si="59"/>
        <v>0.9102324783327489</v>
      </c>
      <c r="G28" s="1036">
        <f t="shared" si="59"/>
        <v>0.89585661116552384</v>
      </c>
      <c r="H28" s="1046">
        <f t="shared" si="59"/>
        <v>0.89850331125827809</v>
      </c>
      <c r="I28" s="1036">
        <f t="shared" si="59"/>
        <v>0.91390948905109504</v>
      </c>
      <c r="J28" s="1036">
        <f t="shared" si="59"/>
        <v>0.85267244145011234</v>
      </c>
      <c r="K28" s="1036">
        <f t="shared" si="59"/>
        <v>0.76777996070726917</v>
      </c>
      <c r="L28" s="1046">
        <f>L41/L13</f>
        <v>0.71404565001653997</v>
      </c>
      <c r="M28" s="1036">
        <f t="shared" ref="M28:P28" si="60">M41/M13</f>
        <v>0.62089033095392598</v>
      </c>
      <c r="N28" s="1036">
        <f t="shared" si="60"/>
        <v>0.55876114081996442</v>
      </c>
      <c r="O28" s="1036">
        <f t="shared" ref="O28" si="61">O41/O13</f>
        <v>0.49733338205203159</v>
      </c>
      <c r="P28" s="1036">
        <f t="shared" si="60"/>
        <v>0.46841504854368937</v>
      </c>
      <c r="Q28" s="1035">
        <f t="shared" ref="Q28:R28" si="62">Q41/Q13</f>
        <v>0.4960860655737705</v>
      </c>
      <c r="R28" s="1036">
        <f t="shared" si="62"/>
        <v>0.6017872753763962</v>
      </c>
      <c r="S28" s="1127">
        <f t="shared" ref="S28" si="63">R28*(1+S29)</f>
        <v>0.68603749392909175</v>
      </c>
      <c r="T28" s="1127">
        <f t="shared" ref="T28" si="64">S28*(1+T29)</f>
        <v>0.7419495496843127</v>
      </c>
      <c r="U28" s="1379">
        <f t="shared" ref="U28" si="65">T28*(1+U29)</f>
        <v>0.78015995149305484</v>
      </c>
      <c r="V28" s="1127">
        <f t="shared" ref="V28" si="66">U28*(1+V29)</f>
        <v>0.85895610659385335</v>
      </c>
      <c r="W28" s="1127">
        <f t="shared" ref="W28" si="67">V28*(1+W29)</f>
        <v>0.85895610659385335</v>
      </c>
      <c r="X28" s="1128">
        <f t="shared" ref="X28" si="68">W28*(1+X29)</f>
        <v>0.81600830126416068</v>
      </c>
      <c r="Y28" s="1379">
        <f t="shared" ref="Y28" si="69">X28*(1+Y29)</f>
        <v>0.75888772017566941</v>
      </c>
      <c r="Z28" s="1127">
        <f t="shared" ref="Z28" si="70">Y28*(1+Z29)</f>
        <v>0.645054562149319</v>
      </c>
      <c r="AA28" s="1127">
        <f t="shared" ref="AA28" si="71">Z28*(1+AA29)</f>
        <v>0.61280183404185307</v>
      </c>
      <c r="AB28" s="1128">
        <f t="shared" ref="AB28" si="72">AA28*(1+AB29)</f>
        <v>0.58216174233976037</v>
      </c>
      <c r="AC28" s="1379">
        <f t="shared" ref="AC28" si="73">AB28*(1+AC29)</f>
        <v>0.5355888029525796</v>
      </c>
      <c r="AD28" s="1127">
        <f t="shared" ref="AD28" si="74">AC28*(1+AD29)</f>
        <v>0.49809758674589899</v>
      </c>
      <c r="AE28" s="1127">
        <f t="shared" ref="AE28" si="75">AD28*(1+AE29)</f>
        <v>0.46323075567368605</v>
      </c>
      <c r="AF28" s="1128">
        <f t="shared" ref="AF28" si="76">AE28*(1+AF29)</f>
        <v>0.43543691033326487</v>
      </c>
      <c r="AI28" s="1122">
        <f>AVERAGE(E28:H28)</f>
        <v>0.90594949972262651</v>
      </c>
      <c r="AJ28" s="1122">
        <f>AVERAGE(I28:L28)</f>
        <v>0.81210188530625405</v>
      </c>
      <c r="AK28" s="1122">
        <f>AVERAGE(M28:P28)</f>
        <v>0.53634997559240283</v>
      </c>
      <c r="AL28" s="1122">
        <f>AVERAGE(Q28:T28)</f>
        <v>0.63146509614089275</v>
      </c>
      <c r="AM28" s="1122">
        <f>AVERAGE(U28:X28)</f>
        <v>0.82852011648623058</v>
      </c>
      <c r="AN28" s="1122">
        <f>AVERAGE(Y28:AB28)</f>
        <v>0.64972646467665052</v>
      </c>
      <c r="AO28" s="1122">
        <f>AVERAGE(AC28:AF28)</f>
        <v>0.48308851392635743</v>
      </c>
    </row>
    <row r="29" spans="2:41">
      <c r="B29" s="914"/>
      <c r="C29" s="774"/>
      <c r="D29" s="919" t="s">
        <v>521</v>
      </c>
      <c r="E29" s="1037"/>
      <c r="F29" s="1029">
        <f t="shared" ref="F29:L29" si="77">F28/E28-1</f>
        <v>-9.7618202276210653E-3</v>
      </c>
      <c r="G29" s="1029">
        <f t="shared" si="77"/>
        <v>-1.5793621420273851E-2</v>
      </c>
      <c r="H29" s="1030">
        <f>H28/G28-1</f>
        <v>2.9543791492601112E-3</v>
      </c>
      <c r="I29" s="1029">
        <f t="shared" si="77"/>
        <v>1.7146489723273151E-2</v>
      </c>
      <c r="J29" s="1029">
        <f t="shared" si="77"/>
        <v>-6.7005593370700889E-2</v>
      </c>
      <c r="K29" s="1029">
        <f t="shared" si="77"/>
        <v>-9.9560483740355532E-2</v>
      </c>
      <c r="L29" s="1030">
        <f t="shared" si="77"/>
        <v>-6.9986602204660131E-2</v>
      </c>
      <c r="M29" s="1093">
        <f t="shared" ref="M29" si="78">M28/L28-1</f>
        <v>-0.13046129342074442</v>
      </c>
      <c r="N29" s="1093">
        <f t="shared" ref="N29:O29" si="79">N28/M28-1</f>
        <v>-0.10006467654039208</v>
      </c>
      <c r="O29" s="1093">
        <f t="shared" si="79"/>
        <v>-0.10993563131070549</v>
      </c>
      <c r="P29" s="1029">
        <f t="shared" ref="P29:R29" si="80">P28/O28-1</f>
        <v>-5.8146777497668056E-2</v>
      </c>
      <c r="Q29" s="1304">
        <f t="shared" si="80"/>
        <v>5.907371489475155E-2</v>
      </c>
      <c r="R29" s="1093">
        <f t="shared" si="80"/>
        <v>0.21307030601710664</v>
      </c>
      <c r="S29" s="1082">
        <v>0.14000000000000001</v>
      </c>
      <c r="T29" s="1082">
        <v>8.1500000000000003E-2</v>
      </c>
      <c r="U29" s="1374">
        <v>5.1499999999999997E-2</v>
      </c>
      <c r="V29" s="1082">
        <v>0.10100000000000001</v>
      </c>
      <c r="W29" s="1082">
        <v>0</v>
      </c>
      <c r="X29" s="1083">
        <v>-0.05</v>
      </c>
      <c r="Y29" s="1374">
        <v>-7.0000000000000007E-2</v>
      </c>
      <c r="Z29" s="1082">
        <v>-0.15</v>
      </c>
      <c r="AA29" s="1082">
        <v>-0.05</v>
      </c>
      <c r="AB29" s="1083">
        <v>-0.05</v>
      </c>
      <c r="AC29" s="1374">
        <v>-0.08</v>
      </c>
      <c r="AD29" s="1082">
        <v>-7.0000000000000007E-2</v>
      </c>
      <c r="AE29" s="1082">
        <v>-7.0000000000000007E-2</v>
      </c>
      <c r="AF29" s="1083">
        <v>-0.06</v>
      </c>
      <c r="AJ29" s="898"/>
      <c r="AK29" s="898"/>
      <c r="AL29" s="898"/>
      <c r="AM29" s="898"/>
      <c r="AN29" s="898"/>
      <c r="AO29" s="898"/>
    </row>
    <row r="30" spans="2:41">
      <c r="B30" s="914"/>
      <c r="C30" s="774"/>
      <c r="D30" s="916" t="s">
        <v>522</v>
      </c>
      <c r="E30" s="1038"/>
      <c r="F30" s="1039"/>
      <c r="G30" s="1039"/>
      <c r="H30" s="1040"/>
      <c r="I30" s="1032">
        <f t="shared" ref="I30:R30" si="81">I28/E28-1</f>
        <v>-5.7616153487444199E-3</v>
      </c>
      <c r="J30" s="1032">
        <f t="shared" si="81"/>
        <v>-6.323663267659696E-2</v>
      </c>
      <c r="K30" s="1032">
        <f t="shared" si="81"/>
        <v>-0.14296556933550442</v>
      </c>
      <c r="L30" s="1030">
        <f t="shared" si="81"/>
        <v>-0.20529435888602432</v>
      </c>
      <c r="M30" s="1032">
        <f t="shared" si="81"/>
        <v>-0.3206216388029941</v>
      </c>
      <c r="N30" s="1032">
        <f t="shared" si="81"/>
        <v>-0.34469426516271884</v>
      </c>
      <c r="O30" s="1032">
        <f t="shared" si="81"/>
        <v>-0.35224490413386877</v>
      </c>
      <c r="P30" s="1029">
        <f t="shared" si="81"/>
        <v>-0.34399845649526872</v>
      </c>
      <c r="Q30" s="1031">
        <f t="shared" si="81"/>
        <v>-0.20100855039634491</v>
      </c>
      <c r="R30" s="1032">
        <f t="shared" si="81"/>
        <v>7.7002732318307343E-2</v>
      </c>
      <c r="S30" s="1032">
        <f t="shared" ref="S30" si="82">S28/O28-1</f>
        <v>0.37943182317353008</v>
      </c>
      <c r="T30" s="1029">
        <f t="shared" ref="T30" si="83">T28/P28-1</f>
        <v>0.58395754361660002</v>
      </c>
      <c r="U30" s="1031">
        <f t="shared" ref="U30" si="84">U28/Q28-1</f>
        <v>0.57263024630761605</v>
      </c>
      <c r="V30" s="1032">
        <f t="shared" ref="V30" si="85">V28/R28-1</f>
        <v>0.42734175636500016</v>
      </c>
      <c r="W30" s="1032">
        <f t="shared" ref="W30" si="86">W28/S28-1</f>
        <v>0.25205417225000004</v>
      </c>
      <c r="X30" s="1030">
        <f t="shared" ref="X30" si="87">X28/T28-1</f>
        <v>9.9816424999999986E-2</v>
      </c>
      <c r="Y30" s="1031">
        <f t="shared" ref="Y30" si="88">Y28/U28-1</f>
        <v>-2.7266500000000082E-2</v>
      </c>
      <c r="Z30" s="1032">
        <f t="shared" ref="Z30" si="89">Z28/V28-1</f>
        <v>-0.24902500000000005</v>
      </c>
      <c r="AA30" s="1032">
        <f t="shared" ref="AA30" si="90">AA28/W28-1</f>
        <v>-0.28657374999999996</v>
      </c>
      <c r="AB30" s="1030">
        <f t="shared" ref="AB30" si="91">AB28/X28-1</f>
        <v>-0.28657375000000007</v>
      </c>
      <c r="AC30" s="1031">
        <f t="shared" ref="AC30" si="92">AC28/Y28-1</f>
        <v>-0.29424499999999998</v>
      </c>
      <c r="AD30" s="1032">
        <f t="shared" ref="AD30" si="93">AD28/Z28-1</f>
        <v>-0.22782100000000005</v>
      </c>
      <c r="AE30" s="1032">
        <f t="shared" ref="AE30" si="94">AE28/AA28-1</f>
        <v>-0.2440774</v>
      </c>
      <c r="AF30" s="1030">
        <f t="shared" ref="AF30" si="95">AF28/AB28-1</f>
        <v>-0.25203448000000006</v>
      </c>
      <c r="AJ30" s="1071">
        <f>AJ28/AI28-1</f>
        <v>-0.10359033748029622</v>
      </c>
      <c r="AK30" s="1071">
        <f t="shared" ref="AK30:AO30" si="96">AK28/AJ28-1</f>
        <v>-0.33955334263244774</v>
      </c>
      <c r="AL30" s="1071">
        <f t="shared" si="96"/>
        <v>0.17733779225669677</v>
      </c>
      <c r="AM30" s="1387">
        <f t="shared" si="96"/>
        <v>0.31206003554212414</v>
      </c>
      <c r="AN30" s="1387">
        <f t="shared" si="96"/>
        <v>-0.21579880590932099</v>
      </c>
      <c r="AO30" s="1387">
        <f t="shared" si="96"/>
        <v>-0.25647400838631962</v>
      </c>
    </row>
    <row r="31" spans="2:41">
      <c r="B31" s="914"/>
      <c r="C31" s="774"/>
      <c r="D31" s="916"/>
      <c r="E31" s="1038"/>
      <c r="F31" s="1039"/>
      <c r="G31" s="1039"/>
      <c r="H31" s="1040"/>
      <c r="I31" s="1038"/>
      <c r="J31" s="1039"/>
      <c r="K31" s="1039"/>
      <c r="L31" s="1041"/>
      <c r="M31" s="1038"/>
      <c r="N31" s="1039"/>
      <c r="O31" s="1039"/>
      <c r="P31" s="1199"/>
      <c r="Q31" s="1038"/>
      <c r="R31" s="1039"/>
      <c r="S31" s="1039"/>
      <c r="T31" s="1199"/>
      <c r="U31" s="1038"/>
      <c r="V31" s="1039"/>
      <c r="W31" s="1039"/>
      <c r="X31" s="1041"/>
      <c r="Y31" s="1038"/>
      <c r="Z31" s="1039"/>
      <c r="AA31" s="1039"/>
      <c r="AB31" s="1041"/>
      <c r="AC31" s="1038"/>
      <c r="AD31" s="1039"/>
      <c r="AE31" s="1039"/>
      <c r="AF31" s="1041"/>
    </row>
    <row r="32" spans="2:41">
      <c r="B32" s="913" t="s">
        <v>525</v>
      </c>
      <c r="C32" s="774"/>
      <c r="D32" s="916"/>
      <c r="E32" s="1038"/>
      <c r="F32" s="1039"/>
      <c r="G32" s="1039"/>
      <c r="H32" s="1040"/>
      <c r="I32" s="1140"/>
      <c r="J32" s="1071"/>
      <c r="K32" s="1071"/>
      <c r="L32" s="1141"/>
      <c r="M32" s="1140"/>
      <c r="N32" s="1071"/>
      <c r="O32" s="1039"/>
      <c r="P32" s="1071"/>
      <c r="Q32" s="1140"/>
      <c r="R32" s="1071"/>
      <c r="S32" s="1039"/>
      <c r="T32" s="1199"/>
      <c r="U32" s="1038"/>
      <c r="V32" s="1039"/>
      <c r="W32" s="1039"/>
      <c r="X32" s="1041"/>
      <c r="Y32" s="1038"/>
      <c r="Z32" s="1039"/>
      <c r="AA32" s="1039"/>
      <c r="AB32" s="1041"/>
      <c r="AC32" s="1038"/>
      <c r="AD32" s="1039"/>
      <c r="AE32" s="1039"/>
      <c r="AF32" s="1041"/>
    </row>
    <row r="33" spans="2:45" s="939" customFormat="1">
      <c r="B33" s="933"/>
      <c r="C33" s="934" t="s">
        <v>518</v>
      </c>
      <c r="D33" s="934"/>
      <c r="E33" s="935">
        <f t="shared" ref="E33:L33" si="97">E5*E18</f>
        <v>1026.27</v>
      </c>
      <c r="F33" s="934">
        <f t="shared" si="97"/>
        <v>1012.5000000000001</v>
      </c>
      <c r="G33" s="934">
        <f t="shared" si="97"/>
        <v>991.38</v>
      </c>
      <c r="H33" s="936">
        <f t="shared" si="97"/>
        <v>1047.97</v>
      </c>
      <c r="I33" s="935">
        <f t="shared" si="97"/>
        <v>1131</v>
      </c>
      <c r="J33" s="934">
        <f t="shared" si="97"/>
        <v>841.16000000000008</v>
      </c>
      <c r="K33" s="934">
        <f t="shared" si="97"/>
        <v>698.4</v>
      </c>
      <c r="L33" s="936">
        <f t="shared" si="97"/>
        <v>595.28000000000009</v>
      </c>
      <c r="M33" s="935">
        <f t="shared" ref="M33:P33" si="98">M5*M18</f>
        <v>507.06399999999996</v>
      </c>
      <c r="N33" s="934">
        <f t="shared" ref="N33" si="99">N5*N18</f>
        <v>415.8</v>
      </c>
      <c r="O33" s="934">
        <f t="shared" si="98"/>
        <v>388.5</v>
      </c>
      <c r="P33" s="934">
        <f t="shared" si="98"/>
        <v>501.96999999999997</v>
      </c>
      <c r="Q33" s="935">
        <f>Q5*Q18</f>
        <v>656</v>
      </c>
      <c r="R33" s="934">
        <f t="shared" ref="R33" si="100">R5*R18</f>
        <v>936.76800000000003</v>
      </c>
      <c r="S33" s="934">
        <f>S34*$S$41</f>
        <v>783.71504690687993</v>
      </c>
      <c r="T33" s="934">
        <f>T34*$S$41</f>
        <v>890.58528057599995</v>
      </c>
      <c r="U33" s="935"/>
      <c r="V33" s="934"/>
      <c r="W33" s="934"/>
      <c r="X33" s="936"/>
      <c r="Y33" s="935"/>
      <c r="Z33" s="934"/>
      <c r="AA33" s="934"/>
      <c r="AB33" s="936"/>
      <c r="AC33" s="935"/>
      <c r="AD33" s="934"/>
      <c r="AE33" s="934"/>
      <c r="AF33" s="936"/>
      <c r="AG33" s="772"/>
      <c r="AH33" s="772"/>
      <c r="AK33" s="898"/>
    </row>
    <row r="34" spans="2:45" s="924" customFormat="1">
      <c r="B34" s="920"/>
      <c r="C34" s="921"/>
      <c r="D34" s="921" t="s">
        <v>519</v>
      </c>
      <c r="E34" s="920">
        <f>E33/E41</f>
        <v>0.37203429645290109</v>
      </c>
      <c r="F34" s="921">
        <f t="shared" ref="F34:L34" si="101">F33/F41</f>
        <v>0.36222111760260889</v>
      </c>
      <c r="G34" s="921">
        <f t="shared" si="101"/>
        <v>0.36128892881101554</v>
      </c>
      <c r="H34" s="922">
        <f>H33/H41</f>
        <v>0.36781795578617371</v>
      </c>
      <c r="I34" s="920">
        <f t="shared" si="101"/>
        <v>0.36132569150261645</v>
      </c>
      <c r="J34" s="921">
        <f t="shared" si="101"/>
        <v>0.31648970193168735</v>
      </c>
      <c r="K34" s="921">
        <f t="shared" si="101"/>
        <v>0.29785056294779938</v>
      </c>
      <c r="L34" s="922">
        <f t="shared" si="101"/>
        <v>0.27577644355496256</v>
      </c>
      <c r="M34" s="920">
        <f t="shared" ref="M34:R34" si="102">M33/M41</f>
        <v>0.26498131255278057</v>
      </c>
      <c r="N34" s="921">
        <f t="shared" ref="N34" si="103">N33/N41</f>
        <v>0.26529277590799605</v>
      </c>
      <c r="O34" s="921">
        <f t="shared" si="102"/>
        <v>0.22834438565221415</v>
      </c>
      <c r="P34" s="921">
        <f t="shared" si="102"/>
        <v>0.26010560296807556</v>
      </c>
      <c r="Q34" s="920">
        <f t="shared" si="102"/>
        <v>0.27097360485769756</v>
      </c>
      <c r="R34" s="921">
        <f t="shared" si="102"/>
        <v>0.31500790909384385</v>
      </c>
      <c r="S34" s="921">
        <v>0.22</v>
      </c>
      <c r="T34" s="921">
        <v>0.25</v>
      </c>
      <c r="U34" s="920"/>
      <c r="V34" s="921"/>
      <c r="W34" s="921"/>
      <c r="X34" s="922"/>
      <c r="Y34" s="920"/>
      <c r="Z34" s="921"/>
      <c r="AA34" s="921"/>
      <c r="AB34" s="922"/>
      <c r="AC34" s="920"/>
      <c r="AD34" s="921"/>
      <c r="AE34" s="921"/>
      <c r="AF34" s="922"/>
      <c r="AG34" s="772"/>
      <c r="AH34" s="772"/>
    </row>
    <row r="35" spans="2:45">
      <c r="B35" s="914"/>
      <c r="C35" s="916" t="s">
        <v>253</v>
      </c>
      <c r="D35" s="916"/>
      <c r="E35" s="935">
        <f t="shared" ref="E35:L35" si="104">E7*E20</f>
        <v>859.00500000000011</v>
      </c>
      <c r="F35" s="934">
        <f t="shared" si="104"/>
        <v>892.70100000000002</v>
      </c>
      <c r="G35" s="934">
        <f t="shared" si="104"/>
        <v>776.69280000000003</v>
      </c>
      <c r="H35" s="936">
        <f t="shared" si="104"/>
        <v>741.6640000000001</v>
      </c>
      <c r="I35" s="935">
        <f t="shared" si="104"/>
        <v>808.08000000000015</v>
      </c>
      <c r="J35" s="934">
        <f t="shared" si="104"/>
        <v>694.21199999999999</v>
      </c>
      <c r="K35" s="934">
        <f t="shared" si="104"/>
        <v>654.5</v>
      </c>
      <c r="L35" s="936">
        <f t="shared" si="104"/>
        <v>648</v>
      </c>
      <c r="M35" s="935">
        <f>M7*M20</f>
        <v>616.9</v>
      </c>
      <c r="N35" s="934">
        <f>N7*N20</f>
        <v>364.00000000000006</v>
      </c>
      <c r="O35" s="934">
        <f t="shared" ref="O35:P35" si="105">O7*O20</f>
        <v>419.44</v>
      </c>
      <c r="P35" s="934">
        <f t="shared" si="105"/>
        <v>483</v>
      </c>
      <c r="Q35" s="935">
        <f>Q7*Q20</f>
        <v>662.4</v>
      </c>
      <c r="R35" s="934">
        <f>R7*R20</f>
        <v>705.024</v>
      </c>
      <c r="S35" s="934">
        <f>S36*$S$41</f>
        <v>890.58528057599995</v>
      </c>
      <c r="T35" s="934">
        <f>T36*$S$41</f>
        <v>712.4682244608</v>
      </c>
      <c r="U35" s="935"/>
      <c r="V35" s="934"/>
      <c r="W35" s="934"/>
      <c r="X35" s="936"/>
      <c r="Y35" s="935"/>
      <c r="Z35" s="934"/>
      <c r="AA35" s="934"/>
      <c r="AB35" s="936"/>
      <c r="AC35" s="935"/>
      <c r="AD35" s="934"/>
      <c r="AE35" s="934"/>
      <c r="AF35" s="936"/>
    </row>
    <row r="36" spans="2:45" s="923" customFormat="1">
      <c r="B36" s="918"/>
      <c r="C36" s="919"/>
      <c r="D36" s="919" t="s">
        <v>519</v>
      </c>
      <c r="E36" s="920">
        <f>E35/E41</f>
        <v>0.31139887244538411</v>
      </c>
      <c r="F36" s="921">
        <f t="shared" ref="F36:L36" si="106">F35/F41</f>
        <v>0.31936311496786818</v>
      </c>
      <c r="G36" s="921">
        <f t="shared" si="106"/>
        <v>0.28305040421153171</v>
      </c>
      <c r="H36" s="922">
        <f>H35/H41</f>
        <v>0.26031025349981085</v>
      </c>
      <c r="I36" s="920">
        <f t="shared" si="106"/>
        <v>0.25816097682531775</v>
      </c>
      <c r="J36" s="921">
        <f t="shared" si="106"/>
        <v>0.26119994882947423</v>
      </c>
      <c r="K36" s="921">
        <f t="shared" si="106"/>
        <v>0.27912828386216304</v>
      </c>
      <c r="L36" s="922">
        <f t="shared" si="106"/>
        <v>0.30020013342228147</v>
      </c>
      <c r="M36" s="920">
        <f t="shared" ref="M36:R36" si="107">M35/M41</f>
        <v>0.32237936772046588</v>
      </c>
      <c r="N36" s="921">
        <f t="shared" ref="N36" si="108">N35/N41</f>
        <v>0.23224283412821209</v>
      </c>
      <c r="O36" s="921">
        <f t="shared" si="107"/>
        <v>0.24652965023929138</v>
      </c>
      <c r="P36" s="921">
        <f t="shared" si="107"/>
        <v>0.2502759253213947</v>
      </c>
      <c r="Q36" s="920">
        <f t="shared" si="107"/>
        <v>0.27361724978313851</v>
      </c>
      <c r="R36" s="921">
        <f t="shared" si="107"/>
        <v>0.23707912322045388</v>
      </c>
      <c r="S36" s="921">
        <v>0.25</v>
      </c>
      <c r="T36" s="921">
        <v>0.2</v>
      </c>
      <c r="U36" s="920"/>
      <c r="V36" s="921"/>
      <c r="W36" s="921"/>
      <c r="X36" s="922"/>
      <c r="Y36" s="920"/>
      <c r="Z36" s="921"/>
      <c r="AA36" s="921"/>
      <c r="AB36" s="922"/>
      <c r="AC36" s="920"/>
      <c r="AD36" s="921"/>
      <c r="AE36" s="921"/>
      <c r="AF36" s="922"/>
      <c r="AG36" s="772"/>
      <c r="AH36" s="772"/>
    </row>
    <row r="37" spans="2:45">
      <c r="B37" s="914"/>
      <c r="C37" s="916" t="s">
        <v>520</v>
      </c>
      <c r="D37" s="916"/>
      <c r="E37" s="935">
        <f t="shared" ref="E37:L37" si="109">E9*E23</f>
        <v>297.67500000000007</v>
      </c>
      <c r="F37" s="934">
        <f t="shared" si="109"/>
        <v>314.46692307692308</v>
      </c>
      <c r="G37" s="934">
        <f t="shared" si="109"/>
        <v>412.77600000000001</v>
      </c>
      <c r="H37" s="936">
        <f t="shared" si="109"/>
        <v>474.32000000000005</v>
      </c>
      <c r="I37" s="935">
        <f t="shared" si="109"/>
        <v>524.16000000000008</v>
      </c>
      <c r="J37" s="934">
        <f t="shared" si="109"/>
        <v>565.48800000000006</v>
      </c>
      <c r="K37" s="934">
        <f t="shared" si="109"/>
        <v>500.5</v>
      </c>
      <c r="L37" s="936">
        <f t="shared" si="109"/>
        <v>467.28</v>
      </c>
      <c r="M37" s="935">
        <f t="shared" ref="M37:P37" si="110">M9*M23</f>
        <v>375.1</v>
      </c>
      <c r="N37" s="934">
        <f t="shared" ref="N37" si="111">N9*N23</f>
        <v>357.50000000000006</v>
      </c>
      <c r="O37" s="934">
        <f t="shared" si="110"/>
        <v>384</v>
      </c>
      <c r="P37" s="934">
        <f t="shared" si="110"/>
        <v>346.5</v>
      </c>
      <c r="Q37" s="935">
        <f t="shared" ref="Q37:R37" si="112">Q9*Q23</f>
        <v>432</v>
      </c>
      <c r="R37" s="934">
        <f t="shared" si="112"/>
        <v>540</v>
      </c>
      <c r="S37" s="934">
        <f>S38*$S$41</f>
        <v>1033.0789254681599</v>
      </c>
      <c r="T37" s="934">
        <f>T38*$S$41</f>
        <v>1068.7023366911999</v>
      </c>
      <c r="U37" s="935"/>
      <c r="V37" s="934"/>
      <c r="W37" s="934"/>
      <c r="X37" s="936"/>
      <c r="Y37" s="935"/>
      <c r="Z37" s="934"/>
      <c r="AA37" s="934"/>
      <c r="AB37" s="936"/>
      <c r="AC37" s="935"/>
      <c r="AD37" s="934"/>
      <c r="AE37" s="934"/>
      <c r="AF37" s="936"/>
    </row>
    <row r="38" spans="2:45" s="923" customFormat="1">
      <c r="B38" s="918"/>
      <c r="C38" s="919"/>
      <c r="D38" s="919" t="s">
        <v>519</v>
      </c>
      <c r="E38" s="920">
        <f>E37/E41</f>
        <v>0.10791050035236084</v>
      </c>
      <c r="F38" s="921">
        <f t="shared" ref="F38:L38" si="113">F37/F41</f>
        <v>0.1125003064947918</v>
      </c>
      <c r="G38" s="921">
        <f t="shared" si="113"/>
        <v>0.15042808900612858</v>
      </c>
      <c r="H38" s="922">
        <f>H37/H41</f>
        <v>0.1664774877033674</v>
      </c>
      <c r="I38" s="920">
        <f t="shared" si="113"/>
        <v>0.16745576875155746</v>
      </c>
      <c r="J38" s="921">
        <f t="shared" si="113"/>
        <v>0.21276704618139952</v>
      </c>
      <c r="K38" s="921">
        <f t="shared" si="113"/>
        <v>0.21345104060047765</v>
      </c>
      <c r="L38" s="922">
        <f t="shared" si="113"/>
        <v>0.21647765176784517</v>
      </c>
      <c r="M38" s="920">
        <f t="shared" ref="M38:R38" si="114">M37/M41</f>
        <v>0.19601961554862501</v>
      </c>
      <c r="N38" s="921">
        <f t="shared" ref="N38" si="115">N37/N41</f>
        <v>0.22809564066163687</v>
      </c>
      <c r="O38" s="921">
        <f t="shared" si="114"/>
        <v>0.22569946998828888</v>
      </c>
      <c r="P38" s="921">
        <f t="shared" si="114"/>
        <v>0.17954577251317444</v>
      </c>
      <c r="Q38" s="920">
        <f t="shared" si="114"/>
        <v>0.17844603246726423</v>
      </c>
      <c r="R38" s="921">
        <f t="shared" si="114"/>
        <v>0.18158633825096041</v>
      </c>
      <c r="S38" s="921">
        <v>0.28999999999999998</v>
      </c>
      <c r="T38" s="921">
        <v>0.3</v>
      </c>
      <c r="U38" s="920"/>
      <c r="V38" s="921"/>
      <c r="W38" s="921"/>
      <c r="X38" s="922"/>
      <c r="Y38" s="920"/>
      <c r="Z38" s="921"/>
      <c r="AA38" s="921"/>
      <c r="AB38" s="922"/>
      <c r="AC38" s="920"/>
      <c r="AD38" s="921"/>
      <c r="AE38" s="921"/>
      <c r="AF38" s="922"/>
      <c r="AG38" s="772"/>
      <c r="AH38" s="772"/>
    </row>
    <row r="39" spans="2:45">
      <c r="B39" s="914"/>
      <c r="C39" s="916" t="s">
        <v>530</v>
      </c>
      <c r="D39" s="916"/>
      <c r="E39" s="935">
        <f t="shared" ref="E39:L39" si="116">E26*E11</f>
        <v>575.58600000000001</v>
      </c>
      <c r="F39" s="934">
        <f t="shared" si="116"/>
        <v>575.58600000000001</v>
      </c>
      <c r="G39" s="934">
        <f t="shared" si="116"/>
        <v>563.16</v>
      </c>
      <c r="H39" s="936">
        <f t="shared" si="116"/>
        <v>585.19999999999993</v>
      </c>
      <c r="I39" s="935">
        <f t="shared" si="116"/>
        <v>666.9</v>
      </c>
      <c r="J39" s="934">
        <f t="shared" si="116"/>
        <v>556.92000000000007</v>
      </c>
      <c r="K39" s="934">
        <f t="shared" si="116"/>
        <v>491.4</v>
      </c>
      <c r="L39" s="936">
        <f t="shared" si="116"/>
        <v>448.00000000000006</v>
      </c>
      <c r="M39" s="935">
        <f t="shared" ref="M39:P39" si="117">M26*M11</f>
        <v>414.52</v>
      </c>
      <c r="N39" s="934">
        <f t="shared" ref="N39" si="118">N26*N11</f>
        <v>430.02499999999998</v>
      </c>
      <c r="O39" s="934">
        <f t="shared" si="117"/>
        <v>509.4375</v>
      </c>
      <c r="P39" s="934">
        <f t="shared" si="117"/>
        <v>598.40000000000009</v>
      </c>
      <c r="Q39" s="935">
        <f t="shared" ref="Q39:R39" si="119">Q26*Q11</f>
        <v>670.5</v>
      </c>
      <c r="R39" s="934">
        <f t="shared" si="119"/>
        <v>792</v>
      </c>
      <c r="S39" s="934">
        <f>S40*$S$41</f>
        <v>854.96186935295987</v>
      </c>
      <c r="T39" s="934">
        <f>T40*$S$41</f>
        <v>890.58528057599995</v>
      </c>
      <c r="U39" s="935"/>
      <c r="V39" s="934"/>
      <c r="W39" s="934"/>
      <c r="X39" s="936"/>
      <c r="Y39" s="935"/>
      <c r="Z39" s="934"/>
      <c r="AA39" s="934"/>
      <c r="AB39" s="936"/>
      <c r="AC39" s="935"/>
      <c r="AD39" s="934"/>
      <c r="AE39" s="934"/>
      <c r="AF39" s="936"/>
    </row>
    <row r="40" spans="2:45" s="923" customFormat="1">
      <c r="B40" s="918"/>
      <c r="C40" s="919"/>
      <c r="D40" s="919" t="s">
        <v>519</v>
      </c>
      <c r="E40" s="920">
        <f>E39/E41</f>
        <v>0.208656330749354</v>
      </c>
      <c r="F40" s="921">
        <f t="shared" ref="F40:L40" si="120">F39/F41</f>
        <v>0.20591546093473106</v>
      </c>
      <c r="G40" s="921">
        <f>G39/G41</f>
        <v>0.2052325779713243</v>
      </c>
      <c r="H40" s="922">
        <f>H39/H41</f>
        <v>0.20539430301064804</v>
      </c>
      <c r="I40" s="920">
        <f t="shared" si="120"/>
        <v>0.21305756292050831</v>
      </c>
      <c r="J40" s="921">
        <f t="shared" si="120"/>
        <v>0.20954330305743893</v>
      </c>
      <c r="K40" s="921">
        <f t="shared" si="120"/>
        <v>0.20957011258955985</v>
      </c>
      <c r="L40" s="922">
        <f t="shared" si="120"/>
        <v>0.20754577125491067</v>
      </c>
      <c r="M40" s="920">
        <f t="shared" ref="M40:R40" si="121">M39/M41</f>
        <v>0.21661970417812859</v>
      </c>
      <c r="N40" s="921">
        <f t="shared" ref="N40" si="122">N39/N41</f>
        <v>0.27436874930215488</v>
      </c>
      <c r="O40" s="921">
        <f t="shared" si="121"/>
        <v>0.29942649412020556</v>
      </c>
      <c r="P40" s="921">
        <f t="shared" si="121"/>
        <v>0.31007269919735531</v>
      </c>
      <c r="Q40" s="920">
        <f t="shared" si="121"/>
        <v>0.27696311289189968</v>
      </c>
      <c r="R40" s="921">
        <f t="shared" si="121"/>
        <v>0.26632662943474189</v>
      </c>
      <c r="S40" s="921">
        <v>0.24</v>
      </c>
      <c r="T40" s="921">
        <v>0.25</v>
      </c>
      <c r="U40" s="920"/>
      <c r="V40" s="921"/>
      <c r="W40" s="921"/>
      <c r="X40" s="922"/>
      <c r="Y40" s="920"/>
      <c r="Z40" s="921"/>
      <c r="AA40" s="921"/>
      <c r="AB40" s="922"/>
      <c r="AC40" s="920"/>
      <c r="AD40" s="921"/>
      <c r="AE40" s="921"/>
      <c r="AF40" s="922"/>
      <c r="AG40" s="772"/>
      <c r="AH40" s="772"/>
      <c r="AQ40" s="923" t="s">
        <v>415</v>
      </c>
      <c r="AR40" s="923">
        <v>17209.338155776211</v>
      </c>
      <c r="AS40" s="1396">
        <f>AR40/$AR$43</f>
        <v>0.64924948412735572</v>
      </c>
    </row>
    <row r="41" spans="2:45">
      <c r="B41" s="970"/>
      <c r="C41" s="963" t="s">
        <v>254</v>
      </c>
      <c r="D41" s="963"/>
      <c r="E41" s="971">
        <f>E33+E35+E37+E39</f>
        <v>2758.5360000000001</v>
      </c>
      <c r="F41" s="972">
        <f t="shared" ref="F41:N41" si="123">F33+F35+F37+F39</f>
        <v>2795.2539230769235</v>
      </c>
      <c r="G41" s="972">
        <f t="shared" si="123"/>
        <v>2744.0087999999996</v>
      </c>
      <c r="H41" s="973">
        <f t="shared" si="123"/>
        <v>2849.154</v>
      </c>
      <c r="I41" s="971">
        <f t="shared" si="123"/>
        <v>3130.1400000000003</v>
      </c>
      <c r="J41" s="972">
        <f t="shared" si="123"/>
        <v>2657.78</v>
      </c>
      <c r="K41" s="972">
        <f t="shared" si="123"/>
        <v>2344.8000000000002</v>
      </c>
      <c r="L41" s="973">
        <f t="shared" si="123"/>
        <v>2158.5600000000004</v>
      </c>
      <c r="M41" s="971">
        <f t="shared" si="123"/>
        <v>1913.5839999999998</v>
      </c>
      <c r="N41" s="972">
        <f t="shared" si="123"/>
        <v>1567.3250000000003</v>
      </c>
      <c r="O41" s="972">
        <f t="shared" ref="O41:R41" si="124">O33+O35+O37+O39</f>
        <v>1701.3775000000001</v>
      </c>
      <c r="P41" s="1194">
        <f t="shared" si="124"/>
        <v>1929.8700000000001</v>
      </c>
      <c r="Q41" s="971">
        <f t="shared" si="124"/>
        <v>2420.9</v>
      </c>
      <c r="R41" s="1194">
        <f t="shared" si="124"/>
        <v>2973.7919999999999</v>
      </c>
      <c r="S41" s="1194">
        <f t="shared" ref="S41" si="125">S28*S13</f>
        <v>3562.3411223039998</v>
      </c>
      <c r="T41" s="1194">
        <f>T28*T13</f>
        <v>4051.0845278460224</v>
      </c>
      <c r="U41" s="971">
        <f>U28*U13</f>
        <v>4557.8954577021996</v>
      </c>
      <c r="V41" s="1194">
        <f t="shared" ref="V41:X41" si="126">V28*V13</f>
        <v>5218.972614887326</v>
      </c>
      <c r="W41" s="1194">
        <f t="shared" si="126"/>
        <v>5375.5417933339459</v>
      </c>
      <c r="X41" s="973">
        <f t="shared" si="126"/>
        <v>5259.9676447772663</v>
      </c>
      <c r="Y41" s="971">
        <f t="shared" ref="Y41:AB41" si="127">Y28*Y13</f>
        <v>5087.4407060285721</v>
      </c>
      <c r="Z41" s="1194">
        <f t="shared" si="127"/>
        <v>4454.0543381280158</v>
      </c>
      <c r="AA41" s="1194">
        <f t="shared" si="127"/>
        <v>4358.2921698582632</v>
      </c>
      <c r="AB41" s="973">
        <f t="shared" si="127"/>
        <v>4264.5888882063109</v>
      </c>
      <c r="AC41" s="971">
        <f t="shared" ref="AC41:AF41" si="128">AC28*AC13</f>
        <v>4060.7415393500492</v>
      </c>
      <c r="AD41" s="1194">
        <f t="shared" si="128"/>
        <v>3927.5492168593673</v>
      </c>
      <c r="AE41" s="1194">
        <f t="shared" si="128"/>
        <v>3798.7256025463798</v>
      </c>
      <c r="AF41" s="973">
        <f t="shared" si="128"/>
        <v>3713.634149049341</v>
      </c>
      <c r="AI41" s="1118">
        <f>SUM(E41:H41)</f>
        <v>11146.952723076924</v>
      </c>
      <c r="AJ41" s="1118">
        <f>SUM(I41:L41)</f>
        <v>10291.280000000001</v>
      </c>
      <c r="AK41" s="1118">
        <f>SUM(M41:P41)</f>
        <v>7112.1565000000001</v>
      </c>
      <c r="AL41" s="1118">
        <f>SUM(Q41:T41)</f>
        <v>13008.117650150021</v>
      </c>
      <c r="AM41" s="1118">
        <f>SUM(U41:X41)</f>
        <v>20412.377510700735</v>
      </c>
      <c r="AN41" s="1118">
        <f>SUM(Y41:AB41)</f>
        <v>18164.376102221162</v>
      </c>
      <c r="AO41" s="1118">
        <f>SUM(AC41:AF41)</f>
        <v>15500.650507805138</v>
      </c>
      <c r="AQ41" s="1067" t="s">
        <v>410</v>
      </c>
      <c r="AR41" s="772">
        <v>8337.1721711545288</v>
      </c>
      <c r="AS41" s="1396">
        <f t="shared" ref="AS41:AS42" si="129">AR41/$AR$43</f>
        <v>0.31453299843412136</v>
      </c>
    </row>
    <row r="42" spans="2:45">
      <c r="B42" s="970"/>
      <c r="C42" s="963"/>
      <c r="D42" s="919" t="s">
        <v>521</v>
      </c>
      <c r="E42" s="920"/>
      <c r="F42" s="921">
        <f t="shared" ref="F42" si="130">F41/E41-1</f>
        <v>1.3310655752516443E-2</v>
      </c>
      <c r="G42" s="921">
        <f t="shared" ref="G42" si="131">G41/F41-1</f>
        <v>-1.833290444701885E-2</v>
      </c>
      <c r="H42" s="922">
        <f>H41/G41-1</f>
        <v>3.8318098688313373E-2</v>
      </c>
      <c r="I42" s="920">
        <f t="shared" ref="I42" si="132">I41/H41-1</f>
        <v>9.8620853769224137E-2</v>
      </c>
      <c r="J42" s="921">
        <f t="shared" ref="J42" si="133">J41/I41-1</f>
        <v>-0.15090698818583193</v>
      </c>
      <c r="K42" s="921">
        <f t="shared" ref="K42" si="134">K41/J41-1</f>
        <v>-0.11775993498333193</v>
      </c>
      <c r="L42" s="922">
        <f t="shared" ref="L42" si="135">L41/K41-1</f>
        <v>-7.9426816786079768E-2</v>
      </c>
      <c r="M42" s="920">
        <f t="shared" ref="M42" si="136">M41/L41-1</f>
        <v>-0.1134904751315694</v>
      </c>
      <c r="N42" s="921">
        <f t="shared" ref="N42" si="137">N41/M41-1</f>
        <v>-0.18094789672154432</v>
      </c>
      <c r="O42" s="921">
        <f t="shared" ref="O42" si="138">O41/N41-1</f>
        <v>8.5529484950472856E-2</v>
      </c>
      <c r="P42" s="921">
        <f t="shared" ref="P42:R42" si="139">P41/O41-1</f>
        <v>0.13429853163098726</v>
      </c>
      <c r="Q42" s="920">
        <f t="shared" si="139"/>
        <v>0.2544368273510651</v>
      </c>
      <c r="R42" s="921">
        <f t="shared" si="139"/>
        <v>0.22838283283076533</v>
      </c>
      <c r="S42" s="921">
        <f t="shared" ref="S42" si="140">S41/R41-1</f>
        <v>0.19791199999999987</v>
      </c>
      <c r="T42" s="921">
        <f t="shared" ref="T42" si="141">T41/S41-1</f>
        <v>0.13719725000000005</v>
      </c>
      <c r="U42" s="920">
        <f t="shared" ref="U42" si="142">U41/T41-1</f>
        <v>0.12510500000000002</v>
      </c>
      <c r="V42" s="921">
        <f t="shared" ref="V42" si="143">V41/U41-1</f>
        <v>0.14503999999999984</v>
      </c>
      <c r="W42" s="921">
        <f t="shared" ref="W42" si="144">W41/V41-1</f>
        <v>3.0000000000000027E-2</v>
      </c>
      <c r="X42" s="922">
        <f t="shared" ref="X42" si="145">X41/W41-1</f>
        <v>-2.1499999999999964E-2</v>
      </c>
      <c r="Y42" s="920">
        <f t="shared" ref="Y42" si="146">Y41/X41-1</f>
        <v>-3.279999999999994E-2</v>
      </c>
      <c r="Z42" s="921">
        <f t="shared" ref="Z42" si="147">Z41/Y41-1</f>
        <v>-0.12449999999999983</v>
      </c>
      <c r="AA42" s="921">
        <f t="shared" ref="AA42" si="148">AA41/Z41-1</f>
        <v>-2.1500000000000075E-2</v>
      </c>
      <c r="AB42" s="922">
        <f t="shared" ref="AB42" si="149">AB41/AA41-1</f>
        <v>-2.1499999999999853E-2</v>
      </c>
      <c r="AC42" s="920">
        <f t="shared" ref="AC42" si="150">AC41/AB41-1</f>
        <v>-4.7800000000000065E-2</v>
      </c>
      <c r="AD42" s="921">
        <f t="shared" ref="AD42" si="151">AD41/AC41-1</f>
        <v>-3.2800000000000051E-2</v>
      </c>
      <c r="AE42" s="921">
        <f t="shared" ref="AE42" si="152">AE41/AD41-1</f>
        <v>-3.2800000000000051E-2</v>
      </c>
      <c r="AF42" s="922">
        <f t="shared" ref="AF42" si="153">AF41/AE41-1</f>
        <v>-2.2399999999999975E-2</v>
      </c>
      <c r="AI42" s="924"/>
      <c r="AJ42" s="924"/>
      <c r="AK42" s="924"/>
      <c r="AL42" s="924"/>
      <c r="AM42" s="924"/>
      <c r="AN42" s="924"/>
      <c r="AO42" s="924"/>
      <c r="AQ42" s="1067" t="s">
        <v>409</v>
      </c>
      <c r="AR42" s="772">
        <v>960</v>
      </c>
      <c r="AS42" s="1396">
        <f t="shared" si="129"/>
        <v>3.6217517438522848E-2</v>
      </c>
    </row>
    <row r="43" spans="2:45">
      <c r="B43" s="970"/>
      <c r="C43" s="963"/>
      <c r="D43" s="916" t="s">
        <v>522</v>
      </c>
      <c r="E43" s="920"/>
      <c r="F43" s="921"/>
      <c r="G43" s="921"/>
      <c r="H43" s="922"/>
      <c r="I43" s="920">
        <f t="shared" ref="I43" si="154">I41/E41-1</f>
        <v>0.1347105856149784</v>
      </c>
      <c r="J43" s="921">
        <f t="shared" ref="J43" si="155">J41/F41-1</f>
        <v>-4.9181193143840174E-2</v>
      </c>
      <c r="K43" s="921">
        <f t="shared" ref="K43" si="156">K41/G41-1</f>
        <v>-0.14548378999367617</v>
      </c>
      <c r="L43" s="922">
        <f t="shared" ref="L43" si="157">L41/H41-1</f>
        <v>-0.24238563447254857</v>
      </c>
      <c r="M43" s="920">
        <f t="shared" ref="M43" si="158">M41/I41-1</f>
        <v>-0.38865865424549717</v>
      </c>
      <c r="N43" s="921">
        <f t="shared" ref="N43" si="159">N41/J41-1</f>
        <v>-0.41028790945826965</v>
      </c>
      <c r="O43" s="921">
        <f t="shared" ref="O43" si="160">O41/K41-1</f>
        <v>-0.27440400034118051</v>
      </c>
      <c r="P43" s="921">
        <f t="shared" ref="P43:R43" si="161">P41/L41-1</f>
        <v>-0.10594563042028027</v>
      </c>
      <c r="Q43" s="920">
        <f t="shared" si="161"/>
        <v>0.26511300261707893</v>
      </c>
      <c r="R43" s="921">
        <f t="shared" si="161"/>
        <v>0.89736780820825257</v>
      </c>
      <c r="S43" s="921">
        <f t="shared" ref="S43" si="162">S41/O41-1</f>
        <v>1.0937981854726537</v>
      </c>
      <c r="T43" s="921">
        <f t="shared" ref="T43" si="163">T41/P41-1</f>
        <v>1.0991489208319845</v>
      </c>
      <c r="U43" s="920">
        <f t="shared" ref="U43" si="164">U41/Q41-1</f>
        <v>0.88272768710074745</v>
      </c>
      <c r="V43" s="921">
        <f t="shared" ref="V43" si="165">V41/R41-1</f>
        <v>0.75498912327672074</v>
      </c>
      <c r="W43" s="921">
        <f t="shared" ref="W43" si="166">W41/S41-1</f>
        <v>0.50899130902355316</v>
      </c>
      <c r="X43" s="922">
        <f t="shared" ref="X43" si="167">X41/T41-1</f>
        <v>0.29840974895036609</v>
      </c>
      <c r="Y43" s="920">
        <f t="shared" ref="Y43" si="168">Y41/U41-1</f>
        <v>0.1161819645142399</v>
      </c>
      <c r="Z43" s="921">
        <f t="shared" ref="Z43" si="169">Z41/V41-1</f>
        <v>-0.14656491482199974</v>
      </c>
      <c r="AA43" s="921">
        <f t="shared" ref="AA43" si="170">AA41/W41-1</f>
        <v>-0.18923666908089987</v>
      </c>
      <c r="AB43" s="922">
        <f t="shared" ref="AB43" si="171">AB41/X41-1</f>
        <v>-0.18923666908089976</v>
      </c>
      <c r="AC43" s="920">
        <f t="shared" ref="AC43" si="172">AC41/Y41-1</f>
        <v>-0.20181054207902482</v>
      </c>
      <c r="AD43" s="921">
        <f t="shared" ref="AD43" si="173">AD41/Z41-1</f>
        <v>-0.11820805973596005</v>
      </c>
      <c r="AE43" s="921">
        <f t="shared" ref="AE43" si="174">AE41/AA41-1</f>
        <v>-0.12839124719123207</v>
      </c>
      <c r="AF43" s="922">
        <f t="shared" ref="AF43" si="175">AF41/AB41-1</f>
        <v>-0.12919293127659526</v>
      </c>
      <c r="AI43" s="924"/>
      <c r="AJ43" s="1071">
        <f>AJ41/AI41-1</f>
        <v>-7.676292744163804E-2</v>
      </c>
      <c r="AK43" s="1071">
        <f>AK41/AJ41-1</f>
        <v>-0.30891429443179086</v>
      </c>
      <c r="AL43" s="1071">
        <f t="shared" ref="AL43" si="176">AL41/AK41-1</f>
        <v>0.82899766760616433</v>
      </c>
      <c r="AM43" s="1071">
        <f t="shared" ref="AM43:AO43" si="177">AM41/AL41-1</f>
        <v>0.56920302073569595</v>
      </c>
      <c r="AN43" s="1071">
        <f t="shared" si="177"/>
        <v>-0.11012932752694327</v>
      </c>
      <c r="AO43" s="1071">
        <f t="shared" si="177"/>
        <v>-0.14664558691285301</v>
      </c>
      <c r="AR43" s="772">
        <f>SUM(AR40:AR42)</f>
        <v>26506.51032693074</v>
      </c>
    </row>
    <row r="44" spans="2:45">
      <c r="B44" s="940"/>
      <c r="C44" s="941"/>
      <c r="D44" s="1015" t="s">
        <v>529</v>
      </c>
      <c r="E44" s="1016">
        <v>2794</v>
      </c>
      <c r="F44" s="1017">
        <v>2785</v>
      </c>
      <c r="G44" s="1017">
        <v>2729</v>
      </c>
      <c r="H44" s="1018">
        <f>11164-E44-F44-G44</f>
        <v>2856</v>
      </c>
      <c r="I44" s="1017">
        <v>3110</v>
      </c>
      <c r="J44" s="1017">
        <f>0.65*IS!CG7</f>
        <v>2707.9</v>
      </c>
      <c r="K44" s="1017">
        <f>0.61*IS!CH7</f>
        <v>2350.33</v>
      </c>
      <c r="L44" s="1018">
        <f>0.6*IS!CI7</f>
        <v>2160</v>
      </c>
      <c r="M44" s="1017">
        <f>0.58*IS!CJ7</f>
        <v>1942.9999999999998</v>
      </c>
      <c r="N44" s="1017">
        <f>0.54*IS!CK7</f>
        <v>1584.3600000000001</v>
      </c>
      <c r="O44" s="1017">
        <f>0.6*IS!CL7</f>
        <v>1738.8</v>
      </c>
      <c r="P44" s="1017">
        <f>0.6*IS!CM7</f>
        <v>1930.1999999999998</v>
      </c>
      <c r="Q44" s="1016">
        <f>0.61*IS!CN7</f>
        <v>2421.6999999999998</v>
      </c>
      <c r="R44" s="1017">
        <f>0.64*IS!CO7</f>
        <v>2974.7200000000003</v>
      </c>
      <c r="S44" s="1017">
        <f>0.64*IS!CP7</f>
        <v>3562.2400000000002</v>
      </c>
      <c r="T44" s="1017">
        <f>0.66*IS!CQ7</f>
        <v>4051.0800000000004</v>
      </c>
      <c r="U44" s="1016">
        <f>U73*0.67</f>
        <v>4557.7443849731162</v>
      </c>
      <c r="V44" s="1017">
        <f>V74*0.71</f>
        <v>5219.21</v>
      </c>
      <c r="W44" s="1017"/>
      <c r="X44" s="1305"/>
      <c r="Y44" s="1016"/>
      <c r="Z44" s="1017"/>
      <c r="AA44" s="1017"/>
      <c r="AB44" s="1305"/>
      <c r="AC44" s="1016"/>
      <c r="AD44" s="1017"/>
      <c r="AE44" s="1017"/>
      <c r="AF44" s="1305"/>
    </row>
    <row r="45" spans="2:45">
      <c r="B45" s="774"/>
      <c r="C45" s="774"/>
      <c r="D45" s="916"/>
      <c r="E45" s="774"/>
      <c r="F45" s="937"/>
      <c r="G45" s="937"/>
      <c r="H45" s="937"/>
      <c r="I45" s="937"/>
      <c r="J45" s="937"/>
      <c r="K45" s="937"/>
      <c r="L45" s="937"/>
      <c r="M45" s="937"/>
      <c r="N45" s="937"/>
      <c r="O45" s="774"/>
      <c r="P45" s="937"/>
      <c r="Q45" s="774"/>
      <c r="R45" s="1369"/>
      <c r="S45" s="774"/>
      <c r="T45" s="1077"/>
      <c r="U45" s="1435"/>
      <c r="V45" s="774"/>
      <c r="W45" s="774"/>
      <c r="X45" s="1077"/>
      <c r="Y45" s="1186"/>
      <c r="Z45" s="1186"/>
      <c r="AA45" s="1186"/>
      <c r="AB45" s="1077"/>
      <c r="AC45" s="1186"/>
      <c r="AD45" s="1186"/>
      <c r="AE45" s="1186"/>
      <c r="AF45" s="1077"/>
    </row>
    <row r="46" spans="2:45">
      <c r="B46" s="978" t="s">
        <v>410</v>
      </c>
      <c r="C46" s="774"/>
      <c r="D46" s="774"/>
      <c r="E46" s="774"/>
      <c r="F46" s="1014"/>
      <c r="G46" s="1014"/>
      <c r="H46" s="1014"/>
      <c r="I46" s="1014"/>
      <c r="J46" s="1014"/>
      <c r="K46" s="774"/>
      <c r="L46" s="774"/>
      <c r="M46" s="1014"/>
      <c r="N46" s="1123"/>
      <c r="O46" s="1123"/>
      <c r="P46" s="774"/>
      <c r="Q46" s="1123"/>
      <c r="R46" s="1123"/>
      <c r="S46" s="1123"/>
      <c r="T46" s="1123"/>
      <c r="U46" s="1123"/>
      <c r="V46" s="1123"/>
      <c r="W46" s="1123"/>
      <c r="X46" s="1123"/>
      <c r="Y46" s="1123"/>
      <c r="Z46" s="1123"/>
      <c r="AA46" s="1123"/>
      <c r="AB46" s="1123"/>
      <c r="AC46" s="1123"/>
      <c r="AD46" s="1123"/>
      <c r="AE46" s="1123"/>
      <c r="AF46" s="1123"/>
    </row>
    <row r="47" spans="2:45">
      <c r="B47" s="942" t="s">
        <v>516</v>
      </c>
      <c r="C47" s="911"/>
      <c r="D47" s="911"/>
      <c r="E47" s="910"/>
      <c r="F47" s="911"/>
      <c r="G47" s="911"/>
      <c r="H47" s="912"/>
      <c r="I47" s="910"/>
      <c r="J47" s="911"/>
      <c r="K47" s="911"/>
      <c r="L47" s="912"/>
      <c r="M47" s="910"/>
      <c r="N47" s="911"/>
      <c r="O47" s="911"/>
      <c r="P47" s="911"/>
      <c r="Q47" s="1381" t="s">
        <v>252</v>
      </c>
      <c r="R47" s="911"/>
      <c r="S47" s="1362" t="s">
        <v>252</v>
      </c>
      <c r="T47" s="1361" t="s">
        <v>252</v>
      </c>
      <c r="U47" s="911"/>
      <c r="V47" s="911"/>
      <c r="W47" s="911"/>
      <c r="X47" s="912"/>
      <c r="Y47" s="911"/>
      <c r="Z47" s="911"/>
      <c r="AA47" s="911"/>
      <c r="AB47" s="912"/>
      <c r="AC47" s="911"/>
      <c r="AD47" s="911"/>
      <c r="AE47" s="911"/>
      <c r="AF47" s="912"/>
    </row>
    <row r="48" spans="2:45">
      <c r="B48" s="913"/>
      <c r="C48" s="774"/>
      <c r="D48" s="774"/>
      <c r="E48" s="914"/>
      <c r="F48" s="774"/>
      <c r="G48" s="774"/>
      <c r="H48" s="915"/>
      <c r="I48" s="914"/>
      <c r="J48" s="774"/>
      <c r="K48" s="774"/>
      <c r="L48" s="915"/>
      <c r="M48" s="914"/>
      <c r="N48" s="774"/>
      <c r="O48" s="774"/>
      <c r="P48" s="1186"/>
      <c r="Q48" s="914"/>
      <c r="R48" s="1186"/>
      <c r="S48" s="1186"/>
      <c r="T48" s="1187"/>
      <c r="U48" s="1186"/>
      <c r="V48" s="1020"/>
      <c r="W48" s="774"/>
      <c r="X48" s="915"/>
      <c r="Y48" s="1186"/>
      <c r="Z48" s="1186"/>
      <c r="AA48" s="1186"/>
      <c r="AB48" s="1187"/>
      <c r="AC48" s="1186"/>
      <c r="AD48" s="1186"/>
      <c r="AE48" s="1186"/>
      <c r="AF48" s="1187"/>
    </row>
    <row r="49" spans="2:41">
      <c r="B49" s="913" t="s">
        <v>517</v>
      </c>
      <c r="C49" s="774"/>
      <c r="D49" s="774"/>
      <c r="E49" s="1147"/>
      <c r="F49" s="1120"/>
      <c r="G49" s="1120">
        <f t="shared" ref="G49:L49" si="178">G50*G57</f>
        <v>107</v>
      </c>
      <c r="H49" s="1121">
        <f t="shared" si="178"/>
        <v>110.99999999999983</v>
      </c>
      <c r="I49" s="1119">
        <f t="shared" si="178"/>
        <v>107.99999999951173</v>
      </c>
      <c r="J49" s="1120">
        <f t="shared" si="178"/>
        <v>99.999999999999943</v>
      </c>
      <c r="K49" s="1120">
        <f t="shared" si="178"/>
        <v>100.99999999999997</v>
      </c>
      <c r="L49" s="1121">
        <f t="shared" si="178"/>
        <v>110.99999999999993</v>
      </c>
      <c r="M49" s="1119">
        <f>M50*M57</f>
        <v>80</v>
      </c>
      <c r="N49" s="1120">
        <f t="shared" ref="N49:T49" si="179">N50*N57</f>
        <v>70.400000000000006</v>
      </c>
      <c r="O49" s="1120">
        <f t="shared" si="179"/>
        <v>70</v>
      </c>
      <c r="P49" s="1120">
        <f t="shared" si="179"/>
        <v>63</v>
      </c>
      <c r="Q49" s="1119">
        <f>Q50*Q57</f>
        <v>66</v>
      </c>
      <c r="R49" s="1201">
        <f t="shared" ref="R49" si="180">R50*R57</f>
        <v>67.5</v>
      </c>
      <c r="S49" s="1120">
        <f t="shared" si="179"/>
        <v>63.000000000000007</v>
      </c>
      <c r="T49" s="1121">
        <f t="shared" si="179"/>
        <v>63.000000000000007</v>
      </c>
      <c r="U49" s="1120">
        <f t="shared" ref="U49:X49" si="181">U50*U57</f>
        <v>64.350000000000009</v>
      </c>
      <c r="V49" s="1120">
        <f t="shared" si="181"/>
        <v>61.75</v>
      </c>
      <c r="W49" s="1120">
        <f t="shared" si="181"/>
        <v>59.85</v>
      </c>
      <c r="X49" s="1121">
        <f t="shared" si="181"/>
        <v>57.605625000000011</v>
      </c>
      <c r="Y49" s="1120">
        <f t="shared" ref="Y49:AB49" si="182">Y50*Y57</f>
        <v>54.987187500000019</v>
      </c>
      <c r="Z49" s="1120">
        <f t="shared" si="182"/>
        <v>51.962892187500024</v>
      </c>
      <c r="AA49" s="1120">
        <f t="shared" si="182"/>
        <v>48.498699375000029</v>
      </c>
      <c r="AB49" s="1121">
        <f t="shared" si="182"/>
        <v>44.558180050781289</v>
      </c>
      <c r="AC49" s="1120">
        <f t="shared" ref="AC49:AF49" si="183">AC50*AC57</f>
        <v>40.10236204570316</v>
      </c>
      <c r="AD49" s="1120">
        <f t="shared" si="183"/>
        <v>35.089566789990272</v>
      </c>
      <c r="AE49" s="1120">
        <f t="shared" si="183"/>
        <v>29.475236103591833</v>
      </c>
      <c r="AF49" s="1121">
        <f t="shared" si="183"/>
        <v>23.211748431578574</v>
      </c>
    </row>
    <row r="50" spans="2:41">
      <c r="B50" s="914"/>
      <c r="C50" s="916" t="s">
        <v>526</v>
      </c>
      <c r="D50" s="774"/>
      <c r="E50" s="1094">
        <v>245.3176198653893</v>
      </c>
      <c r="F50" s="1094">
        <v>289.162029551986</v>
      </c>
      <c r="G50" s="1094">
        <v>298.34722277111547</v>
      </c>
      <c r="H50" s="1095">
        <v>310.160305521174</v>
      </c>
      <c r="I50" s="1094">
        <v>327.14673323287718</v>
      </c>
      <c r="J50" s="1094">
        <v>343.50406989452108</v>
      </c>
      <c r="K50" s="1094">
        <v>420.21257468668841</v>
      </c>
      <c r="L50" s="1096">
        <v>380</v>
      </c>
      <c r="M50" s="1094">
        <v>320</v>
      </c>
      <c r="N50" s="1094">
        <v>320</v>
      </c>
      <c r="O50" s="1094">
        <v>350</v>
      </c>
      <c r="P50" s="1094">
        <v>350</v>
      </c>
      <c r="Q50" s="1382">
        <v>400</v>
      </c>
      <c r="R50" s="1306">
        <v>450</v>
      </c>
      <c r="S50" s="1094">
        <v>450</v>
      </c>
      <c r="T50" s="1096">
        <v>450</v>
      </c>
      <c r="U50" s="1094">
        <f>T50*1.1</f>
        <v>495.00000000000006</v>
      </c>
      <c r="V50" s="1094">
        <v>475</v>
      </c>
      <c r="W50" s="1094">
        <f t="shared" ref="W50" si="184">V50*1.05</f>
        <v>498.75</v>
      </c>
      <c r="X50" s="1096">
        <f t="shared" ref="X50" si="185">W50*1.05</f>
        <v>523.6875</v>
      </c>
      <c r="Y50" s="1094">
        <f t="shared" ref="Y50" si="186">X50*1.05</f>
        <v>549.87187500000005</v>
      </c>
      <c r="Z50" s="1094">
        <f t="shared" ref="Z50" si="187">Y50*1.05</f>
        <v>577.3654687500001</v>
      </c>
      <c r="AA50" s="1094">
        <f t="shared" ref="AA50" si="188">Z50*1.05</f>
        <v>606.23374218750018</v>
      </c>
      <c r="AB50" s="1096">
        <f t="shared" ref="AB50" si="189">AA50*1.05</f>
        <v>636.54542929687523</v>
      </c>
      <c r="AC50" s="1094">
        <f t="shared" ref="AC50" si="190">AB50*1.05</f>
        <v>668.37270076171899</v>
      </c>
      <c r="AD50" s="1094">
        <f t="shared" ref="AD50" si="191">AC50*1.05</f>
        <v>701.79133579980498</v>
      </c>
      <c r="AE50" s="1094">
        <f t="shared" ref="AE50" si="192">AD50*1.05</f>
        <v>736.88090258979526</v>
      </c>
      <c r="AF50" s="1096">
        <f t="shared" ref="AF50" si="193">AE50*1.05</f>
        <v>773.72494771928507</v>
      </c>
    </row>
    <row r="51" spans="2:41">
      <c r="B51" s="914"/>
      <c r="C51" s="916" t="s">
        <v>527</v>
      </c>
      <c r="D51" s="774"/>
      <c r="E51" s="943">
        <f>E52-E50</f>
        <v>1611.4629206751513</v>
      </c>
      <c r="F51" s="944">
        <f t="shared" ref="F51:P51" si="194">F52-F50</f>
        <v>2117.6379704480141</v>
      </c>
      <c r="G51" s="944">
        <f t="shared" si="194"/>
        <v>1970.2447772288847</v>
      </c>
      <c r="H51" s="945">
        <f>H52-H50</f>
        <v>2247.2396944788261</v>
      </c>
      <c r="I51" s="943">
        <f t="shared" si="194"/>
        <v>2652.1632667671229</v>
      </c>
      <c r="J51" s="944">
        <f t="shared" si="194"/>
        <v>2993.3231301054793</v>
      </c>
      <c r="K51" s="944">
        <f t="shared" si="194"/>
        <v>2849.7874253133114</v>
      </c>
      <c r="L51" s="945">
        <f t="shared" si="194"/>
        <v>2693.8</v>
      </c>
      <c r="M51" s="943">
        <f t="shared" si="194"/>
        <v>2907</v>
      </c>
      <c r="N51" s="944">
        <f t="shared" si="194"/>
        <v>3245.835</v>
      </c>
      <c r="O51" s="944">
        <f t="shared" si="194"/>
        <v>2874</v>
      </c>
      <c r="P51" s="1189">
        <f t="shared" si="194"/>
        <v>3278</v>
      </c>
      <c r="Q51" s="1119">
        <f t="shared" ref="Q51:T51" si="195">Q52-Q50</f>
        <v>4150</v>
      </c>
      <c r="R51" s="1307">
        <f t="shared" si="195"/>
        <v>4850</v>
      </c>
      <c r="S51" s="1120">
        <f t="shared" si="195"/>
        <v>5751</v>
      </c>
      <c r="T51" s="1121">
        <f t="shared" si="195"/>
        <v>5930.8289999999997</v>
      </c>
      <c r="U51" s="1120">
        <f>U52-U50</f>
        <v>6141.0621599999995</v>
      </c>
      <c r="V51" s="1120">
        <f t="shared" ref="V51:X51" si="196">V52-V50</f>
        <v>7023.7502407999991</v>
      </c>
      <c r="W51" s="1120">
        <f t="shared" si="196"/>
        <v>8049.8252745120008</v>
      </c>
      <c r="X51" s="1121">
        <f t="shared" si="196"/>
        <v>9734.6028294143998</v>
      </c>
      <c r="Y51" s="1120">
        <f t="shared" ref="Y51:AB51" si="197">Y52-Y50</f>
        <v>10529.081680767551</v>
      </c>
      <c r="Z51" s="1120">
        <f t="shared" si="197"/>
        <v>11055.535764805929</v>
      </c>
      <c r="AA51" s="1120">
        <f t="shared" si="197"/>
        <v>11608.312553046226</v>
      </c>
      <c r="AB51" s="1121">
        <f t="shared" si="197"/>
        <v>13043.746421364898</v>
      </c>
      <c r="AC51" s="1120">
        <f t="shared" ref="AC51:AF51" si="198">AC52-AC50</f>
        <v>14379.948334966233</v>
      </c>
      <c r="AD51" s="1120">
        <f t="shared" si="198"/>
        <v>15851.361803500942</v>
      </c>
      <c r="AE51" s="1120">
        <f t="shared" si="198"/>
        <v>17471.58755064103</v>
      </c>
      <c r="AF51" s="1121">
        <f t="shared" si="198"/>
        <v>19255.590350834624</v>
      </c>
      <c r="AM51" s="1067" t="s">
        <v>252</v>
      </c>
      <c r="AN51" s="1067" t="s">
        <v>252</v>
      </c>
      <c r="AO51" s="1067" t="s">
        <v>252</v>
      </c>
    </row>
    <row r="52" spans="2:41">
      <c r="B52" s="914"/>
      <c r="C52" s="916" t="s">
        <v>255</v>
      </c>
      <c r="D52" s="774"/>
      <c r="E52" s="1094">
        <v>1856.7805405405406</v>
      </c>
      <c r="F52" s="1094">
        <v>2406.8000000000002</v>
      </c>
      <c r="G52" s="1094">
        <v>2268.5920000000001</v>
      </c>
      <c r="H52" s="1095">
        <v>2557.4</v>
      </c>
      <c r="I52" s="1094">
        <v>2979.31</v>
      </c>
      <c r="J52" s="1094">
        <v>3336.8272000000006</v>
      </c>
      <c r="K52" s="1094">
        <v>3270</v>
      </c>
      <c r="L52" s="1096">
        <v>3073.8</v>
      </c>
      <c r="M52" s="1094">
        <v>3227</v>
      </c>
      <c r="N52" s="1094">
        <f>M52*1.105</f>
        <v>3565.835</v>
      </c>
      <c r="O52" s="1094">
        <v>3224</v>
      </c>
      <c r="P52" s="1094">
        <v>3628</v>
      </c>
      <c r="Q52" s="1382">
        <v>4550</v>
      </c>
      <c r="R52" s="1306">
        <v>5300</v>
      </c>
      <c r="S52" s="1085">
        <f t="shared" ref="S52:T52" si="199">R52*(1+S53)</f>
        <v>6201</v>
      </c>
      <c r="T52" s="1086">
        <f t="shared" si="199"/>
        <v>6380.8289999999997</v>
      </c>
      <c r="U52" s="1085">
        <f>T52*(1+U53)</f>
        <v>6636.0621599999995</v>
      </c>
      <c r="V52" s="1085">
        <f t="shared" ref="V52" si="200">U52*(1+V53)</f>
        <v>7498.7502407999991</v>
      </c>
      <c r="W52" s="1085">
        <f t="shared" ref="W52" si="201">V52*(1+W53)</f>
        <v>8548.5752745120008</v>
      </c>
      <c r="X52" s="1086">
        <f t="shared" ref="X52" si="202">W52*(1+X53)</f>
        <v>10258.2903294144</v>
      </c>
      <c r="Y52" s="1085">
        <f t="shared" ref="Y52" si="203">X52*(1+Y53)</f>
        <v>11078.953555767552</v>
      </c>
      <c r="Z52" s="1085">
        <f t="shared" ref="Z52" si="204">Y52*(1+Z53)</f>
        <v>11632.901233555929</v>
      </c>
      <c r="AA52" s="1085">
        <f t="shared" ref="AA52" si="205">Z52*(1+AA53)</f>
        <v>12214.546295233726</v>
      </c>
      <c r="AB52" s="1086">
        <f t="shared" ref="AB52" si="206">AA52*(1+AB53)</f>
        <v>13680.291850661773</v>
      </c>
      <c r="AC52" s="1085">
        <f t="shared" ref="AC52" si="207">AB52*(1+AC53)</f>
        <v>15048.321035727951</v>
      </c>
      <c r="AD52" s="1085">
        <f t="shared" ref="AD52" si="208">AC52*(1+AD53)</f>
        <v>16553.153139300746</v>
      </c>
      <c r="AE52" s="1085">
        <f t="shared" ref="AE52" si="209">AD52*(1+AE53)</f>
        <v>18208.468453230824</v>
      </c>
      <c r="AF52" s="1086">
        <f t="shared" ref="AF52" si="210">AE52*(1+AF53)</f>
        <v>20029.315298553909</v>
      </c>
      <c r="AI52" s="1118">
        <f>SUM(E52:H52)</f>
        <v>9089.572540540541</v>
      </c>
      <c r="AJ52" s="1118">
        <f>SUM(I52:L52)</f>
        <v>12659.9372</v>
      </c>
      <c r="AK52" s="1118">
        <f>SUM(M52:P52)</f>
        <v>13644.834999999999</v>
      </c>
      <c r="AL52" s="1118">
        <f>SUM(Q52:T52)</f>
        <v>22431.828999999998</v>
      </c>
      <c r="AM52" s="1118">
        <f>SUM(U52:X52)</f>
        <v>32941.678004726396</v>
      </c>
      <c r="AN52" s="1118">
        <f>SUM(Y52:AB52)</f>
        <v>48606.692935218976</v>
      </c>
      <c r="AO52" s="1118">
        <f>SUM(AC52:AF52)</f>
        <v>69839.257926813429</v>
      </c>
    </row>
    <row r="53" spans="2:41">
      <c r="B53" s="914"/>
      <c r="C53" s="916"/>
      <c r="D53" s="916" t="s">
        <v>521</v>
      </c>
      <c r="E53" s="930"/>
      <c r="F53" s="931">
        <f>F52/E52-1</f>
        <v>0.29622211534990539</v>
      </c>
      <c r="G53" s="931">
        <f t="shared" ref="G53:R53" si="211">G52/F52-1</f>
        <v>-5.7423965431278035E-2</v>
      </c>
      <c r="H53" s="932">
        <f>H52/G52-1</f>
        <v>0.12730715791997849</v>
      </c>
      <c r="I53" s="930">
        <f t="shared" si="211"/>
        <v>0.16497614764995694</v>
      </c>
      <c r="J53" s="931">
        <f t="shared" si="211"/>
        <v>0.12000000000000033</v>
      </c>
      <c r="K53" s="931">
        <f t="shared" si="211"/>
        <v>-2.0027168323250466E-2</v>
      </c>
      <c r="L53" s="932">
        <f t="shared" si="211"/>
        <v>-5.9999999999999942E-2</v>
      </c>
      <c r="M53" s="930">
        <f t="shared" si="211"/>
        <v>4.9840588197019864E-2</v>
      </c>
      <c r="N53" s="931">
        <f t="shared" si="211"/>
        <v>0.10499999999999998</v>
      </c>
      <c r="O53" s="931">
        <f t="shared" si="211"/>
        <v>-9.5863942106126587E-2</v>
      </c>
      <c r="P53" s="931">
        <f t="shared" si="211"/>
        <v>0.12531017369727038</v>
      </c>
      <c r="Q53" s="930">
        <f t="shared" si="211"/>
        <v>0.25413450937155457</v>
      </c>
      <c r="R53" s="1032">
        <f t="shared" si="211"/>
        <v>0.16483516483516492</v>
      </c>
      <c r="S53" s="1107">
        <v>0.17</v>
      </c>
      <c r="T53" s="1108">
        <v>2.9000000000000001E-2</v>
      </c>
      <c r="U53" s="1107">
        <v>0.04</v>
      </c>
      <c r="V53" s="1107">
        <v>0.13</v>
      </c>
      <c r="W53" s="1107">
        <v>0.14000000000000001</v>
      </c>
      <c r="X53" s="1108">
        <v>0.2</v>
      </c>
      <c r="Y53" s="1107">
        <v>0.08</v>
      </c>
      <c r="Z53" s="1107">
        <v>0.05</v>
      </c>
      <c r="AA53" s="1107">
        <v>0.05</v>
      </c>
      <c r="AB53" s="1108">
        <v>0.12</v>
      </c>
      <c r="AC53" s="1107">
        <v>0.1</v>
      </c>
      <c r="AD53" s="1107">
        <v>0.1</v>
      </c>
      <c r="AE53" s="1107">
        <v>0.1</v>
      </c>
      <c r="AF53" s="1108">
        <v>0.1</v>
      </c>
      <c r="AI53" s="924"/>
      <c r="AJ53" s="924"/>
      <c r="AK53" s="924"/>
      <c r="AL53" s="924"/>
      <c r="AM53" s="924"/>
      <c r="AN53" s="924"/>
      <c r="AO53" s="924"/>
    </row>
    <row r="54" spans="2:41">
      <c r="B54" s="914"/>
      <c r="C54" s="916"/>
      <c r="D54" s="916" t="s">
        <v>522</v>
      </c>
      <c r="E54" s="914"/>
      <c r="F54" s="774"/>
      <c r="G54" s="774"/>
      <c r="H54" s="915"/>
      <c r="I54" s="958">
        <f>I52/E52-1</f>
        <v>0.60455688486086334</v>
      </c>
      <c r="J54" s="959">
        <f t="shared" ref="J54:R54" si="212">J52/F52-1</f>
        <v>0.38641648662124006</v>
      </c>
      <c r="K54" s="959">
        <f t="shared" si="212"/>
        <v>0.44142269742642126</v>
      </c>
      <c r="L54" s="960">
        <f t="shared" si="212"/>
        <v>0.20192382888871507</v>
      </c>
      <c r="M54" s="958">
        <f t="shared" si="212"/>
        <v>8.31366994371181E-2</v>
      </c>
      <c r="N54" s="959">
        <f t="shared" si="212"/>
        <v>6.8630404355370711E-2</v>
      </c>
      <c r="O54" s="959">
        <f t="shared" si="212"/>
        <v>-1.4067278287461793E-2</v>
      </c>
      <c r="P54" s="1193">
        <f t="shared" si="212"/>
        <v>0.1802980024725096</v>
      </c>
      <c r="Q54" s="958">
        <f t="shared" ref="Q54" si="213">Q52/M52-1</f>
        <v>0.40997830802603041</v>
      </c>
      <c r="R54" s="1308">
        <f t="shared" si="212"/>
        <v>0.48632788673620619</v>
      </c>
      <c r="S54" s="1193">
        <f t="shared" ref="S54" si="214">S52/O52-1</f>
        <v>0.92338709677419351</v>
      </c>
      <c r="T54" s="960">
        <f t="shared" ref="T54" si="215">T52/P52-1</f>
        <v>0.75877315325248063</v>
      </c>
      <c r="U54" s="1193">
        <f t="shared" ref="U54" si="216">U52/Q52-1</f>
        <v>0.45847519999999986</v>
      </c>
      <c r="V54" s="959">
        <f t="shared" ref="V54" si="217">V52/R52-1</f>
        <v>0.41485853599999989</v>
      </c>
      <c r="W54" s="959">
        <f t="shared" ref="W54" si="218">W52/S52-1</f>
        <v>0.37858011200000008</v>
      </c>
      <c r="X54" s="960">
        <f t="shared" ref="X54" si="219">X52/T52-1</f>
        <v>0.60767360000000004</v>
      </c>
      <c r="Y54" s="1193">
        <f t="shared" ref="Y54" si="220">Y52/U52-1</f>
        <v>0.66950720000000019</v>
      </c>
      <c r="Z54" s="1193">
        <f t="shared" ref="Z54" si="221">Z52/V52-1</f>
        <v>0.55131200000000002</v>
      </c>
      <c r="AA54" s="1193">
        <f t="shared" ref="AA54" si="222">AA52/W52-1</f>
        <v>0.42883999999999989</v>
      </c>
      <c r="AB54" s="960">
        <f t="shared" ref="AB54" si="223">AB52/X52-1</f>
        <v>0.3335840000000001</v>
      </c>
      <c r="AC54" s="1193">
        <f t="shared" ref="AC54" si="224">AC52/Y52-1</f>
        <v>0.35828000000000015</v>
      </c>
      <c r="AD54" s="1193">
        <f t="shared" ref="AD54" si="225">AD52/Z52-1</f>
        <v>0.42296000000000022</v>
      </c>
      <c r="AE54" s="1193">
        <f t="shared" ref="AE54" si="226">AE52/AA52-1</f>
        <v>0.49072000000000027</v>
      </c>
      <c r="AF54" s="960">
        <f t="shared" ref="AF54" si="227">AF52/AB52-1</f>
        <v>0.4641000000000004</v>
      </c>
      <c r="AI54" s="924"/>
      <c r="AJ54" s="1032">
        <f>AJ52/AI52-1</f>
        <v>0.39279786189451937</v>
      </c>
      <c r="AK54" s="1032">
        <f t="shared" ref="AK54:AO54" si="228">AK52/AJ52-1</f>
        <v>7.7796420664709043E-2</v>
      </c>
      <c r="AL54" s="1032">
        <f t="shared" si="228"/>
        <v>0.64397949846956748</v>
      </c>
      <c r="AM54" s="1388">
        <f t="shared" si="228"/>
        <v>0.46852394446865664</v>
      </c>
      <c r="AN54" s="1388">
        <f t="shared" si="228"/>
        <v>0.4755378559721517</v>
      </c>
      <c r="AO54" s="1388">
        <f t="shared" si="228"/>
        <v>0.43682389624598317</v>
      </c>
    </row>
    <row r="55" spans="2:41">
      <c r="B55" s="914"/>
      <c r="C55" s="774"/>
      <c r="D55" s="774"/>
      <c r="E55" s="914"/>
      <c r="F55" s="1019"/>
      <c r="G55" s="1136"/>
      <c r="H55" s="1144"/>
      <c r="I55" s="1145"/>
      <c r="J55" s="1136"/>
      <c r="K55" s="1136"/>
      <c r="L55" s="915"/>
      <c r="M55" s="914"/>
      <c r="N55" s="774"/>
      <c r="O55" s="774"/>
      <c r="P55" s="1186"/>
      <c r="Q55" s="914"/>
      <c r="R55" s="1199"/>
      <c r="S55" s="1206"/>
      <c r="T55" s="1187"/>
      <c r="U55" s="1186"/>
      <c r="V55" s="774"/>
      <c r="W55" s="774"/>
      <c r="X55" s="915"/>
      <c r="Y55" s="1186"/>
      <c r="Z55" s="1186"/>
      <c r="AA55" s="1186"/>
      <c r="AB55" s="1187"/>
      <c r="AC55" s="1186"/>
      <c r="AD55" s="1186"/>
      <c r="AE55" s="1186"/>
      <c r="AF55" s="1187"/>
    </row>
    <row r="56" spans="2:41">
      <c r="B56" s="913" t="s">
        <v>533</v>
      </c>
      <c r="C56" s="774"/>
      <c r="D56" s="774"/>
      <c r="E56" s="1097"/>
      <c r="F56" s="1098"/>
      <c r="G56" s="1098"/>
      <c r="H56" s="1099"/>
      <c r="I56" s="1097"/>
      <c r="J56" s="1098"/>
      <c r="K56" s="1098"/>
      <c r="L56" s="1099"/>
      <c r="M56" s="1097"/>
      <c r="N56" s="1098"/>
      <c r="O56" s="1098"/>
      <c r="P56" s="1098"/>
      <c r="Q56" s="1109"/>
      <c r="R56" s="1309"/>
      <c r="S56" s="1110"/>
      <c r="T56" s="1113"/>
      <c r="U56" s="1110"/>
      <c r="V56" s="1110"/>
      <c r="W56" s="1110"/>
      <c r="X56" s="1113"/>
      <c r="Y56" s="1110"/>
      <c r="Z56" s="1110"/>
      <c r="AA56" s="1110"/>
      <c r="AB56" s="1113"/>
      <c r="AC56" s="1110"/>
      <c r="AD56" s="1110"/>
      <c r="AE56" s="1110"/>
      <c r="AF56" s="1113"/>
      <c r="AI56" s="1122"/>
      <c r="AJ56" s="1122"/>
      <c r="AK56" s="1122"/>
      <c r="AL56" s="1122"/>
      <c r="AM56" s="1122"/>
      <c r="AN56" s="1122"/>
      <c r="AO56" s="1122"/>
    </row>
    <row r="57" spans="2:41">
      <c r="B57" s="914"/>
      <c r="C57" s="916" t="s">
        <v>534</v>
      </c>
      <c r="D57" s="774"/>
      <c r="E57" s="1097">
        <v>0.4117111524864</v>
      </c>
      <c r="F57" s="1098">
        <v>0.35965994622853042</v>
      </c>
      <c r="G57" s="1098">
        <v>0.35864252063806784</v>
      </c>
      <c r="H57" s="1099">
        <v>0.35787945144522076</v>
      </c>
      <c r="I57" s="1097">
        <v>0.33012709291714876</v>
      </c>
      <c r="J57" s="1098">
        <v>0.29111736588945419</v>
      </c>
      <c r="K57" s="1098">
        <v>0.24035453978336044</v>
      </c>
      <c r="L57" s="1099">
        <v>0.29210526315789453</v>
      </c>
      <c r="M57" s="1097">
        <v>0.25</v>
      </c>
      <c r="N57" s="1098">
        <v>0.22</v>
      </c>
      <c r="O57" s="1098">
        <v>0.2</v>
      </c>
      <c r="P57" s="1098">
        <v>0.18</v>
      </c>
      <c r="Q57" s="1097">
        <v>0.16500000000000001</v>
      </c>
      <c r="R57" s="1309">
        <v>0.15</v>
      </c>
      <c r="S57" s="1309">
        <v>0.14000000000000001</v>
      </c>
      <c r="T57" s="1113">
        <f t="shared" ref="T57" si="229">S57</f>
        <v>0.14000000000000001</v>
      </c>
      <c r="U57" s="1110">
        <f>T57-0.01</f>
        <v>0.13</v>
      </c>
      <c r="V57" s="1110">
        <v>0.13</v>
      </c>
      <c r="W57" s="1110">
        <f t="shared" ref="W57:X57" si="230">V57-0.01</f>
        <v>0.12000000000000001</v>
      </c>
      <c r="X57" s="1113">
        <f t="shared" si="230"/>
        <v>0.11000000000000001</v>
      </c>
      <c r="Y57" s="1110">
        <f t="shared" ref="Y57" si="231">X57-0.01</f>
        <v>0.10000000000000002</v>
      </c>
      <c r="Z57" s="1110">
        <f t="shared" ref="Z57" si="232">Y57-0.01</f>
        <v>9.0000000000000024E-2</v>
      </c>
      <c r="AA57" s="1110">
        <f t="shared" ref="AA57" si="233">Z57-0.01</f>
        <v>8.0000000000000029E-2</v>
      </c>
      <c r="AB57" s="1113">
        <f t="shared" ref="AB57" si="234">AA57-0.01</f>
        <v>7.0000000000000034E-2</v>
      </c>
      <c r="AC57" s="1110">
        <f t="shared" ref="AC57" si="235">AB57-0.01</f>
        <v>6.0000000000000032E-2</v>
      </c>
      <c r="AD57" s="1110">
        <f t="shared" ref="AD57" si="236">AC57-0.01</f>
        <v>5.0000000000000031E-2</v>
      </c>
      <c r="AE57" s="1110">
        <f t="shared" ref="AE57" si="237">AD57-0.01</f>
        <v>4.0000000000000029E-2</v>
      </c>
      <c r="AF57" s="1113">
        <f t="shared" ref="AF57" si="238">AE57-0.01</f>
        <v>3.0000000000000027E-2</v>
      </c>
    </row>
    <row r="58" spans="2:41">
      <c r="B58" s="914"/>
      <c r="C58" s="916" t="s">
        <v>233</v>
      </c>
      <c r="D58" s="774"/>
      <c r="E58" s="1097">
        <v>0.62380477649454547</v>
      </c>
      <c r="F58" s="1098">
        <v>0.50871279523130186</v>
      </c>
      <c r="G58" s="1098">
        <v>0.50871279523130186</v>
      </c>
      <c r="H58" s="1099">
        <v>0.47717260192696098</v>
      </c>
      <c r="I58" s="1097">
        <v>0.44854224581134339</v>
      </c>
      <c r="J58" s="1098">
        <v>0.40817344368832198</v>
      </c>
      <c r="K58" s="961">
        <f t="shared" ref="K58:P58" si="239">J58*(1+K59)</f>
        <v>0.43266385030962135</v>
      </c>
      <c r="L58" s="962">
        <f t="shared" si="239"/>
        <v>0.43050053105807323</v>
      </c>
      <c r="M58" s="961">
        <f t="shared" si="239"/>
        <v>0.39864349175977581</v>
      </c>
      <c r="N58" s="1110">
        <f t="shared" si="239"/>
        <v>0.33725239402877033</v>
      </c>
      <c r="O58" s="961">
        <f t="shared" si="239"/>
        <v>0.31566824081092903</v>
      </c>
      <c r="P58" s="961">
        <f t="shared" si="239"/>
        <v>0.31124888543957602</v>
      </c>
      <c r="Q58" s="1162">
        <f t="shared" ref="Q58" si="240">P58*(1+Q59)</f>
        <v>0.30689140104342194</v>
      </c>
      <c r="R58" s="1310">
        <f>Q58*(1+R59)</f>
        <v>0.2872503513766429</v>
      </c>
      <c r="S58" s="1110">
        <f t="shared" ref="S58" si="241">R58*(1+S59)</f>
        <v>0.29586786191794218</v>
      </c>
      <c r="T58" s="1113">
        <f t="shared" ref="T58" si="242">S58*(1+T59)</f>
        <v>0.3103653871519213</v>
      </c>
      <c r="U58" s="1110">
        <f t="shared" ref="U58" si="243">T58*(1+U59)</f>
        <v>0.29919223321445215</v>
      </c>
      <c r="V58" s="1110">
        <f t="shared" ref="V58" si="244">U58*(1+V59)</f>
        <v>0.26328916522871787</v>
      </c>
      <c r="W58" s="1110">
        <f t="shared" ref="W58" si="245">V58*(1+W59)</f>
        <v>0.24222603201042045</v>
      </c>
      <c r="X58" s="1113">
        <f t="shared" ref="X58" si="246">W58*(1+X59)</f>
        <v>0.2180034288093784</v>
      </c>
      <c r="Y58" s="1110">
        <f t="shared" ref="Y58" si="247">X58*(1+Y59)</f>
        <v>0.19620308592844057</v>
      </c>
      <c r="Z58" s="1110">
        <f t="shared" ref="Z58" si="248">Y58*(1+Z59)</f>
        <v>0.18443090077273414</v>
      </c>
      <c r="AA58" s="1110">
        <f t="shared" ref="AA58" si="249">Z58*(1+AA59)</f>
        <v>0.17336504672637007</v>
      </c>
      <c r="AB58" s="1113">
        <f t="shared" ref="AB58" si="250">AA58*(1+AB59)</f>
        <v>0.16296314392278785</v>
      </c>
      <c r="AC58" s="1110">
        <f t="shared" ref="AC58" si="251">AB58*(1+AC59)</f>
        <v>0.15481498672664845</v>
      </c>
      <c r="AD58" s="1110">
        <f t="shared" ref="AD58" si="252">AC58*(1+AD59)</f>
        <v>0.14862238725758251</v>
      </c>
      <c r="AE58" s="1110">
        <f t="shared" ref="AE58" si="253">AD58*(1+AE59)</f>
        <v>0.14416371563985503</v>
      </c>
      <c r="AF58" s="1113">
        <f t="shared" ref="AF58" si="254">AE58*(1+AF59)</f>
        <v>0.13983880417065939</v>
      </c>
      <c r="AI58" s="1122">
        <f>AVERAGE(E58:H58)</f>
        <v>0.5296007422210276</v>
      </c>
      <c r="AJ58" s="1122">
        <f>AVERAGE(I58:L58)</f>
        <v>0.42997001771683996</v>
      </c>
      <c r="AK58" s="1122">
        <f>AVERAGE(M58:P58)</f>
        <v>0.34070325300976284</v>
      </c>
      <c r="AL58" s="1122">
        <f>AVERAGE(Q58:T58)</f>
        <v>0.30009375037248209</v>
      </c>
      <c r="AM58" s="1122">
        <f>AVERAGE(U58:X58)</f>
        <v>0.2556777148157422</v>
      </c>
      <c r="AN58" s="1122">
        <f>AVERAGE(Y58:AB58)</f>
        <v>0.17924054433758316</v>
      </c>
      <c r="AO58" s="1122">
        <f>AVERAGE(AC58:AF58)</f>
        <v>0.14685997344868634</v>
      </c>
    </row>
    <row r="59" spans="2:41">
      <c r="B59" s="914"/>
      <c r="C59" s="916"/>
      <c r="D59" s="916" t="s">
        <v>521</v>
      </c>
      <c r="E59" s="949"/>
      <c r="F59" s="931">
        <f>F58/E58-1</f>
        <v>-0.1845</v>
      </c>
      <c r="G59" s="931">
        <f>G58/F58-1</f>
        <v>0</v>
      </c>
      <c r="H59" s="932">
        <f>H58/G58-1</f>
        <v>-6.2000000000000277E-2</v>
      </c>
      <c r="I59" s="930">
        <f>I58/H58-1</f>
        <v>-5.9999999999999831E-2</v>
      </c>
      <c r="J59" s="931">
        <f>J58/I58-1</f>
        <v>-9.0000000000001079E-2</v>
      </c>
      <c r="K59" s="1111">
        <v>0.06</v>
      </c>
      <c r="L59" s="1112">
        <v>-5.0000000000000001E-3</v>
      </c>
      <c r="M59" s="1106">
        <v>-7.3999999999999996E-2</v>
      </c>
      <c r="N59" s="1107">
        <v>-0.154</v>
      </c>
      <c r="O59" s="1111">
        <v>-6.4000000000000001E-2</v>
      </c>
      <c r="P59" s="1380">
        <v>-1.4E-2</v>
      </c>
      <c r="Q59" s="1106">
        <v>-1.4E-2</v>
      </c>
      <c r="R59" s="1072">
        <v>-6.4000000000000001E-2</v>
      </c>
      <c r="S59" s="1107">
        <v>0.03</v>
      </c>
      <c r="T59" s="1108">
        <v>4.9000000000000002E-2</v>
      </c>
      <c r="U59" s="1107">
        <v>-3.5999999999999997E-2</v>
      </c>
      <c r="V59" s="1107">
        <v>-0.12</v>
      </c>
      <c r="W59" s="1107">
        <v>-0.08</v>
      </c>
      <c r="X59" s="1108">
        <v>-0.1</v>
      </c>
      <c r="Y59" s="1107">
        <v>-0.1</v>
      </c>
      <c r="Z59" s="1107">
        <v>-0.06</v>
      </c>
      <c r="AA59" s="1107">
        <v>-0.06</v>
      </c>
      <c r="AB59" s="1107">
        <v>-0.06</v>
      </c>
      <c r="AC59" s="1107">
        <v>-0.05</v>
      </c>
      <c r="AD59" s="1107">
        <v>-0.04</v>
      </c>
      <c r="AE59" s="1107">
        <v>-0.03</v>
      </c>
      <c r="AF59" s="1108">
        <v>-0.03</v>
      </c>
      <c r="AJ59" s="1071">
        <f>AJ58/AI58-1</f>
        <v>-0.18812421615264086</v>
      </c>
      <c r="AK59" s="1071">
        <f t="shared" ref="AK59:AO59" si="255">AK58/AJ58-1</f>
        <v>-0.20761160320221306</v>
      </c>
      <c r="AL59" s="1071">
        <f t="shared" si="255"/>
        <v>-0.11919317552309106</v>
      </c>
      <c r="AM59" s="1387">
        <f t="shared" si="255"/>
        <v>-0.14800719942221341</v>
      </c>
      <c r="AN59" s="1387">
        <f t="shared" si="255"/>
        <v>-0.29895906466953748</v>
      </c>
      <c r="AO59" s="1387">
        <f t="shared" si="255"/>
        <v>-0.18065427667922596</v>
      </c>
    </row>
    <row r="60" spans="2:41">
      <c r="B60" s="914"/>
      <c r="C60" s="916" t="s">
        <v>255</v>
      </c>
      <c r="D60" s="774"/>
      <c r="E60" s="949">
        <f>E67/E52</f>
        <v>0.59578299260879009</v>
      </c>
      <c r="F60" s="950">
        <f t="shared" ref="F60:P60" si="256">F67/F52</f>
        <v>0.49080502378035157</v>
      </c>
      <c r="G60" s="950">
        <f t="shared" si="256"/>
        <v>0.48897674324602197</v>
      </c>
      <c r="H60" s="951">
        <f>H67/H52</f>
        <v>0.46270478304841256</v>
      </c>
      <c r="I60" s="949">
        <f t="shared" si="256"/>
        <v>0.43553952691531744</v>
      </c>
      <c r="J60" s="950">
        <f t="shared" si="256"/>
        <v>0.3961233024254478</v>
      </c>
      <c r="K60" s="950">
        <f t="shared" si="256"/>
        <v>0.40795107033639139</v>
      </c>
      <c r="L60" s="951">
        <f t="shared" si="256"/>
        <v>0.41339134965327529</v>
      </c>
      <c r="M60" s="949">
        <f t="shared" si="256"/>
        <v>0.3839035111700243</v>
      </c>
      <c r="N60" s="950">
        <f t="shared" si="256"/>
        <v>0.32673009950611115</v>
      </c>
      <c r="O60" s="950">
        <f t="shared" si="256"/>
        <v>0.30311120474274506</v>
      </c>
      <c r="P60" s="1191">
        <f t="shared" si="256"/>
        <v>0.2985870580129355</v>
      </c>
      <c r="Q60" s="949">
        <f t="shared" ref="Q60:T60" si="257">Q67/Q52</f>
        <v>0.29441743172092327</v>
      </c>
      <c r="R60" s="1311">
        <f t="shared" si="257"/>
        <v>0.27559701965598454</v>
      </c>
      <c r="S60" s="1191">
        <f t="shared" si="257"/>
        <v>0.28455669632157482</v>
      </c>
      <c r="T60" s="951">
        <f t="shared" si="257"/>
        <v>0.29835058089111027</v>
      </c>
      <c r="U60" s="1191">
        <f t="shared" ref="U60:X60" si="258">U67/U52</f>
        <v>0.28657177345655954</v>
      </c>
      <c r="V60" s="950">
        <f t="shared" si="258"/>
        <v>0.25484611119297146</v>
      </c>
      <c r="W60" s="950">
        <f t="shared" si="258"/>
        <v>0.235094991865409</v>
      </c>
      <c r="X60" s="951">
        <f t="shared" si="258"/>
        <v>0.21248983504196162</v>
      </c>
      <c r="Y60" s="1191">
        <f t="shared" ref="Y60:AB60" si="259">Y67/Y52</f>
        <v>0.19142832349496877</v>
      </c>
      <c r="Z60" s="1191">
        <f t="shared" si="259"/>
        <v>0.17974409563319901</v>
      </c>
      <c r="AA60" s="1191">
        <f t="shared" si="259"/>
        <v>0.1687311421753247</v>
      </c>
      <c r="AB60" s="951">
        <f t="shared" si="259"/>
        <v>0.15863755898621681</v>
      </c>
      <c r="AC60" s="1191">
        <f t="shared" ref="AC60:AF60" si="260">AC67/AC52</f>
        <v>0.15060376950176879</v>
      </c>
      <c r="AD60" s="1191">
        <f t="shared" si="260"/>
        <v>0.14444116955779943</v>
      </c>
      <c r="AE60" s="1191">
        <f t="shared" si="260"/>
        <v>0.13994830054357965</v>
      </c>
      <c r="AF60" s="951">
        <f t="shared" si="260"/>
        <v>0.1355957723072273</v>
      </c>
    </row>
    <row r="61" spans="2:41">
      <c r="B61" s="914"/>
      <c r="C61" s="916"/>
      <c r="D61" s="916" t="s">
        <v>521</v>
      </c>
      <c r="E61" s="958"/>
      <c r="F61" s="959">
        <f>F60/E60-1</f>
        <v>-0.17620168774668321</v>
      </c>
      <c r="G61" s="959">
        <f t="shared" ref="G61:R61" si="261">G60/F60-1</f>
        <v>-3.7250648337857628E-3</v>
      </c>
      <c r="H61" s="960">
        <f>H60/G60-1</f>
        <v>-5.3728445290067817E-2</v>
      </c>
      <c r="I61" s="958">
        <f t="shared" si="261"/>
        <v>-5.8709693801139773E-2</v>
      </c>
      <c r="J61" s="959">
        <f t="shared" si="261"/>
        <v>-9.0499764209766909E-2</v>
      </c>
      <c r="K61" s="959">
        <f t="shared" si="261"/>
        <v>2.9858803656645838E-2</v>
      </c>
      <c r="L61" s="960">
        <f t="shared" si="261"/>
        <v>1.33356172160497E-2</v>
      </c>
      <c r="M61" s="958">
        <f t="shared" si="261"/>
        <v>-7.1331532476389237E-2</v>
      </c>
      <c r="N61" s="959">
        <f t="shared" si="261"/>
        <v>-0.14892651408596269</v>
      </c>
      <c r="O61" s="959">
        <f t="shared" si="261"/>
        <v>-7.2288701895138141E-2</v>
      </c>
      <c r="P61" s="1193">
        <f t="shared" si="261"/>
        <v>-1.4925699410054061E-2</v>
      </c>
      <c r="Q61" s="958">
        <f>Q60/P60-1</f>
        <v>-1.3964524516771215E-2</v>
      </c>
      <c r="R61" s="1308">
        <f t="shared" si="261"/>
        <v>-6.392424509286021E-2</v>
      </c>
      <c r="S61" s="1193">
        <f t="shared" ref="S61" si="262">S60/R60-1</f>
        <v>3.2510063703788283E-2</v>
      </c>
      <c r="T61" s="960">
        <f t="shared" ref="T61" si="263">T60/S60-1</f>
        <v>4.8474995485423777E-2</v>
      </c>
      <c r="U61" s="1193">
        <f t="shared" ref="U61" si="264">U60/T60-1</f>
        <v>-3.9479753648777649E-2</v>
      </c>
      <c r="V61" s="959">
        <f t="shared" ref="V61" si="265">V60/U60-1</f>
        <v>-0.11070756160287809</v>
      </c>
      <c r="W61" s="959">
        <f t="shared" ref="W61" si="266">W60/V60-1</f>
        <v>-7.7502141331898811E-2</v>
      </c>
      <c r="X61" s="960">
        <f t="shared" ref="X61" si="267">X60/W60-1</f>
        <v>-9.6153289545141574E-2</v>
      </c>
      <c r="Y61" s="1193">
        <f t="shared" ref="Y61" si="268">Y60/X60-1</f>
        <v>-9.9117736821781155E-2</v>
      </c>
      <c r="Z61" s="1193">
        <f t="shared" ref="Z61" si="269">Z60/Y60-1</f>
        <v>-6.103709027194637E-2</v>
      </c>
      <c r="AA61" s="1193">
        <f t="shared" ref="AA61" si="270">AA60/Z60-1</f>
        <v>-6.1270182027832965E-2</v>
      </c>
      <c r="AB61" s="960">
        <f t="shared" ref="AB61" si="271">AB60/AA60-1</f>
        <v>-5.9820511252272945E-2</v>
      </c>
      <c r="AC61" s="1193">
        <f t="shared" ref="AC61" si="272">AC60/AB60-1</f>
        <v>-5.0642417443816257E-2</v>
      </c>
      <c r="AD61" s="1193">
        <f t="shared" ref="AD61" si="273">AD60/AC60-1</f>
        <v>-4.0919294147527929E-2</v>
      </c>
      <c r="AE61" s="1193">
        <f t="shared" ref="AE61" si="274">AE60/AD60-1</f>
        <v>-3.1105183016549298E-2</v>
      </c>
      <c r="AF61" s="960">
        <f t="shared" ref="AF61" si="275">AF60/AE60-1</f>
        <v>-3.1100972426578166E-2</v>
      </c>
    </row>
    <row r="62" spans="2:41">
      <c r="B62" s="914"/>
      <c r="C62" s="916"/>
      <c r="D62" s="916" t="s">
        <v>522</v>
      </c>
      <c r="E62" s="958"/>
      <c r="F62" s="959"/>
      <c r="G62" s="959"/>
      <c r="H62" s="960"/>
      <c r="I62" s="958">
        <f>I60/E60-1</f>
        <v>-0.26896280639332304</v>
      </c>
      <c r="J62" s="959">
        <f t="shared" ref="J62:R62" si="276">J60/F60-1</f>
        <v>-0.19291106807675296</v>
      </c>
      <c r="K62" s="959">
        <f t="shared" si="276"/>
        <v>-0.16570455349624602</v>
      </c>
      <c r="L62" s="960">
        <f t="shared" si="276"/>
        <v>-0.10657645047507025</v>
      </c>
      <c r="M62" s="958">
        <f t="shared" si="276"/>
        <v>-0.11855643989651665</v>
      </c>
      <c r="N62" s="959">
        <f t="shared" si="276"/>
        <v>-0.17518081489890835</v>
      </c>
      <c r="O62" s="959">
        <f t="shared" si="276"/>
        <v>-0.2569912747310521</v>
      </c>
      <c r="P62" s="1193">
        <f t="shared" si="276"/>
        <v>-0.27771333806725729</v>
      </c>
      <c r="Q62" s="958">
        <f t="shared" ref="Q62" si="277">Q60/M60-1</f>
        <v>-0.23309523576998281</v>
      </c>
      <c r="R62" s="1193">
        <f t="shared" si="276"/>
        <v>-0.15649944687501993</v>
      </c>
      <c r="S62" s="1193">
        <f t="shared" ref="S62" si="278">S60/O60-1</f>
        <v>-6.1213535266430363E-2</v>
      </c>
      <c r="T62" s="960">
        <f t="shared" ref="T62" si="279">T60/P60-1</f>
        <v>-7.9198717921313833E-4</v>
      </c>
      <c r="U62" s="1193">
        <f t="shared" ref="U62" si="280">U60/Q60-1</f>
        <v>-2.6648076571093027E-2</v>
      </c>
      <c r="V62" s="959">
        <f t="shared" ref="V62" si="281">V60/R60-1</f>
        <v>-7.5294386306918426E-2</v>
      </c>
      <c r="W62" s="959">
        <f t="shared" ref="W62" si="282">W60/S60-1</f>
        <v>-0.17382020910261631</v>
      </c>
      <c r="X62" s="960">
        <f t="shared" ref="X62" si="283">X60/T60-1</f>
        <v>-0.28778474502278728</v>
      </c>
      <c r="Y62" s="1193">
        <f t="shared" ref="Y62" si="284">Y60/U60-1</f>
        <v>-0.33200565713082431</v>
      </c>
      <c r="Z62" s="1193">
        <f t="shared" ref="Z62" si="285">Z60/V60-1</f>
        <v>-0.29469555257566638</v>
      </c>
      <c r="AA62" s="1193">
        <f t="shared" ref="AA62" si="286">AA60/W60-1</f>
        <v>-0.28228525483893485</v>
      </c>
      <c r="AB62" s="960">
        <f t="shared" ref="AB62" si="287">AB60/X60-1</f>
        <v>-0.25343459862496609</v>
      </c>
      <c r="AC62" s="1193">
        <f t="shared" ref="AC62" si="288">AC60/Y60-1</f>
        <v>-0.2132628716997198</v>
      </c>
      <c r="AD62" s="1193">
        <f t="shared" ref="AD62" si="289">AD60/Z60-1</f>
        <v>-0.1964065965618238</v>
      </c>
      <c r="AE62" s="1193">
        <f t="shared" ref="AE62" si="290">AE60/AA60-1</f>
        <v>-0.17058405022729861</v>
      </c>
      <c r="AF62" s="960">
        <f t="shared" ref="AF62" si="291">AF60/AB60-1</f>
        <v>-0.14524799061609039</v>
      </c>
    </row>
    <row r="63" spans="2:41">
      <c r="B63" s="914"/>
      <c r="C63" s="774"/>
      <c r="D63" s="774"/>
      <c r="E63" s="914"/>
      <c r="F63" s="774"/>
      <c r="G63" s="774"/>
      <c r="H63" s="915"/>
      <c r="I63" s="914"/>
      <c r="J63" s="774"/>
      <c r="K63" s="774"/>
      <c r="L63" s="915"/>
      <c r="M63" s="914"/>
      <c r="N63" s="774"/>
      <c r="O63" s="774"/>
      <c r="P63" s="1186"/>
      <c r="Q63" s="914"/>
      <c r="R63" s="1186"/>
      <c r="S63" s="1186"/>
      <c r="T63" s="1187"/>
      <c r="U63" s="1186"/>
      <c r="V63" s="774"/>
      <c r="W63" s="774"/>
      <c r="X63" s="915"/>
      <c r="Y63" s="1186"/>
      <c r="Z63" s="1186"/>
      <c r="AA63" s="1186"/>
      <c r="AB63" s="1187"/>
      <c r="AC63" s="1186"/>
      <c r="AD63" s="1186"/>
      <c r="AE63" s="1186"/>
      <c r="AF63" s="1187"/>
    </row>
    <row r="64" spans="2:41">
      <c r="B64" s="913" t="s">
        <v>528</v>
      </c>
      <c r="C64" s="774"/>
      <c r="D64" s="774"/>
      <c r="E64" s="914"/>
      <c r="F64" s="774"/>
      <c r="G64" s="774"/>
      <c r="H64" s="915"/>
      <c r="I64" s="914"/>
      <c r="J64" s="774"/>
      <c r="K64" s="774"/>
      <c r="L64" s="915"/>
      <c r="M64" s="914"/>
      <c r="N64" s="774"/>
      <c r="O64" s="774"/>
      <c r="P64" s="1186"/>
      <c r="Q64" s="914"/>
      <c r="R64" s="1186"/>
      <c r="S64" s="1186"/>
      <c r="T64" s="1187"/>
      <c r="U64" s="1186"/>
      <c r="V64" s="774"/>
      <c r="W64" s="774"/>
      <c r="X64" s="915"/>
      <c r="Y64" s="1186"/>
      <c r="Z64" s="1186"/>
      <c r="AA64" s="1186"/>
      <c r="AB64" s="1187"/>
      <c r="AC64" s="1186"/>
      <c r="AD64" s="1186"/>
      <c r="AE64" s="1186"/>
      <c r="AF64" s="1187"/>
    </row>
    <row r="65" spans="2:41">
      <c r="B65" s="914"/>
      <c r="C65" s="916" t="s">
        <v>526</v>
      </c>
      <c r="D65" s="774"/>
      <c r="E65" s="1102">
        <v>101</v>
      </c>
      <c r="F65" s="1103">
        <v>104</v>
      </c>
      <c r="G65" s="1103">
        <v>107</v>
      </c>
      <c r="H65" s="1103">
        <f>423-G65-F65-E65</f>
        <v>111</v>
      </c>
      <c r="I65" s="1102">
        <v>108</v>
      </c>
      <c r="J65" s="1103">
        <v>100</v>
      </c>
      <c r="K65" s="1103">
        <v>101</v>
      </c>
      <c r="L65" s="1103">
        <v>111</v>
      </c>
      <c r="M65" s="1204">
        <f t="shared" ref="M65:R65" si="292">M50*M57</f>
        <v>80</v>
      </c>
      <c r="N65" s="1204">
        <f t="shared" si="292"/>
        <v>70.400000000000006</v>
      </c>
      <c r="O65" s="1101">
        <f t="shared" si="292"/>
        <v>70</v>
      </c>
      <c r="P65" s="1204">
        <f t="shared" si="292"/>
        <v>63</v>
      </c>
      <c r="Q65" s="1100">
        <f>Q50*Q57</f>
        <v>66</v>
      </c>
      <c r="R65" s="1204">
        <f t="shared" si="292"/>
        <v>67.5</v>
      </c>
      <c r="S65" s="1204">
        <f t="shared" ref="S65:T65" si="293">S50*S57</f>
        <v>63.000000000000007</v>
      </c>
      <c r="T65" s="1205">
        <f t="shared" si="293"/>
        <v>63.000000000000007</v>
      </c>
      <c r="U65" s="1204">
        <f t="shared" ref="U65:X65" si="294">U50*U57</f>
        <v>64.350000000000009</v>
      </c>
      <c r="V65" s="1101">
        <f t="shared" si="294"/>
        <v>61.75</v>
      </c>
      <c r="W65" s="1101">
        <f t="shared" si="294"/>
        <v>59.85</v>
      </c>
      <c r="X65" s="1105">
        <f t="shared" si="294"/>
        <v>57.605625000000011</v>
      </c>
      <c r="Y65" s="1204">
        <f t="shared" ref="Y65:AB65" si="295">Y50*Y57</f>
        <v>54.987187500000019</v>
      </c>
      <c r="Z65" s="1204">
        <f t="shared" si="295"/>
        <v>51.962892187500024</v>
      </c>
      <c r="AA65" s="1204">
        <f t="shared" si="295"/>
        <v>48.498699375000029</v>
      </c>
      <c r="AB65" s="1205">
        <f t="shared" si="295"/>
        <v>44.558180050781289</v>
      </c>
      <c r="AC65" s="1204">
        <f t="shared" ref="AC65:AF65" si="296">AC50*AC57</f>
        <v>40.10236204570316</v>
      </c>
      <c r="AD65" s="1204">
        <f t="shared" si="296"/>
        <v>35.089566789990272</v>
      </c>
      <c r="AE65" s="1204">
        <f t="shared" si="296"/>
        <v>29.475236103591833</v>
      </c>
      <c r="AF65" s="1205">
        <f t="shared" si="296"/>
        <v>23.211748431578574</v>
      </c>
    </row>
    <row r="66" spans="2:41">
      <c r="B66" s="914"/>
      <c r="C66" s="916" t="s">
        <v>527</v>
      </c>
      <c r="D66" s="774"/>
      <c r="E66" s="933">
        <f>E51*E58</f>
        <v>1005.2382670610102</v>
      </c>
      <c r="F66" s="937">
        <f t="shared" ref="F66:P66" si="297">F51*F58</f>
        <v>1077.2695312345502</v>
      </c>
      <c r="G66" s="937">
        <f t="shared" si="297"/>
        <v>1002.2887279139795</v>
      </c>
      <c r="H66" s="938">
        <f>H51*H58</f>
        <v>1072.3212121680103</v>
      </c>
      <c r="I66" s="933">
        <f t="shared" si="297"/>
        <v>1189.6072679340743</v>
      </c>
      <c r="J66" s="937">
        <f t="shared" si="297"/>
        <v>1221.7950100870605</v>
      </c>
      <c r="K66" s="937">
        <f t="shared" si="297"/>
        <v>1232.9999999999998</v>
      </c>
      <c r="L66" s="938">
        <f t="shared" si="297"/>
        <v>1159.6823305642376</v>
      </c>
      <c r="M66" s="933">
        <f t="shared" si="297"/>
        <v>1158.8566305456684</v>
      </c>
      <c r="N66" s="937">
        <f t="shared" si="297"/>
        <v>1094.6656243723737</v>
      </c>
      <c r="O66" s="937">
        <f t="shared" si="297"/>
        <v>907.23052409061006</v>
      </c>
      <c r="P66" s="1188">
        <f t="shared" si="297"/>
        <v>1020.2738464709302</v>
      </c>
      <c r="Q66" s="933">
        <f t="shared" ref="Q66" si="298">Q51*Q58</f>
        <v>1273.599314330201</v>
      </c>
      <c r="R66" s="1188">
        <f>R51*R58</f>
        <v>1393.1642041767182</v>
      </c>
      <c r="S66" s="1204">
        <f t="shared" ref="S66:T66" si="299">S51*S58</f>
        <v>1701.5360738900854</v>
      </c>
      <c r="T66" s="1205">
        <f t="shared" si="299"/>
        <v>1840.7240387168422</v>
      </c>
      <c r="U66" s="1204">
        <f t="shared" ref="U66:X66" si="300">U51*U58</f>
        <v>1837.358101959167</v>
      </c>
      <c r="V66" s="1101">
        <f t="shared" si="300"/>
        <v>1849.277337675238</v>
      </c>
      <c r="W66" s="1101">
        <f t="shared" si="300"/>
        <v>1949.8772346222354</v>
      </c>
      <c r="X66" s="1105">
        <f t="shared" si="300"/>
        <v>2122.1767949098157</v>
      </c>
      <c r="Y66" s="1204">
        <f t="shared" ref="Y66:AB66" si="301">Y51*Y58</f>
        <v>2065.8383177592054</v>
      </c>
      <c r="Z66" s="1204">
        <f t="shared" si="301"/>
        <v>2038.9824196283357</v>
      </c>
      <c r="AA66" s="1204">
        <f t="shared" si="301"/>
        <v>2012.4756481731672</v>
      </c>
      <c r="AB66" s="1205">
        <f t="shared" si="301"/>
        <v>2125.649925357237</v>
      </c>
      <c r="AC66" s="1204">
        <f t="shared" ref="AC66:AF66" si="302">AC51*AC58</f>
        <v>2226.2315106076881</v>
      </c>
      <c r="AD66" s="1204">
        <f t="shared" si="302"/>
        <v>2355.8672325199686</v>
      </c>
      <c r="AE66" s="1204">
        <f t="shared" si="302"/>
        <v>2518.7689794274447</v>
      </c>
      <c r="AF66" s="1205">
        <f t="shared" si="302"/>
        <v>2692.6787282608016</v>
      </c>
    </row>
    <row r="67" spans="2:41">
      <c r="B67" s="970"/>
      <c r="C67" s="963" t="s">
        <v>255</v>
      </c>
      <c r="D67" s="963"/>
      <c r="E67" s="971">
        <f>E65+E66</f>
        <v>1106.2382670610102</v>
      </c>
      <c r="F67" s="972">
        <f t="shared" ref="F67:P67" si="303">F65+F66</f>
        <v>1181.2695312345502</v>
      </c>
      <c r="G67" s="972">
        <f t="shared" si="303"/>
        <v>1109.2887279139795</v>
      </c>
      <c r="H67" s="973">
        <f>H65+H66</f>
        <v>1183.3212121680103</v>
      </c>
      <c r="I67" s="971">
        <f t="shared" si="303"/>
        <v>1297.6072679340743</v>
      </c>
      <c r="J67" s="972">
        <f t="shared" si="303"/>
        <v>1321.7950100870605</v>
      </c>
      <c r="K67" s="972">
        <f t="shared" si="303"/>
        <v>1333.9999999999998</v>
      </c>
      <c r="L67" s="973">
        <f t="shared" si="303"/>
        <v>1270.6823305642376</v>
      </c>
      <c r="M67" s="971">
        <f t="shared" si="303"/>
        <v>1238.8566305456684</v>
      </c>
      <c r="N67" s="972">
        <f t="shared" si="303"/>
        <v>1165.0656243723738</v>
      </c>
      <c r="O67" s="972">
        <f t="shared" si="303"/>
        <v>977.23052409061006</v>
      </c>
      <c r="P67" s="1194">
        <f t="shared" si="303"/>
        <v>1083.27384647093</v>
      </c>
      <c r="Q67" s="971">
        <f t="shared" ref="Q67:R67" si="304">Q65+Q66</f>
        <v>1339.599314330201</v>
      </c>
      <c r="R67" s="1194">
        <f t="shared" si="304"/>
        <v>1460.6642041767182</v>
      </c>
      <c r="S67" s="1114">
        <f t="shared" ref="S67:T67" si="305">S65+S66</f>
        <v>1764.5360738900854</v>
      </c>
      <c r="T67" s="1115">
        <f t="shared" si="305"/>
        <v>1903.7240387168422</v>
      </c>
      <c r="U67" s="1114">
        <f t="shared" ref="U67:X67" si="306">U65+U66</f>
        <v>1901.7081019591669</v>
      </c>
      <c r="V67" s="1114">
        <f t="shared" si="306"/>
        <v>1911.027337675238</v>
      </c>
      <c r="W67" s="1114">
        <f t="shared" si="306"/>
        <v>2009.7272346222353</v>
      </c>
      <c r="X67" s="1115">
        <f t="shared" si="306"/>
        <v>2179.7824199098159</v>
      </c>
      <c r="Y67" s="1114">
        <f t="shared" ref="Y67:AB67" si="307">Y65+Y66</f>
        <v>2120.8255052592053</v>
      </c>
      <c r="Z67" s="1114">
        <f t="shared" si="307"/>
        <v>2090.9453118158358</v>
      </c>
      <c r="AA67" s="1114">
        <f t="shared" si="307"/>
        <v>2060.9743475481673</v>
      </c>
      <c r="AB67" s="1115">
        <f t="shared" si="307"/>
        <v>2170.2081054080181</v>
      </c>
      <c r="AC67" s="1114">
        <f t="shared" ref="AC67:AF67" si="308">AC65+AC66</f>
        <v>2266.3338726533912</v>
      </c>
      <c r="AD67" s="1114">
        <f t="shared" si="308"/>
        <v>2390.956799309959</v>
      </c>
      <c r="AE67" s="1114">
        <f t="shared" si="308"/>
        <v>2548.2442155310364</v>
      </c>
      <c r="AF67" s="1115">
        <f t="shared" si="308"/>
        <v>2715.8904766923802</v>
      </c>
      <c r="AI67" s="1118">
        <f>SUM(E67:H67)</f>
        <v>4580.1177383775503</v>
      </c>
      <c r="AJ67" s="1118">
        <f>SUM(I67:L67)</f>
        <v>5224.0846085853718</v>
      </c>
      <c r="AK67" s="1118">
        <f>SUM(M67:P67)</f>
        <v>4464.4266254795821</v>
      </c>
      <c r="AL67" s="1118">
        <f>SUM(Q67:T67)</f>
        <v>6468.5236311138469</v>
      </c>
      <c r="AM67" s="1118">
        <f>SUM(U67:X67)</f>
        <v>8002.2450941664556</v>
      </c>
      <c r="AN67" s="1118">
        <f>SUM(Y67:AB67)</f>
        <v>8442.9532700312266</v>
      </c>
      <c r="AO67" s="1118">
        <f>SUM(AC67:AF67)</f>
        <v>9921.4253641867672</v>
      </c>
    </row>
    <row r="68" spans="2:41">
      <c r="B68" s="970"/>
      <c r="C68" s="963"/>
      <c r="D68" s="919" t="s">
        <v>521</v>
      </c>
      <c r="E68" s="920"/>
      <c r="F68" s="921">
        <f t="shared" ref="F68" si="309">F67/E67-1</f>
        <v>6.7825590930675972E-2</v>
      </c>
      <c r="G68" s="921">
        <f t="shared" ref="G68" si="310">G67/F67-1</f>
        <v>-6.0935122270819209E-2</v>
      </c>
      <c r="H68" s="922">
        <f>H67/G67-1</f>
        <v>6.6738696960573218E-2</v>
      </c>
      <c r="I68" s="920">
        <f t="shared" ref="I68" si="311">I67/H67-1</f>
        <v>9.6580754735796415E-2</v>
      </c>
      <c r="J68" s="921">
        <f t="shared" ref="J68" si="312">J67/I67-1</f>
        <v>1.8640264085061364E-2</v>
      </c>
      <c r="K68" s="921">
        <f t="shared" ref="K68" si="313">K67/J67-1</f>
        <v>9.2336480466326254E-3</v>
      </c>
      <c r="L68" s="922">
        <f t="shared" ref="L68" si="314">L67/K67-1</f>
        <v>-4.7464519816913131E-2</v>
      </c>
      <c r="M68" s="920">
        <f t="shared" ref="M68" si="315">M67/L67-1</f>
        <v>-2.5046149814987428E-2</v>
      </c>
      <c r="N68" s="921">
        <f t="shared" ref="N68" si="316">N67/M67-1</f>
        <v>-5.9563798064988793E-2</v>
      </c>
      <c r="O68" s="921">
        <f t="shared" ref="O68" si="317">O67/N67-1</f>
        <v>-0.16122276406786218</v>
      </c>
      <c r="P68" s="921">
        <f t="shared" ref="P68:R68" si="318">P67/O67-1</f>
        <v>0.10851413230158946</v>
      </c>
      <c r="Q68" s="920">
        <f t="shared" si="318"/>
        <v>0.23662111726810675</v>
      </c>
      <c r="R68" s="921">
        <f t="shared" si="318"/>
        <v>9.0373956265459521E-2</v>
      </c>
      <c r="S68" s="921">
        <f t="shared" ref="S68" si="319">S67/R67-1</f>
        <v>0.20803677453343239</v>
      </c>
      <c r="T68" s="922">
        <f t="shared" ref="T68" si="320">T67/S67-1</f>
        <v>7.888077035450114E-2</v>
      </c>
      <c r="U68" s="921">
        <f t="shared" ref="U68" si="321">U67/T67-1</f>
        <v>-1.0589437947288172E-3</v>
      </c>
      <c r="V68" s="921">
        <f t="shared" ref="V68" si="322">V67/U67-1</f>
        <v>4.9004553887477265E-3</v>
      </c>
      <c r="W68" s="921">
        <f t="shared" ref="W68" si="323">W67/V67-1</f>
        <v>5.1647558881635636E-2</v>
      </c>
      <c r="X68" s="922">
        <f t="shared" ref="X68" si="324">X67/W67-1</f>
        <v>8.4616052545829934E-2</v>
      </c>
      <c r="Y68" s="921">
        <f t="shared" ref="Y68" si="325">Y67/X67-1</f>
        <v>-2.7047155767523701E-2</v>
      </c>
      <c r="Z68" s="921">
        <f t="shared" ref="Z68" si="326">Z67/Y67-1</f>
        <v>-1.4088944785543567E-2</v>
      </c>
      <c r="AA68" s="921">
        <f t="shared" ref="AA68" si="327">AA67/Z67-1</f>
        <v>-1.4333691129224668E-2</v>
      </c>
      <c r="AB68" s="922">
        <f t="shared" ref="AB68" si="328">AB67/AA67-1</f>
        <v>5.3001027397454159E-2</v>
      </c>
      <c r="AC68" s="921">
        <f t="shared" ref="AC68" si="329">AC67/AB67-1</f>
        <v>4.4293340811802251E-2</v>
      </c>
      <c r="AD68" s="921">
        <f t="shared" ref="AD68" si="330">AD67/AC67-1</f>
        <v>5.4988776437719267E-2</v>
      </c>
      <c r="AE68" s="921">
        <f t="shared" ref="AE68" si="331">AE67/AD67-1</f>
        <v>6.5784298681796027E-2</v>
      </c>
      <c r="AF68" s="922">
        <f t="shared" ref="AF68" si="332">AF67/AE67-1</f>
        <v>6.5788930330763939E-2</v>
      </c>
    </row>
    <row r="69" spans="2:41">
      <c r="B69" s="970"/>
      <c r="C69" s="963"/>
      <c r="D69" s="916" t="s">
        <v>522</v>
      </c>
      <c r="E69" s="920"/>
      <c r="F69" s="921"/>
      <c r="G69" s="921"/>
      <c r="H69" s="922"/>
      <c r="I69" s="920">
        <f t="shared" ref="I69" si="333">I67/E67-1</f>
        <v>0.17299076209095743</v>
      </c>
      <c r="J69" s="921">
        <f t="shared" ref="J69" si="334">J67/F67-1</f>
        <v>0.11896140138791744</v>
      </c>
      <c r="K69" s="921">
        <f t="shared" ref="K69" si="335">K67/G67-1</f>
        <v>0.20257239295002161</v>
      </c>
      <c r="L69" s="922">
        <f t="shared" ref="L69" si="336">L67/H67-1</f>
        <v>7.3827053464350145E-2</v>
      </c>
      <c r="M69" s="920">
        <f t="shared" ref="M69" si="337">M67/I67-1</f>
        <v>-4.5276131569410127E-2</v>
      </c>
      <c r="N69" s="921">
        <f t="shared" ref="N69" si="338">N67/J67-1</f>
        <v>-0.11857314070535319</v>
      </c>
      <c r="O69" s="921">
        <f t="shared" ref="O69" si="339">O67/K67-1</f>
        <v>-0.26744338523942257</v>
      </c>
      <c r="P69" s="921">
        <f t="shared" ref="P69:R69" si="340">P67/L67-1</f>
        <v>-0.1474864957082469</v>
      </c>
      <c r="Q69" s="920">
        <f t="shared" si="340"/>
        <v>8.1319081886141564E-2</v>
      </c>
      <c r="R69" s="921">
        <f t="shared" si="340"/>
        <v>0.2537183945870729</v>
      </c>
      <c r="S69" s="921">
        <f t="shared" ref="S69" si="341">S67/O67-1</f>
        <v>0.8056497728948091</v>
      </c>
      <c r="T69" s="922">
        <f t="shared" ref="T69" si="342">T67/P67-1</f>
        <v>0.75738022746396028</v>
      </c>
      <c r="U69" s="921">
        <f t="shared" ref="U69" si="343">U67/Q67-1</f>
        <v>0.41960964119335942</v>
      </c>
      <c r="V69" s="921">
        <f t="shared" ref="V69" si="344">V67/R67-1</f>
        <v>0.30832763082077475</v>
      </c>
      <c r="W69" s="921">
        <f t="shared" ref="W69" si="345">W67/S67-1</f>
        <v>0.13895502866745191</v>
      </c>
      <c r="X69" s="922">
        <f t="shared" ref="X69" si="346">X67/T67-1</f>
        <v>0.14500966294413331</v>
      </c>
      <c r="Y69" s="921">
        <f t="shared" ref="Y69" si="347">Y67/U67-1</f>
        <v>0.11522136497935742</v>
      </c>
      <c r="Z69" s="921">
        <f t="shared" ref="Z69" si="348">Z67/V67-1</f>
        <v>9.4147252942738069E-2</v>
      </c>
      <c r="AA69" s="921">
        <f t="shared" ref="AA69" si="349">AA67/W67-1</f>
        <v>2.5499536475936058E-2</v>
      </c>
      <c r="AB69" s="922">
        <f t="shared" ref="AB69" si="350">AB67/X67-1</f>
        <v>-4.3923257726767861E-3</v>
      </c>
      <c r="AC69" s="921">
        <f t="shared" ref="AC69" si="351">AC67/Y67-1</f>
        <v>6.8609306627704925E-2</v>
      </c>
      <c r="AD69" s="921">
        <f t="shared" ref="AD69" si="352">AD67/Z67-1</f>
        <v>0.14348126935638739</v>
      </c>
      <c r="AE69" s="921">
        <f t="shared" ref="AE69" si="353">AE67/AA67-1</f>
        <v>0.2364269446451619</v>
      </c>
      <c r="AF69" s="922">
        <f t="shared" ref="AF69" si="354">AF67/AB67-1</f>
        <v>0.25144241693898239</v>
      </c>
      <c r="AJ69" s="1032">
        <f>AJ67/AI67-1</f>
        <v>0.14060050570576355</v>
      </c>
      <c r="AK69" s="1032">
        <f t="shared" ref="AK69" si="355">AK67/AJ67-1</f>
        <v>-0.14541456351173021</v>
      </c>
      <c r="AL69" s="1032">
        <f t="shared" ref="AL69" si="356">AL67/AK67-1</f>
        <v>0.4489035600218827</v>
      </c>
      <c r="AM69" s="1032">
        <f t="shared" ref="AM69:AO69" si="357">AM67/AL67-1</f>
        <v>0.23710533508378173</v>
      </c>
      <c r="AN69" s="1032">
        <f t="shared" si="357"/>
        <v>5.5073066455567865E-2</v>
      </c>
      <c r="AO69" s="1032">
        <f t="shared" si="357"/>
        <v>0.17511314428370306</v>
      </c>
    </row>
    <row r="70" spans="2:41">
      <c r="B70" s="914"/>
      <c r="C70" s="916"/>
      <c r="D70" s="916" t="s">
        <v>529</v>
      </c>
      <c r="E70" s="967">
        <v>1058</v>
      </c>
      <c r="F70" s="969">
        <v>1154</v>
      </c>
      <c r="G70" s="969">
        <v>1097</v>
      </c>
      <c r="H70" s="969">
        <f>4468-E70-F70-G70</f>
        <v>1159</v>
      </c>
      <c r="I70" s="967">
        <v>1303</v>
      </c>
      <c r="J70" s="969">
        <f>0.32*IS!CG7</f>
        <v>1333.1200000000001</v>
      </c>
      <c r="K70" s="969">
        <f>0.35*IS!CH7</f>
        <v>1348.55</v>
      </c>
      <c r="L70" s="968">
        <f>0.36*IS!CI7</f>
        <v>1296</v>
      </c>
      <c r="M70" s="969">
        <f>0.34*IS!CJ7</f>
        <v>1139</v>
      </c>
      <c r="N70" s="969">
        <f>0.37*IS!CK7</f>
        <v>1085.58</v>
      </c>
      <c r="O70" s="969">
        <f>0.31*IS!CL7</f>
        <v>898.38</v>
      </c>
      <c r="P70" s="969">
        <f>0.314*IS!CM7</f>
        <v>1010.138</v>
      </c>
      <c r="Q70" s="967">
        <f>0.32*IS!CN7</f>
        <v>1270.4000000000001</v>
      </c>
      <c r="R70" s="969">
        <f>0.3*IS!CO7</f>
        <v>1394.3999999999999</v>
      </c>
      <c r="S70" s="969">
        <f>0.314*IS!CP7</f>
        <v>1747.7239999999999</v>
      </c>
      <c r="T70" s="1383">
        <f>0.3*IS!CQ7</f>
        <v>1841.3999999999999</v>
      </c>
      <c r="U70" s="969">
        <f>0.27*IS!CR7</f>
        <v>1836.8100000000002</v>
      </c>
      <c r="V70" s="969">
        <f>0.25*V74</f>
        <v>1837.75</v>
      </c>
      <c r="W70" s="969"/>
      <c r="X70" s="968"/>
      <c r="Y70" s="969"/>
      <c r="Z70" s="969"/>
      <c r="AA70" s="969"/>
      <c r="AB70" s="968"/>
      <c r="AC70" s="969"/>
      <c r="AD70" s="969"/>
      <c r="AE70" s="969"/>
      <c r="AF70" s="968"/>
    </row>
    <row r="71" spans="2:41">
      <c r="B71" s="914"/>
      <c r="C71" s="916"/>
      <c r="D71" s="774"/>
      <c r="E71" s="933"/>
      <c r="F71" s="937"/>
      <c r="G71" s="937"/>
      <c r="H71" s="938"/>
      <c r="I71" s="933"/>
      <c r="J71" s="937"/>
      <c r="K71" s="937"/>
      <c r="L71" s="938"/>
      <c r="M71" s="933"/>
      <c r="N71" s="937"/>
      <c r="O71" s="937"/>
      <c r="P71" s="1188"/>
      <c r="Q71" s="933"/>
      <c r="R71" s="1188"/>
      <c r="S71" s="1188"/>
      <c r="T71" s="938"/>
      <c r="U71" s="1188"/>
      <c r="V71" s="937"/>
      <c r="W71" s="937"/>
      <c r="X71" s="938"/>
      <c r="Y71" s="1188"/>
      <c r="Z71" s="1188"/>
      <c r="AA71" s="1188"/>
      <c r="AB71" s="938"/>
      <c r="AC71" s="1188"/>
      <c r="AD71" s="1188"/>
      <c r="AE71" s="1188"/>
      <c r="AF71" s="938"/>
    </row>
    <row r="72" spans="2:41">
      <c r="B72" s="913"/>
      <c r="C72" s="916" t="s">
        <v>531</v>
      </c>
      <c r="D72" s="774"/>
      <c r="E72" s="1102">
        <f>145+45</f>
        <v>190</v>
      </c>
      <c r="F72" s="1103">
        <f>116+52</f>
        <v>168</v>
      </c>
      <c r="G72" s="1103">
        <f>116+40</f>
        <v>156</v>
      </c>
      <c r="H72" s="1103">
        <f>505+221-E72-F72-G72</f>
        <v>212</v>
      </c>
      <c r="I72" s="1102">
        <v>160</v>
      </c>
      <c r="J72" s="1103">
        <f>0.03*IS!CG7</f>
        <v>124.97999999999999</v>
      </c>
      <c r="K72" s="1103">
        <v>130</v>
      </c>
      <c r="L72" s="1103">
        <f>0.04*IS!CI7</f>
        <v>144</v>
      </c>
      <c r="M72" s="1102">
        <f>0.064*IS!CK7</f>
        <v>187.77600000000001</v>
      </c>
      <c r="N72" s="1103">
        <f>0.075*IS!CK7</f>
        <v>220.04999999999998</v>
      </c>
      <c r="O72" s="1103">
        <f>0.085*IS!CL7</f>
        <v>246.33</v>
      </c>
      <c r="P72" s="1103">
        <f>0.086*IS!CM7</f>
        <v>276.66199999999998</v>
      </c>
      <c r="Q72" s="1102">
        <f>0.065*IS!CO7</f>
        <v>302.12</v>
      </c>
      <c r="R72" s="1103">
        <f>0.055*IS!CO7</f>
        <v>255.64000000000001</v>
      </c>
      <c r="S72" s="1103">
        <v>239</v>
      </c>
      <c r="T72" s="1104">
        <v>183</v>
      </c>
      <c r="U72" s="1359">
        <v>343</v>
      </c>
      <c r="V72" s="1359">
        <v>221</v>
      </c>
      <c r="W72" s="1359">
        <v>220</v>
      </c>
      <c r="X72" s="1360">
        <v>240</v>
      </c>
      <c r="Y72" s="1359">
        <v>240</v>
      </c>
      <c r="Z72" s="1359">
        <v>240</v>
      </c>
      <c r="AA72" s="1359">
        <v>240</v>
      </c>
      <c r="AB72" s="1360">
        <v>240</v>
      </c>
      <c r="AC72" s="1359">
        <v>240</v>
      </c>
      <c r="AD72" s="1359">
        <v>240</v>
      </c>
      <c r="AE72" s="1359">
        <v>240</v>
      </c>
      <c r="AF72" s="1360">
        <v>240</v>
      </c>
      <c r="AK72" s="1118">
        <f>SUM(M72:P72)</f>
        <v>930.81799999999998</v>
      </c>
      <c r="AL72" s="1118">
        <f>SUM(Q72:T72)</f>
        <v>979.76</v>
      </c>
      <c r="AM72" s="1118">
        <f>SUM(U72:X72)</f>
        <v>1024</v>
      </c>
      <c r="AN72" s="1118">
        <f>SUM(Y72:AB72)</f>
        <v>960</v>
      </c>
      <c r="AO72" s="1118">
        <f>SUM(AC72:AF72)</f>
        <v>960</v>
      </c>
    </row>
    <row r="73" spans="2:41">
      <c r="B73" s="970" t="s">
        <v>262</v>
      </c>
      <c r="C73" s="963"/>
      <c r="D73" s="963"/>
      <c r="E73" s="971">
        <f t="shared" ref="E73:P73" si="358">E41+E67+E72</f>
        <v>4054.7742670610105</v>
      </c>
      <c r="F73" s="972">
        <f t="shared" si="358"/>
        <v>4144.5234543114739</v>
      </c>
      <c r="G73" s="972">
        <f t="shared" si="358"/>
        <v>4009.2975279139791</v>
      </c>
      <c r="H73" s="973">
        <f>H41+H67+H72</f>
        <v>4244.4752121680103</v>
      </c>
      <c r="I73" s="971">
        <f t="shared" si="358"/>
        <v>4587.7472679340744</v>
      </c>
      <c r="J73" s="972">
        <f t="shared" si="358"/>
        <v>4104.5550100870605</v>
      </c>
      <c r="K73" s="972">
        <f t="shared" si="358"/>
        <v>3808.8</v>
      </c>
      <c r="L73" s="973">
        <f t="shared" si="358"/>
        <v>3573.2423305642378</v>
      </c>
      <c r="M73" s="971">
        <f t="shared" si="358"/>
        <v>3340.2166305456681</v>
      </c>
      <c r="N73" s="972">
        <f t="shared" si="358"/>
        <v>2952.4406243723743</v>
      </c>
      <c r="O73" s="972">
        <f t="shared" si="358"/>
        <v>2924.9380240906103</v>
      </c>
      <c r="P73" s="1194">
        <f t="shared" si="358"/>
        <v>3289.8058464709297</v>
      </c>
      <c r="Q73" s="971">
        <f>Q41+Q67+Q72</f>
        <v>4062.6193143302007</v>
      </c>
      <c r="R73" s="1194">
        <f>R41+R67+R72</f>
        <v>4690.0962041767189</v>
      </c>
      <c r="S73" s="1194">
        <f t="shared" ref="S73" si="359">S41+S67+S72</f>
        <v>5565.8771961940856</v>
      </c>
      <c r="T73" s="973">
        <f>T41+T67+T72</f>
        <v>6137.8085665628641</v>
      </c>
      <c r="U73" s="1194">
        <f>U41+U67+U72</f>
        <v>6802.6035596613665</v>
      </c>
      <c r="V73" s="972">
        <f t="shared" ref="V73:X73" si="360">V41+V67+V72</f>
        <v>7350.9999525625644</v>
      </c>
      <c r="W73" s="972">
        <f t="shared" si="360"/>
        <v>7605.2690279561812</v>
      </c>
      <c r="X73" s="973">
        <f t="shared" si="360"/>
        <v>7679.7500646870822</v>
      </c>
      <c r="Y73" s="1194">
        <f t="shared" ref="Y73:AB73" si="361">Y41+Y67+Y72</f>
        <v>7448.266211287777</v>
      </c>
      <c r="Z73" s="1194">
        <f t="shared" si="361"/>
        <v>6784.9996499438512</v>
      </c>
      <c r="AA73" s="1194">
        <f t="shared" si="361"/>
        <v>6659.2665174064305</v>
      </c>
      <c r="AB73" s="973">
        <f t="shared" si="361"/>
        <v>6674.796993614329</v>
      </c>
      <c r="AC73" s="1194">
        <f t="shared" ref="AC73:AF73" si="362">AC41+AC67+AC72</f>
        <v>6567.0754120034399</v>
      </c>
      <c r="AD73" s="1194">
        <f t="shared" si="362"/>
        <v>6558.5060161693264</v>
      </c>
      <c r="AE73" s="1194">
        <f t="shared" si="362"/>
        <v>6586.9698180774158</v>
      </c>
      <c r="AF73" s="973">
        <f t="shared" si="362"/>
        <v>6669.5246257417211</v>
      </c>
      <c r="AN73" s="1118">
        <f>SUM(Y73:AB73)</f>
        <v>27567.329372252389</v>
      </c>
      <c r="AO73" s="1118">
        <f>SUM(AC73:AF73)</f>
        <v>26382.075871991899</v>
      </c>
    </row>
    <row r="74" spans="2:41">
      <c r="B74" s="940"/>
      <c r="C74" s="1015"/>
      <c r="D74" s="1015" t="s">
        <v>529</v>
      </c>
      <c r="E74" s="1016">
        <f>IS!CB7</f>
        <v>4042</v>
      </c>
      <c r="F74" s="1017">
        <f>IS!CC7</f>
        <v>4107</v>
      </c>
      <c r="G74" s="1017">
        <f>IS!CD7</f>
        <v>3982</v>
      </c>
      <c r="H74" s="1017">
        <f>IS!CE7</f>
        <v>4227</v>
      </c>
      <c r="I74" s="1016">
        <f>IS!CF7</f>
        <v>4573</v>
      </c>
      <c r="J74" s="1017">
        <f>IS!CG7</f>
        <v>4166</v>
      </c>
      <c r="K74" s="1017">
        <f>IS!CH7</f>
        <v>3853</v>
      </c>
      <c r="L74" s="1018">
        <f>IS!CI7</f>
        <v>3600</v>
      </c>
      <c r="M74" s="1017">
        <f>IS!CJ7</f>
        <v>3350</v>
      </c>
      <c r="N74" s="1017">
        <f>IS!CK7</f>
        <v>2934</v>
      </c>
      <c r="O74" s="1017">
        <f>IS!CL7</f>
        <v>2898</v>
      </c>
      <c r="P74" s="1017">
        <f>IS!CM7</f>
        <v>3217</v>
      </c>
      <c r="Q74" s="1016">
        <f>IS!CN7</f>
        <v>3970</v>
      </c>
      <c r="R74" s="1017">
        <f>IS!CO7</f>
        <v>4648</v>
      </c>
      <c r="S74" s="1017">
        <f>IS!CP7</f>
        <v>5566</v>
      </c>
      <c r="T74" s="1305">
        <f>IS!CQ7</f>
        <v>6138</v>
      </c>
      <c r="U74" s="1017">
        <f>IS!CR7</f>
        <v>6803</v>
      </c>
      <c r="V74" s="1017">
        <f>IS!CS7</f>
        <v>7351</v>
      </c>
      <c r="W74" s="1017"/>
      <c r="X74" s="1018"/>
      <c r="Y74" s="1017"/>
      <c r="Z74" s="1017"/>
      <c r="AA74" s="1017"/>
      <c r="AB74" s="1018"/>
      <c r="AC74" s="1017"/>
      <c r="AD74" s="1017"/>
      <c r="AE74" s="1017"/>
      <c r="AF74" s="1018"/>
    </row>
    <row r="75" spans="2:41">
      <c r="B75" s="774"/>
      <c r="C75" s="774"/>
      <c r="D75" s="774"/>
      <c r="E75" s="774"/>
      <c r="F75" s="774"/>
      <c r="G75" s="774"/>
      <c r="H75" s="774"/>
      <c r="I75" s="774"/>
      <c r="L75" s="774"/>
      <c r="P75" s="774"/>
      <c r="Q75" s="774"/>
      <c r="R75" s="937"/>
      <c r="T75" s="774"/>
      <c r="U75" s="1435"/>
      <c r="V75" s="1448"/>
      <c r="X75" s="774"/>
      <c r="Y75" s="1186"/>
      <c r="AB75" s="1186"/>
      <c r="AC75" s="1186"/>
      <c r="AF75" s="1186"/>
    </row>
    <row r="76" spans="2:41">
      <c r="B76" s="774"/>
      <c r="C76" s="774"/>
      <c r="D76" s="774"/>
      <c r="E76" s="1014"/>
      <c r="F76" s="1014"/>
      <c r="G76" s="1014"/>
      <c r="H76" s="1014"/>
      <c r="I76" s="1014"/>
      <c r="J76" s="1014"/>
      <c r="K76" s="1014"/>
      <c r="L76" s="1014"/>
      <c r="M76" s="1014"/>
      <c r="N76" s="1014"/>
      <c r="O76" s="1014"/>
      <c r="P76" s="1014"/>
      <c r="Q76" s="1076"/>
      <c r="R76" s="1076"/>
      <c r="S76" s="1312"/>
      <c r="T76" s="1312"/>
      <c r="U76" s="1076"/>
      <c r="V76" s="1447"/>
      <c r="W76" s="1076"/>
      <c r="X76" s="1076"/>
      <c r="Y76" s="1076"/>
      <c r="Z76" s="1076"/>
      <c r="AA76" s="1076"/>
      <c r="AB76" s="1076"/>
      <c r="AC76" s="1076"/>
      <c r="AD76" s="1076"/>
      <c r="AE76" s="1076"/>
      <c r="AF76" s="1076"/>
    </row>
    <row r="77" spans="2:41">
      <c r="B77" s="774"/>
      <c r="C77" s="774"/>
      <c r="D77" s="774"/>
      <c r="E77" s="774"/>
      <c r="F77" s="774"/>
      <c r="G77" s="774"/>
      <c r="H77" s="774"/>
      <c r="I77" s="774"/>
      <c r="J77" s="774"/>
      <c r="K77" s="774"/>
      <c r="L77" s="1020"/>
      <c r="M77" s="937"/>
      <c r="N77" s="937"/>
      <c r="O77" s="937"/>
      <c r="P77" s="1020"/>
      <c r="Q77" s="774"/>
      <c r="R77" s="774"/>
      <c r="S77" s="774"/>
      <c r="T77" s="1020"/>
      <c r="U77" s="774"/>
      <c r="V77" s="774"/>
      <c r="W77" s="774"/>
      <c r="X77" s="1020"/>
      <c r="Y77" s="1186"/>
      <c r="Z77" s="1186"/>
      <c r="AA77" s="1186"/>
      <c r="AB77" s="1020"/>
      <c r="AC77" s="1186"/>
      <c r="AD77" s="1186"/>
      <c r="AE77" s="1186"/>
      <c r="AF77" s="1020"/>
    </row>
    <row r="78" spans="2:41">
      <c r="B78" s="774"/>
      <c r="C78" s="774"/>
      <c r="D78" s="774"/>
      <c r="E78" s="774"/>
      <c r="F78" s="774"/>
      <c r="G78" s="774"/>
      <c r="H78" s="774"/>
      <c r="I78" s="774"/>
      <c r="J78" s="774"/>
      <c r="K78" s="774"/>
      <c r="L78" s="774"/>
      <c r="M78" s="774"/>
      <c r="N78" s="774"/>
      <c r="O78" s="774"/>
      <c r="P78" s="774"/>
      <c r="Q78" s="774"/>
      <c r="R78" s="774"/>
      <c r="S78" s="774"/>
      <c r="T78" s="774"/>
      <c r="U78" s="774"/>
      <c r="V78" s="774"/>
      <c r="W78" s="774"/>
      <c r="X78" s="774"/>
      <c r="Y78" s="1186"/>
      <c r="Z78" s="1186"/>
      <c r="AA78" s="1186"/>
      <c r="AB78" s="1186"/>
      <c r="AC78" s="1186"/>
      <c r="AD78" s="1186"/>
      <c r="AE78" s="1186"/>
      <c r="AF78" s="1186"/>
    </row>
    <row r="80" spans="2:41">
      <c r="M80" s="1122"/>
    </row>
  </sheetData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rgb="FFFF0000"/>
  </sheetPr>
  <dimension ref="B1:AH5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J32" sqref="AJ32"/>
    </sheetView>
  </sheetViews>
  <sheetFormatPr defaultRowHeight="12.75" outlineLevelRow="1" outlineLevelCol="1"/>
  <cols>
    <col min="1" max="1" width="2.28515625" style="774" customWidth="1"/>
    <col min="2" max="2" width="3.140625" style="774" customWidth="1"/>
    <col min="3" max="3" width="28.85546875" style="774" customWidth="1"/>
    <col min="4" max="10" width="0" style="774" hidden="1" customWidth="1" outlineLevel="1"/>
    <col min="11" max="11" width="9.7109375" style="774" hidden="1" customWidth="1" outlineLevel="1"/>
    <col min="12" max="12" width="10.28515625" style="774" hidden="1" customWidth="1" outlineLevel="1"/>
    <col min="13" max="15" width="0" style="774" hidden="1" customWidth="1" outlineLevel="1"/>
    <col min="16" max="16" width="9.140625" style="774" collapsed="1"/>
    <col min="17" max="23" width="9.140625" style="774"/>
    <col min="24" max="24" width="10.42578125" style="1186" bestFit="1" customWidth="1"/>
    <col min="25" max="25" width="9.85546875" style="1186" bestFit="1" customWidth="1"/>
    <col min="26" max="31" width="9.140625" style="1186"/>
    <col min="32" max="16384" width="9.140625" style="774"/>
  </cols>
  <sheetData>
    <row r="1" spans="2:31">
      <c r="B1" s="611"/>
      <c r="C1" s="611"/>
      <c r="D1" s="955">
        <v>41608</v>
      </c>
      <c r="E1" s="955">
        <v>41698</v>
      </c>
      <c r="F1" s="955">
        <v>41790</v>
      </c>
      <c r="G1" s="955">
        <v>41882</v>
      </c>
      <c r="H1" s="955">
        <v>41973</v>
      </c>
      <c r="I1" s="955">
        <v>42063</v>
      </c>
      <c r="J1" s="955">
        <v>42155</v>
      </c>
      <c r="K1" s="955">
        <v>42247</v>
      </c>
      <c r="L1" s="955">
        <v>42338</v>
      </c>
      <c r="M1" s="955">
        <v>42429</v>
      </c>
      <c r="N1" s="955">
        <v>42521</v>
      </c>
      <c r="O1" s="955">
        <v>42613</v>
      </c>
      <c r="P1" s="955">
        <v>42704</v>
      </c>
      <c r="Q1" s="955">
        <v>42794</v>
      </c>
      <c r="R1" s="955">
        <v>42886</v>
      </c>
      <c r="S1" s="955">
        <v>42978</v>
      </c>
      <c r="T1" s="955">
        <v>43069</v>
      </c>
      <c r="U1" s="955">
        <v>43159</v>
      </c>
      <c r="V1" s="955">
        <v>43251</v>
      </c>
      <c r="W1" s="955">
        <v>43343</v>
      </c>
      <c r="X1" s="955">
        <v>43434</v>
      </c>
      <c r="Y1" s="955">
        <v>43524</v>
      </c>
      <c r="Z1" s="955">
        <v>43616</v>
      </c>
      <c r="AA1" s="955">
        <v>43708</v>
      </c>
      <c r="AB1" s="955">
        <v>43799</v>
      </c>
      <c r="AC1" s="955">
        <v>43889</v>
      </c>
      <c r="AD1" s="955">
        <v>43982</v>
      </c>
      <c r="AE1" s="955">
        <v>44074</v>
      </c>
    </row>
    <row r="2" spans="2:31">
      <c r="B2" s="611"/>
      <c r="C2" s="611"/>
      <c r="D2" s="610" t="s">
        <v>341</v>
      </c>
      <c r="E2" s="610" t="s">
        <v>214</v>
      </c>
      <c r="F2" s="610" t="s">
        <v>435</v>
      </c>
      <c r="G2" s="610" t="s">
        <v>538</v>
      </c>
      <c r="H2" s="610" t="s">
        <v>536</v>
      </c>
      <c r="I2" s="610" t="s">
        <v>537</v>
      </c>
      <c r="J2" s="610" t="s">
        <v>541</v>
      </c>
      <c r="K2" s="610" t="s">
        <v>546</v>
      </c>
      <c r="L2" s="610" t="s">
        <v>559</v>
      </c>
      <c r="M2" s="610" t="s">
        <v>563</v>
      </c>
      <c r="N2" s="610" t="s">
        <v>566</v>
      </c>
      <c r="O2" s="610" t="s">
        <v>582</v>
      </c>
      <c r="P2" s="610" t="s">
        <v>587</v>
      </c>
      <c r="Q2" s="610" t="s">
        <v>588</v>
      </c>
      <c r="R2" s="610" t="s">
        <v>550</v>
      </c>
      <c r="S2" s="610" t="s">
        <v>592</v>
      </c>
      <c r="T2" s="610" t="s">
        <v>570</v>
      </c>
      <c r="U2" s="610" t="s">
        <v>571</v>
      </c>
      <c r="V2" s="610" t="s">
        <v>572</v>
      </c>
      <c r="W2" s="610" t="s">
        <v>573</v>
      </c>
      <c r="X2" s="610" t="s">
        <v>599</v>
      </c>
      <c r="Y2" s="610" t="s">
        <v>600</v>
      </c>
      <c r="Z2" s="610" t="s">
        <v>601</v>
      </c>
      <c r="AA2" s="610" t="s">
        <v>594</v>
      </c>
      <c r="AB2" s="610" t="s">
        <v>604</v>
      </c>
      <c r="AC2" s="610" t="s">
        <v>605</v>
      </c>
      <c r="AD2" s="610" t="s">
        <v>606</v>
      </c>
      <c r="AE2" s="610" t="s">
        <v>607</v>
      </c>
    </row>
    <row r="3" spans="2:31" s="772" customFormat="1">
      <c r="B3" s="978" t="s">
        <v>415</v>
      </c>
      <c r="C3" s="774"/>
      <c r="D3" s="1014"/>
      <c r="E3" s="1014"/>
      <c r="F3" s="1014"/>
      <c r="G3" s="1014"/>
      <c r="H3" s="931"/>
      <c r="I3" s="931"/>
      <c r="J3" s="931"/>
      <c r="K3" s="931"/>
      <c r="L3" s="931"/>
      <c r="M3" s="931"/>
      <c r="N3" s="931"/>
      <c r="O3" s="931"/>
      <c r="P3" s="931"/>
      <c r="Q3" s="931"/>
      <c r="R3" s="931"/>
      <c r="S3" s="931"/>
      <c r="T3" s="931"/>
      <c r="U3" s="931"/>
      <c r="V3" s="931"/>
      <c r="W3" s="931"/>
      <c r="X3" s="931"/>
      <c r="Y3" s="931"/>
      <c r="Z3" s="931"/>
      <c r="AA3" s="931"/>
      <c r="AB3" s="931"/>
      <c r="AC3" s="931"/>
      <c r="AD3" s="931"/>
      <c r="AE3" s="931"/>
    </row>
    <row r="4" spans="2:31" s="972" customFormat="1">
      <c r="B4" s="996" t="s">
        <v>483</v>
      </c>
      <c r="C4" s="997"/>
      <c r="D4" s="998">
        <f>'Segment model'!E41</f>
        <v>2758.5360000000001</v>
      </c>
      <c r="E4" s="998">
        <f>'Segment model'!F41</f>
        <v>2795.2539230769235</v>
      </c>
      <c r="F4" s="998">
        <f>'Segment model'!G41</f>
        <v>2744.0087999999996</v>
      </c>
      <c r="G4" s="998">
        <f>'Segment model'!H41</f>
        <v>2849.154</v>
      </c>
      <c r="H4" s="1000">
        <f>'Segment model'!I41</f>
        <v>3130.1400000000003</v>
      </c>
      <c r="I4" s="998">
        <f>'Segment model'!J41</f>
        <v>2657.78</v>
      </c>
      <c r="J4" s="998">
        <f>'Segment model'!K41</f>
        <v>2344.8000000000002</v>
      </c>
      <c r="K4" s="998">
        <f>'Segment model'!L41</f>
        <v>2158.5600000000004</v>
      </c>
      <c r="L4" s="1000">
        <f>'Segment model'!M41</f>
        <v>1913.5839999999998</v>
      </c>
      <c r="M4" s="998">
        <f>'Segment model'!N41</f>
        <v>1567.3250000000003</v>
      </c>
      <c r="N4" s="998">
        <f>'Segment model'!O41</f>
        <v>1701.3775000000001</v>
      </c>
      <c r="O4" s="999">
        <f>'Segment model'!P41</f>
        <v>1929.8700000000001</v>
      </c>
      <c r="P4" s="1000">
        <f>'Segment model'!Q41</f>
        <v>2420.9</v>
      </c>
      <c r="Q4" s="1197">
        <f>'Segment model'!R41</f>
        <v>2973.7919999999999</v>
      </c>
      <c r="R4" s="998">
        <f>'Segment model'!S41</f>
        <v>3562.3411223039998</v>
      </c>
      <c r="S4" s="1197">
        <f>'Segment model'!T41</f>
        <v>4051.0845278460224</v>
      </c>
      <c r="T4" s="1000">
        <f>'Segment model'!U41</f>
        <v>4557.8954577021996</v>
      </c>
      <c r="U4" s="1197">
        <f>'Segment model'!V41</f>
        <v>5218.972614887326</v>
      </c>
      <c r="V4" s="1197">
        <f>'Segment model'!W41</f>
        <v>5375.5417933339459</v>
      </c>
      <c r="W4" s="999">
        <f>'Segment model'!X41</f>
        <v>5259.9676447772663</v>
      </c>
      <c r="X4" s="1000">
        <f>'Segment model'!Y41</f>
        <v>5087.4407060285721</v>
      </c>
      <c r="Y4" s="1197">
        <f>'Segment model'!Z41</f>
        <v>4454.0543381280158</v>
      </c>
      <c r="Z4" s="1197">
        <f>'Segment model'!AA41</f>
        <v>4358.2921698582632</v>
      </c>
      <c r="AA4" s="999">
        <f>'Segment model'!AB41</f>
        <v>4264.5888882063109</v>
      </c>
      <c r="AB4" s="1000">
        <f>'Segment model'!AC41</f>
        <v>4060.7415393500492</v>
      </c>
      <c r="AC4" s="1197">
        <f>'Segment model'!AD41</f>
        <v>3927.5492168593673</v>
      </c>
      <c r="AD4" s="1197">
        <f>'Segment model'!AE41</f>
        <v>3798.7256025463798</v>
      </c>
      <c r="AE4" s="999">
        <f>'Segment model'!AF41</f>
        <v>3713.634149049341</v>
      </c>
    </row>
    <row r="5" spans="2:31">
      <c r="B5" s="914" t="s">
        <v>484</v>
      </c>
      <c r="D5" s="986">
        <f>'Segment model'!E13</f>
        <v>3001</v>
      </c>
      <c r="E5" s="986">
        <f>'Segment model'!F13</f>
        <v>3070.9230769230771</v>
      </c>
      <c r="F5" s="986">
        <f>'Segment model'!G13</f>
        <v>3063</v>
      </c>
      <c r="G5" s="986">
        <f>'Segment model'!H13</f>
        <v>3171</v>
      </c>
      <c r="H5" s="1001">
        <f>'Segment model'!I13</f>
        <v>3425</v>
      </c>
      <c r="I5" s="986">
        <f>'Segment model'!J13</f>
        <v>3117</v>
      </c>
      <c r="J5" s="986">
        <f>'Segment model'!K13</f>
        <v>3054</v>
      </c>
      <c r="K5" s="986">
        <f>'Segment model'!L13</f>
        <v>3023</v>
      </c>
      <c r="L5" s="1001">
        <f>'Segment model'!M13</f>
        <v>3082</v>
      </c>
      <c r="M5" s="986">
        <f>'Segment model'!N13</f>
        <v>2805</v>
      </c>
      <c r="N5" s="986">
        <f>'Segment model'!O13</f>
        <v>3421</v>
      </c>
      <c r="O5" s="987">
        <f>'Segment model'!P13</f>
        <v>4120</v>
      </c>
      <c r="P5" s="1001">
        <f>'Segment model'!Q13</f>
        <v>4880</v>
      </c>
      <c r="Q5" s="986">
        <f>'Segment model'!R13</f>
        <v>4941.6000000000004</v>
      </c>
      <c r="R5" s="986">
        <f>'Segment model'!S13</f>
        <v>5192.63328</v>
      </c>
      <c r="S5" s="986">
        <f>'Segment model'!T13</f>
        <v>5460.0538939200005</v>
      </c>
      <c r="T5" s="1001">
        <f>'Segment model'!U13</f>
        <v>5842.2576664944008</v>
      </c>
      <c r="U5" s="986">
        <f>'Segment model'!V13</f>
        <v>6075.9479731541769</v>
      </c>
      <c r="V5" s="986">
        <f>'Segment model'!W13</f>
        <v>6258.2264123488021</v>
      </c>
      <c r="W5" s="987">
        <f>'Segment model'!X13</f>
        <v>6445.9732047192665</v>
      </c>
      <c r="X5" s="1001">
        <f>'Segment model'!Y13</f>
        <v>6703.8121329080377</v>
      </c>
      <c r="Y5" s="986">
        <f>'Segment model'!Z13</f>
        <v>6904.9264968952793</v>
      </c>
      <c r="Z5" s="986">
        <f>'Segment model'!AA13</f>
        <v>7112.0742918021379</v>
      </c>
      <c r="AA5" s="987">
        <f>'Segment model'!AB13</f>
        <v>7325.4365205562026</v>
      </c>
      <c r="AB5" s="1001">
        <f>'Segment model'!AC13</f>
        <v>7581.826798775669</v>
      </c>
      <c r="AC5" s="986">
        <f>'Segment model'!AD13</f>
        <v>7885.0998707266963</v>
      </c>
      <c r="AD5" s="986">
        <f>'Segment model'!AE13</f>
        <v>8200.5038655557637</v>
      </c>
      <c r="AE5" s="987">
        <f>'Segment model'!AF13</f>
        <v>8528.5240201779943</v>
      </c>
    </row>
    <row r="6" spans="2:31">
      <c r="B6" s="914"/>
      <c r="C6" s="916" t="s">
        <v>499</v>
      </c>
      <c r="D6" s="979">
        <v>0.34</v>
      </c>
      <c r="E6" s="979">
        <v>0.37</v>
      </c>
      <c r="F6" s="979">
        <v>0.4</v>
      </c>
      <c r="G6" s="979">
        <v>0.40820000000000001</v>
      </c>
      <c r="H6" s="1002">
        <v>0.38</v>
      </c>
      <c r="I6" s="979">
        <v>0.35</v>
      </c>
      <c r="J6" s="979">
        <v>0.33</v>
      </c>
      <c r="K6" s="979">
        <v>0.32</v>
      </c>
      <c r="L6" s="1002">
        <v>0.28999999999999998</v>
      </c>
      <c r="M6" s="979">
        <v>0.28999999999999998</v>
      </c>
      <c r="N6" s="979">
        <f>M6</f>
        <v>0.28999999999999998</v>
      </c>
      <c r="O6" s="979">
        <f>N6</f>
        <v>0.28999999999999998</v>
      </c>
      <c r="P6" s="1002">
        <v>0.3</v>
      </c>
      <c r="Q6" s="979">
        <v>0.3</v>
      </c>
      <c r="R6" s="947">
        <f t="shared" ref="R6:S6" si="0">R7/R5</f>
        <v>0.31404644080700422</v>
      </c>
      <c r="S6" s="1190">
        <f t="shared" si="0"/>
        <v>0.32853170222320932</v>
      </c>
      <c r="T6" s="946">
        <f t="shared" ref="T6:W6" si="1">T7/T5</f>
        <v>0.33774287144442083</v>
      </c>
      <c r="U6" s="1190">
        <f t="shared" si="1"/>
        <v>0.35722803710467588</v>
      </c>
      <c r="V6" s="1190">
        <f t="shared" si="1"/>
        <v>0.38150567069431407</v>
      </c>
      <c r="W6" s="948">
        <f t="shared" si="1"/>
        <v>0.40743324054732566</v>
      </c>
      <c r="X6" s="946">
        <f t="shared" ref="X6:AA6" si="2">X7/X5</f>
        <v>0.43093900442505595</v>
      </c>
      <c r="Y6" s="1190">
        <f t="shared" si="2"/>
        <v>0.46022612123064233</v>
      </c>
      <c r="Z6" s="1190">
        <f t="shared" si="2"/>
        <v>0.4915036246152491</v>
      </c>
      <c r="AA6" s="948">
        <f t="shared" si="2"/>
        <v>0.52490678356968345</v>
      </c>
      <c r="AB6" s="946">
        <f t="shared" ref="AB6:AE6" si="3">AB7/AB5</f>
        <v>0.55787194389048489</v>
      </c>
      <c r="AC6" s="1190">
        <f t="shared" si="3"/>
        <v>0.59005686373032062</v>
      </c>
      <c r="AD6" s="1190">
        <f t="shared" si="3"/>
        <v>0.62409860586860855</v>
      </c>
      <c r="AE6" s="948">
        <f t="shared" si="3"/>
        <v>0.66010429466872056</v>
      </c>
    </row>
    <row r="7" spans="2:31" s="944" customFormat="1">
      <c r="B7" s="943" t="s">
        <v>252</v>
      </c>
      <c r="C7" s="944" t="s">
        <v>486</v>
      </c>
      <c r="D7" s="944">
        <f t="shared" ref="D7:O7" si="4">D5*D6</f>
        <v>1020.34</v>
      </c>
      <c r="E7" s="944">
        <f t="shared" si="4"/>
        <v>1136.2415384615385</v>
      </c>
      <c r="F7" s="944">
        <f t="shared" si="4"/>
        <v>1225.2</v>
      </c>
      <c r="G7" s="944">
        <f>G5*G6</f>
        <v>1294.4022</v>
      </c>
      <c r="H7" s="943">
        <f t="shared" si="4"/>
        <v>1301.5</v>
      </c>
      <c r="I7" s="944">
        <f t="shared" si="4"/>
        <v>1090.9499999999998</v>
      </c>
      <c r="J7" s="944">
        <f t="shared" si="4"/>
        <v>1007.82</v>
      </c>
      <c r="K7" s="944">
        <f>K5*K6</f>
        <v>967.36</v>
      </c>
      <c r="L7" s="943">
        <f t="shared" si="4"/>
        <v>893.78</v>
      </c>
      <c r="M7" s="944">
        <f t="shared" si="4"/>
        <v>813.44999999999993</v>
      </c>
      <c r="N7" s="944">
        <f t="shared" si="4"/>
        <v>992.08999999999992</v>
      </c>
      <c r="O7" s="944">
        <f t="shared" si="4"/>
        <v>1194.8</v>
      </c>
      <c r="P7" s="943">
        <f t="shared" ref="P7:Q7" si="5">P5*P6</f>
        <v>1464</v>
      </c>
      <c r="Q7" s="1189">
        <f t="shared" si="5"/>
        <v>1482.48</v>
      </c>
      <c r="R7" s="981">
        <f t="shared" ref="R7:S7" si="6">Q7*1.1</f>
        <v>1630.7280000000001</v>
      </c>
      <c r="S7" s="981">
        <f t="shared" si="6"/>
        <v>1793.8008000000002</v>
      </c>
      <c r="T7" s="1078">
        <f>S7*1.1</f>
        <v>1973.1808800000003</v>
      </c>
      <c r="U7" s="981">
        <f>T7*1.1</f>
        <v>2170.4989680000003</v>
      </c>
      <c r="V7" s="981">
        <f t="shared" ref="V7" si="7">U7*1.1</f>
        <v>2387.5488648000005</v>
      </c>
      <c r="W7" s="988">
        <f t="shared" ref="W7" si="8">V7*1.1</f>
        <v>2626.3037512800006</v>
      </c>
      <c r="X7" s="1078">
        <f t="shared" ref="X7" si="9">W7*1.1</f>
        <v>2888.9341264080008</v>
      </c>
      <c r="Y7" s="981">
        <f t="shared" ref="Y7" si="10">X7*1.1</f>
        <v>3177.8275390488011</v>
      </c>
      <c r="Z7" s="981">
        <f t="shared" ref="Z7" si="11">Y7*1.1</f>
        <v>3495.6102929536814</v>
      </c>
      <c r="AA7" s="988">
        <f t="shared" ref="AA7" si="12">Z7*1.1</f>
        <v>3845.1713222490498</v>
      </c>
      <c r="AB7" s="1078">
        <f t="shared" ref="AB7" si="13">AA7*1.1</f>
        <v>4229.6884544739551</v>
      </c>
      <c r="AC7" s="981">
        <f t="shared" ref="AC7" si="14">AB7*1.1</f>
        <v>4652.6572999213513</v>
      </c>
      <c r="AD7" s="981">
        <f t="shared" ref="AD7" si="15">AC7*1.1</f>
        <v>5117.923029913487</v>
      </c>
      <c r="AE7" s="988">
        <f t="shared" ref="AE7" si="16">AD7*1.1</f>
        <v>5629.715332904836</v>
      </c>
    </row>
    <row r="8" spans="2:31">
      <c r="B8" s="914" t="s">
        <v>252</v>
      </c>
      <c r="C8" s="774" t="s">
        <v>487</v>
      </c>
      <c r="D8" s="944">
        <f t="shared" ref="D8:O8" si="17">D5-D7</f>
        <v>1980.6599999999999</v>
      </c>
      <c r="E8" s="944">
        <f t="shared" si="17"/>
        <v>1934.6815384615386</v>
      </c>
      <c r="F8" s="944">
        <f t="shared" si="17"/>
        <v>1837.8</v>
      </c>
      <c r="G8" s="944">
        <f>G5-G7</f>
        <v>1876.5978</v>
      </c>
      <c r="H8" s="943">
        <f t="shared" si="17"/>
        <v>2123.5</v>
      </c>
      <c r="I8" s="944">
        <f t="shared" si="17"/>
        <v>2026.0500000000002</v>
      </c>
      <c r="J8" s="944">
        <f t="shared" si="17"/>
        <v>2046.1799999999998</v>
      </c>
      <c r="K8" s="944">
        <f>K5-K7</f>
        <v>2055.64</v>
      </c>
      <c r="L8" s="943">
        <f t="shared" si="17"/>
        <v>2188.2200000000003</v>
      </c>
      <c r="M8" s="944">
        <f t="shared" si="17"/>
        <v>1991.5500000000002</v>
      </c>
      <c r="N8" s="944">
        <f t="shared" si="17"/>
        <v>2428.91</v>
      </c>
      <c r="O8" s="945">
        <f t="shared" si="17"/>
        <v>2925.2</v>
      </c>
      <c r="P8" s="943">
        <f t="shared" ref="P8:Q8" si="18">P5-P7</f>
        <v>3416</v>
      </c>
      <c r="Q8" s="1189">
        <f t="shared" si="18"/>
        <v>3459.1200000000003</v>
      </c>
      <c r="R8" s="944">
        <f t="shared" ref="R8:S8" si="19">R5-R7</f>
        <v>3561.9052799999999</v>
      </c>
      <c r="S8" s="1189">
        <f t="shared" si="19"/>
        <v>3666.2530939200005</v>
      </c>
      <c r="T8" s="943">
        <f t="shared" ref="T8:W8" si="20">T5-T7</f>
        <v>3869.0767864944005</v>
      </c>
      <c r="U8" s="1189">
        <f t="shared" si="20"/>
        <v>3905.4490051541766</v>
      </c>
      <c r="V8" s="1189">
        <f t="shared" si="20"/>
        <v>3870.6775475488016</v>
      </c>
      <c r="W8" s="945">
        <f t="shared" si="20"/>
        <v>3819.6694534392659</v>
      </c>
      <c r="X8" s="943">
        <f t="shared" ref="X8:AA8" si="21">X5-X7</f>
        <v>3814.8780065000369</v>
      </c>
      <c r="Y8" s="1189">
        <f t="shared" si="21"/>
        <v>3727.0989578464782</v>
      </c>
      <c r="Z8" s="1189">
        <f t="shared" si="21"/>
        <v>3616.4639988484564</v>
      </c>
      <c r="AA8" s="945">
        <f t="shared" si="21"/>
        <v>3480.2651983071528</v>
      </c>
      <c r="AB8" s="943">
        <f t="shared" ref="AB8:AE8" si="22">AB5-AB7</f>
        <v>3352.1383443017139</v>
      </c>
      <c r="AC8" s="1189">
        <f t="shared" si="22"/>
        <v>3232.442570805345</v>
      </c>
      <c r="AD8" s="1189">
        <f t="shared" si="22"/>
        <v>3082.5808356422767</v>
      </c>
      <c r="AE8" s="945">
        <f t="shared" si="22"/>
        <v>2898.8086872731583</v>
      </c>
    </row>
    <row r="9" spans="2:31">
      <c r="B9" s="914" t="s">
        <v>488</v>
      </c>
      <c r="D9" s="928">
        <f>'Segment model'!E28</f>
        <v>0.91920559813395541</v>
      </c>
      <c r="E9" s="928">
        <f>'Segment model'!F28</f>
        <v>0.9102324783327489</v>
      </c>
      <c r="F9" s="928">
        <f>'Segment model'!G28</f>
        <v>0.89585661116552384</v>
      </c>
      <c r="G9" s="929">
        <f>'Segment model'!H28</f>
        <v>0.89850331125827809</v>
      </c>
      <c r="H9" s="928">
        <f>'Segment model'!I28</f>
        <v>0.91390948905109504</v>
      </c>
      <c r="I9" s="928">
        <f>'Segment model'!J28</f>
        <v>0.85267244145011234</v>
      </c>
      <c r="J9" s="928">
        <f>'Segment model'!K28</f>
        <v>0.76777996070726917</v>
      </c>
      <c r="K9" s="928">
        <f>'Segment model'!L28</f>
        <v>0.71404565001653997</v>
      </c>
      <c r="L9" s="1079">
        <f>'Segment model'!M28</f>
        <v>0.62089033095392598</v>
      </c>
      <c r="M9" s="928">
        <f>'Segment model'!N28</f>
        <v>0.55876114081996442</v>
      </c>
      <c r="N9" s="928">
        <f>'Segment model'!O28</f>
        <v>0.49733338205203159</v>
      </c>
      <c r="O9" s="929">
        <f>'Segment model'!P28</f>
        <v>0.46841504854368937</v>
      </c>
      <c r="P9" s="1079">
        <f>'Segment model'!Q28</f>
        <v>0.4960860655737705</v>
      </c>
      <c r="Q9" s="928">
        <f>'Segment model'!R28</f>
        <v>0.6017872753763962</v>
      </c>
      <c r="R9" s="928">
        <f>'Segment model'!S28</f>
        <v>0.68603749392909175</v>
      </c>
      <c r="S9" s="928">
        <f>'Segment model'!T28</f>
        <v>0.7419495496843127</v>
      </c>
      <c r="T9" s="1079">
        <f>'Segment model'!U28</f>
        <v>0.78015995149305484</v>
      </c>
      <c r="U9" s="928">
        <f>'Segment model'!V28</f>
        <v>0.85895610659385335</v>
      </c>
      <c r="V9" s="928">
        <f>'Segment model'!W28</f>
        <v>0.85895610659385335</v>
      </c>
      <c r="W9" s="929">
        <f>'Segment model'!X28</f>
        <v>0.81600830126416068</v>
      </c>
      <c r="X9" s="1079">
        <f>'Segment model'!Y28</f>
        <v>0.75888772017566941</v>
      </c>
      <c r="Y9" s="928">
        <f>'Segment model'!Z28</f>
        <v>0.645054562149319</v>
      </c>
      <c r="Z9" s="928">
        <f>'Segment model'!AA28</f>
        <v>0.61280183404185307</v>
      </c>
      <c r="AA9" s="929">
        <f>'Segment model'!AB28</f>
        <v>0.58216174233976037</v>
      </c>
      <c r="AB9" s="1079">
        <f>'Segment model'!AC28</f>
        <v>0.5355888029525796</v>
      </c>
      <c r="AC9" s="928">
        <f>'Segment model'!AD28</f>
        <v>0.49809758674589899</v>
      </c>
      <c r="AD9" s="928">
        <f>'Segment model'!AE28</f>
        <v>0.46323075567368605</v>
      </c>
      <c r="AE9" s="929">
        <f>'Segment model'!AF28</f>
        <v>0.43543691033326487</v>
      </c>
    </row>
    <row r="10" spans="2:31">
      <c r="B10" s="914"/>
      <c r="F10" s="950"/>
      <c r="G10" s="950"/>
      <c r="H10" s="949"/>
      <c r="I10" s="950"/>
      <c r="J10" s="950"/>
      <c r="K10" s="950"/>
      <c r="L10" s="949"/>
      <c r="M10" s="950"/>
      <c r="N10" s="950"/>
      <c r="O10" s="951"/>
      <c r="P10" s="949"/>
      <c r="Q10" s="1191"/>
      <c r="R10" s="950"/>
      <c r="S10" s="1191"/>
      <c r="T10" s="949"/>
      <c r="U10" s="1191"/>
      <c r="V10" s="1191"/>
      <c r="W10" s="951"/>
      <c r="X10" s="949"/>
      <c r="Y10" s="1191"/>
      <c r="Z10" s="1191"/>
      <c r="AA10" s="951"/>
      <c r="AB10" s="949"/>
      <c r="AC10" s="1191"/>
      <c r="AD10" s="1191"/>
      <c r="AE10" s="951"/>
    </row>
    <row r="11" spans="2:31">
      <c r="B11" s="970" t="s">
        <v>485</v>
      </c>
      <c r="D11" s="926"/>
      <c r="E11" s="926"/>
      <c r="F11" s="926"/>
      <c r="G11" s="926"/>
      <c r="H11" s="925"/>
      <c r="I11" s="926"/>
      <c r="J11" s="926"/>
      <c r="K11" s="980"/>
      <c r="L11" s="925"/>
      <c r="M11" s="926"/>
      <c r="N11" s="1183" t="s">
        <v>252</v>
      </c>
      <c r="O11" s="927"/>
      <c r="P11" s="925"/>
      <c r="Q11" s="926"/>
      <c r="R11" s="926"/>
      <c r="S11" s="926"/>
      <c r="T11" s="925"/>
      <c r="U11" s="926"/>
      <c r="V11" s="926"/>
      <c r="W11" s="927"/>
      <c r="X11" s="925"/>
      <c r="Y11" s="926"/>
      <c r="Z11" s="926"/>
      <c r="AA11" s="927"/>
      <c r="AB11" s="925"/>
      <c r="AC11" s="926"/>
      <c r="AD11" s="926"/>
      <c r="AE11" s="927"/>
    </row>
    <row r="12" spans="2:31">
      <c r="B12" s="914"/>
      <c r="C12" s="774" t="s">
        <v>261</v>
      </c>
      <c r="D12" s="980">
        <v>587</v>
      </c>
      <c r="E12" s="980">
        <v>714</v>
      </c>
      <c r="F12" s="980">
        <v>700</v>
      </c>
      <c r="G12" s="980">
        <f>2680-F12-E12-D12</f>
        <v>679</v>
      </c>
      <c r="H12" s="1003">
        <v>729</v>
      </c>
      <c r="I12" s="980">
        <v>628</v>
      </c>
      <c r="J12" s="980">
        <v>533</v>
      </c>
      <c r="K12" s="980">
        <f>2370-SUM(H12:J12)</f>
        <v>480</v>
      </c>
      <c r="L12" s="1003">
        <v>379</v>
      </c>
      <c r="M12" s="980">
        <v>326</v>
      </c>
      <c r="N12" s="937">
        <v>348</v>
      </c>
      <c r="O12" s="938">
        <v>380</v>
      </c>
      <c r="P12" s="1185">
        <v>380</v>
      </c>
      <c r="Q12" s="1188">
        <v>350</v>
      </c>
      <c r="R12" s="937"/>
      <c r="S12" s="1188"/>
      <c r="T12" s="933"/>
      <c r="U12" s="1188"/>
      <c r="V12" s="1188"/>
      <c r="W12" s="938"/>
      <c r="X12" s="933"/>
      <c r="Y12" s="1188"/>
      <c r="Z12" s="1188"/>
      <c r="AA12" s="938"/>
      <c r="AB12" s="933"/>
      <c r="AC12" s="1188"/>
      <c r="AD12" s="1188"/>
      <c r="AE12" s="938"/>
    </row>
    <row r="13" spans="2:31" hidden="1" outlineLevel="1">
      <c r="B13" s="914"/>
      <c r="C13" s="916" t="s">
        <v>535</v>
      </c>
      <c r="D13" s="937"/>
      <c r="E13" s="937"/>
      <c r="F13" s="937"/>
      <c r="G13" s="937"/>
      <c r="H13" s="933"/>
      <c r="I13" s="937"/>
      <c r="J13" s="937"/>
      <c r="K13" s="937"/>
      <c r="L13" s="933"/>
      <c r="M13" s="937"/>
      <c r="N13" s="926">
        <v>0.26</v>
      </c>
      <c r="O13" s="927">
        <v>0.23499999999999999</v>
      </c>
      <c r="P13" s="933"/>
      <c r="Q13" s="1188"/>
      <c r="R13" s="926"/>
      <c r="S13" s="926"/>
      <c r="T13" s="933"/>
      <c r="U13" s="1188"/>
      <c r="V13" s="926"/>
      <c r="W13" s="927"/>
      <c r="X13" s="933"/>
      <c r="Y13" s="1188"/>
      <c r="Z13" s="926"/>
      <c r="AA13" s="927"/>
      <c r="AB13" s="933"/>
      <c r="AC13" s="1188"/>
      <c r="AD13" s="926"/>
      <c r="AE13" s="927"/>
    </row>
    <row r="14" spans="2:31" hidden="1" outlineLevel="1">
      <c r="B14" s="914"/>
      <c r="C14" s="916" t="s">
        <v>509</v>
      </c>
      <c r="D14" s="937"/>
      <c r="E14" s="937"/>
      <c r="F14" s="937"/>
      <c r="G14" s="937"/>
      <c r="H14" s="933"/>
      <c r="I14" s="937"/>
      <c r="J14" s="937"/>
      <c r="K14" s="937"/>
      <c r="L14" s="933"/>
      <c r="M14" s="937"/>
      <c r="N14" s="926">
        <f>(N9-N13-0.125-0.15*N9)</f>
        <v>3.7733374744226847E-2</v>
      </c>
      <c r="O14" s="927">
        <f>(O9-O13-0.125-0.15*O9)</f>
        <v>3.8152791262135985E-2</v>
      </c>
      <c r="P14" s="933"/>
      <c r="Q14" s="1188"/>
      <c r="R14" s="926"/>
      <c r="S14" s="926"/>
      <c r="T14" s="933"/>
      <c r="U14" s="1188"/>
      <c r="V14" s="926"/>
      <c r="W14" s="927"/>
      <c r="X14" s="933"/>
      <c r="Y14" s="1188"/>
      <c r="Z14" s="926"/>
      <c r="AA14" s="927"/>
      <c r="AB14" s="933"/>
      <c r="AC14" s="1188"/>
      <c r="AD14" s="926"/>
      <c r="AE14" s="927"/>
    </row>
    <row r="15" spans="2:31" hidden="1" outlineLevel="1">
      <c r="B15" s="914"/>
      <c r="C15" s="916" t="s">
        <v>510</v>
      </c>
      <c r="D15" s="937"/>
      <c r="E15" s="937"/>
      <c r="F15" s="937"/>
      <c r="G15" s="937"/>
      <c r="H15" s="933"/>
      <c r="I15" s="937"/>
      <c r="J15" s="937"/>
      <c r="K15" s="937"/>
      <c r="L15" s="933"/>
      <c r="M15" s="937"/>
      <c r="N15" s="926">
        <f>N13+N14/2</f>
        <v>0.27886668737211345</v>
      </c>
      <c r="O15" s="927">
        <f>O13+O14/2</f>
        <v>0.25407639563106799</v>
      </c>
      <c r="P15" s="933"/>
      <c r="Q15" s="1188"/>
      <c r="R15" s="926"/>
      <c r="S15" s="926"/>
      <c r="T15" s="933"/>
      <c r="U15" s="1188"/>
      <c r="V15" s="926"/>
      <c r="W15" s="927"/>
      <c r="X15" s="933"/>
      <c r="Y15" s="1188"/>
      <c r="Z15" s="926"/>
      <c r="AA15" s="927"/>
      <c r="AB15" s="933"/>
      <c r="AC15" s="1188"/>
      <c r="AD15" s="926"/>
      <c r="AE15" s="927"/>
    </row>
    <row r="16" spans="2:31" hidden="1" outlineLevel="1">
      <c r="B16" s="914"/>
      <c r="C16" s="1077" t="s">
        <v>544</v>
      </c>
      <c r="D16" s="937"/>
      <c r="E16" s="937"/>
      <c r="F16" s="937"/>
      <c r="G16" s="937"/>
      <c r="H16" s="933">
        <f>CFS!CF10</f>
        <v>681</v>
      </c>
      <c r="I16" s="937">
        <f>CFS!CG10</f>
        <v>674</v>
      </c>
      <c r="J16" s="937">
        <f>CFS!CH10</f>
        <v>707</v>
      </c>
      <c r="K16" s="937">
        <f>CFS!CI10</f>
        <v>743</v>
      </c>
      <c r="L16" s="933">
        <f>CFS!CJ10</f>
        <v>770</v>
      </c>
      <c r="M16" s="937">
        <f>CFS!CK10</f>
        <v>805</v>
      </c>
      <c r="N16" s="937">
        <f>CFS!CL10</f>
        <v>785</v>
      </c>
      <c r="O16" s="938">
        <f>CFS!CM10</f>
        <v>746</v>
      </c>
      <c r="P16" s="933">
        <f>CFS!CN10</f>
        <v>803</v>
      </c>
      <c r="Q16" s="1188">
        <f>CFS!CO10</f>
        <v>1034</v>
      </c>
      <c r="R16" s="937"/>
      <c r="S16" s="1188"/>
      <c r="T16" s="933"/>
      <c r="U16" s="1188"/>
      <c r="V16" s="1188"/>
      <c r="W16" s="938"/>
      <c r="X16" s="933"/>
      <c r="Y16" s="1188"/>
      <c r="Z16" s="1188"/>
      <c r="AA16" s="938"/>
      <c r="AB16" s="933"/>
      <c r="AC16" s="1188"/>
      <c r="AD16" s="1188"/>
      <c r="AE16" s="938"/>
    </row>
    <row r="17" spans="2:31" collapsed="1">
      <c r="B17" s="914"/>
      <c r="C17" s="916" t="s">
        <v>512</v>
      </c>
      <c r="D17" s="937">
        <f t="shared" ref="D17:I17" si="23">D19-D12-D18</f>
        <v>886.09411999999975</v>
      </c>
      <c r="E17" s="937">
        <f t="shared" si="23"/>
        <v>654.3853169230772</v>
      </c>
      <c r="F17" s="937">
        <f t="shared" si="23"/>
        <v>636.53270689999977</v>
      </c>
      <c r="G17" s="937">
        <f>G19-G12-G18</f>
        <v>707.74530837499992</v>
      </c>
      <c r="H17" s="933">
        <f t="shared" si="23"/>
        <v>756.5515517187506</v>
      </c>
      <c r="I17" s="937">
        <f t="shared" si="23"/>
        <v>627.97468222656289</v>
      </c>
      <c r="J17" s="937">
        <f>J19-J12-J18</f>
        <v>621.39627075390649</v>
      </c>
      <c r="K17" s="937">
        <f>K19-K12-K18</f>
        <v>719.61947423857441</v>
      </c>
      <c r="L17" s="933">
        <f t="shared" ref="L17:O17" si="24">L19-L12-L18</f>
        <v>714.49399884588888</v>
      </c>
      <c r="M17" s="937">
        <f t="shared" si="24"/>
        <v>688.12063994089465</v>
      </c>
      <c r="N17" s="937">
        <f t="shared" si="24"/>
        <v>766</v>
      </c>
      <c r="O17" s="937">
        <f t="shared" si="24"/>
        <v>867.94537292974746</v>
      </c>
      <c r="P17" s="933">
        <f t="shared" ref="P17:Q17" si="25">P19-P12-P18</f>
        <v>1030.0317118694923</v>
      </c>
      <c r="Q17" s="1188">
        <f t="shared" si="25"/>
        <v>994.96458046015778</v>
      </c>
      <c r="R17" s="980"/>
      <c r="S17" s="980"/>
      <c r="T17" s="1003"/>
      <c r="U17" s="980"/>
      <c r="V17" s="980"/>
      <c r="W17" s="989"/>
      <c r="X17" s="1003"/>
      <c r="Y17" s="980"/>
      <c r="Z17" s="980"/>
      <c r="AA17" s="989"/>
      <c r="AB17" s="1003"/>
      <c r="AC17" s="980"/>
      <c r="AD17" s="980"/>
      <c r="AE17" s="989"/>
    </row>
    <row r="18" spans="2:31">
      <c r="B18" s="914"/>
      <c r="C18" s="974" t="s">
        <v>511</v>
      </c>
      <c r="D18" s="982">
        <f>0.125*D5</f>
        <v>375.125</v>
      </c>
      <c r="E18" s="982">
        <f>(0.95*D18/D5)*E5</f>
        <v>364.67211538461538</v>
      </c>
      <c r="F18" s="982">
        <f t="shared" ref="F18:K18" si="26">(0.95*E18/E5)*F5</f>
        <v>345.54468749999995</v>
      </c>
      <c r="G18" s="982">
        <f>(0.95*F18/F5)*G5</f>
        <v>339.84201562499993</v>
      </c>
      <c r="H18" s="1004">
        <f t="shared" si="26"/>
        <v>348.71048828124992</v>
      </c>
      <c r="I18" s="982">
        <f t="shared" si="26"/>
        <v>301.48439777343742</v>
      </c>
      <c r="J18" s="982">
        <f t="shared" si="26"/>
        <v>280.62132924609364</v>
      </c>
      <c r="K18" s="982">
        <f t="shared" si="26"/>
        <v>263.88420576142568</v>
      </c>
      <c r="L18" s="1004">
        <f>(0.95*K18/K5)*L5</f>
        <v>255.5827211541112</v>
      </c>
      <c r="M18" s="982">
        <f>(0.97*L18/L5)*M5</f>
        <v>225.63343505910561</v>
      </c>
      <c r="N18" s="982">
        <f>(0.95*M18/M5)*N5</f>
        <v>261.42509171848133</v>
      </c>
      <c r="O18" s="990">
        <f>(0.94*N18/N5)*O5</f>
        <v>295.95062707025272</v>
      </c>
      <c r="P18" s="1004">
        <f>(0.95*O18/O5)*P5</f>
        <v>333.01628813050769</v>
      </c>
      <c r="Q18" s="982">
        <f>(0.95*P18/P5)*Q5</f>
        <v>320.35893953984242</v>
      </c>
      <c r="R18" s="982"/>
      <c r="S18" s="982"/>
      <c r="T18" s="1004"/>
      <c r="U18" s="982"/>
      <c r="V18" s="982"/>
      <c r="W18" s="990"/>
      <c r="X18" s="1004"/>
      <c r="Y18" s="982"/>
      <c r="Z18" s="982"/>
      <c r="AA18" s="990"/>
      <c r="AB18" s="1004"/>
      <c r="AC18" s="982"/>
      <c r="AD18" s="982"/>
      <c r="AE18" s="990"/>
    </row>
    <row r="19" spans="2:31" s="963" customFormat="1">
      <c r="B19" s="970" t="s">
        <v>490</v>
      </c>
      <c r="D19" s="972">
        <f t="shared" ref="D19:N19" si="27">(1-D20)*D4</f>
        <v>1848.2191199999997</v>
      </c>
      <c r="E19" s="972">
        <f t="shared" si="27"/>
        <v>1733.0574323076926</v>
      </c>
      <c r="F19" s="972">
        <f t="shared" si="27"/>
        <v>1682.0773943999998</v>
      </c>
      <c r="G19" s="972">
        <f>(1-G20)*G4</f>
        <v>1726.5873239999999</v>
      </c>
      <c r="H19" s="971">
        <f t="shared" si="27"/>
        <v>1834.2620400000005</v>
      </c>
      <c r="I19" s="972">
        <f t="shared" si="27"/>
        <v>1557.4590800000003</v>
      </c>
      <c r="J19" s="972">
        <f t="shared" si="27"/>
        <v>1435.0176000000001</v>
      </c>
      <c r="K19" s="972">
        <f>(1-K20)*K4</f>
        <v>1463.50368</v>
      </c>
      <c r="L19" s="971">
        <f t="shared" si="27"/>
        <v>1349.07672</v>
      </c>
      <c r="M19" s="972">
        <f t="shared" si="27"/>
        <v>1239.7540750000003</v>
      </c>
      <c r="N19" s="972">
        <f t="shared" si="27"/>
        <v>1375.4250917184813</v>
      </c>
      <c r="O19" s="972">
        <f>(1-O20)*O4</f>
        <v>1543.8960000000002</v>
      </c>
      <c r="P19" s="971">
        <f t="shared" ref="P19:Q19" si="28">(1-P20)*P4</f>
        <v>1743.048</v>
      </c>
      <c r="Q19" s="1194">
        <f t="shared" si="28"/>
        <v>1665.3235200000001</v>
      </c>
      <c r="R19" s="972">
        <f>R4*(1-R20)</f>
        <v>1638.6769162598398</v>
      </c>
      <c r="S19" s="1194">
        <f>S4*(1-S20)</f>
        <v>1660.9446564168693</v>
      </c>
      <c r="T19" s="971">
        <f>T4*(1-T20)</f>
        <v>1732.0002739268359</v>
      </c>
      <c r="U19" s="1194">
        <f>U4*(1-U20)</f>
        <v>1774.4506890616906</v>
      </c>
      <c r="V19" s="1194">
        <f>U19+70</f>
        <v>1844.4506890616906</v>
      </c>
      <c r="W19" s="973">
        <f t="shared" ref="W19" si="29">V19+30</f>
        <v>1874.4506890616906</v>
      </c>
      <c r="X19" s="971">
        <f>X4*(1-X20)</f>
        <v>2034.9762824114289</v>
      </c>
      <c r="Y19" s="1194">
        <f t="shared" ref="Y19:AA19" si="30">Y4*(1-Y20)</f>
        <v>1781.6217352512065</v>
      </c>
      <c r="Z19" s="1194">
        <f t="shared" si="30"/>
        <v>1961.2314764362181</v>
      </c>
      <c r="AA19" s="1194">
        <f t="shared" si="30"/>
        <v>2089.6485552210925</v>
      </c>
      <c r="AB19" s="971">
        <f>AB4*(1-AB20)</f>
        <v>2111.5856004620255</v>
      </c>
      <c r="AC19" s="1194">
        <f t="shared" ref="AC19" si="31">AC4*(1-AC20)</f>
        <v>2160.1520692726522</v>
      </c>
      <c r="AD19" s="1194">
        <f t="shared" ref="AD19" si="32">AD4*(1-AD20)</f>
        <v>2165.2735934514367</v>
      </c>
      <c r="AE19" s="973">
        <f t="shared" ref="AE19" si="33">AE4*(1-AE20)</f>
        <v>2191.0441479391116</v>
      </c>
    </row>
    <row r="20" spans="2:31">
      <c r="B20" s="914"/>
      <c r="C20" s="919" t="s">
        <v>491</v>
      </c>
      <c r="D20" s="979">
        <v>0.33</v>
      </c>
      <c r="E20" s="979">
        <v>0.38</v>
      </c>
      <c r="F20" s="979">
        <v>0.38700000000000001</v>
      </c>
      <c r="G20" s="979">
        <v>0.39400000000000002</v>
      </c>
      <c r="H20" s="1002">
        <v>0.41399999999999998</v>
      </c>
      <c r="I20" s="979">
        <v>0.41399999999999998</v>
      </c>
      <c r="J20" s="979">
        <v>0.38800000000000001</v>
      </c>
      <c r="K20" s="979">
        <v>0.32200000000000001</v>
      </c>
      <c r="L20" s="1002">
        <v>0.29499999999999998</v>
      </c>
      <c r="M20" s="979">
        <v>0.20899999999999999</v>
      </c>
      <c r="N20" s="979">
        <v>0.19158147341287793</v>
      </c>
      <c r="O20" s="979">
        <v>0.2</v>
      </c>
      <c r="P20" s="1002">
        <v>0.28000000000000003</v>
      </c>
      <c r="Q20" s="979">
        <v>0.44</v>
      </c>
      <c r="R20" s="1116">
        <v>0.54</v>
      </c>
      <c r="S20" s="1116">
        <v>0.59</v>
      </c>
      <c r="T20" s="1366">
        <v>0.62</v>
      </c>
      <c r="U20" s="1116">
        <v>0.66</v>
      </c>
      <c r="V20" s="1116">
        <f>1-V19/V4</f>
        <v>0.65688096940313234</v>
      </c>
      <c r="W20" s="1367">
        <f>1-W19/W4</f>
        <v>0.64363836136466113</v>
      </c>
      <c r="X20" s="1366">
        <v>0.6</v>
      </c>
      <c r="Y20" s="1116">
        <v>0.6</v>
      </c>
      <c r="Z20" s="1116">
        <v>0.55000000000000004</v>
      </c>
      <c r="AA20" s="1367">
        <v>0.51</v>
      </c>
      <c r="AB20" s="1366">
        <v>0.48</v>
      </c>
      <c r="AC20" s="1116">
        <v>0.45</v>
      </c>
      <c r="AD20" s="1116">
        <v>0.43</v>
      </c>
      <c r="AE20" s="1367">
        <v>0.41</v>
      </c>
    </row>
    <row r="21" spans="2:31">
      <c r="B21" s="914"/>
      <c r="C21" s="919" t="s">
        <v>504</v>
      </c>
      <c r="D21" s="947">
        <f>((D4*D6)-(D12)-(D6*D18))/(D4*D6)</f>
        <v>0.23814821041476569</v>
      </c>
      <c r="E21" s="947">
        <f t="shared" ref="E21:O21" si="34">((E4*E6)-(E12)-(E6*E18))/(E4*E6)</f>
        <v>0.1791794562303152</v>
      </c>
      <c r="F21" s="947">
        <f t="shared" si="34"/>
        <v>0.23631998282950106</v>
      </c>
      <c r="G21" s="947">
        <f>((G4*G6)-(G12)-(G6*G18))/(G4*G6)</f>
        <v>0.29689925163801528</v>
      </c>
      <c r="H21" s="946">
        <f t="shared" si="34"/>
        <v>0.27570922038221019</v>
      </c>
      <c r="I21" s="947">
        <f t="shared" si="34"/>
        <v>0.21145839307273295</v>
      </c>
      <c r="J21" s="947">
        <f t="shared" si="34"/>
        <v>0.19149912811429179</v>
      </c>
      <c r="K21" s="947">
        <f t="shared" si="34"/>
        <v>0.1828421698903781</v>
      </c>
      <c r="L21" s="946">
        <f t="shared" si="34"/>
        <v>0.18348017496057178</v>
      </c>
      <c r="M21" s="947">
        <f>((M4*M6)-(M12)-(M6*M18))/(M4*M6)</f>
        <v>0.13880569371790266</v>
      </c>
      <c r="N21" s="947">
        <f t="shared" si="34"/>
        <v>0.14103419628008404</v>
      </c>
      <c r="O21" s="948">
        <f t="shared" si="34"/>
        <v>0.16766649843955306</v>
      </c>
      <c r="P21" s="946">
        <f t="shared" ref="P21" si="35">((P4*P6)-(P12)-(P6*P18))/(P4*P6)</f>
        <v>0.3392197303493848</v>
      </c>
      <c r="Q21" s="1190">
        <f>((Q4*Q6)-(Q12)-(Q6*Q18))/(Q4*Q6)</f>
        <v>0.49995641719175071</v>
      </c>
      <c r="R21" s="947"/>
      <c r="S21" s="1190"/>
      <c r="T21" s="946"/>
      <c r="U21" s="1190"/>
      <c r="V21" s="1190"/>
      <c r="W21" s="948"/>
      <c r="X21" s="946"/>
      <c r="Y21" s="1190"/>
      <c r="Z21" s="1190"/>
      <c r="AA21" s="948"/>
      <c r="AB21" s="946"/>
      <c r="AC21" s="1190"/>
      <c r="AD21" s="1190"/>
      <c r="AE21" s="948"/>
    </row>
    <row r="22" spans="2:31">
      <c r="B22" s="914"/>
      <c r="C22" s="919" t="s">
        <v>505</v>
      </c>
      <c r="D22" s="947">
        <f t="shared" ref="D22:I22" si="36">(D8*D9-D17-(1-D6)*D18)/(D8*D9)</f>
        <v>0.37731758857421177</v>
      </c>
      <c r="E22" s="947">
        <f t="shared" si="36"/>
        <v>0.49794222411870376</v>
      </c>
      <c r="F22" s="947">
        <f t="shared" si="36"/>
        <v>0.48745334478033264</v>
      </c>
      <c r="G22" s="947">
        <f>(G8*G9-G17-(1-G6)*G18)/(G8*G9)</f>
        <v>0.46097621744062556</v>
      </c>
      <c r="H22" s="946">
        <f t="shared" si="36"/>
        <v>0.49875886492703242</v>
      </c>
      <c r="I22" s="947">
        <f t="shared" si="36"/>
        <v>0.52306086526852824</v>
      </c>
      <c r="J22" s="947">
        <f t="shared" ref="J22:O22" si="37">(J8*J9-J17-(1-J6)*J18)/(J8*J9)</f>
        <v>0.48478401152579648</v>
      </c>
      <c r="K22" s="947">
        <f t="shared" si="37"/>
        <v>0.38748603769864565</v>
      </c>
      <c r="L22" s="946">
        <f t="shared" si="37"/>
        <v>0.34055035107244241</v>
      </c>
      <c r="M22" s="947">
        <f t="shared" si="37"/>
        <v>0.23767091383353273</v>
      </c>
      <c r="N22" s="947">
        <f t="shared" si="37"/>
        <v>0.21222754435444155</v>
      </c>
      <c r="O22" s="948">
        <f t="shared" si="37"/>
        <v>0.21320664148243598</v>
      </c>
      <c r="P22" s="946">
        <f t="shared" ref="P22:Q22" si="38">(P8*P9-P17-(1-P6)*P18)/(P8*P9)</f>
        <v>0.2546201155645495</v>
      </c>
      <c r="Q22" s="1190">
        <f t="shared" si="38"/>
        <v>0.41430439263210667</v>
      </c>
      <c r="R22" s="947"/>
      <c r="S22" s="1190"/>
      <c r="T22" s="946"/>
      <c r="U22" s="1190"/>
      <c r="V22" s="1190"/>
      <c r="W22" s="948"/>
      <c r="X22" s="946"/>
      <c r="Y22" s="1190"/>
      <c r="Z22" s="1190"/>
      <c r="AA22" s="948"/>
      <c r="AB22" s="946"/>
      <c r="AC22" s="1190"/>
      <c r="AD22" s="1190"/>
      <c r="AE22" s="948"/>
    </row>
    <row r="23" spans="2:31" s="963" customFormat="1">
      <c r="B23" s="970" t="s">
        <v>500</v>
      </c>
      <c r="C23" s="983"/>
      <c r="D23" s="984">
        <f t="shared" ref="D23:I23" si="39">D19/D5</f>
        <v>0.61586775074974998</v>
      </c>
      <c r="E23" s="984">
        <f t="shared" si="39"/>
        <v>0.56434413656630433</v>
      </c>
      <c r="F23" s="984">
        <f t="shared" si="39"/>
        <v>0.54916010264446613</v>
      </c>
      <c r="G23" s="984">
        <f>G19/G5</f>
        <v>0.54449300662251654</v>
      </c>
      <c r="H23" s="1005">
        <f t="shared" si="39"/>
        <v>0.5355509605839418</v>
      </c>
      <c r="I23" s="984">
        <f t="shared" si="39"/>
        <v>0.49966605068976588</v>
      </c>
      <c r="J23" s="984">
        <f>J19/J5</f>
        <v>0.46988133595284876</v>
      </c>
      <c r="K23" s="984">
        <f t="shared" ref="K23:O23" si="40">K19/K5</f>
        <v>0.48412295071121403</v>
      </c>
      <c r="L23" s="1005">
        <f t="shared" si="40"/>
        <v>0.43772768332251788</v>
      </c>
      <c r="M23" s="984">
        <f t="shared" si="40"/>
        <v>0.44198006238859189</v>
      </c>
      <c r="N23" s="984">
        <f t="shared" si="40"/>
        <v>0.40205351994109362</v>
      </c>
      <c r="O23" s="991">
        <f t="shared" si="40"/>
        <v>0.37473203883495149</v>
      </c>
      <c r="P23" s="1005">
        <f t="shared" ref="P23:Q23" si="41">P19/P5</f>
        <v>0.35718196721311474</v>
      </c>
      <c r="Q23" s="1195">
        <f t="shared" si="41"/>
        <v>0.33700087421078195</v>
      </c>
      <c r="R23" s="984">
        <f t="shared" ref="R23:S23" si="42">R19/R5</f>
        <v>0.31557724720738217</v>
      </c>
      <c r="S23" s="1195">
        <f t="shared" si="42"/>
        <v>0.30419931537056821</v>
      </c>
      <c r="T23" s="1005">
        <f>T19/T5</f>
        <v>0.29646078156736083</v>
      </c>
      <c r="U23" s="1195">
        <f t="shared" ref="U23:W23" si="43">U19/U5</f>
        <v>0.29204507624191006</v>
      </c>
      <c r="V23" s="1195">
        <f t="shared" si="43"/>
        <v>0.29472418661974259</v>
      </c>
      <c r="W23" s="991">
        <f t="shared" si="43"/>
        <v>0.29079405537853553</v>
      </c>
      <c r="X23" s="1005">
        <f t="shared" ref="X23:AA23" si="44">X19/X5</f>
        <v>0.30355508807026776</v>
      </c>
      <c r="Y23" s="1195">
        <f t="shared" si="44"/>
        <v>0.25802182485972763</v>
      </c>
      <c r="Z23" s="1195">
        <f t="shared" si="44"/>
        <v>0.27576082531883384</v>
      </c>
      <c r="AA23" s="991">
        <f t="shared" si="44"/>
        <v>0.28525925374648259</v>
      </c>
      <c r="AB23" s="1005">
        <f t="shared" ref="AB23:AE23" si="45">AB19/AB5</f>
        <v>0.2785061775353414</v>
      </c>
      <c r="AC23" s="1195">
        <f t="shared" si="45"/>
        <v>0.27395367271024446</v>
      </c>
      <c r="AD23" s="1195">
        <f t="shared" si="45"/>
        <v>0.26404153073400105</v>
      </c>
      <c r="AE23" s="991">
        <f t="shared" si="45"/>
        <v>0.25690777709662632</v>
      </c>
    </row>
    <row r="24" spans="2:31">
      <c r="B24" s="940"/>
      <c r="C24" s="975" t="s">
        <v>501</v>
      </c>
      <c r="D24" s="992">
        <v>-0.11</v>
      </c>
      <c r="E24" s="992">
        <f t="shared" ref="E24:J24" si="46">E23/D23-1</f>
        <v>-8.3660191852425125E-2</v>
      </c>
      <c r="F24" s="992">
        <f t="shared" si="46"/>
        <v>-2.6905628920367519E-2</v>
      </c>
      <c r="G24" s="992">
        <f>G23/F23-1</f>
        <v>-8.498607235804867E-3</v>
      </c>
      <c r="H24" s="1006">
        <f t="shared" si="46"/>
        <v>-1.6422701356702651E-2</v>
      </c>
      <c r="I24" s="992">
        <f t="shared" si="46"/>
        <v>-6.7005593370701E-2</v>
      </c>
      <c r="J24" s="992">
        <f t="shared" si="46"/>
        <v>-5.9609242404603413E-2</v>
      </c>
      <c r="K24" s="992">
        <f t="shared" ref="K24:Q24" si="47">K23/J23-1</f>
        <v>3.0308960302680266E-2</v>
      </c>
      <c r="L24" s="1006">
        <f t="shared" si="47"/>
        <v>-9.583364581360565E-2</v>
      </c>
      <c r="M24" s="992">
        <f t="shared" si="47"/>
        <v>9.7146678816308896E-3</v>
      </c>
      <c r="N24" s="992">
        <f t="shared" si="47"/>
        <v>-9.033561883249519E-2</v>
      </c>
      <c r="O24" s="993">
        <f t="shared" si="47"/>
        <v>-6.7954836237088756E-2</v>
      </c>
      <c r="P24" s="1006">
        <f t="shared" si="47"/>
        <v>-4.6833656594723605E-2</v>
      </c>
      <c r="Q24" s="1196">
        <f t="shared" si="47"/>
        <v>-5.6500873097805715E-2</v>
      </c>
      <c r="R24" s="992">
        <f t="shared" ref="R24:S24" si="48">R23/Q23-1</f>
        <v>-6.3571428571428834E-2</v>
      </c>
      <c r="S24" s="1196">
        <f t="shared" si="48"/>
        <v>-3.6054347826086852E-2</v>
      </c>
      <c r="T24" s="1006">
        <f t="shared" ref="T24" si="49">T23/S23-1</f>
        <v>-2.5439024390243925E-2</v>
      </c>
      <c r="U24" s="1196">
        <f t="shared" ref="U24" si="50">U23/T23-1</f>
        <v>-1.4894736842105516E-2</v>
      </c>
      <c r="V24" s="1196">
        <f t="shared" ref="V24" si="51">V23/U23-1</f>
        <v>9.1736194025517914E-3</v>
      </c>
      <c r="W24" s="993">
        <f t="shared" ref="W24" si="52">W23/V23-1</f>
        <v>-1.3334946433418371E-2</v>
      </c>
      <c r="X24" s="1006">
        <f t="shared" ref="X24" si="53">X23/W23-1</f>
        <v>4.3883402895292356E-2</v>
      </c>
      <c r="Y24" s="1196">
        <f t="shared" ref="Y24" si="54">Y23/X23-1</f>
        <v>-0.14999999999999991</v>
      </c>
      <c r="Z24" s="1196">
        <f t="shared" ref="Z24" si="55">Z23/Y23-1</f>
        <v>6.8749999999999645E-2</v>
      </c>
      <c r="AA24" s="993">
        <f t="shared" ref="AA24" si="56">AA23/Z23-1</f>
        <v>3.44444444444445E-2</v>
      </c>
      <c r="AB24" s="1006">
        <f t="shared" ref="AB24" si="57">AB23/AA23-1</f>
        <v>-2.3673469387754942E-2</v>
      </c>
      <c r="AC24" s="1196">
        <f t="shared" ref="AC24" si="58">AC23/AB23-1</f>
        <v>-1.6346153846153899E-2</v>
      </c>
      <c r="AD24" s="1196">
        <f t="shared" ref="AD24" si="59">AD23/AC23-1</f>
        <v>-3.6181818181818204E-2</v>
      </c>
      <c r="AE24" s="993">
        <f t="shared" ref="AE24" si="60">AE23/AD23-1</f>
        <v>-2.701754385964894E-2</v>
      </c>
    </row>
    <row r="25" spans="2:31">
      <c r="C25" s="919"/>
      <c r="H25" s="1019"/>
      <c r="I25" s="1019"/>
      <c r="J25" s="1019"/>
      <c r="K25" s="1069"/>
      <c r="L25" s="1069"/>
      <c r="M25" s="1069"/>
      <c r="N25" s="1069"/>
      <c r="O25" s="1069"/>
      <c r="P25" s="1069"/>
      <c r="Q25" s="1069"/>
      <c r="R25" s="1069"/>
      <c r="S25" s="1069"/>
      <c r="T25" s="1069"/>
      <c r="U25" s="1069"/>
      <c r="V25" s="1069"/>
      <c r="W25" s="1069"/>
      <c r="X25" s="1203"/>
      <c r="Y25" s="1203"/>
      <c r="Z25" s="1203"/>
      <c r="AA25" s="1203"/>
      <c r="AB25" s="1203"/>
      <c r="AC25" s="1203"/>
      <c r="AD25" s="1203"/>
      <c r="AE25" s="1203"/>
    </row>
    <row r="26" spans="2:31" s="772" customFormat="1">
      <c r="B26" s="978" t="s">
        <v>410</v>
      </c>
      <c r="C26" s="774"/>
      <c r="D26" s="950"/>
      <c r="E26" s="950"/>
      <c r="F26" s="950"/>
      <c r="G26" s="950"/>
      <c r="H26" s="950"/>
      <c r="I26" s="950"/>
      <c r="J26" s="950"/>
      <c r="K26" s="950"/>
      <c r="L26" s="950"/>
      <c r="M26" s="1136"/>
      <c r="N26" s="1136"/>
      <c r="O26" s="1136"/>
      <c r="P26" s="1136"/>
      <c r="Q26" s="1136"/>
      <c r="R26" s="1136"/>
      <c r="S26" s="1136"/>
      <c r="T26" s="1136"/>
      <c r="U26" s="1136"/>
      <c r="V26" s="1136"/>
      <c r="W26" s="1136"/>
      <c r="X26" s="1136"/>
      <c r="Y26" s="1136"/>
      <c r="Z26" s="1136"/>
      <c r="AA26" s="1136"/>
      <c r="AB26" s="1136"/>
      <c r="AC26" s="1136"/>
      <c r="AD26" s="1136"/>
      <c r="AE26" s="1136"/>
    </row>
    <row r="27" spans="2:31" s="963" customFormat="1">
      <c r="B27" s="1009" t="s">
        <v>489</v>
      </c>
      <c r="C27" s="1010"/>
      <c r="D27" s="1049">
        <f>'Segment model'!E67</f>
        <v>1106.2382670610102</v>
      </c>
      <c r="E27" s="1049">
        <f>'Segment model'!F67</f>
        <v>1181.2695312345502</v>
      </c>
      <c r="F27" s="1049">
        <f>'Segment model'!G67</f>
        <v>1109.2887279139795</v>
      </c>
      <c r="G27" s="1050">
        <f>'Segment model'!H67</f>
        <v>1183.3212121680103</v>
      </c>
      <c r="H27" s="1049">
        <f>'Segment model'!I67</f>
        <v>1297.6072679340743</v>
      </c>
      <c r="I27" s="1049">
        <f>'Segment model'!J67</f>
        <v>1321.7950100870605</v>
      </c>
      <c r="J27" s="1049">
        <f>'Segment model'!K67</f>
        <v>1333.9999999999998</v>
      </c>
      <c r="K27" s="1050">
        <f>'Segment model'!L67</f>
        <v>1270.6823305642376</v>
      </c>
      <c r="L27" s="1049">
        <f>'Segment model'!M67</f>
        <v>1238.8566305456684</v>
      </c>
      <c r="M27" s="1049">
        <f>'Segment model'!N67</f>
        <v>1165.0656243723738</v>
      </c>
      <c r="N27" s="1049">
        <f>'Segment model'!O67</f>
        <v>977.23052409061006</v>
      </c>
      <c r="O27" s="1050">
        <f>'Segment model'!P67</f>
        <v>1083.27384647093</v>
      </c>
      <c r="P27" s="1049">
        <f>'Segment model'!Q67</f>
        <v>1339.599314330201</v>
      </c>
      <c r="Q27" s="1200">
        <f>'Segment model'!R67</f>
        <v>1460.6642041767182</v>
      </c>
      <c r="R27" s="1049">
        <f>'Segment model'!S67</f>
        <v>1764.5360738900854</v>
      </c>
      <c r="S27" s="1050">
        <f>'Segment model'!T67</f>
        <v>1903.7240387168422</v>
      </c>
      <c r="T27" s="1389">
        <f>'Segment model'!U67</f>
        <v>1901.7081019591669</v>
      </c>
      <c r="U27" s="1200">
        <f>'Segment model'!V67</f>
        <v>1911.027337675238</v>
      </c>
      <c r="V27" s="1200">
        <f>'Segment model'!W67</f>
        <v>2009.7272346222353</v>
      </c>
      <c r="W27" s="1050">
        <f>'Segment model'!X67</f>
        <v>2179.7824199098159</v>
      </c>
      <c r="X27" s="1389">
        <f>'Segment model'!Y67</f>
        <v>2120.8255052592053</v>
      </c>
      <c r="Y27" s="1200">
        <f>'Segment model'!Z67</f>
        <v>2090.9453118158358</v>
      </c>
      <c r="Z27" s="1200">
        <f>'Segment model'!AA67</f>
        <v>2060.9743475481673</v>
      </c>
      <c r="AA27" s="1050">
        <f>'Segment model'!AB67</f>
        <v>2170.2081054080181</v>
      </c>
      <c r="AB27" s="1389">
        <f>'Segment model'!AC67</f>
        <v>2266.3338726533912</v>
      </c>
      <c r="AC27" s="1200">
        <f>'Segment model'!AD67</f>
        <v>2390.956799309959</v>
      </c>
      <c r="AD27" s="1200">
        <f>'Segment model'!AE67</f>
        <v>2548.2442155310364</v>
      </c>
      <c r="AE27" s="1050">
        <f>'Segment model'!AF67</f>
        <v>2715.8904766923802</v>
      </c>
    </row>
    <row r="28" spans="2:31">
      <c r="B28" s="913" t="s">
        <v>492</v>
      </c>
      <c r="D28" s="1051">
        <f>'Segment model'!E52</f>
        <v>1856.7805405405406</v>
      </c>
      <c r="E28" s="1051">
        <f>'Segment model'!F52</f>
        <v>2406.8000000000002</v>
      </c>
      <c r="F28" s="1051">
        <f>'Segment model'!G52</f>
        <v>2268.5920000000001</v>
      </c>
      <c r="G28" s="1052">
        <f>'Segment model'!H52</f>
        <v>2557.4</v>
      </c>
      <c r="H28" s="1051">
        <f>'Segment model'!I52</f>
        <v>2979.31</v>
      </c>
      <c r="I28" s="1051">
        <f>'Segment model'!J52</f>
        <v>3336.8272000000006</v>
      </c>
      <c r="J28" s="1051">
        <f>'Segment model'!K52</f>
        <v>3270</v>
      </c>
      <c r="K28" s="1052">
        <f>'Segment model'!L52</f>
        <v>3073.8</v>
      </c>
      <c r="L28" s="1051">
        <f>'Segment model'!M52</f>
        <v>3227</v>
      </c>
      <c r="M28" s="1051">
        <f>'Segment model'!N52</f>
        <v>3565.835</v>
      </c>
      <c r="N28" s="1051">
        <f>'Segment model'!O52</f>
        <v>3224</v>
      </c>
      <c r="O28" s="1052">
        <f>'Segment model'!P52</f>
        <v>3628</v>
      </c>
      <c r="P28" s="1051">
        <f>'Segment model'!Q52</f>
        <v>4550</v>
      </c>
      <c r="Q28" s="1201">
        <f>'Segment model'!R52</f>
        <v>5300</v>
      </c>
      <c r="R28" s="1051">
        <f>'Segment model'!S52</f>
        <v>6201</v>
      </c>
      <c r="S28" s="1052">
        <f>'Segment model'!T52</f>
        <v>6380.8289999999997</v>
      </c>
      <c r="T28" s="1148">
        <f>'Segment model'!U52</f>
        <v>6636.0621599999995</v>
      </c>
      <c r="U28" s="1201">
        <f>'Segment model'!V52</f>
        <v>7498.7502407999991</v>
      </c>
      <c r="V28" s="1201">
        <f>'Segment model'!W52</f>
        <v>8548.5752745120008</v>
      </c>
      <c r="W28" s="1052">
        <f>'Segment model'!X52</f>
        <v>10258.2903294144</v>
      </c>
      <c r="X28" s="1148">
        <f>'Segment model'!Y52</f>
        <v>11078.953555767552</v>
      </c>
      <c r="Y28" s="1201">
        <f>'Segment model'!Z52</f>
        <v>11632.901233555929</v>
      </c>
      <c r="Z28" s="1201">
        <f>'Segment model'!AA52</f>
        <v>12214.546295233726</v>
      </c>
      <c r="AA28" s="1052">
        <f>'Segment model'!AB52</f>
        <v>13680.291850661773</v>
      </c>
      <c r="AB28" s="1148">
        <f>'Segment model'!AC52</f>
        <v>15048.321035727951</v>
      </c>
      <c r="AC28" s="1201">
        <f>'Segment model'!AD52</f>
        <v>16553.153139300746</v>
      </c>
      <c r="AD28" s="1201">
        <f>'Segment model'!AE52</f>
        <v>18208.468453230824</v>
      </c>
      <c r="AE28" s="1052">
        <f>'Segment model'!AF52</f>
        <v>20029.315298553909</v>
      </c>
    </row>
    <row r="29" spans="2:31">
      <c r="B29" s="914"/>
      <c r="C29" s="916" t="s">
        <v>493</v>
      </c>
      <c r="D29" s="1051">
        <f>'Segment model'!E50</f>
        <v>245.3176198653893</v>
      </c>
      <c r="E29" s="1051">
        <f>'Segment model'!F50</f>
        <v>289.162029551986</v>
      </c>
      <c r="F29" s="1051">
        <f>'Segment model'!G50</f>
        <v>298.34722277111547</v>
      </c>
      <c r="G29" s="1052">
        <f>'Segment model'!H50</f>
        <v>310.160305521174</v>
      </c>
      <c r="H29" s="1051">
        <f>'Segment model'!I50</f>
        <v>327.14673323287718</v>
      </c>
      <c r="I29" s="1051">
        <f>'Segment model'!J50</f>
        <v>343.50406989452108</v>
      </c>
      <c r="J29" s="1051">
        <f>'Segment model'!K50</f>
        <v>420.21257468668841</v>
      </c>
      <c r="K29" s="1052">
        <f>'Segment model'!L50</f>
        <v>380</v>
      </c>
      <c r="L29" s="1051">
        <f>'Segment model'!M50</f>
        <v>320</v>
      </c>
      <c r="M29" s="1051">
        <f>'Segment model'!N50</f>
        <v>320</v>
      </c>
      <c r="N29" s="1051">
        <f>'Segment model'!O50</f>
        <v>350</v>
      </c>
      <c r="O29" s="1052">
        <f>'Segment model'!P50</f>
        <v>350</v>
      </c>
      <c r="P29" s="1051">
        <f>'Segment model'!Q50</f>
        <v>400</v>
      </c>
      <c r="Q29" s="1201">
        <f>'Segment model'!R50</f>
        <v>450</v>
      </c>
      <c r="R29" s="1051">
        <f>'Segment model'!S50</f>
        <v>450</v>
      </c>
      <c r="S29" s="1052">
        <f>'Segment model'!T50</f>
        <v>450</v>
      </c>
      <c r="T29" s="1148">
        <f>'Segment model'!U50</f>
        <v>495.00000000000006</v>
      </c>
      <c r="U29" s="1201">
        <f>'Segment model'!V50</f>
        <v>475</v>
      </c>
      <c r="V29" s="1201">
        <f>'Segment model'!W50</f>
        <v>498.75</v>
      </c>
      <c r="W29" s="1052">
        <f>'Segment model'!X50</f>
        <v>523.6875</v>
      </c>
      <c r="X29" s="1148">
        <f>'Segment model'!Y50</f>
        <v>549.87187500000005</v>
      </c>
      <c r="Y29" s="1201">
        <f>'Segment model'!Z50</f>
        <v>577.3654687500001</v>
      </c>
      <c r="Z29" s="1201">
        <f>'Segment model'!AA50</f>
        <v>606.23374218750018</v>
      </c>
      <c r="AA29" s="1052">
        <f>'Segment model'!AB50</f>
        <v>636.54542929687523</v>
      </c>
      <c r="AB29" s="1148">
        <f>'Segment model'!AC50</f>
        <v>668.37270076171899</v>
      </c>
      <c r="AC29" s="1201">
        <f>'Segment model'!AD50</f>
        <v>701.79133579980498</v>
      </c>
      <c r="AD29" s="1201">
        <f>'Segment model'!AE50</f>
        <v>736.88090258979526</v>
      </c>
      <c r="AE29" s="1052">
        <f>'Segment model'!AF50</f>
        <v>773.72494771928507</v>
      </c>
    </row>
    <row r="30" spans="2:31">
      <c r="B30" s="914"/>
      <c r="C30" s="916" t="s">
        <v>494</v>
      </c>
      <c r="D30" s="1051">
        <f>'Segment model'!E51</f>
        <v>1611.4629206751513</v>
      </c>
      <c r="E30" s="1051">
        <f>'Segment model'!F51</f>
        <v>2117.6379704480141</v>
      </c>
      <c r="F30" s="1051">
        <f>'Segment model'!G51</f>
        <v>1970.2447772288847</v>
      </c>
      <c r="G30" s="1052">
        <f>'Segment model'!H51</f>
        <v>2247.2396944788261</v>
      </c>
      <c r="H30" s="1051">
        <f>'Segment model'!I51</f>
        <v>2652.1632667671229</v>
      </c>
      <c r="I30" s="1051">
        <f>'Segment model'!J51</f>
        <v>2993.3231301054793</v>
      </c>
      <c r="J30" s="1051">
        <f>'Segment model'!K51</f>
        <v>2849.7874253133114</v>
      </c>
      <c r="K30" s="1052">
        <f>'Segment model'!L51</f>
        <v>2693.8</v>
      </c>
      <c r="L30" s="1051">
        <f>'Segment model'!M51</f>
        <v>2907</v>
      </c>
      <c r="M30" s="1051">
        <f>'Segment model'!N51</f>
        <v>3245.835</v>
      </c>
      <c r="N30" s="1051">
        <f>'Segment model'!O51</f>
        <v>2874</v>
      </c>
      <c r="O30" s="1052">
        <f>'Segment model'!P51</f>
        <v>3278</v>
      </c>
      <c r="P30" s="1051">
        <f>'Segment model'!Q51</f>
        <v>4150</v>
      </c>
      <c r="Q30" s="1201">
        <f>'Segment model'!R51</f>
        <v>4850</v>
      </c>
      <c r="R30" s="1051">
        <f>'Segment model'!S51</f>
        <v>5751</v>
      </c>
      <c r="S30" s="1052">
        <f>'Segment model'!T51</f>
        <v>5930.8289999999997</v>
      </c>
      <c r="T30" s="1148">
        <f>'Segment model'!U51</f>
        <v>6141.0621599999995</v>
      </c>
      <c r="U30" s="1201">
        <f>'Segment model'!V51</f>
        <v>7023.7502407999991</v>
      </c>
      <c r="V30" s="1201">
        <f>'Segment model'!W51</f>
        <v>8049.8252745120008</v>
      </c>
      <c r="W30" s="1052">
        <f>'Segment model'!X51</f>
        <v>9734.6028294143998</v>
      </c>
      <c r="X30" s="1148">
        <f>'Segment model'!Y51</f>
        <v>10529.081680767551</v>
      </c>
      <c r="Y30" s="1201">
        <f>'Segment model'!Z51</f>
        <v>11055.535764805929</v>
      </c>
      <c r="Z30" s="1201">
        <f>'Segment model'!AA51</f>
        <v>11608.312553046226</v>
      </c>
      <c r="AA30" s="1052">
        <f>'Segment model'!AB51</f>
        <v>13043.746421364898</v>
      </c>
      <c r="AB30" s="1148">
        <f>'Segment model'!AC51</f>
        <v>14379.948334966233</v>
      </c>
      <c r="AC30" s="1201">
        <f>'Segment model'!AD51</f>
        <v>15851.361803500942</v>
      </c>
      <c r="AD30" s="1201">
        <f>'Segment model'!AE51</f>
        <v>17471.58755064103</v>
      </c>
      <c r="AE30" s="1052">
        <f>'Segment model'!AF51</f>
        <v>19255.590350834624</v>
      </c>
    </row>
    <row r="31" spans="2:31">
      <c r="B31" s="913" t="s">
        <v>495</v>
      </c>
      <c r="D31" s="1053">
        <f>'Segment model'!E60</f>
        <v>0.59578299260879009</v>
      </c>
      <c r="E31" s="1053">
        <f>'Segment model'!F60</f>
        <v>0.49080502378035157</v>
      </c>
      <c r="F31" s="1053">
        <f>'Segment model'!G60</f>
        <v>0.48897674324602197</v>
      </c>
      <c r="G31" s="1054">
        <f>'Segment model'!H60</f>
        <v>0.46270478304841256</v>
      </c>
      <c r="H31" s="1053">
        <f>'Segment model'!I60</f>
        <v>0.43553952691531744</v>
      </c>
      <c r="I31" s="1053">
        <f>'Segment model'!J60</f>
        <v>0.3961233024254478</v>
      </c>
      <c r="J31" s="1053">
        <f>'Segment model'!K60</f>
        <v>0.40795107033639139</v>
      </c>
      <c r="K31" s="1054">
        <f>'Segment model'!L60</f>
        <v>0.41339134965327529</v>
      </c>
      <c r="L31" s="1053">
        <f>'Segment model'!M60</f>
        <v>0.3839035111700243</v>
      </c>
      <c r="M31" s="1053">
        <f>'Segment model'!N60</f>
        <v>0.32673009950611115</v>
      </c>
      <c r="N31" s="1053">
        <f>'Segment model'!O60</f>
        <v>0.30311120474274506</v>
      </c>
      <c r="O31" s="1054">
        <f>'Segment model'!P60</f>
        <v>0.2985870580129355</v>
      </c>
      <c r="P31" s="1053">
        <f>'Segment model'!Q60</f>
        <v>0.29441743172092327</v>
      </c>
      <c r="Q31" s="1202">
        <f>'Segment model'!R60</f>
        <v>0.27559701965598454</v>
      </c>
      <c r="R31" s="1053">
        <f>'Segment model'!S60</f>
        <v>0.28455669632157482</v>
      </c>
      <c r="S31" s="1054">
        <f>'Segment model'!T60</f>
        <v>0.29835058089111027</v>
      </c>
      <c r="T31" s="1390">
        <f>'Segment model'!U60</f>
        <v>0.28657177345655954</v>
      </c>
      <c r="U31" s="1202">
        <f>'Segment model'!V60</f>
        <v>0.25484611119297146</v>
      </c>
      <c r="V31" s="1202">
        <f>'Segment model'!W60</f>
        <v>0.235094991865409</v>
      </c>
      <c r="W31" s="1054">
        <f>'Segment model'!X60</f>
        <v>0.21248983504196162</v>
      </c>
      <c r="X31" s="1390">
        <f>'Segment model'!Y60</f>
        <v>0.19142832349496877</v>
      </c>
      <c r="Y31" s="1202">
        <f>'Segment model'!Z60</f>
        <v>0.17974409563319901</v>
      </c>
      <c r="Z31" s="1202">
        <f>'Segment model'!AA60</f>
        <v>0.1687311421753247</v>
      </c>
      <c r="AA31" s="1054">
        <f>'Segment model'!AB60</f>
        <v>0.15863755898621681</v>
      </c>
      <c r="AB31" s="1390">
        <f>'Segment model'!AC60</f>
        <v>0.15060376950176879</v>
      </c>
      <c r="AC31" s="1202">
        <f>'Segment model'!AD60</f>
        <v>0.14444116955779943</v>
      </c>
      <c r="AD31" s="1202">
        <f>'Segment model'!AE60</f>
        <v>0.13994830054357965</v>
      </c>
      <c r="AE31" s="1054">
        <f>'Segment model'!AF60</f>
        <v>0.1355957723072273</v>
      </c>
    </row>
    <row r="32" spans="2:31">
      <c r="B32" s="914"/>
      <c r="D32" s="1034"/>
      <c r="E32" s="1034"/>
      <c r="F32" s="1034"/>
      <c r="G32" s="1041" t="s">
        <v>252</v>
      </c>
      <c r="H32" s="1034"/>
      <c r="I32" s="1034"/>
      <c r="J32" s="1034"/>
      <c r="K32" s="1041"/>
      <c r="L32" s="1034"/>
      <c r="M32" s="1034"/>
      <c r="N32" s="1034"/>
      <c r="O32" s="1041"/>
      <c r="P32" s="1034"/>
      <c r="Q32" s="1199"/>
      <c r="R32" s="1034"/>
      <c r="S32" s="1041"/>
      <c r="T32" s="1149"/>
      <c r="U32" s="1199"/>
      <c r="V32" s="1199"/>
      <c r="W32" s="1041"/>
      <c r="X32" s="1149"/>
      <c r="Y32" s="1199"/>
      <c r="Z32" s="1199"/>
      <c r="AA32" s="1041"/>
      <c r="AB32" s="1149"/>
      <c r="AC32" s="1199"/>
      <c r="AD32" s="1199"/>
      <c r="AE32" s="1041"/>
    </row>
    <row r="33" spans="2:34" s="963" customFormat="1">
      <c r="B33" s="970" t="s">
        <v>496</v>
      </c>
      <c r="D33" s="1051">
        <f t="shared" ref="D33:O33" si="61">D34+D35</f>
        <v>764.45725626026672</v>
      </c>
      <c r="E33" s="1051">
        <f t="shared" si="61"/>
        <v>865.62955858282703</v>
      </c>
      <c r="F33" s="1051">
        <f t="shared" si="61"/>
        <v>813.61355317935568</v>
      </c>
      <c r="G33" s="1052">
        <f>G34+G35</f>
        <v>915.24090912600775</v>
      </c>
      <c r="H33" s="1051">
        <f t="shared" si="61"/>
        <v>983.55094919947874</v>
      </c>
      <c r="I33" s="1051">
        <f t="shared" si="61"/>
        <v>1059.1090829183427</v>
      </c>
      <c r="J33" s="1051">
        <f t="shared" si="61"/>
        <v>1045.4779999999998</v>
      </c>
      <c r="K33" s="1052">
        <f t="shared" si="61"/>
        <v>999.31666521220609</v>
      </c>
      <c r="L33" s="1051">
        <f t="shared" si="61"/>
        <v>896.99392453469625</v>
      </c>
      <c r="M33" s="1051">
        <f t="shared" si="61"/>
        <v>869.50590579183279</v>
      </c>
      <c r="N33" s="1051">
        <f t="shared" si="61"/>
        <v>754.95904568841058</v>
      </c>
      <c r="O33" s="1052">
        <f t="shared" si="61"/>
        <v>904.72592333851719</v>
      </c>
      <c r="P33" s="1051">
        <f t="shared" ref="P33:Q33" si="62">P34+P35</f>
        <v>1027.5674823193017</v>
      </c>
      <c r="Q33" s="1201">
        <f t="shared" si="62"/>
        <v>1014.8516588401683</v>
      </c>
      <c r="R33" s="1051">
        <f t="shared" ref="R33:S33" si="63">R34+R35</f>
        <v>1103</v>
      </c>
      <c r="S33" s="1052">
        <f t="shared" si="63"/>
        <v>1173</v>
      </c>
      <c r="T33" s="1148">
        <f t="shared" ref="T33:W33" si="64">T34+T35</f>
        <v>1004.35</v>
      </c>
      <c r="U33" s="1201">
        <f t="shared" si="64"/>
        <v>1041.75</v>
      </c>
      <c r="V33" s="1201">
        <f t="shared" si="64"/>
        <v>1109.8499999999999</v>
      </c>
      <c r="W33" s="1052">
        <f t="shared" si="64"/>
        <v>1257.6056249999999</v>
      </c>
      <c r="X33" s="1148">
        <f t="shared" ref="X33:AA33" si="65">X34+X35</f>
        <v>1304.9871875000001</v>
      </c>
      <c r="Y33" s="1201">
        <f t="shared" si="65"/>
        <v>1401.9628921875001</v>
      </c>
      <c r="Z33" s="1201">
        <f t="shared" si="65"/>
        <v>1598.4986993750001</v>
      </c>
      <c r="AA33" s="1052">
        <f t="shared" si="65"/>
        <v>1744.5581800507812</v>
      </c>
      <c r="AB33" s="1148">
        <f t="shared" ref="AB33:AE33" si="66">AB34+AB35</f>
        <v>1825.1023620457031</v>
      </c>
      <c r="AC33" s="1201">
        <f t="shared" si="66"/>
        <v>1909.3395667899904</v>
      </c>
      <c r="AD33" s="1201">
        <f t="shared" si="66"/>
        <v>1997.437736103592</v>
      </c>
      <c r="AE33" s="1052">
        <f t="shared" si="66"/>
        <v>2089.5723734315789</v>
      </c>
    </row>
    <row r="34" spans="2:34">
      <c r="B34" s="913"/>
      <c r="C34" s="916" t="s">
        <v>502</v>
      </c>
      <c r="D34" s="1051">
        <f>'Segment model'!E65</f>
        <v>101</v>
      </c>
      <c r="E34" s="1051">
        <f>'Segment model'!F65</f>
        <v>104</v>
      </c>
      <c r="F34" s="1051">
        <f>'Segment model'!G65</f>
        <v>107</v>
      </c>
      <c r="G34" s="1052">
        <f>'Segment model'!H65</f>
        <v>111</v>
      </c>
      <c r="H34" s="1051">
        <f>'Segment model'!I65</f>
        <v>108</v>
      </c>
      <c r="I34" s="1051">
        <f>'Segment model'!J65</f>
        <v>100</v>
      </c>
      <c r="J34" s="1051">
        <f>'Segment model'!K65</f>
        <v>101</v>
      </c>
      <c r="K34" s="1052">
        <f>'Segment model'!L65</f>
        <v>111</v>
      </c>
      <c r="L34" s="1051">
        <f>'Segment model'!M65</f>
        <v>80</v>
      </c>
      <c r="M34" s="1051">
        <f>'Segment model'!N65</f>
        <v>70.400000000000006</v>
      </c>
      <c r="N34" s="1051">
        <f>'Segment model'!O65</f>
        <v>70</v>
      </c>
      <c r="O34" s="1052">
        <f>'Segment model'!P65</f>
        <v>63</v>
      </c>
      <c r="P34" s="1051">
        <f>'Segment model'!Q65</f>
        <v>66</v>
      </c>
      <c r="Q34" s="1201">
        <f>'Segment model'!R65</f>
        <v>67.5</v>
      </c>
      <c r="R34" s="1051">
        <f>'Segment model'!S65</f>
        <v>63.000000000000007</v>
      </c>
      <c r="S34" s="1052">
        <f>'Segment model'!T65</f>
        <v>63.000000000000007</v>
      </c>
      <c r="T34" s="1148">
        <f>'Segment model'!U65</f>
        <v>64.350000000000009</v>
      </c>
      <c r="U34" s="1201">
        <f>'Segment model'!V65</f>
        <v>61.75</v>
      </c>
      <c r="V34" s="1201">
        <f>'Segment model'!W65</f>
        <v>59.85</v>
      </c>
      <c r="W34" s="1052">
        <f>'Segment model'!X65</f>
        <v>57.605625000000011</v>
      </c>
      <c r="X34" s="1148">
        <f>'Segment model'!Y65</f>
        <v>54.987187500000019</v>
      </c>
      <c r="Y34" s="1201">
        <f>'Segment model'!Z65</f>
        <v>51.962892187500024</v>
      </c>
      <c r="Z34" s="1201">
        <f>'Segment model'!AA65</f>
        <v>48.498699375000029</v>
      </c>
      <c r="AA34" s="1052">
        <f>'Segment model'!AB65</f>
        <v>44.558180050781289</v>
      </c>
      <c r="AB34" s="1148">
        <f>'Segment model'!AC65</f>
        <v>40.10236204570316</v>
      </c>
      <c r="AC34" s="1201">
        <f>'Segment model'!AD65</f>
        <v>35.089566789990272</v>
      </c>
      <c r="AD34" s="1201">
        <f>'Segment model'!AE65</f>
        <v>29.475236103591833</v>
      </c>
      <c r="AE34" s="1052">
        <f>'Segment model'!AF65</f>
        <v>23.211748431578574</v>
      </c>
    </row>
    <row r="35" spans="2:34">
      <c r="B35" s="913"/>
      <c r="C35" s="916" t="s">
        <v>503</v>
      </c>
      <c r="D35" s="1051">
        <f t="shared" ref="D35:O35" si="67">(D27-D34)*(1-D36)</f>
        <v>663.45725626026672</v>
      </c>
      <c r="E35" s="1051">
        <f t="shared" si="67"/>
        <v>761.62955858282703</v>
      </c>
      <c r="F35" s="1051">
        <f t="shared" si="67"/>
        <v>706.61355317935568</v>
      </c>
      <c r="G35" s="1052">
        <f t="shared" si="67"/>
        <v>804.24090912600775</v>
      </c>
      <c r="H35" s="1051">
        <f t="shared" si="67"/>
        <v>875.55094919947874</v>
      </c>
      <c r="I35" s="1051">
        <f t="shared" si="67"/>
        <v>959.10908291834255</v>
      </c>
      <c r="J35" s="1051">
        <f t="shared" si="67"/>
        <v>944.47799999999984</v>
      </c>
      <c r="K35" s="1052">
        <f t="shared" si="67"/>
        <v>888.31666521220609</v>
      </c>
      <c r="L35" s="1051">
        <f t="shared" si="67"/>
        <v>816.99392453469625</v>
      </c>
      <c r="M35" s="1051">
        <f t="shared" si="67"/>
        <v>799.10590579183281</v>
      </c>
      <c r="N35" s="1051">
        <f t="shared" ref="N35" si="68">(N27-N34)*(1-N36)</f>
        <v>684.95904568841058</v>
      </c>
      <c r="O35" s="1052">
        <f t="shared" si="67"/>
        <v>841.72592333851719</v>
      </c>
      <c r="P35" s="1051">
        <f t="shared" ref="P35:Q35" si="69">(P27-P34)*(1-P36)</f>
        <v>961.56748231930169</v>
      </c>
      <c r="Q35" s="1201">
        <f t="shared" si="69"/>
        <v>947.35165884016828</v>
      </c>
      <c r="R35" s="1051">
        <v>1040</v>
      </c>
      <c r="S35" s="1052">
        <v>1110</v>
      </c>
      <c r="T35" s="1391">
        <v>940</v>
      </c>
      <c r="U35" s="1055">
        <v>980</v>
      </c>
      <c r="V35" s="1055">
        <v>1050</v>
      </c>
      <c r="W35" s="1384">
        <v>1200</v>
      </c>
      <c r="X35" s="1391">
        <v>1250</v>
      </c>
      <c r="Y35" s="1055">
        <v>1350</v>
      </c>
      <c r="Z35" s="1055">
        <v>1550</v>
      </c>
      <c r="AA35" s="1384">
        <v>1700</v>
      </c>
      <c r="AB35" s="1391">
        <f>AA35*1.05</f>
        <v>1785</v>
      </c>
      <c r="AC35" s="1055">
        <f>AB35*1.05</f>
        <v>1874.25</v>
      </c>
      <c r="AD35" s="1055">
        <f t="shared" ref="AD35:AE35" si="70">AC35*1.05</f>
        <v>1967.9625000000001</v>
      </c>
      <c r="AE35" s="1055">
        <f t="shared" si="70"/>
        <v>2066.3606250000003</v>
      </c>
    </row>
    <row r="36" spans="2:34">
      <c r="B36" s="914"/>
      <c r="C36" s="919" t="s">
        <v>506</v>
      </c>
      <c r="D36" s="1047">
        <v>0.34</v>
      </c>
      <c r="E36" s="1047">
        <v>0.29299999999999998</v>
      </c>
      <c r="F36" s="1047">
        <v>0.29499999999999998</v>
      </c>
      <c r="G36" s="1048">
        <v>0.25</v>
      </c>
      <c r="H36" s="1047">
        <v>0.26400000000000001</v>
      </c>
      <c r="I36" s="1047">
        <v>0.215</v>
      </c>
      <c r="J36" s="1047">
        <v>0.23400000000000001</v>
      </c>
      <c r="K36" s="1048">
        <v>0.23400000000000001</v>
      </c>
      <c r="L36" s="1002">
        <v>0.29499999999999998</v>
      </c>
      <c r="M36" s="979">
        <v>0.27</v>
      </c>
      <c r="N36" s="979">
        <v>0.245</v>
      </c>
      <c r="O36" s="979">
        <v>0.17499999999999999</v>
      </c>
      <c r="P36" s="1002">
        <v>0.245</v>
      </c>
      <c r="Q36" s="979">
        <v>0.32</v>
      </c>
      <c r="R36" s="1047">
        <f t="shared" ref="R36" si="71">(R27-R35)/R27</f>
        <v>0.41060995272982864</v>
      </c>
      <c r="S36" s="1048">
        <f>('Segment model'!T66-'COGS model'!S35)/'Segment model'!T66</f>
        <v>0.39697641979306447</v>
      </c>
      <c r="T36" s="1392">
        <f>('Segment model'!U66-'COGS model'!T35)/'Segment model'!U66</f>
        <v>0.48839586632693865</v>
      </c>
      <c r="U36" s="1047">
        <f>('Segment model'!V66-'COGS model'!U35)/'Segment model'!V66</f>
        <v>0.47006326199185633</v>
      </c>
      <c r="V36" s="1047">
        <f>('Segment model'!W66-'COGS model'!V35)/'Segment model'!W66</f>
        <v>0.46150455969428017</v>
      </c>
      <c r="W36" s="1048">
        <f>('Segment model'!X66-'COGS model'!W35)/'Segment model'!X66</f>
        <v>0.43454286990684238</v>
      </c>
      <c r="X36" s="1392">
        <f>('Segment model'!Y66-'COGS model'!X35)/'Segment model'!Y66</f>
        <v>0.39491876530015052</v>
      </c>
      <c r="Y36" s="1047">
        <f>('Segment model'!Z66-'COGS model'!Y35)/'Segment model'!Z66</f>
        <v>0.33790503193937443</v>
      </c>
      <c r="Z36" s="1047">
        <f>('Segment model'!AA66-'COGS model'!Z35)/'Segment model'!AA66</f>
        <v>0.22980434500809058</v>
      </c>
      <c r="AA36" s="1048">
        <f>('Segment model'!AB66-'COGS model'!AA35)/'Segment model'!AB66</f>
        <v>0.20024460297040783</v>
      </c>
      <c r="AB36" s="1392">
        <f>('Segment model'!AC66-'COGS model'!AB35)/'Segment model'!AC66</f>
        <v>0.19819659748111568</v>
      </c>
      <c r="AC36" s="1047">
        <f>('Segment model'!AD66-'COGS model'!AC35)/'Segment model'!AD66</f>
        <v>0.20443309617444089</v>
      </c>
      <c r="AD36" s="1047">
        <f>('Segment model'!AE66-'COGS model'!AD35)/'Segment model'!AE66</f>
        <v>0.21868082540569142</v>
      </c>
      <c r="AE36" s="1048">
        <f>('Segment model'!AF66-'COGS model'!AE35)/'Segment model'!AF66</f>
        <v>0.23260038291509791</v>
      </c>
    </row>
    <row r="37" spans="2:34">
      <c r="B37" s="914"/>
      <c r="C37" s="919" t="s">
        <v>507</v>
      </c>
      <c r="D37" s="947">
        <f>(D27-D33)/D27</f>
        <v>0.3089578628560441</v>
      </c>
      <c r="E37" s="947">
        <f t="shared" ref="E37:O37" si="72">(E27-E33)/E27</f>
        <v>0.26720402440402097</v>
      </c>
      <c r="F37" s="947">
        <f t="shared" si="72"/>
        <v>0.26654482939770047</v>
      </c>
      <c r="G37" s="948">
        <f>(G27-G33)/G27</f>
        <v>0.22654905556103561</v>
      </c>
      <c r="H37" s="947">
        <f t="shared" si="72"/>
        <v>0.24202725007436643</v>
      </c>
      <c r="I37" s="947">
        <f t="shared" si="72"/>
        <v>0.19873424030509537</v>
      </c>
      <c r="J37" s="947">
        <f t="shared" si="72"/>
        <v>0.21628335832083956</v>
      </c>
      <c r="K37" s="948">
        <f t="shared" si="72"/>
        <v>0.21355901378713082</v>
      </c>
      <c r="L37" s="947">
        <f t="shared" si="72"/>
        <v>0.27595017662406573</v>
      </c>
      <c r="M37" s="947">
        <f t="shared" si="72"/>
        <v>0.2536850391923291</v>
      </c>
      <c r="N37" s="947">
        <f t="shared" si="72"/>
        <v>0.22745040491755064</v>
      </c>
      <c r="O37" s="948">
        <f t="shared" si="72"/>
        <v>0.16482251806787643</v>
      </c>
      <c r="P37" s="947">
        <f t="shared" ref="P37:Q37" si="73">(P27-P33)/P27</f>
        <v>0.23292922642836306</v>
      </c>
      <c r="Q37" s="1190">
        <f t="shared" si="73"/>
        <v>0.3052122069273448</v>
      </c>
      <c r="R37" s="947">
        <f t="shared" ref="R37:S37" si="74">(R27-R33)/R27</f>
        <v>0.37490651717403944</v>
      </c>
      <c r="S37" s="948">
        <f t="shared" si="74"/>
        <v>0.38383926654063188</v>
      </c>
      <c r="T37" s="946">
        <f t="shared" ref="T37:W37" si="75">(T27-T33)/T27</f>
        <v>0.47186952668219467</v>
      </c>
      <c r="U37" s="1190">
        <f t="shared" si="75"/>
        <v>0.45487436026567396</v>
      </c>
      <c r="V37" s="1190">
        <f t="shared" si="75"/>
        <v>0.44776087974514794</v>
      </c>
      <c r="W37" s="948">
        <f t="shared" si="75"/>
        <v>0.42305910281998199</v>
      </c>
      <c r="X37" s="946">
        <f t="shared" ref="X37:AA37" si="76">(X27-X33)/X27</f>
        <v>0.38467960505760429</v>
      </c>
      <c r="Y37" s="1190">
        <f t="shared" si="76"/>
        <v>0.32950762305208453</v>
      </c>
      <c r="Z37" s="1190">
        <f t="shared" si="76"/>
        <v>0.22439660577209519</v>
      </c>
      <c r="AA37" s="948">
        <f t="shared" si="76"/>
        <v>0.19613322994073468</v>
      </c>
      <c r="AB37" s="946">
        <f t="shared" ref="AB37:AE37" si="77">(AB27-AB33)/AB27</f>
        <v>0.19468954505414532</v>
      </c>
      <c r="AC37" s="1190">
        <f t="shared" si="77"/>
        <v>0.2014328459046042</v>
      </c>
      <c r="AD37" s="1190">
        <f t="shared" si="77"/>
        <v>0.2161513704496569</v>
      </c>
      <c r="AE37" s="948">
        <f t="shared" si="77"/>
        <v>0.23061243030079018</v>
      </c>
    </row>
    <row r="38" spans="2:34" s="963" customFormat="1">
      <c r="B38" s="970" t="s">
        <v>514</v>
      </c>
      <c r="C38" s="983"/>
      <c r="D38" s="1011">
        <f>D35/D30</f>
        <v>0.4117111524864</v>
      </c>
      <c r="E38" s="1011">
        <f t="shared" ref="E38:O38" si="78">E35/E30</f>
        <v>0.35965994622853042</v>
      </c>
      <c r="F38" s="1011">
        <f t="shared" si="78"/>
        <v>0.35864252063806784</v>
      </c>
      <c r="G38" s="1011">
        <f>G35/G30</f>
        <v>0.35787945144522076</v>
      </c>
      <c r="H38" s="1012">
        <f>H35/H30</f>
        <v>0.33012709291714876</v>
      </c>
      <c r="I38" s="1011">
        <f t="shared" si="78"/>
        <v>0.32041615329533274</v>
      </c>
      <c r="J38" s="1011">
        <f t="shared" si="78"/>
        <v>0.33142050933716993</v>
      </c>
      <c r="K38" s="1013">
        <f>K35/K30</f>
        <v>0.3297634067904841</v>
      </c>
      <c r="L38" s="1011">
        <f>L35/L30</f>
        <v>0.28104366169064199</v>
      </c>
      <c r="M38" s="1011">
        <f t="shared" si="78"/>
        <v>0.24619424764100234</v>
      </c>
      <c r="N38" s="1011">
        <f t="shared" si="78"/>
        <v>0.23832952181225142</v>
      </c>
      <c r="O38" s="1013">
        <f t="shared" si="78"/>
        <v>0.25678033048765014</v>
      </c>
      <c r="P38" s="1011">
        <f>P35/P30</f>
        <v>0.23170300778778355</v>
      </c>
      <c r="Q38" s="1198">
        <f t="shared" ref="Q38" si="79">Q35/Q30</f>
        <v>0.19533023893611717</v>
      </c>
      <c r="R38" s="1011">
        <f t="shared" ref="R38:S38" si="80">R35/R30</f>
        <v>0.18083811511041559</v>
      </c>
      <c r="S38" s="1013">
        <f t="shared" si="80"/>
        <v>0.18715764693266321</v>
      </c>
      <c r="T38" s="1012">
        <f t="shared" ref="T38:W38" si="81">T35/T30</f>
        <v>0.15306798327538831</v>
      </c>
      <c r="U38" s="1198">
        <f t="shared" si="81"/>
        <v>0.13952660137419393</v>
      </c>
      <c r="V38" s="1198">
        <f t="shared" si="81"/>
        <v>0.13043761376095875</v>
      </c>
      <c r="W38" s="1013">
        <f t="shared" si="81"/>
        <v>0.12327159320501911</v>
      </c>
      <c r="X38" s="1012">
        <f t="shared" ref="X38:AA38" si="82">X35/X30</f>
        <v>0.1187188054855015</v>
      </c>
      <c r="Y38" s="1198">
        <f t="shared" si="82"/>
        <v>0.12211077135651581</v>
      </c>
      <c r="Z38" s="1198">
        <f t="shared" si="82"/>
        <v>0.13352500571611958</v>
      </c>
      <c r="AA38" s="1013">
        <f t="shared" si="82"/>
        <v>0.13033065386915976</v>
      </c>
      <c r="AB38" s="1012">
        <f t="shared" ref="AB38:AE38" si="83">AB35/AB30</f>
        <v>0.12413118311834265</v>
      </c>
      <c r="AC38" s="1198">
        <f t="shared" si="83"/>
        <v>0.11823905246967815</v>
      </c>
      <c r="AD38" s="1198">
        <f t="shared" si="83"/>
        <v>0.11263787531018014</v>
      </c>
      <c r="AE38" s="1013">
        <f t="shared" si="83"/>
        <v>0.10731224477417463</v>
      </c>
    </row>
    <row r="39" spans="2:34">
      <c r="B39" s="914"/>
      <c r="C39" s="919" t="s">
        <v>501</v>
      </c>
      <c r="D39" s="959">
        <v>-7.0000000000000007E-2</v>
      </c>
      <c r="E39" s="959">
        <f t="shared" ref="E39:Q39" si="84">E38/D38-1</f>
        <v>-0.12642651515151504</v>
      </c>
      <c r="F39" s="959">
        <f t="shared" si="84"/>
        <v>-2.8288543140028155E-3</v>
      </c>
      <c r="G39" s="959">
        <f>G38/F38-1</f>
        <v>-2.1276595744684768E-3</v>
      </c>
      <c r="H39" s="958">
        <f t="shared" si="84"/>
        <v>-7.7546666666666542E-2</v>
      </c>
      <c r="I39" s="959">
        <f t="shared" si="84"/>
        <v>-2.9415760869566543E-2</v>
      </c>
      <c r="J39" s="959">
        <f t="shared" si="84"/>
        <v>3.4343949044586042E-2</v>
      </c>
      <c r="K39" s="960">
        <f>K38/J38-1</f>
        <v>-4.9999999999998934E-3</v>
      </c>
      <c r="L39" s="959">
        <f t="shared" si="84"/>
        <v>-0.14774151436031324</v>
      </c>
      <c r="M39" s="959">
        <f t="shared" si="84"/>
        <v>-0.12400000000000011</v>
      </c>
      <c r="N39" s="959">
        <f t="shared" si="84"/>
        <v>-3.194520547945201E-2</v>
      </c>
      <c r="O39" s="960">
        <f t="shared" si="84"/>
        <v>7.7417218543045951E-2</v>
      </c>
      <c r="P39" s="959">
        <f t="shared" si="84"/>
        <v>-9.7660606060605892E-2</v>
      </c>
      <c r="Q39" s="1193">
        <f t="shared" si="84"/>
        <v>-0.15698013245033116</v>
      </c>
      <c r="R39" s="959">
        <f t="shared" ref="R39" si="85">R38/Q38-1</f>
        <v>-7.4192935536423699E-2</v>
      </c>
      <c r="S39" s="960">
        <f t="shared" ref="S39" si="86">S38/R38-1</f>
        <v>3.4945795682448155E-2</v>
      </c>
      <c r="T39" s="958">
        <f t="shared" ref="T39" si="87">T38/S38-1</f>
        <v>-0.18214411335028113</v>
      </c>
      <c r="U39" s="1193">
        <f t="shared" ref="U39" si="88">U38/T38-1</f>
        <v>-8.8466455305886926E-2</v>
      </c>
      <c r="V39" s="1193">
        <f t="shared" ref="V39" si="89">V38/U38-1</f>
        <v>-6.514161116029471E-2</v>
      </c>
      <c r="W39" s="960">
        <f t="shared" ref="W39" si="90">W38/V38-1</f>
        <v>-5.4938298465595614E-2</v>
      </c>
      <c r="X39" s="958">
        <f t="shared" ref="X39" si="91">X38/W38-1</f>
        <v>-3.6932983513449424E-2</v>
      </c>
      <c r="Y39" s="1193">
        <f t="shared" ref="Y39" si="92">Y38/X38-1</f>
        <v>2.857142857142847E-2</v>
      </c>
      <c r="Z39" s="1193">
        <f t="shared" ref="Z39" si="93">Z38/Y38-1</f>
        <v>9.347442680776008E-2</v>
      </c>
      <c r="AA39" s="960">
        <f t="shared" ref="AA39" si="94">AA38/Z38-1</f>
        <v>-2.3923248157361354E-2</v>
      </c>
      <c r="AB39" s="958">
        <f t="shared" ref="AB39" si="95">AB38/AA38-1</f>
        <v>-4.7567249659015931E-2</v>
      </c>
      <c r="AC39" s="1193">
        <f t="shared" ref="AC39" si="96">AC38/AB38-1</f>
        <v>-4.7466966000373367E-2</v>
      </c>
      <c r="AD39" s="1193">
        <f t="shared" ref="AD39" si="97">AD38/AC38-1</f>
        <v>-4.7371634350118041E-2</v>
      </c>
      <c r="AE39" s="960">
        <f t="shared" ref="AE39" si="98">AE38/AD38-1</f>
        <v>-4.7280992484454165E-2</v>
      </c>
    </row>
    <row r="40" spans="2:34">
      <c r="B40" s="914"/>
      <c r="C40" s="919"/>
      <c r="H40" s="914"/>
      <c r="K40" s="915"/>
      <c r="O40" s="915"/>
      <c r="Q40" s="1186"/>
      <c r="S40" s="915"/>
      <c r="T40" s="914"/>
      <c r="U40" s="1186"/>
      <c r="V40" s="1186"/>
      <c r="W40" s="1187"/>
      <c r="X40" s="914"/>
      <c r="AA40" s="1187"/>
      <c r="AB40" s="914"/>
      <c r="AE40" s="1187"/>
    </row>
    <row r="41" spans="2:34">
      <c r="B41" s="914"/>
      <c r="C41" s="919"/>
      <c r="H41" s="914"/>
      <c r="K41" s="915"/>
      <c r="O41" s="915"/>
      <c r="Q41" s="1186"/>
      <c r="S41" s="915"/>
      <c r="T41" s="914"/>
      <c r="U41" s="1186"/>
      <c r="V41" s="1186"/>
      <c r="W41" s="1187"/>
      <c r="X41" s="914"/>
      <c r="AA41" s="1187"/>
      <c r="AB41" s="914"/>
      <c r="AE41" s="1187"/>
    </row>
    <row r="42" spans="2:34">
      <c r="B42" s="913" t="s">
        <v>497</v>
      </c>
      <c r="D42" s="985">
        <f>'Segment model'!E72</f>
        <v>190</v>
      </c>
      <c r="E42" s="985">
        <f>'Segment model'!F72</f>
        <v>168</v>
      </c>
      <c r="F42" s="985">
        <f>'Segment model'!G72</f>
        <v>156</v>
      </c>
      <c r="G42" s="985">
        <f>'Segment model'!H72</f>
        <v>212</v>
      </c>
      <c r="H42" s="1007">
        <f>'Segment model'!I72</f>
        <v>160</v>
      </c>
      <c r="I42" s="985">
        <f>'Segment model'!J72</f>
        <v>124.97999999999999</v>
      </c>
      <c r="J42" s="985">
        <f>'Segment model'!K72</f>
        <v>130</v>
      </c>
      <c r="K42" s="994">
        <f>'Segment model'!L72</f>
        <v>144</v>
      </c>
      <c r="L42" s="985">
        <f>'Segment model'!M72</f>
        <v>187.77600000000001</v>
      </c>
      <c r="M42" s="985">
        <f>'Segment model'!N72</f>
        <v>220.04999999999998</v>
      </c>
      <c r="N42" s="985">
        <f>'Segment model'!O72</f>
        <v>246.33</v>
      </c>
      <c r="O42" s="994">
        <f>'Segment model'!P72</f>
        <v>276.66199999999998</v>
      </c>
      <c r="P42" s="985">
        <f>'Segment model'!Q72</f>
        <v>302.12</v>
      </c>
      <c r="Q42" s="985">
        <f>'Segment model'!R72</f>
        <v>255.64000000000001</v>
      </c>
      <c r="R42" s="985">
        <f>'Segment model'!S72</f>
        <v>239</v>
      </c>
      <c r="S42" s="994">
        <f>'Segment model'!T72</f>
        <v>183</v>
      </c>
      <c r="T42" s="1007">
        <f>'Segment model'!U72</f>
        <v>343</v>
      </c>
      <c r="U42" s="985">
        <f>'Segment model'!V72</f>
        <v>221</v>
      </c>
      <c r="V42" s="985">
        <f>'Segment model'!W72</f>
        <v>220</v>
      </c>
      <c r="W42" s="994">
        <f>'Segment model'!X72</f>
        <v>240</v>
      </c>
      <c r="X42" s="1007">
        <f>'Segment model'!Y72</f>
        <v>240</v>
      </c>
      <c r="Y42" s="985">
        <f>'Segment model'!Z72</f>
        <v>240</v>
      </c>
      <c r="Z42" s="985">
        <f>'Segment model'!AA72</f>
        <v>240</v>
      </c>
      <c r="AA42" s="994">
        <f>'Segment model'!AB72</f>
        <v>240</v>
      </c>
      <c r="AB42" s="1007">
        <f>'Segment model'!AC72</f>
        <v>240</v>
      </c>
      <c r="AC42" s="985">
        <f>'Segment model'!AD72</f>
        <v>240</v>
      </c>
      <c r="AD42" s="985">
        <f>'Segment model'!AE72</f>
        <v>240</v>
      </c>
      <c r="AE42" s="994">
        <f>'Segment model'!AF72</f>
        <v>240</v>
      </c>
    </row>
    <row r="43" spans="2:34">
      <c r="B43" s="914"/>
      <c r="C43" s="916" t="s">
        <v>515</v>
      </c>
      <c r="D43" s="937">
        <f t="shared" ref="D43:N43" si="99">D46-D33-D19</f>
        <v>148.32362373973365</v>
      </c>
      <c r="E43" s="937">
        <f t="shared" si="99"/>
        <v>105.31300910948039</v>
      </c>
      <c r="F43" s="937">
        <f t="shared" si="99"/>
        <v>118.30905242064455</v>
      </c>
      <c r="G43" s="937">
        <f>G46-G33-G19</f>
        <v>200.17176687399228</v>
      </c>
      <c r="H43" s="933">
        <f t="shared" si="99"/>
        <v>117.18701080052074</v>
      </c>
      <c r="I43" s="937">
        <f t="shared" si="99"/>
        <v>144.43183708165702</v>
      </c>
      <c r="J43" s="937">
        <f t="shared" si="99"/>
        <v>170.50440000000003</v>
      </c>
      <c r="K43" s="938">
        <f>K46-K33-K19</f>
        <v>167.17965478779388</v>
      </c>
      <c r="L43" s="933">
        <f t="shared" si="99"/>
        <v>254.92935546530362</v>
      </c>
      <c r="M43" s="937">
        <f t="shared" si="99"/>
        <v>245.74001920816681</v>
      </c>
      <c r="N43" s="937">
        <f t="shared" si="99"/>
        <v>269.61586259310798</v>
      </c>
      <c r="O43" s="938">
        <f>O46-O33-O19</f>
        <v>189.37807666148274</v>
      </c>
      <c r="P43" s="933">
        <f t="shared" ref="P43:S43" si="100">P46-P33-P19</f>
        <v>188.38451768069831</v>
      </c>
      <c r="Q43" s="1188">
        <f t="shared" si="100"/>
        <v>263.82482115983157</v>
      </c>
      <c r="R43" s="1436">
        <f t="shared" si="100"/>
        <v>153.3230837401602</v>
      </c>
      <c r="S43" s="1437">
        <f t="shared" si="100"/>
        <v>192.05534358313071</v>
      </c>
      <c r="T43" s="1185">
        <f t="shared" ref="T43:U43" si="101">T46-T33-T19</f>
        <v>319.64972607316417</v>
      </c>
      <c r="U43" s="1185">
        <f t="shared" si="101"/>
        <v>264.79931093830942</v>
      </c>
      <c r="V43" s="1103">
        <v>175</v>
      </c>
      <c r="W43" s="1104">
        <v>200</v>
      </c>
      <c r="X43" s="1102">
        <v>200</v>
      </c>
      <c r="Y43" s="1103">
        <v>200</v>
      </c>
      <c r="Z43" s="1103">
        <v>200</v>
      </c>
      <c r="AA43" s="1104">
        <v>200</v>
      </c>
      <c r="AB43" s="1102">
        <v>200</v>
      </c>
      <c r="AC43" s="1103">
        <v>200</v>
      </c>
      <c r="AD43" s="1103">
        <v>200</v>
      </c>
      <c r="AE43" s="1104">
        <v>200</v>
      </c>
    </row>
    <row r="44" spans="2:34">
      <c r="B44" s="914"/>
      <c r="H44" s="914"/>
      <c r="K44" s="915"/>
      <c r="O44" s="915"/>
      <c r="Q44" s="1186"/>
      <c r="S44" s="915"/>
      <c r="T44" s="914"/>
      <c r="U44" s="1186"/>
      <c r="V44" s="1186"/>
      <c r="W44" s="1187"/>
      <c r="X44" s="914"/>
      <c r="AA44" s="1187"/>
      <c r="AB44" s="914"/>
      <c r="AE44" s="1187"/>
      <c r="AG44" s="1077"/>
    </row>
    <row r="45" spans="2:34" s="963" customFormat="1">
      <c r="B45" s="970" t="s">
        <v>498</v>
      </c>
      <c r="D45" s="972">
        <f t="shared" ref="D45:N45" si="102">D19+D33+D43</f>
        <v>2761</v>
      </c>
      <c r="E45" s="972">
        <f t="shared" si="102"/>
        <v>2704</v>
      </c>
      <c r="F45" s="972">
        <f t="shared" si="102"/>
        <v>2614</v>
      </c>
      <c r="G45" s="972">
        <f>G19+G33+G43</f>
        <v>2842</v>
      </c>
      <c r="H45" s="971">
        <f t="shared" si="102"/>
        <v>2935</v>
      </c>
      <c r="I45" s="972">
        <f t="shared" si="102"/>
        <v>2761</v>
      </c>
      <c r="J45" s="972">
        <f t="shared" si="102"/>
        <v>2651</v>
      </c>
      <c r="K45" s="973">
        <f t="shared" si="102"/>
        <v>2630</v>
      </c>
      <c r="L45" s="972">
        <f>L19+L33+L43</f>
        <v>2501</v>
      </c>
      <c r="M45" s="972">
        <f t="shared" si="102"/>
        <v>2355</v>
      </c>
      <c r="N45" s="972">
        <f t="shared" si="102"/>
        <v>2400</v>
      </c>
      <c r="O45" s="973">
        <f t="shared" ref="O45" si="103">O19+O33+O43</f>
        <v>2638</v>
      </c>
      <c r="P45" s="972">
        <f>P19+P33+P43</f>
        <v>2959</v>
      </c>
      <c r="Q45" s="1194">
        <f t="shared" ref="Q45" si="104">Q19+Q33+Q43</f>
        <v>2944</v>
      </c>
      <c r="R45" s="972">
        <f>R19+R33+R43</f>
        <v>2895</v>
      </c>
      <c r="S45" s="973">
        <f t="shared" ref="S45" si="105">S19+S33+S43</f>
        <v>3026</v>
      </c>
      <c r="T45" s="971">
        <f>T19+T33+T43</f>
        <v>3056</v>
      </c>
      <c r="U45" s="1194">
        <f t="shared" ref="U45" si="106">U19+U33+U43</f>
        <v>3081</v>
      </c>
      <c r="V45" s="1194">
        <f>V19+V33+V43</f>
        <v>3129.3006890616907</v>
      </c>
      <c r="W45" s="973">
        <f t="shared" ref="W45:AA45" si="107">W19+W33+W43</f>
        <v>3332.0563140616905</v>
      </c>
      <c r="X45" s="971">
        <f t="shared" si="107"/>
        <v>3539.963469911429</v>
      </c>
      <c r="Y45" s="1194">
        <f t="shared" si="107"/>
        <v>3383.5846274387068</v>
      </c>
      <c r="Z45" s="1194">
        <f t="shared" si="107"/>
        <v>3759.730175811218</v>
      </c>
      <c r="AA45" s="973">
        <f t="shared" si="107"/>
        <v>4034.2067352718736</v>
      </c>
      <c r="AB45" s="971">
        <f t="shared" ref="AB45:AE45" si="108">AB19+AB33+AB43</f>
        <v>4136.687962507729</v>
      </c>
      <c r="AC45" s="1194">
        <f t="shared" si="108"/>
        <v>4269.491636062643</v>
      </c>
      <c r="AD45" s="1194">
        <f t="shared" si="108"/>
        <v>4362.7113295550289</v>
      </c>
      <c r="AE45" s="973">
        <f t="shared" si="108"/>
        <v>4480.61652137069</v>
      </c>
      <c r="AG45" s="1194"/>
      <c r="AH45" s="1194"/>
    </row>
    <row r="46" spans="2:34">
      <c r="B46" s="913"/>
      <c r="C46" s="916" t="s">
        <v>513</v>
      </c>
      <c r="D46" s="985">
        <f>IS!CB12</f>
        <v>2761</v>
      </c>
      <c r="E46" s="985">
        <f>IS!CC12</f>
        <v>2704</v>
      </c>
      <c r="F46" s="985">
        <f>IS!CD12</f>
        <v>2614</v>
      </c>
      <c r="G46" s="985">
        <f>IS!CE12</f>
        <v>2842</v>
      </c>
      <c r="H46" s="1007">
        <f>IS!CF12</f>
        <v>2935</v>
      </c>
      <c r="I46" s="985">
        <f>IS!CG12</f>
        <v>2761</v>
      </c>
      <c r="J46" s="985">
        <f>IS!CH12</f>
        <v>2651</v>
      </c>
      <c r="K46" s="994">
        <f>IS!CI12</f>
        <v>2630</v>
      </c>
      <c r="L46" s="985">
        <f>IS!CJ12</f>
        <v>2501</v>
      </c>
      <c r="M46" s="985">
        <f>IS!CK12</f>
        <v>2355</v>
      </c>
      <c r="N46" s="985">
        <f>IS!CL12</f>
        <v>2400</v>
      </c>
      <c r="O46" s="994">
        <f>IS!CM12</f>
        <v>2638</v>
      </c>
      <c r="P46" s="985">
        <f>IS!CN12</f>
        <v>2959</v>
      </c>
      <c r="Q46" s="985">
        <f>IS!CO12</f>
        <v>2944</v>
      </c>
      <c r="R46" s="985">
        <f>IS!CP7-IS!CP19</f>
        <v>2895</v>
      </c>
      <c r="S46" s="994">
        <f>IS!CQ12</f>
        <v>3026</v>
      </c>
      <c r="T46" s="1007">
        <f>IS!CR12</f>
        <v>3056</v>
      </c>
      <c r="U46" s="985">
        <f>IS!CS12</f>
        <v>3081</v>
      </c>
      <c r="V46" s="985">
        <f>IS!CT12</f>
        <v>3129.3006890616907</v>
      </c>
      <c r="W46" s="994">
        <f>IS!CU12</f>
        <v>3332.0563140616905</v>
      </c>
      <c r="X46" s="1007">
        <f>IS!CV12</f>
        <v>3539.963469911429</v>
      </c>
      <c r="Y46" s="985">
        <f>IS!CW12</f>
        <v>3383.5846274387068</v>
      </c>
      <c r="Z46" s="985">
        <f>IS!CX12</f>
        <v>3759.730175811218</v>
      </c>
      <c r="AA46" s="994">
        <f>IS!CY12</f>
        <v>4034.2067352718736</v>
      </c>
      <c r="AB46" s="1007">
        <f>IS!CZ12</f>
        <v>4136.687962507729</v>
      </c>
      <c r="AC46" s="985">
        <f>IS!DA12</f>
        <v>4269.491636062643</v>
      </c>
      <c r="AD46" s="985">
        <f>IS!DB12</f>
        <v>4362.7113295550289</v>
      </c>
      <c r="AE46" s="994">
        <f>IS!DC12</f>
        <v>4480.61652137069</v>
      </c>
    </row>
    <row r="47" spans="2:34">
      <c r="B47" s="914"/>
      <c r="C47" s="916" t="s">
        <v>532</v>
      </c>
      <c r="H47" s="914"/>
      <c r="I47" s="916" t="s">
        <v>252</v>
      </c>
      <c r="J47" s="916" t="s">
        <v>252</v>
      </c>
      <c r="K47" s="915"/>
      <c r="M47" s="1130"/>
      <c r="O47" s="915"/>
      <c r="Q47" s="1206"/>
      <c r="R47" s="1206"/>
      <c r="S47" s="1317"/>
      <c r="T47" s="914"/>
      <c r="U47" s="1186"/>
      <c r="V47" s="1186"/>
      <c r="W47" s="1187"/>
      <c r="X47" s="914"/>
      <c r="AA47" s="1187"/>
      <c r="AB47" s="914"/>
      <c r="AE47" s="1187"/>
    </row>
    <row r="48" spans="2:34">
      <c r="B48" s="914"/>
      <c r="H48" s="914"/>
      <c r="I48" s="916" t="s">
        <v>252</v>
      </c>
      <c r="J48" s="916"/>
      <c r="K48" s="917" t="s">
        <v>252</v>
      </c>
      <c r="O48" s="917" t="s">
        <v>252</v>
      </c>
      <c r="Q48" s="1186"/>
      <c r="S48" s="915"/>
      <c r="T48" s="914"/>
      <c r="U48" s="1186"/>
      <c r="V48" s="1186"/>
      <c r="W48" s="1187"/>
      <c r="X48" s="914"/>
      <c r="AA48" s="1187"/>
      <c r="AB48" s="914"/>
      <c r="AE48" s="1187"/>
    </row>
    <row r="49" spans="2:31">
      <c r="B49" s="913" t="s">
        <v>147</v>
      </c>
      <c r="D49" s="956">
        <f>CFS!CB10</f>
        <v>541</v>
      </c>
      <c r="E49" s="956">
        <f>CFS!CC10</f>
        <v>561</v>
      </c>
      <c r="F49" s="956">
        <f>CFS!CD10</f>
        <v>578</v>
      </c>
      <c r="G49" s="956">
        <f>CFS!CE10</f>
        <v>590</v>
      </c>
      <c r="H49" s="1008">
        <f>CFS!CF10</f>
        <v>681</v>
      </c>
      <c r="I49" s="956">
        <f>CFS!CG10</f>
        <v>674</v>
      </c>
      <c r="J49" s="956">
        <f>CFS!CH10</f>
        <v>707</v>
      </c>
      <c r="K49" s="957">
        <f>CFS!CI10</f>
        <v>743</v>
      </c>
      <c r="L49" s="956">
        <f>CFS!CJ10</f>
        <v>770</v>
      </c>
      <c r="M49" s="956">
        <f>CFS!CK10</f>
        <v>805</v>
      </c>
      <c r="N49" s="956">
        <f>CFS!CL10</f>
        <v>785</v>
      </c>
      <c r="O49" s="957">
        <f>CFS!CM10</f>
        <v>746</v>
      </c>
      <c r="P49" s="956">
        <f>CFS!CN10</f>
        <v>803</v>
      </c>
      <c r="Q49" s="956">
        <f>CFS!CO10</f>
        <v>1034</v>
      </c>
      <c r="R49" s="956">
        <f>CFS!CP10</f>
        <v>1051</v>
      </c>
      <c r="S49" s="957">
        <f>CFS!CQ10</f>
        <v>1098</v>
      </c>
      <c r="T49" s="1008">
        <f>CFS!CR10</f>
        <v>1119</v>
      </c>
      <c r="U49" s="956">
        <f>CFS!CS10</f>
        <v>1177</v>
      </c>
      <c r="V49" s="956">
        <f>CFS!CT10</f>
        <v>1218.4154501321186</v>
      </c>
      <c r="W49" s="957">
        <f>CFS!CU10</f>
        <v>1231.4162888743406</v>
      </c>
      <c r="X49" s="1008">
        <f>CFS!CV10</f>
        <v>1250</v>
      </c>
      <c r="Y49" s="956">
        <f>CFS!CW10</f>
        <v>1250</v>
      </c>
      <c r="Z49" s="956">
        <f>CFS!CX10</f>
        <v>1250</v>
      </c>
      <c r="AA49" s="957">
        <f>CFS!CY10</f>
        <v>1250</v>
      </c>
      <c r="AB49" s="1008">
        <f>CFS!CZ10</f>
        <v>1375</v>
      </c>
      <c r="AC49" s="956">
        <f>CFS!DA10</f>
        <v>1375</v>
      </c>
      <c r="AD49" s="956">
        <f>CFS!DB10</f>
        <v>1375</v>
      </c>
      <c r="AE49" s="957">
        <f>CFS!DC10</f>
        <v>1375</v>
      </c>
    </row>
    <row r="50" spans="2:31">
      <c r="B50" s="995" t="s">
        <v>508</v>
      </c>
      <c r="C50" s="941"/>
      <c r="D50" s="953">
        <f t="shared" ref="D50:N50" si="109">D45-D49</f>
        <v>2220</v>
      </c>
      <c r="E50" s="953">
        <f t="shared" si="109"/>
        <v>2143</v>
      </c>
      <c r="F50" s="953">
        <f t="shared" si="109"/>
        <v>2036</v>
      </c>
      <c r="G50" s="953">
        <f t="shared" si="109"/>
        <v>2252</v>
      </c>
      <c r="H50" s="952">
        <f t="shared" si="109"/>
        <v>2254</v>
      </c>
      <c r="I50" s="953">
        <f t="shared" si="109"/>
        <v>2087</v>
      </c>
      <c r="J50" s="953">
        <f t="shared" si="109"/>
        <v>1944</v>
      </c>
      <c r="K50" s="954">
        <f t="shared" si="109"/>
        <v>1887</v>
      </c>
      <c r="L50" s="953">
        <f t="shared" si="109"/>
        <v>1731</v>
      </c>
      <c r="M50" s="953">
        <f t="shared" si="109"/>
        <v>1550</v>
      </c>
      <c r="N50" s="953">
        <f t="shared" si="109"/>
        <v>1615</v>
      </c>
      <c r="O50" s="954">
        <f t="shared" ref="O50:Q50" si="110">O45-O49</f>
        <v>1892</v>
      </c>
      <c r="P50" s="953">
        <f t="shared" si="110"/>
        <v>2156</v>
      </c>
      <c r="Q50" s="1192">
        <f t="shared" si="110"/>
        <v>1910</v>
      </c>
      <c r="R50" s="953">
        <f t="shared" ref="R50:S50" si="111">R45-R49</f>
        <v>1844</v>
      </c>
      <c r="S50" s="954">
        <f t="shared" si="111"/>
        <v>1928</v>
      </c>
      <c r="T50" s="952">
        <f t="shared" ref="T50:W50" si="112">T45-T49</f>
        <v>1937</v>
      </c>
      <c r="U50" s="1192">
        <f t="shared" si="112"/>
        <v>1904</v>
      </c>
      <c r="V50" s="1192">
        <f t="shared" si="112"/>
        <v>1910.8852389295721</v>
      </c>
      <c r="W50" s="954">
        <f t="shared" si="112"/>
        <v>2100.6400251873501</v>
      </c>
      <c r="X50" s="952">
        <f t="shared" ref="X50:AA50" si="113">X45-X49</f>
        <v>2289.963469911429</v>
      </c>
      <c r="Y50" s="1192">
        <f t="shared" si="113"/>
        <v>2133.5846274387068</v>
      </c>
      <c r="Z50" s="1192">
        <f t="shared" si="113"/>
        <v>2509.730175811218</v>
      </c>
      <c r="AA50" s="954">
        <f t="shared" si="113"/>
        <v>2784.2067352718736</v>
      </c>
      <c r="AB50" s="952">
        <f t="shared" ref="AB50:AE50" si="114">AB45-AB49</f>
        <v>2761.687962507729</v>
      </c>
      <c r="AC50" s="1192">
        <f t="shared" si="114"/>
        <v>2894.491636062643</v>
      </c>
      <c r="AD50" s="1192">
        <f t="shared" si="114"/>
        <v>2987.7113295550289</v>
      </c>
      <c r="AE50" s="954">
        <f t="shared" si="114"/>
        <v>3105.61652137069</v>
      </c>
    </row>
    <row r="51" spans="2:31">
      <c r="L51" s="1069"/>
      <c r="M51" s="1069"/>
      <c r="N51" s="1069"/>
      <c r="O51" s="1069"/>
      <c r="P51" s="1069"/>
      <c r="Q51" s="1203"/>
      <c r="R51" s="1069"/>
      <c r="S51" s="1069"/>
      <c r="T51" s="1069"/>
      <c r="X51" s="1203"/>
      <c r="AB51" s="1203"/>
    </row>
    <row r="52" spans="2:31">
      <c r="D52" s="1019"/>
      <c r="E52" s="1019"/>
      <c r="F52" s="1019"/>
      <c r="G52" s="1019"/>
      <c r="H52" s="1019"/>
      <c r="I52" s="1019"/>
      <c r="J52" s="1019"/>
      <c r="K52" s="1019"/>
      <c r="L52" s="1019"/>
      <c r="M52" s="1019"/>
      <c r="N52" s="1019"/>
      <c r="O52" s="1019"/>
      <c r="P52" s="1019"/>
      <c r="Q52" s="1019"/>
      <c r="R52" s="1019"/>
      <c r="S52" s="1019"/>
      <c r="T52" s="1019"/>
      <c r="U52" s="1019"/>
      <c r="V52" s="1019"/>
      <c r="W52" s="1019"/>
      <c r="X52" s="1019"/>
      <c r="Y52" s="1019"/>
      <c r="Z52" s="1019"/>
      <c r="AA52" s="1019"/>
      <c r="AB52" s="1019"/>
      <c r="AC52" s="1019"/>
      <c r="AD52" s="1019"/>
      <c r="AE52" s="1019"/>
    </row>
    <row r="55" spans="2:31">
      <c r="N55" s="1019"/>
      <c r="O55" s="1019"/>
    </row>
    <row r="56" spans="2:31">
      <c r="N56" s="1019"/>
      <c r="O56" s="1019"/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1423" bestFit="1" customWidth="1"/>
    <col min="2" max="2" width="19.85546875" style="1462" customWidth="1"/>
    <col min="3" max="3" width="12" style="1423" bestFit="1" customWidth="1"/>
    <col min="4" max="256" width="9.140625" style="1423"/>
    <col min="257" max="257" width="29.5703125" style="1423" bestFit="1" customWidth="1"/>
    <col min="258" max="258" width="19.85546875" style="1423" customWidth="1"/>
    <col min="259" max="259" width="12" style="1423" bestFit="1" customWidth="1"/>
    <col min="260" max="512" width="9.140625" style="1423"/>
    <col min="513" max="513" width="29.5703125" style="1423" bestFit="1" customWidth="1"/>
    <col min="514" max="514" width="19.85546875" style="1423" customWidth="1"/>
    <col min="515" max="515" width="12" style="1423" bestFit="1" customWidth="1"/>
    <col min="516" max="768" width="9.140625" style="1423"/>
    <col min="769" max="769" width="29.5703125" style="1423" bestFit="1" customWidth="1"/>
    <col min="770" max="770" width="19.85546875" style="1423" customWidth="1"/>
    <col min="771" max="771" width="12" style="1423" bestFit="1" customWidth="1"/>
    <col min="772" max="1024" width="9.140625" style="1423"/>
    <col min="1025" max="1025" width="29.5703125" style="1423" bestFit="1" customWidth="1"/>
    <col min="1026" max="1026" width="19.85546875" style="1423" customWidth="1"/>
    <col min="1027" max="1027" width="12" style="1423" bestFit="1" customWidth="1"/>
    <col min="1028" max="1280" width="9.140625" style="1423"/>
    <col min="1281" max="1281" width="29.5703125" style="1423" bestFit="1" customWidth="1"/>
    <col min="1282" max="1282" width="19.85546875" style="1423" customWidth="1"/>
    <col min="1283" max="1283" width="12" style="1423" bestFit="1" customWidth="1"/>
    <col min="1284" max="1536" width="9.140625" style="1423"/>
    <col min="1537" max="1537" width="29.5703125" style="1423" bestFit="1" customWidth="1"/>
    <col min="1538" max="1538" width="19.85546875" style="1423" customWidth="1"/>
    <col min="1539" max="1539" width="12" style="1423" bestFit="1" customWidth="1"/>
    <col min="1540" max="1792" width="9.140625" style="1423"/>
    <col min="1793" max="1793" width="29.5703125" style="1423" bestFit="1" customWidth="1"/>
    <col min="1794" max="1794" width="19.85546875" style="1423" customWidth="1"/>
    <col min="1795" max="1795" width="12" style="1423" bestFit="1" customWidth="1"/>
    <col min="1796" max="2048" width="9.140625" style="1423"/>
    <col min="2049" max="2049" width="29.5703125" style="1423" bestFit="1" customWidth="1"/>
    <col min="2050" max="2050" width="19.85546875" style="1423" customWidth="1"/>
    <col min="2051" max="2051" width="12" style="1423" bestFit="1" customWidth="1"/>
    <col min="2052" max="2304" width="9.140625" style="1423"/>
    <col min="2305" max="2305" width="29.5703125" style="1423" bestFit="1" customWidth="1"/>
    <col min="2306" max="2306" width="19.85546875" style="1423" customWidth="1"/>
    <col min="2307" max="2307" width="12" style="1423" bestFit="1" customWidth="1"/>
    <col min="2308" max="2560" width="9.140625" style="1423"/>
    <col min="2561" max="2561" width="29.5703125" style="1423" bestFit="1" customWidth="1"/>
    <col min="2562" max="2562" width="19.85546875" style="1423" customWidth="1"/>
    <col min="2563" max="2563" width="12" style="1423" bestFit="1" customWidth="1"/>
    <col min="2564" max="2816" width="9.140625" style="1423"/>
    <col min="2817" max="2817" width="29.5703125" style="1423" bestFit="1" customWidth="1"/>
    <col min="2818" max="2818" width="19.85546875" style="1423" customWidth="1"/>
    <col min="2819" max="2819" width="12" style="1423" bestFit="1" customWidth="1"/>
    <col min="2820" max="3072" width="9.140625" style="1423"/>
    <col min="3073" max="3073" width="29.5703125" style="1423" bestFit="1" customWidth="1"/>
    <col min="3074" max="3074" width="19.85546875" style="1423" customWidth="1"/>
    <col min="3075" max="3075" width="12" style="1423" bestFit="1" customWidth="1"/>
    <col min="3076" max="3328" width="9.140625" style="1423"/>
    <col min="3329" max="3329" width="29.5703125" style="1423" bestFit="1" customWidth="1"/>
    <col min="3330" max="3330" width="19.85546875" style="1423" customWidth="1"/>
    <col min="3331" max="3331" width="12" style="1423" bestFit="1" customWidth="1"/>
    <col min="3332" max="3584" width="9.140625" style="1423"/>
    <col min="3585" max="3585" width="29.5703125" style="1423" bestFit="1" customWidth="1"/>
    <col min="3586" max="3586" width="19.85546875" style="1423" customWidth="1"/>
    <col min="3587" max="3587" width="12" style="1423" bestFit="1" customWidth="1"/>
    <col min="3588" max="3840" width="9.140625" style="1423"/>
    <col min="3841" max="3841" width="29.5703125" style="1423" bestFit="1" customWidth="1"/>
    <col min="3842" max="3842" width="19.85546875" style="1423" customWidth="1"/>
    <col min="3843" max="3843" width="12" style="1423" bestFit="1" customWidth="1"/>
    <col min="3844" max="4096" width="9.140625" style="1423"/>
    <col min="4097" max="4097" width="29.5703125" style="1423" bestFit="1" customWidth="1"/>
    <col min="4098" max="4098" width="19.85546875" style="1423" customWidth="1"/>
    <col min="4099" max="4099" width="12" style="1423" bestFit="1" customWidth="1"/>
    <col min="4100" max="4352" width="9.140625" style="1423"/>
    <col min="4353" max="4353" width="29.5703125" style="1423" bestFit="1" customWidth="1"/>
    <col min="4354" max="4354" width="19.85546875" style="1423" customWidth="1"/>
    <col min="4355" max="4355" width="12" style="1423" bestFit="1" customWidth="1"/>
    <col min="4356" max="4608" width="9.140625" style="1423"/>
    <col min="4609" max="4609" width="29.5703125" style="1423" bestFit="1" customWidth="1"/>
    <col min="4610" max="4610" width="19.85546875" style="1423" customWidth="1"/>
    <col min="4611" max="4611" width="12" style="1423" bestFit="1" customWidth="1"/>
    <col min="4612" max="4864" width="9.140625" style="1423"/>
    <col min="4865" max="4865" width="29.5703125" style="1423" bestFit="1" customWidth="1"/>
    <col min="4866" max="4866" width="19.85546875" style="1423" customWidth="1"/>
    <col min="4867" max="4867" width="12" style="1423" bestFit="1" customWidth="1"/>
    <col min="4868" max="5120" width="9.140625" style="1423"/>
    <col min="5121" max="5121" width="29.5703125" style="1423" bestFit="1" customWidth="1"/>
    <col min="5122" max="5122" width="19.85546875" style="1423" customWidth="1"/>
    <col min="5123" max="5123" width="12" style="1423" bestFit="1" customWidth="1"/>
    <col min="5124" max="5376" width="9.140625" style="1423"/>
    <col min="5377" max="5377" width="29.5703125" style="1423" bestFit="1" customWidth="1"/>
    <col min="5378" max="5378" width="19.85546875" style="1423" customWidth="1"/>
    <col min="5379" max="5379" width="12" style="1423" bestFit="1" customWidth="1"/>
    <col min="5380" max="5632" width="9.140625" style="1423"/>
    <col min="5633" max="5633" width="29.5703125" style="1423" bestFit="1" customWidth="1"/>
    <col min="5634" max="5634" width="19.85546875" style="1423" customWidth="1"/>
    <col min="5635" max="5635" width="12" style="1423" bestFit="1" customWidth="1"/>
    <col min="5636" max="5888" width="9.140625" style="1423"/>
    <col min="5889" max="5889" width="29.5703125" style="1423" bestFit="1" customWidth="1"/>
    <col min="5890" max="5890" width="19.85546875" style="1423" customWidth="1"/>
    <col min="5891" max="5891" width="12" style="1423" bestFit="1" customWidth="1"/>
    <col min="5892" max="6144" width="9.140625" style="1423"/>
    <col min="6145" max="6145" width="29.5703125" style="1423" bestFit="1" customWidth="1"/>
    <col min="6146" max="6146" width="19.85546875" style="1423" customWidth="1"/>
    <col min="6147" max="6147" width="12" style="1423" bestFit="1" customWidth="1"/>
    <col min="6148" max="6400" width="9.140625" style="1423"/>
    <col min="6401" max="6401" width="29.5703125" style="1423" bestFit="1" customWidth="1"/>
    <col min="6402" max="6402" width="19.85546875" style="1423" customWidth="1"/>
    <col min="6403" max="6403" width="12" style="1423" bestFit="1" customWidth="1"/>
    <col min="6404" max="6656" width="9.140625" style="1423"/>
    <col min="6657" max="6657" width="29.5703125" style="1423" bestFit="1" customWidth="1"/>
    <col min="6658" max="6658" width="19.85546875" style="1423" customWidth="1"/>
    <col min="6659" max="6659" width="12" style="1423" bestFit="1" customWidth="1"/>
    <col min="6660" max="6912" width="9.140625" style="1423"/>
    <col min="6913" max="6913" width="29.5703125" style="1423" bestFit="1" customWidth="1"/>
    <col min="6914" max="6914" width="19.85546875" style="1423" customWidth="1"/>
    <col min="6915" max="6915" width="12" style="1423" bestFit="1" customWidth="1"/>
    <col min="6916" max="7168" width="9.140625" style="1423"/>
    <col min="7169" max="7169" width="29.5703125" style="1423" bestFit="1" customWidth="1"/>
    <col min="7170" max="7170" width="19.85546875" style="1423" customWidth="1"/>
    <col min="7171" max="7171" width="12" style="1423" bestFit="1" customWidth="1"/>
    <col min="7172" max="7424" width="9.140625" style="1423"/>
    <col min="7425" max="7425" width="29.5703125" style="1423" bestFit="1" customWidth="1"/>
    <col min="7426" max="7426" width="19.85546875" style="1423" customWidth="1"/>
    <col min="7427" max="7427" width="12" style="1423" bestFit="1" customWidth="1"/>
    <col min="7428" max="7680" width="9.140625" style="1423"/>
    <col min="7681" max="7681" width="29.5703125" style="1423" bestFit="1" customWidth="1"/>
    <col min="7682" max="7682" width="19.85546875" style="1423" customWidth="1"/>
    <col min="7683" max="7683" width="12" style="1423" bestFit="1" customWidth="1"/>
    <col min="7684" max="7936" width="9.140625" style="1423"/>
    <col min="7937" max="7937" width="29.5703125" style="1423" bestFit="1" customWidth="1"/>
    <col min="7938" max="7938" width="19.85546875" style="1423" customWidth="1"/>
    <col min="7939" max="7939" width="12" style="1423" bestFit="1" customWidth="1"/>
    <col min="7940" max="8192" width="9.140625" style="1423"/>
    <col min="8193" max="8193" width="29.5703125" style="1423" bestFit="1" customWidth="1"/>
    <col min="8194" max="8194" width="19.85546875" style="1423" customWidth="1"/>
    <col min="8195" max="8195" width="12" style="1423" bestFit="1" customWidth="1"/>
    <col min="8196" max="8448" width="9.140625" style="1423"/>
    <col min="8449" max="8449" width="29.5703125" style="1423" bestFit="1" customWidth="1"/>
    <col min="8450" max="8450" width="19.85546875" style="1423" customWidth="1"/>
    <col min="8451" max="8451" width="12" style="1423" bestFit="1" customWidth="1"/>
    <col min="8452" max="8704" width="9.140625" style="1423"/>
    <col min="8705" max="8705" width="29.5703125" style="1423" bestFit="1" customWidth="1"/>
    <col min="8706" max="8706" width="19.85546875" style="1423" customWidth="1"/>
    <col min="8707" max="8707" width="12" style="1423" bestFit="1" customWidth="1"/>
    <col min="8708" max="8960" width="9.140625" style="1423"/>
    <col min="8961" max="8961" width="29.5703125" style="1423" bestFit="1" customWidth="1"/>
    <col min="8962" max="8962" width="19.85546875" style="1423" customWidth="1"/>
    <col min="8963" max="8963" width="12" style="1423" bestFit="1" customWidth="1"/>
    <col min="8964" max="9216" width="9.140625" style="1423"/>
    <col min="9217" max="9217" width="29.5703125" style="1423" bestFit="1" customWidth="1"/>
    <col min="9218" max="9218" width="19.85546875" style="1423" customWidth="1"/>
    <col min="9219" max="9219" width="12" style="1423" bestFit="1" customWidth="1"/>
    <col min="9220" max="9472" width="9.140625" style="1423"/>
    <col min="9473" max="9473" width="29.5703125" style="1423" bestFit="1" customWidth="1"/>
    <col min="9474" max="9474" width="19.85546875" style="1423" customWidth="1"/>
    <col min="9475" max="9475" width="12" style="1423" bestFit="1" customWidth="1"/>
    <col min="9476" max="9728" width="9.140625" style="1423"/>
    <col min="9729" max="9729" width="29.5703125" style="1423" bestFit="1" customWidth="1"/>
    <col min="9730" max="9730" width="19.85546875" style="1423" customWidth="1"/>
    <col min="9731" max="9731" width="12" style="1423" bestFit="1" customWidth="1"/>
    <col min="9732" max="9984" width="9.140625" style="1423"/>
    <col min="9985" max="9985" width="29.5703125" style="1423" bestFit="1" customWidth="1"/>
    <col min="9986" max="9986" width="19.85546875" style="1423" customWidth="1"/>
    <col min="9987" max="9987" width="12" style="1423" bestFit="1" customWidth="1"/>
    <col min="9988" max="10240" width="9.140625" style="1423"/>
    <col min="10241" max="10241" width="29.5703125" style="1423" bestFit="1" customWidth="1"/>
    <col min="10242" max="10242" width="19.85546875" style="1423" customWidth="1"/>
    <col min="10243" max="10243" width="12" style="1423" bestFit="1" customWidth="1"/>
    <col min="10244" max="10496" width="9.140625" style="1423"/>
    <col min="10497" max="10497" width="29.5703125" style="1423" bestFit="1" customWidth="1"/>
    <col min="10498" max="10498" width="19.85546875" style="1423" customWidth="1"/>
    <col min="10499" max="10499" width="12" style="1423" bestFit="1" customWidth="1"/>
    <col min="10500" max="10752" width="9.140625" style="1423"/>
    <col min="10753" max="10753" width="29.5703125" style="1423" bestFit="1" customWidth="1"/>
    <col min="10754" max="10754" width="19.85546875" style="1423" customWidth="1"/>
    <col min="10755" max="10755" width="12" style="1423" bestFit="1" customWidth="1"/>
    <col min="10756" max="11008" width="9.140625" style="1423"/>
    <col min="11009" max="11009" width="29.5703125" style="1423" bestFit="1" customWidth="1"/>
    <col min="11010" max="11010" width="19.85546875" style="1423" customWidth="1"/>
    <col min="11011" max="11011" width="12" style="1423" bestFit="1" customWidth="1"/>
    <col min="11012" max="11264" width="9.140625" style="1423"/>
    <col min="11265" max="11265" width="29.5703125" style="1423" bestFit="1" customWidth="1"/>
    <col min="11266" max="11266" width="19.85546875" style="1423" customWidth="1"/>
    <col min="11267" max="11267" width="12" style="1423" bestFit="1" customWidth="1"/>
    <col min="11268" max="11520" width="9.140625" style="1423"/>
    <col min="11521" max="11521" width="29.5703125" style="1423" bestFit="1" customWidth="1"/>
    <col min="11522" max="11522" width="19.85546875" style="1423" customWidth="1"/>
    <col min="11523" max="11523" width="12" style="1423" bestFit="1" customWidth="1"/>
    <col min="11524" max="11776" width="9.140625" style="1423"/>
    <col min="11777" max="11777" width="29.5703125" style="1423" bestFit="1" customWidth="1"/>
    <col min="11778" max="11778" width="19.85546875" style="1423" customWidth="1"/>
    <col min="11779" max="11779" width="12" style="1423" bestFit="1" customWidth="1"/>
    <col min="11780" max="12032" width="9.140625" style="1423"/>
    <col min="12033" max="12033" width="29.5703125" style="1423" bestFit="1" customWidth="1"/>
    <col min="12034" max="12034" width="19.85546875" style="1423" customWidth="1"/>
    <col min="12035" max="12035" width="12" style="1423" bestFit="1" customWidth="1"/>
    <col min="12036" max="12288" width="9.140625" style="1423"/>
    <col min="12289" max="12289" width="29.5703125" style="1423" bestFit="1" customWidth="1"/>
    <col min="12290" max="12290" width="19.85546875" style="1423" customWidth="1"/>
    <col min="12291" max="12291" width="12" style="1423" bestFit="1" customWidth="1"/>
    <col min="12292" max="12544" width="9.140625" style="1423"/>
    <col min="12545" max="12545" width="29.5703125" style="1423" bestFit="1" customWidth="1"/>
    <col min="12546" max="12546" width="19.85546875" style="1423" customWidth="1"/>
    <col min="12547" max="12547" width="12" style="1423" bestFit="1" customWidth="1"/>
    <col min="12548" max="12800" width="9.140625" style="1423"/>
    <col min="12801" max="12801" width="29.5703125" style="1423" bestFit="1" customWidth="1"/>
    <col min="12802" max="12802" width="19.85546875" style="1423" customWidth="1"/>
    <col min="12803" max="12803" width="12" style="1423" bestFit="1" customWidth="1"/>
    <col min="12804" max="13056" width="9.140625" style="1423"/>
    <col min="13057" max="13057" width="29.5703125" style="1423" bestFit="1" customWidth="1"/>
    <col min="13058" max="13058" width="19.85546875" style="1423" customWidth="1"/>
    <col min="13059" max="13059" width="12" style="1423" bestFit="1" customWidth="1"/>
    <col min="13060" max="13312" width="9.140625" style="1423"/>
    <col min="13313" max="13313" width="29.5703125" style="1423" bestFit="1" customWidth="1"/>
    <col min="13314" max="13314" width="19.85546875" style="1423" customWidth="1"/>
    <col min="13315" max="13315" width="12" style="1423" bestFit="1" customWidth="1"/>
    <col min="13316" max="13568" width="9.140625" style="1423"/>
    <col min="13569" max="13569" width="29.5703125" style="1423" bestFit="1" customWidth="1"/>
    <col min="13570" max="13570" width="19.85546875" style="1423" customWidth="1"/>
    <col min="13571" max="13571" width="12" style="1423" bestFit="1" customWidth="1"/>
    <col min="13572" max="13824" width="9.140625" style="1423"/>
    <col min="13825" max="13825" width="29.5703125" style="1423" bestFit="1" customWidth="1"/>
    <col min="13826" max="13826" width="19.85546875" style="1423" customWidth="1"/>
    <col min="13827" max="13827" width="12" style="1423" bestFit="1" customWidth="1"/>
    <col min="13828" max="14080" width="9.140625" style="1423"/>
    <col min="14081" max="14081" width="29.5703125" style="1423" bestFit="1" customWidth="1"/>
    <col min="14082" max="14082" width="19.85546875" style="1423" customWidth="1"/>
    <col min="14083" max="14083" width="12" style="1423" bestFit="1" customWidth="1"/>
    <col min="14084" max="14336" width="9.140625" style="1423"/>
    <col min="14337" max="14337" width="29.5703125" style="1423" bestFit="1" customWidth="1"/>
    <col min="14338" max="14338" width="19.85546875" style="1423" customWidth="1"/>
    <col min="14339" max="14339" width="12" style="1423" bestFit="1" customWidth="1"/>
    <col min="14340" max="14592" width="9.140625" style="1423"/>
    <col min="14593" max="14593" width="29.5703125" style="1423" bestFit="1" customWidth="1"/>
    <col min="14594" max="14594" width="19.85546875" style="1423" customWidth="1"/>
    <col min="14595" max="14595" width="12" style="1423" bestFit="1" customWidth="1"/>
    <col min="14596" max="14848" width="9.140625" style="1423"/>
    <col min="14849" max="14849" width="29.5703125" style="1423" bestFit="1" customWidth="1"/>
    <col min="14850" max="14850" width="19.85546875" style="1423" customWidth="1"/>
    <col min="14851" max="14851" width="12" style="1423" bestFit="1" customWidth="1"/>
    <col min="14852" max="15104" width="9.140625" style="1423"/>
    <col min="15105" max="15105" width="29.5703125" style="1423" bestFit="1" customWidth="1"/>
    <col min="15106" max="15106" width="19.85546875" style="1423" customWidth="1"/>
    <col min="15107" max="15107" width="12" style="1423" bestFit="1" customWidth="1"/>
    <col min="15108" max="15360" width="9.140625" style="1423"/>
    <col min="15361" max="15361" width="29.5703125" style="1423" bestFit="1" customWidth="1"/>
    <col min="15362" max="15362" width="19.85546875" style="1423" customWidth="1"/>
    <col min="15363" max="15363" width="12" style="1423" bestFit="1" customWidth="1"/>
    <col min="15364" max="15616" width="9.140625" style="1423"/>
    <col min="15617" max="15617" width="29.5703125" style="1423" bestFit="1" customWidth="1"/>
    <col min="15618" max="15618" width="19.85546875" style="1423" customWidth="1"/>
    <col min="15619" max="15619" width="12" style="1423" bestFit="1" customWidth="1"/>
    <col min="15620" max="15872" width="9.140625" style="1423"/>
    <col min="15873" max="15873" width="29.5703125" style="1423" bestFit="1" customWidth="1"/>
    <col min="15874" max="15874" width="19.85546875" style="1423" customWidth="1"/>
    <col min="15875" max="15875" width="12" style="1423" bestFit="1" customWidth="1"/>
    <col min="15876" max="16128" width="9.140625" style="1423"/>
    <col min="16129" max="16129" width="29.5703125" style="1423" bestFit="1" customWidth="1"/>
    <col min="16130" max="16130" width="19.85546875" style="1423" customWidth="1"/>
    <col min="16131" max="16131" width="12" style="1423" bestFit="1" customWidth="1"/>
    <col min="16132" max="16384" width="9.140625" style="1423"/>
  </cols>
  <sheetData>
    <row r="1" spans="1:2">
      <c r="A1" s="1423" t="s">
        <v>922</v>
      </c>
      <c r="B1" s="1461">
        <v>6.1</v>
      </c>
    </row>
    <row r="2" spans="1:2">
      <c r="A2" s="1423" t="s">
        <v>923</v>
      </c>
      <c r="B2" s="1465">
        <v>43181.861319444448</v>
      </c>
    </row>
    <row r="3" spans="1:2">
      <c r="A3" s="1423" t="s">
        <v>924</v>
      </c>
      <c r="B3" s="1462" t="s">
        <v>622</v>
      </c>
    </row>
    <row r="4" spans="1:2">
      <c r="A4" s="1423" t="s">
        <v>925</v>
      </c>
      <c r="B4" s="1462" t="s">
        <v>279</v>
      </c>
    </row>
    <row r="5" spans="1:2">
      <c r="A5" s="1423" t="s">
        <v>926</v>
      </c>
      <c r="B5" s="1462" t="s">
        <v>927</v>
      </c>
    </row>
    <row r="6" spans="1:2">
      <c r="A6" s="1423" t="s">
        <v>928</v>
      </c>
    </row>
    <row r="7" spans="1:2">
      <c r="A7" s="1423" t="s">
        <v>929</v>
      </c>
      <c r="B7" s="1462" t="s">
        <v>395</v>
      </c>
    </row>
    <row r="8" spans="1:2">
      <c r="A8" s="1423" t="s">
        <v>930</v>
      </c>
      <c r="B8" s="1462" t="s">
        <v>931</v>
      </c>
    </row>
    <row r="9" spans="1:2">
      <c r="A9" s="1423" t="s">
        <v>932</v>
      </c>
      <c r="B9" s="1462" t="s">
        <v>969</v>
      </c>
    </row>
    <row r="10" spans="1:2">
      <c r="A10" s="1423" t="s">
        <v>933</v>
      </c>
    </row>
    <row r="11" spans="1:2">
      <c r="A11" s="1423" t="s">
        <v>934</v>
      </c>
    </row>
    <row r="12" spans="1:2">
      <c r="A12" s="1423" t="s">
        <v>935</v>
      </c>
    </row>
    <row r="13" spans="1:2">
      <c r="A13" s="1423" t="s">
        <v>936</v>
      </c>
    </row>
    <row r="14" spans="1:2">
      <c r="A14" s="1423" t="s">
        <v>937</v>
      </c>
    </row>
    <row r="15" spans="1:2">
      <c r="A15" s="1423" t="s">
        <v>938</v>
      </c>
    </row>
    <row r="16" spans="1:2">
      <c r="A16" s="1423" t="s">
        <v>939</v>
      </c>
    </row>
    <row r="17" spans="1:4">
      <c r="A17" s="1423" t="s">
        <v>940</v>
      </c>
      <c r="B17" s="1462" t="s">
        <v>970</v>
      </c>
    </row>
    <row r="18" spans="1:4">
      <c r="A18" s="1423" t="s">
        <v>941</v>
      </c>
      <c r="B18" s="1462" t="s">
        <v>973</v>
      </c>
    </row>
    <row r="19" spans="1:4">
      <c r="A19" s="1423" t="s">
        <v>942</v>
      </c>
      <c r="B19" s="1462" t="s">
        <v>394</v>
      </c>
    </row>
    <row r="20" spans="1:4">
      <c r="A20" s="1423" t="s">
        <v>943</v>
      </c>
      <c r="B20" s="1463">
        <v>595112103</v>
      </c>
    </row>
    <row r="21" spans="1:4">
      <c r="A21" s="1423" t="s">
        <v>944</v>
      </c>
      <c r="B21" s="1462" t="s">
        <v>394</v>
      </c>
    </row>
    <row r="22" spans="1:4">
      <c r="A22" s="1423" t="s">
        <v>945</v>
      </c>
      <c r="B22" s="1463">
        <v>2588184</v>
      </c>
    </row>
    <row r="23" spans="1:4">
      <c r="A23" s="1423" t="s">
        <v>360</v>
      </c>
      <c r="B23" s="1461">
        <v>57</v>
      </c>
    </row>
    <row r="24" spans="1:4">
      <c r="A24" s="1423" t="s">
        <v>359</v>
      </c>
      <c r="B24" s="1462" t="s">
        <v>283</v>
      </c>
      <c r="D24" s="1423" t="s">
        <v>252</v>
      </c>
    </row>
    <row r="25" spans="1:4">
      <c r="A25" s="1423" t="s">
        <v>946</v>
      </c>
      <c r="B25" s="1462" t="s">
        <v>974</v>
      </c>
    </row>
    <row r="26" spans="1:4">
      <c r="A26" s="1423" t="s">
        <v>947</v>
      </c>
      <c r="B26" s="1462">
        <v>0</v>
      </c>
    </row>
    <row r="27" spans="1:4">
      <c r="A27" s="1423" t="s">
        <v>948</v>
      </c>
      <c r="B27" s="1462" t="s">
        <v>949</v>
      </c>
    </row>
    <row r="28" spans="1:4">
      <c r="A28" s="1423" t="s">
        <v>950</v>
      </c>
      <c r="B28" s="1462" t="s">
        <v>951</v>
      </c>
    </row>
    <row r="29" spans="1:4">
      <c r="A29" s="1423" t="s">
        <v>952</v>
      </c>
    </row>
    <row r="30" spans="1:4">
      <c r="A30" s="1423" t="s">
        <v>953</v>
      </c>
    </row>
    <row r="31" spans="1:4">
      <c r="A31" s="1423" t="s">
        <v>954</v>
      </c>
    </row>
    <row r="32" spans="1:4">
      <c r="A32" s="1423" t="s">
        <v>955</v>
      </c>
      <c r="B32" s="1461"/>
    </row>
    <row r="33" spans="1:2">
      <c r="A33" s="1423" t="s">
        <v>956</v>
      </c>
      <c r="B33" s="1461"/>
    </row>
    <row r="34" spans="1:2">
      <c r="A34" s="1423" t="s">
        <v>957</v>
      </c>
      <c r="B34" s="1461"/>
    </row>
    <row r="35" spans="1:2">
      <c r="A35" s="1423" t="s">
        <v>958</v>
      </c>
      <c r="B35" s="1462">
        <v>1000000</v>
      </c>
    </row>
    <row r="36" spans="1:2">
      <c r="A36" s="1423" t="s">
        <v>959</v>
      </c>
      <c r="B36" s="1462" t="s">
        <v>971</v>
      </c>
    </row>
    <row r="37" spans="1:2">
      <c r="A37" s="1423" t="s">
        <v>960</v>
      </c>
      <c r="B37" s="1462" t="s">
        <v>961</v>
      </c>
    </row>
    <row r="38" spans="1:2">
      <c r="A38" s="1423" t="s">
        <v>962</v>
      </c>
      <c r="B38" s="1462" t="s">
        <v>963</v>
      </c>
    </row>
    <row r="39" spans="1:2">
      <c r="A39" s="1423" t="s">
        <v>964</v>
      </c>
      <c r="B39" s="1462" t="s">
        <v>972</v>
      </c>
    </row>
    <row r="40" spans="1:2">
      <c r="A40" s="1423" t="s">
        <v>965</v>
      </c>
      <c r="B40" s="1462">
        <v>1500000092</v>
      </c>
    </row>
    <row r="41" spans="1:2">
      <c r="A41" s="1423" t="s">
        <v>966</v>
      </c>
      <c r="B41" s="1462">
        <v>1</v>
      </c>
    </row>
    <row r="42" spans="1:2">
      <c r="A42" s="1464" t="s">
        <v>967</v>
      </c>
      <c r="B42" s="1462" t="s">
        <v>975</v>
      </c>
    </row>
    <row r="43" spans="1:2">
      <c r="A43" s="1423" t="s">
        <v>968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1423" bestFit="1" customWidth="1"/>
    <col min="2" max="256" width="9.140625" style="1423"/>
    <col min="257" max="257" width="28.5703125" style="1423" bestFit="1" customWidth="1"/>
    <col min="258" max="512" width="9.140625" style="1423"/>
    <col min="513" max="513" width="28.5703125" style="1423" bestFit="1" customWidth="1"/>
    <col min="514" max="768" width="9.140625" style="1423"/>
    <col min="769" max="769" width="28.5703125" style="1423" bestFit="1" customWidth="1"/>
    <col min="770" max="1024" width="9.140625" style="1423"/>
    <col min="1025" max="1025" width="28.5703125" style="1423" bestFit="1" customWidth="1"/>
    <col min="1026" max="1280" width="9.140625" style="1423"/>
    <col min="1281" max="1281" width="28.5703125" style="1423" bestFit="1" customWidth="1"/>
    <col min="1282" max="1536" width="9.140625" style="1423"/>
    <col min="1537" max="1537" width="28.5703125" style="1423" bestFit="1" customWidth="1"/>
    <col min="1538" max="1792" width="9.140625" style="1423"/>
    <col min="1793" max="1793" width="28.5703125" style="1423" bestFit="1" customWidth="1"/>
    <col min="1794" max="2048" width="9.140625" style="1423"/>
    <col min="2049" max="2049" width="28.5703125" style="1423" bestFit="1" customWidth="1"/>
    <col min="2050" max="2304" width="9.140625" style="1423"/>
    <col min="2305" max="2305" width="28.5703125" style="1423" bestFit="1" customWidth="1"/>
    <col min="2306" max="2560" width="9.140625" style="1423"/>
    <col min="2561" max="2561" width="28.5703125" style="1423" bestFit="1" customWidth="1"/>
    <col min="2562" max="2816" width="9.140625" style="1423"/>
    <col min="2817" max="2817" width="28.5703125" style="1423" bestFit="1" customWidth="1"/>
    <col min="2818" max="3072" width="9.140625" style="1423"/>
    <col min="3073" max="3073" width="28.5703125" style="1423" bestFit="1" customWidth="1"/>
    <col min="3074" max="3328" width="9.140625" style="1423"/>
    <col min="3329" max="3329" width="28.5703125" style="1423" bestFit="1" customWidth="1"/>
    <col min="3330" max="3584" width="9.140625" style="1423"/>
    <col min="3585" max="3585" width="28.5703125" style="1423" bestFit="1" customWidth="1"/>
    <col min="3586" max="3840" width="9.140625" style="1423"/>
    <col min="3841" max="3841" width="28.5703125" style="1423" bestFit="1" customWidth="1"/>
    <col min="3842" max="4096" width="9.140625" style="1423"/>
    <col min="4097" max="4097" width="28.5703125" style="1423" bestFit="1" customWidth="1"/>
    <col min="4098" max="4352" width="9.140625" style="1423"/>
    <col min="4353" max="4353" width="28.5703125" style="1423" bestFit="1" customWidth="1"/>
    <col min="4354" max="4608" width="9.140625" style="1423"/>
    <col min="4609" max="4609" width="28.5703125" style="1423" bestFit="1" customWidth="1"/>
    <col min="4610" max="4864" width="9.140625" style="1423"/>
    <col min="4865" max="4865" width="28.5703125" style="1423" bestFit="1" customWidth="1"/>
    <col min="4866" max="5120" width="9.140625" style="1423"/>
    <col min="5121" max="5121" width="28.5703125" style="1423" bestFit="1" customWidth="1"/>
    <col min="5122" max="5376" width="9.140625" style="1423"/>
    <col min="5377" max="5377" width="28.5703125" style="1423" bestFit="1" customWidth="1"/>
    <col min="5378" max="5632" width="9.140625" style="1423"/>
    <col min="5633" max="5633" width="28.5703125" style="1423" bestFit="1" customWidth="1"/>
    <col min="5634" max="5888" width="9.140625" style="1423"/>
    <col min="5889" max="5889" width="28.5703125" style="1423" bestFit="1" customWidth="1"/>
    <col min="5890" max="6144" width="9.140625" style="1423"/>
    <col min="6145" max="6145" width="28.5703125" style="1423" bestFit="1" customWidth="1"/>
    <col min="6146" max="6400" width="9.140625" style="1423"/>
    <col min="6401" max="6401" width="28.5703125" style="1423" bestFit="1" customWidth="1"/>
    <col min="6402" max="6656" width="9.140625" style="1423"/>
    <col min="6657" max="6657" width="28.5703125" style="1423" bestFit="1" customWidth="1"/>
    <col min="6658" max="6912" width="9.140625" style="1423"/>
    <col min="6913" max="6913" width="28.5703125" style="1423" bestFit="1" customWidth="1"/>
    <col min="6914" max="7168" width="9.140625" style="1423"/>
    <col min="7169" max="7169" width="28.5703125" style="1423" bestFit="1" customWidth="1"/>
    <col min="7170" max="7424" width="9.140625" style="1423"/>
    <col min="7425" max="7425" width="28.5703125" style="1423" bestFit="1" customWidth="1"/>
    <col min="7426" max="7680" width="9.140625" style="1423"/>
    <col min="7681" max="7681" width="28.5703125" style="1423" bestFit="1" customWidth="1"/>
    <col min="7682" max="7936" width="9.140625" style="1423"/>
    <col min="7937" max="7937" width="28.5703125" style="1423" bestFit="1" customWidth="1"/>
    <col min="7938" max="8192" width="9.140625" style="1423"/>
    <col min="8193" max="8193" width="28.5703125" style="1423" bestFit="1" customWidth="1"/>
    <col min="8194" max="8448" width="9.140625" style="1423"/>
    <col min="8449" max="8449" width="28.5703125" style="1423" bestFit="1" customWidth="1"/>
    <col min="8450" max="8704" width="9.140625" style="1423"/>
    <col min="8705" max="8705" width="28.5703125" style="1423" bestFit="1" customWidth="1"/>
    <col min="8706" max="8960" width="9.140625" style="1423"/>
    <col min="8961" max="8961" width="28.5703125" style="1423" bestFit="1" customWidth="1"/>
    <col min="8962" max="9216" width="9.140625" style="1423"/>
    <col min="9217" max="9217" width="28.5703125" style="1423" bestFit="1" customWidth="1"/>
    <col min="9218" max="9472" width="9.140625" style="1423"/>
    <col min="9473" max="9473" width="28.5703125" style="1423" bestFit="1" customWidth="1"/>
    <col min="9474" max="9728" width="9.140625" style="1423"/>
    <col min="9729" max="9729" width="28.5703125" style="1423" bestFit="1" customWidth="1"/>
    <col min="9730" max="9984" width="9.140625" style="1423"/>
    <col min="9985" max="9985" width="28.5703125" style="1423" bestFit="1" customWidth="1"/>
    <col min="9986" max="10240" width="9.140625" style="1423"/>
    <col min="10241" max="10241" width="28.5703125" style="1423" bestFit="1" customWidth="1"/>
    <col min="10242" max="10496" width="9.140625" style="1423"/>
    <col min="10497" max="10497" width="28.5703125" style="1423" bestFit="1" customWidth="1"/>
    <col min="10498" max="10752" width="9.140625" style="1423"/>
    <col min="10753" max="10753" width="28.5703125" style="1423" bestFit="1" customWidth="1"/>
    <col min="10754" max="11008" width="9.140625" style="1423"/>
    <col min="11009" max="11009" width="28.5703125" style="1423" bestFit="1" customWidth="1"/>
    <col min="11010" max="11264" width="9.140625" style="1423"/>
    <col min="11265" max="11265" width="28.5703125" style="1423" bestFit="1" customWidth="1"/>
    <col min="11266" max="11520" width="9.140625" style="1423"/>
    <col min="11521" max="11521" width="28.5703125" style="1423" bestFit="1" customWidth="1"/>
    <col min="11522" max="11776" width="9.140625" style="1423"/>
    <col min="11777" max="11777" width="28.5703125" style="1423" bestFit="1" customWidth="1"/>
    <col min="11778" max="12032" width="9.140625" style="1423"/>
    <col min="12033" max="12033" width="28.5703125" style="1423" bestFit="1" customWidth="1"/>
    <col min="12034" max="12288" width="9.140625" style="1423"/>
    <col min="12289" max="12289" width="28.5703125" style="1423" bestFit="1" customWidth="1"/>
    <col min="12290" max="12544" width="9.140625" style="1423"/>
    <col min="12545" max="12545" width="28.5703125" style="1423" bestFit="1" customWidth="1"/>
    <col min="12546" max="12800" width="9.140625" style="1423"/>
    <col min="12801" max="12801" width="28.5703125" style="1423" bestFit="1" customWidth="1"/>
    <col min="12802" max="13056" width="9.140625" style="1423"/>
    <col min="13057" max="13057" width="28.5703125" style="1423" bestFit="1" customWidth="1"/>
    <col min="13058" max="13312" width="9.140625" style="1423"/>
    <col min="13313" max="13313" width="28.5703125" style="1423" bestFit="1" customWidth="1"/>
    <col min="13314" max="13568" width="9.140625" style="1423"/>
    <col min="13569" max="13569" width="28.5703125" style="1423" bestFit="1" customWidth="1"/>
    <col min="13570" max="13824" width="9.140625" style="1423"/>
    <col min="13825" max="13825" width="28.5703125" style="1423" bestFit="1" customWidth="1"/>
    <col min="13826" max="14080" width="9.140625" style="1423"/>
    <col min="14081" max="14081" width="28.5703125" style="1423" bestFit="1" customWidth="1"/>
    <col min="14082" max="14336" width="9.140625" style="1423"/>
    <col min="14337" max="14337" width="28.5703125" style="1423" bestFit="1" customWidth="1"/>
    <col min="14338" max="14592" width="9.140625" style="1423"/>
    <col min="14593" max="14593" width="28.5703125" style="1423" bestFit="1" customWidth="1"/>
    <col min="14594" max="14848" width="9.140625" style="1423"/>
    <col min="14849" max="14849" width="28.5703125" style="1423" bestFit="1" customWidth="1"/>
    <col min="14850" max="15104" width="9.140625" style="1423"/>
    <col min="15105" max="15105" width="28.5703125" style="1423" bestFit="1" customWidth="1"/>
    <col min="15106" max="15360" width="9.140625" style="1423"/>
    <col min="15361" max="15361" width="28.5703125" style="1423" bestFit="1" customWidth="1"/>
    <col min="15362" max="15616" width="9.140625" style="1423"/>
    <col min="15617" max="15617" width="28.5703125" style="1423" bestFit="1" customWidth="1"/>
    <col min="15618" max="15872" width="9.140625" style="1423"/>
    <col min="15873" max="15873" width="28.5703125" style="1423" bestFit="1" customWidth="1"/>
    <col min="15874" max="16128" width="9.140625" style="1423"/>
    <col min="16129" max="16129" width="28.5703125" style="1423" bestFit="1" customWidth="1"/>
    <col min="16130" max="16384" width="9.140625" style="1423"/>
  </cols>
  <sheetData>
    <row r="1" spans="1:1">
      <c r="A1" s="1466" t="s">
        <v>976</v>
      </c>
    </row>
    <row r="2" spans="1:1">
      <c r="A2" s="1466" t="s">
        <v>981</v>
      </c>
    </row>
    <row r="3" spans="1:1">
      <c r="A3" s="1466" t="s">
        <v>982</v>
      </c>
    </row>
    <row r="4" spans="1:1">
      <c r="A4" s="1466" t="s">
        <v>983</v>
      </c>
    </row>
    <row r="5" spans="1:1">
      <c r="A5" s="1466" t="s">
        <v>984</v>
      </c>
    </row>
    <row r="6" spans="1:1">
      <c r="A6" s="1466" t="s">
        <v>977</v>
      </c>
    </row>
    <row r="7" spans="1:1">
      <c r="A7" s="1466" t="s">
        <v>985</v>
      </c>
    </row>
    <row r="8" spans="1:1">
      <c r="A8" s="1466" t="s">
        <v>986</v>
      </c>
    </row>
    <row r="9" spans="1:1">
      <c r="A9" s="1466" t="s">
        <v>987</v>
      </c>
    </row>
    <row r="10" spans="1:1">
      <c r="A10" s="1466" t="s">
        <v>978</v>
      </c>
    </row>
    <row r="11" spans="1:1">
      <c r="A11" s="1466" t="s">
        <v>988</v>
      </c>
    </row>
    <row r="12" spans="1:1">
      <c r="A12" s="1466" t="s">
        <v>979</v>
      </c>
    </row>
    <row r="13" spans="1:1">
      <c r="A13" s="1466" t="s">
        <v>980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6ce5e8ac-ba98-4978-bdc9-63c1ade4789c</GUID>
    <SOURCETYPE>Chart</SOURCETYPE>
    <SOURCE_OBJECTNAME>Chart 2</SOURCE_OBJECTNAME>
    <SOURCE_SHEETCODE>Sheet34</SOURCE_SHEETCODE>
    <SOURCE_SHEETNAME>Sensitivity Analysis</SOURCE_SHEETNAME>
    <OBJECTTYPE>Native</OBJECTTYPE>
    <SOURCEAPPLICATION>EXCEL_SOURCE</SOURCEAPPLICATION>
    <UPDATEDAT>5/11/2015 2:29:43 PM</UPDATEDAT>
    <SOURCE_ISOUTOFDATE>False</SOURCE_ISOUTOFDATE>
    <SOURCE_WORKBOOKNAME>MU_WIP.xls</SOURCE_WORKBOOKNAME>
    <SOURCE_WORKBOOKPATH>\\MSAD\ROOT\NA\NY\LIB\ER\SEMI CAP\Joe Files\Companies\MU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/MSResearch/Content/ExternalAssets/2015-05/Images/g_dF5PinFUGaV4DpU9nFTA--.png</TARGET_BINARYFULLNAME>
    <TARGET_STORYFULLNAME>/MSResearch/Content/ExternalAssets/2015-05/Sections/20150511_022919_Chart2.xml</TARGET_STORYFULLNAME>
    <TARGET_UUID>a31c967e-f80b-11e4-b06e-39cc228b6d15</TARGET_UUID>
    <LINKSTATUS>Unknown</LINKSTATUS>
  </Link>
  <Link>
    <GUID>419cb364-11ea-4574-bd5b-ed591db9c69a</GUID>
    <SOURCE_ALTADDRESS>$O$4:$Q$20</SOURCE_ALTADDRESS>
    <SOURCETYPE>Table</SOURCETYPE>
    <SOURCE_OBJECTNAME>Linking_Range_50</SOURCE_OBJECTNAME>
    <OBJECTTYPE>Native</OBJECTTYPE>
    <SOURCE_SHEETCODE>Sheet34</SOURCE_SHEETCODE>
    <SOURCE_SHEETNAME>Sensitivity Analysis</SOURCE_SHEETNAME>
    <SOURCEAPPLICATION>EXCEL_SOURCE</SOURCEAPPLICATION>
    <UPDATEDAT>5/11/2015 4:21:01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/MSResearch/Content/ExternalAssets/2015-05/Images/oG_6wz268EmSLGawkqbIhw--.png</TARGET_BINARYFULLNAME>
    <TARGET_STORYFULLNAME>/MSResearch/Content/ExternalAssets/2015-05/Sections/20150511_042100_Linking_Range_50.xml</TARGET_STORYFULLNAME>
    <TARGET_UUID>3d194d76-f81b-11e4-b06e-39cc228b6d15</TARGET_UUID>
  </Link>
  <Link>
    <GUID>584b579a-7beb-4140-85d8-d995a4219c05</GUID>
    <SOURCE_ALTADDRESS>$O$4:$U$20</SOURCE_ALTADDRESS>
    <SOURCETYPE>Table</SOURCETYPE>
    <SOURCE_OBJECTNAME>Linking_Range_51</SOURCE_OBJECTNAME>
    <OBJECTTYPE>Native</OBJECTTYPE>
    <SOURCE_SHEETCODE>Sheet34</SOURCE_SHEETCODE>
    <SOURCE_SHEETNAME>Sensitivity Analysis</SOURCE_SHEETNAME>
    <SOURCEAPPLICATION>EXCEL_SOURCE</SOURCEAPPLICATION>
    <UPDATEDAT>5/11/2015 4:21:14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/MSResearch/Content/ExternalAssets/2015-05/Images/U-LPUxntdUWXQI7Fo2ON_w--.png</TARGET_BINARYFULLNAME>
    <TARGET_STORYFULLNAME>/MSResearch/Content/ExternalAssets/2015-05/Sections/20150511_042112_Linking_Range_51.xml</TARGET_STORYFULLNAME>
    <TARGET_UUID>4459c926-f81b-11e4-b06e-39cc228b6d15</TARGET_UUID>
  </Link>
  <Link>
    <GUID>07f12cf4-aa34-43e0-a7b0-12fbb581f749</GUID>
    <SOURCE_ALTADDRESS>$O$4:$T$22</SOURCE_ALTADDRESS>
    <SOURCETYPE>Table</SOURCETYPE>
    <SOURCE_OBJECTNAME>Linking_Range_52</SOURCE_OBJECTNAME>
    <OBJECTTYPE>Native</OBJECTTYPE>
    <SOURCE_SHEETCODE>Sheet34</SOURCE_SHEETCODE>
    <SOURCE_SHEETNAME>Sensitivity Analysis</SOURCE_SHEETNAME>
    <SOURCEAPPLICATION>EXCEL_SOURCE</SOURCEAPPLICATION>
    <UPDATEDAT>5/11/2015 4:26:44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/MSResearch/Content/ExternalAssets/2015-05/Images/TmpmCrdDvEqs5nzn7WliOg--.png</TARGET_BINARYFULLNAME>
    <TARGET_STORYFULLNAME>/MSResearch/Content/ExternalAssets/2015-05/Sections/20150511_042642_Linking_Range_52.xml</TARGET_STORYFULLNAME>
    <TARGET_UUID>095902b4-f81c-11e4-b06e-39cc228b6d15</TARGET_UUID>
  </Link>
  <Link>
    <GUID>59d207b8-d4f3-4058-8748-966d5cbe162a</GUID>
    <SOURCE_ALTADDRESS>$O$12:$Q$49</SOURCE_ALTADDRESS>
    <SOURCETYPE>Table</SOURCETYPE>
    <SOURCE_OBJECTNAME>Linking_Range_53</SOURCE_OBJECTNAME>
    <OBJECTTYPE>Native</OBJECTTYPE>
    <SOURCE_SHEETCODE>Sheet34</SOURCE_SHEETCODE>
    <SOURCE_SHEETNAME>Sensitivity Analysis</SOURCE_SHEETNAME>
    <SOURCEAPPLICATION>EXCEL_SOURCE</SOURCEAPPLICATION>
    <UPDATEDAT>5/11/2015 4:51:52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/MSResearch/Content/ExternalAssets/2015-05/Images/O_R4zhfsika8WewrEFSEpg--.png</TARGET_BINARYFULLNAME>
    <TARGET_STORYFULLNAME>/MSResearch/Content/ExternalAssets/2015-05/Sections/20150511_045150_Linking_Range_53.xml</TARGET_STORYFULLNAME>
    <TARGET_UUID>8bf9110c-f81f-11e4-b06e-39cc228b6d15</TARGET_UUID>
  </Link>
  <Link>
    <GUID>1a35b084-ef8d-4c13-94aa-dd66d3012c3b</GUID>
    <SOURCE_ALTADDRESS>$O$12:$U$52</SOURCE_ALTADDRESS>
    <SOURCETYPE>Table</SOURCETYPE>
    <SOURCE_OBJECTNAME>Linking_Range_57</SOURCE_OBJECTNAME>
    <OBJECTTYPE>Native</OBJECTTYPE>
    <SOURCE_SHEETCODE>Sheet34</SOURCE_SHEETCODE>
    <SOURCE_SHEETNAME>Sensitivity Analysis</SOURCE_SHEETNAME>
    <SOURCEAPPLICATION>EXCEL_SOURCE</SOURCEAPPLICATION>
    <UPDATEDAT>5/11/2015 5:28:34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/MSResearch/Content/ExternalAssets/2015-05/Images/OQo_80T1vkKBAfOC1HRvOA--.png</TARGET_BINARYFULLNAME>
    <TARGET_STORYFULLNAME>/MSResearch/Content/ExternalAssets/2015-05/Sections/20150511_052810_Linking_Range_57.xml</TARGET_STORYFULLNAME>
    <TARGET_UUID>9f550d50-f824-11e4-b06e-39cc228b6d15</TARGET_UUID>
    <TRANSPARENTBACKGROUND>False</TRANSPARENTBACKGROUND>
    <TRANSPARENTPLOTAREA>False</TRANSPARENTPLOTAREA>
  </Link>
  <Link>
    <GUID>de70daeb-8740-4d4f-9ae3-fb1f677ca954</GUID>
    <SOURCE_ALTADDRESS>$O$51:$R$58</SOURCE_ALTADDRESS>
    <SOURCETYPE>Table</SOURCETYPE>
    <SOURCE_OBJECTNAME>Linking_Range_55</SOURCE_OBJECTNAME>
    <OBJECTTYPE>Native</OBJECTTYPE>
    <SOURCE_SHEETCODE>Sheet34</SOURCE_SHEETCODE>
    <SOURCE_SHEETNAME>Sensitivity Analysis</SOURCE_SHEETNAME>
    <SOURCEAPPLICATION>EXCEL_SOURCE</SOURCEAPPLICATION>
    <UPDATEDAT>5/11/2015 5:32:06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/MSResearch/Content/ExternalAssets/2015-05/Images/k12MxAmkVkuBFl3znp1Gmg--.png</TARGET_BINARYFULLNAME>
    <TARGET_STORYFULLNAME>/MSResearch/Content/ExternalAssets/2015-05/Sections/20150511_051808_Linking_Range_55.xml</TARGET_STORYFULLNAME>
    <TARGET_UUID>38ae4798-f823-11e4-b06e-39cc228b6d15</TARGET_UUID>
    <TRANSPARENTBACKGROUND>False</TRANSPARENTBACKGROUND>
    <TRANSPARENTPLOTAREA>False</TRANSPARENTPLOTAREA>
  </Link>
  <Link>
    <GUID>7a9834ef-9c84-45fe-9955-01ccb0155e9a</GUID>
    <SOURCE_ALTADDRESS>$O$12:$S$49</SOURCE_ALTADDRESS>
    <SOURCETYPE>Table</SOURCETYPE>
    <SOURCE_OBJECTNAME>Linking_Range_54</SOURCE_OBJECTNAME>
    <OBJECTTYPE>Native</OBJECTTYPE>
    <SOURCE_SHEETCODE>Sheet34</SOURCE_SHEETCODE>
    <SOURCE_SHEETNAME>Sensitivity Analysis</SOURCE_SHEETNAME>
    <SOURCEAPPLICATION>EXCEL_SOURCE</SOURCEAPPLICATION>
    <UPDATEDAT>5/11/2015 6:10:08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/MSResearch/Content/ExternalAssets/2015-05/Images/itYOOgsbq0Cf3n80TU6bPg--.png</TARGET_BINARYFULLNAME>
    <TARGET_STORYFULLNAME>/MSResearch/Content/ExternalAssets/2015-05/Sections/20150511_045206_Linking_Range_54.xml</TARGET_STORYFULLNAME>
    <TARGET_UUID>95d4f04c-f81f-11e4-b06e-39cc228b6d15</TARGET_UUID>
    <TRANSPARENTBACKGROUND>False</TRANSPARENTBACKGROUND>
    <TRANSPARENTPLOTAREA>False</TRANSPARENTPLOTAREA>
  </Link>
  <Link>
    <GUID>0f2c6b5a-8c79-43bf-920a-00aeff64d979</GUID>
    <SOURCE_ALTADDRESS>$O$54:$S$61</SOURCE_ALTADDRESS>
    <SOURCETYPE>Table</SOURCETYPE>
    <SOURCE_OBJECTNAME>Linking_Range_58</SOURCE_OBJECTNAME>
    <OBJECTTYPE>Native</OBJECTTYPE>
    <SOURCE_SHEETCODE>Sheet34</SOURCE_SHEETCODE>
    <SOURCE_SHEETNAME>Sensitivity Analysis</SOURCE_SHEETNAME>
    <SOURCEAPPLICATION>EXCEL_SOURCE</SOURCEAPPLICATION>
    <UPDATEDAT>5/11/2015 6:12:26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/MSResearch/Content/ExternalAssets/2015-05/Images/m7kypE7F_EOAJ2-9ADddHQ--.png</TARGET_BINARYFULLNAME>
    <TARGET_STORYFULLNAME>/MSResearch/Content/ExternalAssets/2015-05/Sections/20150511_061224_Linking_Range_58.xml</TARGET_STORYFULLNAME>
    <TARGET_UUID>cd9afc82-f82a-11e4-b06e-39cc228b6d15</TARGET_UUID>
  </Link>
  <Link>
    <GUID>dd4c34ed-5f44-4dd8-8b95-785578ce15a7</GUID>
    <SOURCE_ALTADDRESS>$R$66:$Z$74</SOURCE_ALTADDRESS>
    <SOURCETYPE>Table</SOURCETYPE>
    <SOURCE_OBJECTNAME>Linking_Range_59</SOURCE_OBJECTNAME>
    <OBJECTTYPE>Native</OBJECTTYPE>
    <SOURCE_SHEETCODE>Sheet34</SOURCE_SHEETCODE>
    <SOURCE_SHEETNAME>Sensitivity Analysis</SOURCE_SHEETNAME>
    <SOURCEAPPLICATION>EXCEL_SOURCE</SOURCEAPPLICATION>
    <UPDATEDAT>5/11/2015 6:12:43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/MSResearch/Content/ExternalAssets/2015-05/Images/zymqZMx4tUiU1YeDB-tDng--.png</TARGET_BINARYFULLNAME>
    <TARGET_STORYFULLNAME>/MSResearch/Content/ExternalAssets/2015-05/Sections/20150511_061241_Linking_Range_59.xml</TARGET_STORYFULLNAME>
    <TARGET_UUID>d7988d12-f82a-11e4-b06e-39cc228b6d15</TARGET_UUID>
  </Link>
  <Link>
    <GUID>b2c475e0-2f24-41da-b376-3015a7e20541</GUID>
    <SOURCE_ALTADDRESS>$R$63:$AA$71</SOURCE_ALTADDRESS>
    <SOURCETYPE>Table</SOURCETYPE>
    <SOURCE_OBJECTNAME>Linking_Range_56</SOURCE_OBJECTNAME>
    <OBJECTTYPE>Native</OBJECTTYPE>
    <SOURCE_SHEETCODE>Sheet34</SOURCE_SHEETCODE>
    <SOURCE_SHEETNAME>Sensitivity Analysis</SOURCE_SHEETNAME>
    <SOURCEAPPLICATION>EXCEL_SOURCE</SOURCEAPPLICATION>
    <UPDATEDAT>5/11/2015 6:13:55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/MSResearch/Content/ExternalAssets/2015-05/Images/3Npjh_ZDsE_mVshEbB15rw--.png</TARGET_BINARYFULLNAME>
    <TARGET_STORYFULLNAME>/MSResearch/Content/ExternalAssets/2015-05/Sections/20150511_052130_Linking_Range_56.xml</TARGET_STORYFULLNAME>
    <TARGET_UUID>b0e6b02e-f823-11e4-b06e-39cc228b6d15</TARGET_UUID>
    <TRANSPARENTBACKGROUND>False</TRANSPARENTBACKGROUND>
    <TRANSPARENTPLOTAREA>False</TRANSPARENTPLOTAREA>
  </Link>
  <Link>
    <GUID>33bea5c3-9b87-4913-a33e-1550942ca2da</GUID>
    <SOURCE_ALTADDRESS>$R$66:$AB$74</SOURCE_ALTADDRESS>
    <SOURCETYPE>Table</SOURCETYPE>
    <SOURCE_OBJECTNAME>Linking_Range_60</SOURCE_OBJECTNAME>
    <OBJECTTYPE>Native</OBJECTTYPE>
    <SOURCE_SHEETCODE>Sheet34</SOURCE_SHEETCODE>
    <SOURCE_SHEETNAME>Sensitivity Analysis</SOURCE_SHEETNAME>
    <SOURCEAPPLICATION>EXCEL_SOURCE</SOURCEAPPLICATION>
    <UPDATEDAT>5/11/2015 6:14:49 PM</UPDATEDAT>
    <SOURCE_ISOUTOFDATE>False</SOURCE_ISOUTOFDATE>
    <SOURCE_WORKBOOKNAME>MU_WIP.xls</SOURCE_WORKBOOKNAME>
    <SOURCE_WORKBOOKPATH>\\MSAD\ROOT\NA\NY\LIB\ER\SEMI CAP\Joe Files\Companies\MU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/MSResearch/Content/ExternalAssets/2015-05/Images/MPS1r-c4j0uwHS-cWBzCew--.png</TARGET_BINARYFULLNAME>
    <TARGET_STORYFULLNAME>/MSResearch/Content/ExternalAssets/2015-05/Sections/20150511_061447_Linking_Range_60.xml</TARGET_STORYFULLNAME>
    <TARGET_UUID>22d09f4a-f82b-11e4-b06e-39cc228b6d15</TARGET_UUID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8732A5BD-D742-45A9-8876-9CF6ABB9C369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7E58F12E-6071-4D42-911B-013806150173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ImportantDisclosures</vt:lpstr>
      <vt:lpstr>IS</vt:lpstr>
      <vt:lpstr>BS</vt:lpstr>
      <vt:lpstr>CFS</vt:lpstr>
      <vt:lpstr>Segment model</vt:lpstr>
      <vt:lpstr>COGS 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Linking_10</vt:lpstr>
      <vt:lpstr>Linking_11</vt:lpstr>
      <vt:lpstr>Linking_15</vt:lpstr>
      <vt:lpstr>Linking_16</vt:lpstr>
      <vt:lpstr>Linking_17</vt:lpstr>
      <vt:lpstr>Linking_2</vt:lpstr>
      <vt:lpstr>Linking_20</vt:lpstr>
      <vt:lpstr>Linking_21</vt:lpstr>
      <vt:lpstr>Linking_22</vt:lpstr>
      <vt:lpstr>Linking_23</vt:lpstr>
      <vt:lpstr>Linking_24</vt:lpstr>
      <vt:lpstr>Linking_25</vt:lpstr>
      <vt:lpstr>Linking_3</vt:lpstr>
      <vt:lpstr>Linking_5</vt:lpstr>
      <vt:lpstr>Linking_6</vt:lpstr>
      <vt:lpstr>Linking_7</vt:lpstr>
      <vt:lpstr>Linking_9</vt:lpstr>
      <vt:lpstr>Linking_Range_1</vt:lpstr>
      <vt:lpstr>Linking_Range_12</vt:lpstr>
      <vt:lpstr>Linking_Range_16</vt:lpstr>
      <vt:lpstr>Linking_Range_17</vt:lpstr>
      <vt:lpstr>Linking_Range_18</vt:lpstr>
      <vt:lpstr>Linking_Range_19</vt:lpstr>
      <vt:lpstr>Linking_Range_2</vt:lpstr>
      <vt:lpstr>Linking_Range_21</vt:lpstr>
      <vt:lpstr>Linking_Range_22</vt:lpstr>
      <vt:lpstr>Linking_Range_28</vt:lpstr>
      <vt:lpstr>Linking_Range_29</vt:lpstr>
      <vt:lpstr>Linking_Range_3</vt:lpstr>
      <vt:lpstr>Linking_Range_42</vt:lpstr>
      <vt:lpstr>Linking_Range_43</vt:lpstr>
      <vt:lpstr>Linking_Range_44</vt:lpstr>
      <vt:lpstr>Linking_Range_48</vt:lpstr>
      <vt:lpstr>Linking_Range_49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CFS!Print_Area</vt:lpstr>
      <vt:lpstr>IS!Print_Area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Capitena, Cindy (Research)</cp:lastModifiedBy>
  <cp:lastPrinted>2018-03-23T00:33:51Z</cp:lastPrinted>
  <dcterms:modified xsi:type="dcterms:W3CDTF">2018-03-23T01:41:03Z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60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757921</vt:lpwstr>
  </property>
  <property fmtid="{D5CDD505-2E9C-101B-9397-08002B2CF9AE}" name="ERModPubCompanyName" pid="6">
    <vt:lpwstr>Micron Technology Inc.</vt:lpwstr>
  </property>
  <property fmtid="{D5CDD505-2E9C-101B-9397-08002B2CF9AE}" name="MSDH34TAG" pid="7">
    <vt:lpwstr>.TEZUF76X5TAHATHESADREYAK-00-INB160+*94600-06=c9dfcb68/-2e32/-11e8/-b383/-f99601a31d31,MD=20180322214435/-0400,ZZ=000Z-7cc8.</vt:lpwstr>
  </property>
</Properties>
</file>